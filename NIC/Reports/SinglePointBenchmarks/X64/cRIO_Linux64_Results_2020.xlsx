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RT\NIC\Reports\SinglePointBenchmarks\X64\"/>
    </mc:Choice>
  </mc:AlternateContent>
  <xr:revisionPtr revIDLastSave="0" documentId="13_ncr:1_{71D37A01-F27C-4B0C-8FA0-A99816F15258}" xr6:coauthVersionLast="45" xr6:coauthVersionMax="45" xr10:uidLastSave="{00000000-0000-0000-0000-000000000000}"/>
  <bookViews>
    <workbookView xWindow="28680" yWindow="-120" windowWidth="29040" windowHeight="15840" activeTab="8" xr2:uid="{00000000-000D-0000-FFFF-FFFF00000000}"/>
  </bookViews>
  <sheets>
    <sheet name="Comparisons" sheetId="1" r:id="rId1"/>
    <sheet name="Proto 2014" sheetId="2" r:id="rId2"/>
    <sheet name="2015" sheetId="3" r:id="rId3"/>
    <sheet name="2016" sheetId="4" r:id="rId4"/>
    <sheet name="2017" sheetId="5" r:id="rId5"/>
    <sheet name="NIB 2017" sheetId="6" r:id="rId6"/>
    <sheet name="2018" sheetId="8" r:id="rId7"/>
    <sheet name="2019" sheetId="9" r:id="rId8"/>
    <sheet name="2020" sheetId="10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11" i="10" l="1"/>
  <c r="E211" i="10"/>
  <c r="F211" i="10"/>
  <c r="G211" i="10"/>
  <c r="M211" i="10" s="1"/>
  <c r="H211" i="10"/>
  <c r="D212" i="10"/>
  <c r="E212" i="10"/>
  <c r="F212" i="10"/>
  <c r="G212" i="10"/>
  <c r="H212" i="10"/>
  <c r="N212" i="10" s="1"/>
  <c r="D213" i="10"/>
  <c r="E213" i="10"/>
  <c r="F213" i="10"/>
  <c r="G213" i="10"/>
  <c r="H213" i="10"/>
  <c r="D214" i="10"/>
  <c r="E214" i="10"/>
  <c r="F214" i="10"/>
  <c r="G214" i="10"/>
  <c r="H214" i="10"/>
  <c r="N214" i="10" s="1"/>
  <c r="D215" i="10"/>
  <c r="E215" i="10"/>
  <c r="F215" i="10"/>
  <c r="G215" i="10"/>
  <c r="H215" i="10"/>
  <c r="E210" i="10"/>
  <c r="F210" i="10"/>
  <c r="G210" i="10"/>
  <c r="M210" i="10" s="1"/>
  <c r="H210" i="10"/>
  <c r="D210" i="10"/>
  <c r="D202" i="10"/>
  <c r="E202" i="10"/>
  <c r="F202" i="10"/>
  <c r="G202" i="10"/>
  <c r="H202" i="10"/>
  <c r="D203" i="10"/>
  <c r="E203" i="10"/>
  <c r="F203" i="10"/>
  <c r="G203" i="10"/>
  <c r="M203" i="10" s="1"/>
  <c r="H203" i="10"/>
  <c r="D204" i="10"/>
  <c r="E204" i="10"/>
  <c r="F204" i="10"/>
  <c r="G204" i="10"/>
  <c r="H204" i="10"/>
  <c r="N204" i="10" s="1"/>
  <c r="D205" i="10"/>
  <c r="E205" i="10"/>
  <c r="F205" i="10"/>
  <c r="G205" i="10"/>
  <c r="M205" i="10" s="1"/>
  <c r="H205" i="10"/>
  <c r="D206" i="10"/>
  <c r="E206" i="10"/>
  <c r="F206" i="10"/>
  <c r="G206" i="10"/>
  <c r="M206" i="10" s="1"/>
  <c r="H206" i="10"/>
  <c r="E201" i="10"/>
  <c r="F201" i="10"/>
  <c r="G201" i="10"/>
  <c r="M201" i="10" s="1"/>
  <c r="H201" i="10"/>
  <c r="N201" i="10" s="1"/>
  <c r="D201" i="10"/>
  <c r="O215" i="10"/>
  <c r="N215" i="10"/>
  <c r="M215" i="10"/>
  <c r="I215" i="10"/>
  <c r="I214" i="10"/>
  <c r="O214" i="10" s="1"/>
  <c r="M214" i="10"/>
  <c r="O213" i="10"/>
  <c r="M213" i="10"/>
  <c r="I213" i="10"/>
  <c r="N213" i="10"/>
  <c r="I212" i="10"/>
  <c r="O212" i="10" s="1"/>
  <c r="M212" i="10"/>
  <c r="O211" i="10"/>
  <c r="N211" i="10"/>
  <c r="I211" i="10"/>
  <c r="N210" i="10"/>
  <c r="I210" i="10"/>
  <c r="O210" i="10" s="1"/>
  <c r="O206" i="10"/>
  <c r="I206" i="10"/>
  <c r="N206" i="10"/>
  <c r="N205" i="10"/>
  <c r="I205" i="10"/>
  <c r="O205" i="10" s="1"/>
  <c r="O204" i="10"/>
  <c r="M204" i="10"/>
  <c r="I204" i="10"/>
  <c r="N203" i="10"/>
  <c r="I203" i="10"/>
  <c r="O203" i="10" s="1"/>
  <c r="O202" i="10"/>
  <c r="M202" i="10"/>
  <c r="I202" i="10"/>
  <c r="N202" i="10"/>
  <c r="I201" i="10"/>
  <c r="O201" i="10" s="1"/>
  <c r="O196" i="10"/>
  <c r="N196" i="10"/>
  <c r="M196" i="10"/>
  <c r="O195" i="10"/>
  <c r="N195" i="10"/>
  <c r="M195" i="10"/>
  <c r="O194" i="10"/>
  <c r="N194" i="10"/>
  <c r="M194" i="10"/>
  <c r="O193" i="10"/>
  <c r="N193" i="10"/>
  <c r="M193" i="10"/>
  <c r="O192" i="10"/>
  <c r="N192" i="10"/>
  <c r="M192" i="10"/>
  <c r="O191" i="10"/>
  <c r="N191" i="10"/>
  <c r="M191" i="10"/>
  <c r="D180" i="10"/>
  <c r="E180" i="10"/>
  <c r="F180" i="10"/>
  <c r="G180" i="10"/>
  <c r="M180" i="10" s="1"/>
  <c r="H180" i="10"/>
  <c r="I180" i="10"/>
  <c r="D181" i="10"/>
  <c r="E181" i="10"/>
  <c r="F181" i="10"/>
  <c r="G181" i="10"/>
  <c r="H181" i="10"/>
  <c r="I181" i="10"/>
  <c r="O181" i="10" s="1"/>
  <c r="D182" i="10"/>
  <c r="E182" i="10"/>
  <c r="F182" i="10"/>
  <c r="G182" i="10"/>
  <c r="M182" i="10" s="1"/>
  <c r="H182" i="10"/>
  <c r="I182" i="10"/>
  <c r="D183" i="10"/>
  <c r="E183" i="10"/>
  <c r="F183" i="10"/>
  <c r="G183" i="10"/>
  <c r="H183" i="10"/>
  <c r="N183" i="10" s="1"/>
  <c r="I183" i="10"/>
  <c r="O183" i="10" s="1"/>
  <c r="D184" i="10"/>
  <c r="E184" i="10"/>
  <c r="F184" i="10"/>
  <c r="G184" i="10"/>
  <c r="H184" i="10"/>
  <c r="I184" i="10"/>
  <c r="E179" i="10"/>
  <c r="F179" i="10"/>
  <c r="G179" i="10"/>
  <c r="M179" i="10" s="1"/>
  <c r="H179" i="10"/>
  <c r="N179" i="10" s="1"/>
  <c r="I179" i="10"/>
  <c r="D179" i="10"/>
  <c r="D171" i="10"/>
  <c r="E171" i="10"/>
  <c r="F171" i="10"/>
  <c r="G171" i="10"/>
  <c r="M171" i="10" s="1"/>
  <c r="H171" i="10"/>
  <c r="I171" i="10"/>
  <c r="D172" i="10"/>
  <c r="E172" i="10"/>
  <c r="F172" i="10"/>
  <c r="G172" i="10"/>
  <c r="H172" i="10"/>
  <c r="I172" i="10"/>
  <c r="O172" i="10" s="1"/>
  <c r="D173" i="10"/>
  <c r="E173" i="10"/>
  <c r="F173" i="10"/>
  <c r="G173" i="10"/>
  <c r="M173" i="10" s="1"/>
  <c r="H173" i="10"/>
  <c r="N173" i="10" s="1"/>
  <c r="I173" i="10"/>
  <c r="O173" i="10" s="1"/>
  <c r="D174" i="10"/>
  <c r="E174" i="10"/>
  <c r="F174" i="10"/>
  <c r="G174" i="10"/>
  <c r="M174" i="10" s="1"/>
  <c r="H174" i="10"/>
  <c r="I174" i="10"/>
  <c r="D175" i="10"/>
  <c r="E175" i="10"/>
  <c r="F175" i="10"/>
  <c r="G175" i="10"/>
  <c r="H175" i="10"/>
  <c r="I175" i="10"/>
  <c r="E170" i="10"/>
  <c r="F170" i="10"/>
  <c r="G170" i="10"/>
  <c r="M170" i="10" s="1"/>
  <c r="H170" i="10"/>
  <c r="N170" i="10" s="1"/>
  <c r="I170" i="10"/>
  <c r="D170" i="10"/>
  <c r="O184" i="10"/>
  <c r="M184" i="10"/>
  <c r="N184" i="10"/>
  <c r="M183" i="10"/>
  <c r="O182" i="10"/>
  <c r="N182" i="10"/>
  <c r="N181" i="10"/>
  <c r="M181" i="10"/>
  <c r="O180" i="10"/>
  <c r="N180" i="10"/>
  <c r="O179" i="10"/>
  <c r="O175" i="10"/>
  <c r="N175" i="10"/>
  <c r="M175" i="10"/>
  <c r="O174" i="10"/>
  <c r="N174" i="10"/>
  <c r="N172" i="10"/>
  <c r="M172" i="10"/>
  <c r="O171" i="10"/>
  <c r="N171" i="10"/>
  <c r="O170" i="10"/>
  <c r="O165" i="10"/>
  <c r="N165" i="10"/>
  <c r="M165" i="10"/>
  <c r="O164" i="10"/>
  <c r="N164" i="10"/>
  <c r="M164" i="10"/>
  <c r="O163" i="10"/>
  <c r="N163" i="10"/>
  <c r="M163" i="10"/>
  <c r="O162" i="10"/>
  <c r="N162" i="10"/>
  <c r="M162" i="10"/>
  <c r="O161" i="10"/>
  <c r="N161" i="10"/>
  <c r="M161" i="10"/>
  <c r="O160" i="10"/>
  <c r="N160" i="10"/>
  <c r="M160" i="10"/>
  <c r="D149" i="10" l="1"/>
  <c r="E149" i="10"/>
  <c r="F149" i="10"/>
  <c r="G149" i="10"/>
  <c r="M149" i="10" s="1"/>
  <c r="H149" i="10"/>
  <c r="I149" i="10"/>
  <c r="D150" i="10"/>
  <c r="E150" i="10"/>
  <c r="F150" i="10"/>
  <c r="G150" i="10"/>
  <c r="H150" i="10"/>
  <c r="I150" i="10"/>
  <c r="D151" i="10"/>
  <c r="E151" i="10"/>
  <c r="F151" i="10"/>
  <c r="G151" i="10"/>
  <c r="M151" i="10" s="1"/>
  <c r="H151" i="10"/>
  <c r="I151" i="10"/>
  <c r="D152" i="10"/>
  <c r="E152" i="10"/>
  <c r="F152" i="10"/>
  <c r="G152" i="10"/>
  <c r="M152" i="10" s="1"/>
  <c r="H152" i="10"/>
  <c r="I152" i="10"/>
  <c r="O152" i="10" s="1"/>
  <c r="D153" i="10"/>
  <c r="E153" i="10"/>
  <c r="F153" i="10"/>
  <c r="G153" i="10"/>
  <c r="M153" i="10" s="1"/>
  <c r="H153" i="10"/>
  <c r="I153" i="10"/>
  <c r="E148" i="10"/>
  <c r="F148" i="10"/>
  <c r="G148" i="10"/>
  <c r="M148" i="10" s="1"/>
  <c r="H148" i="10"/>
  <c r="N148" i="10" s="1"/>
  <c r="I148" i="10"/>
  <c r="O148" i="10" s="1"/>
  <c r="D148" i="10"/>
  <c r="D140" i="10"/>
  <c r="E140" i="10"/>
  <c r="F140" i="10"/>
  <c r="G140" i="10"/>
  <c r="H140" i="10"/>
  <c r="I140" i="10"/>
  <c r="D141" i="10"/>
  <c r="E141" i="10"/>
  <c r="F141" i="10"/>
  <c r="G141" i="10"/>
  <c r="M141" i="10" s="1"/>
  <c r="H141" i="10"/>
  <c r="N141" i="10" s="1"/>
  <c r="I141" i="10"/>
  <c r="D142" i="10"/>
  <c r="E142" i="10"/>
  <c r="F142" i="10"/>
  <c r="G142" i="10"/>
  <c r="H142" i="10"/>
  <c r="I142" i="10"/>
  <c r="D143" i="10"/>
  <c r="E143" i="10"/>
  <c r="F143" i="10"/>
  <c r="G143" i="10"/>
  <c r="M143" i="10" s="1"/>
  <c r="H143" i="10"/>
  <c r="N143" i="10" s="1"/>
  <c r="I143" i="10"/>
  <c r="D144" i="10"/>
  <c r="E144" i="10"/>
  <c r="F144" i="10"/>
  <c r="G144" i="10"/>
  <c r="H144" i="10"/>
  <c r="I144" i="10"/>
  <c r="E139" i="10"/>
  <c r="F139" i="10"/>
  <c r="G139" i="10"/>
  <c r="H139" i="10"/>
  <c r="I139" i="10"/>
  <c r="D139" i="10"/>
  <c r="O153" i="10"/>
  <c r="N153" i="10"/>
  <c r="N152" i="10"/>
  <c r="O151" i="10"/>
  <c r="N151" i="10"/>
  <c r="O150" i="10"/>
  <c r="N150" i="10"/>
  <c r="M150" i="10"/>
  <c r="N149" i="10"/>
  <c r="O149" i="10"/>
  <c r="O144" i="10"/>
  <c r="N144" i="10"/>
  <c r="M144" i="10"/>
  <c r="O143" i="10"/>
  <c r="N142" i="10"/>
  <c r="O142" i="10"/>
  <c r="M142" i="10"/>
  <c r="O141" i="10"/>
  <c r="O140" i="10"/>
  <c r="N140" i="10"/>
  <c r="M140" i="10"/>
  <c r="O139" i="10"/>
  <c r="M139" i="10"/>
  <c r="N139" i="10"/>
  <c r="O134" i="10"/>
  <c r="N134" i="10"/>
  <c r="M134" i="10"/>
  <c r="O133" i="10"/>
  <c r="N133" i="10"/>
  <c r="M133" i="10"/>
  <c r="O132" i="10"/>
  <c r="N132" i="10"/>
  <c r="M132" i="10"/>
  <c r="O131" i="10"/>
  <c r="N131" i="10"/>
  <c r="M131" i="10"/>
  <c r="O130" i="10"/>
  <c r="N130" i="10"/>
  <c r="M130" i="10"/>
  <c r="O129" i="10"/>
  <c r="N129" i="10"/>
  <c r="M129" i="10"/>
  <c r="D109" i="10" l="1"/>
  <c r="E109" i="10"/>
  <c r="F109" i="10"/>
  <c r="G109" i="10"/>
  <c r="H109" i="10"/>
  <c r="I109" i="10"/>
  <c r="D110" i="10"/>
  <c r="E110" i="10"/>
  <c r="F110" i="10"/>
  <c r="G110" i="10"/>
  <c r="H110" i="10"/>
  <c r="I110" i="10"/>
  <c r="D111" i="10"/>
  <c r="E111" i="10"/>
  <c r="F111" i="10"/>
  <c r="G111" i="10"/>
  <c r="H111" i="10"/>
  <c r="I111" i="10"/>
  <c r="D112" i="10"/>
  <c r="E112" i="10"/>
  <c r="F112" i="10"/>
  <c r="G112" i="10"/>
  <c r="H112" i="10"/>
  <c r="I112" i="10"/>
  <c r="D113" i="10"/>
  <c r="E113" i="10"/>
  <c r="F113" i="10"/>
  <c r="G113" i="10"/>
  <c r="H113" i="10"/>
  <c r="I113" i="10"/>
  <c r="E108" i="10"/>
  <c r="F108" i="10"/>
  <c r="G108" i="10"/>
  <c r="H108" i="10"/>
  <c r="I108" i="10"/>
  <c r="D118" i="10"/>
  <c r="E118" i="10"/>
  <c r="F118" i="10"/>
  <c r="G118" i="10"/>
  <c r="H118" i="10"/>
  <c r="D119" i="10"/>
  <c r="E119" i="10"/>
  <c r="F119" i="10"/>
  <c r="G119" i="10"/>
  <c r="H119" i="10"/>
  <c r="D120" i="10"/>
  <c r="E120" i="10"/>
  <c r="F120" i="10"/>
  <c r="G120" i="10"/>
  <c r="H120" i="10"/>
  <c r="D121" i="10"/>
  <c r="E121" i="10"/>
  <c r="F121" i="10"/>
  <c r="G121" i="10"/>
  <c r="H121" i="10"/>
  <c r="D122" i="10"/>
  <c r="E122" i="10"/>
  <c r="F122" i="10"/>
  <c r="G122" i="10"/>
  <c r="H122" i="10"/>
  <c r="E117" i="10"/>
  <c r="F117" i="10"/>
  <c r="G117" i="10"/>
  <c r="H117" i="10"/>
  <c r="I118" i="10" l="1"/>
  <c r="M119" i="10"/>
  <c r="N119" i="10"/>
  <c r="I119" i="10"/>
  <c r="O119" i="10" s="1"/>
  <c r="I120" i="10"/>
  <c r="N121" i="10"/>
  <c r="I121" i="10"/>
  <c r="O121" i="10" s="1"/>
  <c r="I122" i="10"/>
  <c r="I117" i="10"/>
  <c r="O117" i="10" s="1"/>
  <c r="D117" i="10"/>
  <c r="M110" i="10"/>
  <c r="N110" i="10"/>
  <c r="O110" i="10"/>
  <c r="O112" i="10"/>
  <c r="O113" i="10"/>
  <c r="D108" i="10"/>
  <c r="O122" i="10"/>
  <c r="N122" i="10"/>
  <c r="M122" i="10"/>
  <c r="M121" i="10"/>
  <c r="O120" i="10"/>
  <c r="N120" i="10"/>
  <c r="M120" i="10"/>
  <c r="O118" i="10"/>
  <c r="N118" i="10"/>
  <c r="M118" i="10"/>
  <c r="N117" i="10"/>
  <c r="M117" i="10"/>
  <c r="N113" i="10"/>
  <c r="M113" i="10"/>
  <c r="N112" i="10"/>
  <c r="M112" i="10"/>
  <c r="O111" i="10"/>
  <c r="N111" i="10"/>
  <c r="M111" i="10"/>
  <c r="O109" i="10"/>
  <c r="N109" i="10"/>
  <c r="M109" i="10"/>
  <c r="O108" i="10"/>
  <c r="N108" i="10"/>
  <c r="M108" i="10"/>
  <c r="O103" i="10"/>
  <c r="N103" i="10"/>
  <c r="M103" i="10"/>
  <c r="O102" i="10"/>
  <c r="N102" i="10"/>
  <c r="M102" i="10"/>
  <c r="O101" i="10"/>
  <c r="N101" i="10"/>
  <c r="M101" i="10"/>
  <c r="O100" i="10"/>
  <c r="N100" i="10"/>
  <c r="M100" i="10"/>
  <c r="O99" i="10"/>
  <c r="N99" i="10"/>
  <c r="M99" i="10"/>
  <c r="O98" i="10"/>
  <c r="N98" i="10"/>
  <c r="M98" i="10"/>
  <c r="D87" i="10" l="1"/>
  <c r="E87" i="10"/>
  <c r="F87" i="10"/>
  <c r="G87" i="10"/>
  <c r="H87" i="10"/>
  <c r="N87" i="10" s="1"/>
  <c r="I87" i="10"/>
  <c r="D88" i="10"/>
  <c r="E88" i="10"/>
  <c r="F88" i="10"/>
  <c r="G88" i="10"/>
  <c r="H88" i="10"/>
  <c r="N88" i="10" s="1"/>
  <c r="I88" i="10"/>
  <c r="O88" i="10" s="1"/>
  <c r="D89" i="10"/>
  <c r="E89" i="10"/>
  <c r="F89" i="10"/>
  <c r="G89" i="10"/>
  <c r="H89" i="10"/>
  <c r="I89" i="10"/>
  <c r="D90" i="10"/>
  <c r="E90" i="10"/>
  <c r="F90" i="10"/>
  <c r="G90" i="10"/>
  <c r="M90" i="10" s="1"/>
  <c r="H90" i="10"/>
  <c r="I90" i="10"/>
  <c r="D91" i="10"/>
  <c r="E91" i="10"/>
  <c r="F91" i="10"/>
  <c r="G91" i="10"/>
  <c r="H91" i="10"/>
  <c r="I91" i="10"/>
  <c r="E86" i="10"/>
  <c r="F86" i="10"/>
  <c r="G86" i="10"/>
  <c r="M86" i="10" s="1"/>
  <c r="H86" i="10"/>
  <c r="I86" i="10"/>
  <c r="D86" i="10"/>
  <c r="D56" i="10"/>
  <c r="E56" i="10"/>
  <c r="F56" i="10"/>
  <c r="G56" i="10"/>
  <c r="H56" i="10"/>
  <c r="I56" i="10"/>
  <c r="D57" i="10"/>
  <c r="E57" i="10"/>
  <c r="F57" i="10"/>
  <c r="G57" i="10"/>
  <c r="H57" i="10"/>
  <c r="I57" i="10"/>
  <c r="D58" i="10"/>
  <c r="E58" i="10"/>
  <c r="F58" i="10"/>
  <c r="G58" i="10"/>
  <c r="H58" i="10"/>
  <c r="I58" i="10"/>
  <c r="D59" i="10"/>
  <c r="E59" i="10"/>
  <c r="F59" i="10"/>
  <c r="G59" i="10"/>
  <c r="H59" i="10"/>
  <c r="I59" i="10"/>
  <c r="D60" i="10"/>
  <c r="E60" i="10"/>
  <c r="F60" i="10"/>
  <c r="G60" i="10"/>
  <c r="H60" i="10"/>
  <c r="I60" i="10"/>
  <c r="E55" i="10"/>
  <c r="F55" i="10"/>
  <c r="G55" i="10"/>
  <c r="H55" i="10"/>
  <c r="I55" i="10"/>
  <c r="D47" i="10"/>
  <c r="E47" i="10"/>
  <c r="F47" i="10"/>
  <c r="G47" i="10"/>
  <c r="H47" i="10"/>
  <c r="I47" i="10"/>
  <c r="D48" i="10"/>
  <c r="E48" i="10"/>
  <c r="F48" i="10"/>
  <c r="G48" i="10"/>
  <c r="H48" i="10"/>
  <c r="I48" i="10"/>
  <c r="D49" i="10"/>
  <c r="E49" i="10"/>
  <c r="F49" i="10"/>
  <c r="G49" i="10"/>
  <c r="H49" i="10"/>
  <c r="I49" i="10"/>
  <c r="D50" i="10"/>
  <c r="E50" i="10"/>
  <c r="F50" i="10"/>
  <c r="G50" i="10"/>
  <c r="H50" i="10"/>
  <c r="I50" i="10"/>
  <c r="D51" i="10"/>
  <c r="E51" i="10"/>
  <c r="F51" i="10"/>
  <c r="G51" i="10"/>
  <c r="H51" i="10"/>
  <c r="I51" i="10"/>
  <c r="E46" i="10"/>
  <c r="F46" i="10"/>
  <c r="G46" i="10"/>
  <c r="H46" i="10"/>
  <c r="I46" i="10"/>
  <c r="D78" i="10"/>
  <c r="E78" i="10"/>
  <c r="F78" i="10"/>
  <c r="G78" i="10"/>
  <c r="M78" i="10" s="1"/>
  <c r="H78" i="10"/>
  <c r="I78" i="10"/>
  <c r="D79" i="10"/>
  <c r="E79" i="10"/>
  <c r="F79" i="10"/>
  <c r="G79" i="10"/>
  <c r="M79" i="10" s="1"/>
  <c r="H79" i="10"/>
  <c r="N89" i="10" s="1"/>
  <c r="I79" i="10"/>
  <c r="O89" i="10" s="1"/>
  <c r="D80" i="10"/>
  <c r="E80" i="10"/>
  <c r="F80" i="10"/>
  <c r="G80" i="10"/>
  <c r="H80" i="10"/>
  <c r="N80" i="10" s="1"/>
  <c r="I80" i="10"/>
  <c r="D81" i="10"/>
  <c r="E81" i="10"/>
  <c r="F81" i="10"/>
  <c r="G81" i="10"/>
  <c r="M91" i="10" s="1"/>
  <c r="H81" i="10"/>
  <c r="N81" i="10" s="1"/>
  <c r="I81" i="10"/>
  <c r="O91" i="10" s="1"/>
  <c r="D82" i="10"/>
  <c r="E82" i="10"/>
  <c r="F82" i="10"/>
  <c r="G82" i="10"/>
  <c r="H82" i="10"/>
  <c r="I82" i="10"/>
  <c r="E77" i="10"/>
  <c r="F77" i="10"/>
  <c r="G77" i="10"/>
  <c r="M87" i="10" s="1"/>
  <c r="H77" i="10"/>
  <c r="I77" i="10"/>
  <c r="D77" i="10"/>
  <c r="M89" i="10"/>
  <c r="O87" i="10"/>
  <c r="O86" i="10"/>
  <c r="N86" i="10"/>
  <c r="O82" i="10"/>
  <c r="N82" i="10"/>
  <c r="M82" i="10"/>
  <c r="M80" i="10"/>
  <c r="O77" i="10"/>
  <c r="N77" i="10"/>
  <c r="O72" i="10"/>
  <c r="N72" i="10"/>
  <c r="M72" i="10"/>
  <c r="O71" i="10"/>
  <c r="N71" i="10"/>
  <c r="M71" i="10"/>
  <c r="O70" i="10"/>
  <c r="N70" i="10"/>
  <c r="M70" i="10"/>
  <c r="O69" i="10"/>
  <c r="N69" i="10"/>
  <c r="M69" i="10"/>
  <c r="O68" i="10"/>
  <c r="N68" i="10"/>
  <c r="M68" i="10"/>
  <c r="O67" i="10"/>
  <c r="N67" i="10"/>
  <c r="M67" i="10"/>
  <c r="O90" i="10" l="1"/>
  <c r="N91" i="10"/>
  <c r="N79" i="10"/>
  <c r="O79" i="10"/>
  <c r="O81" i="10"/>
  <c r="M88" i="10"/>
  <c r="N78" i="10"/>
  <c r="O78" i="10"/>
  <c r="M77" i="10"/>
  <c r="M81" i="10"/>
  <c r="N90" i="10"/>
  <c r="O80" i="10"/>
  <c r="D55" i="10"/>
  <c r="D46" i="10"/>
  <c r="O59" i="10"/>
  <c r="N59" i="10"/>
  <c r="O57" i="10"/>
  <c r="N57" i="10"/>
  <c r="M57" i="10"/>
  <c r="O55" i="10"/>
  <c r="N55" i="10"/>
  <c r="M55" i="10"/>
  <c r="O51" i="10"/>
  <c r="N51" i="10"/>
  <c r="M51" i="10"/>
  <c r="O60" i="10"/>
  <c r="N60" i="10"/>
  <c r="M60" i="10"/>
  <c r="O49" i="10"/>
  <c r="N49" i="10"/>
  <c r="M49" i="10"/>
  <c r="M59" i="10"/>
  <c r="O58" i="10"/>
  <c r="N58" i="10"/>
  <c r="M58" i="10"/>
  <c r="O47" i="10"/>
  <c r="N47" i="10"/>
  <c r="M47" i="10"/>
  <c r="O56" i="10"/>
  <c r="N56" i="10"/>
  <c r="M56" i="10"/>
  <c r="O41" i="10"/>
  <c r="N41" i="10"/>
  <c r="M41" i="10"/>
  <c r="O40" i="10"/>
  <c r="N40" i="10"/>
  <c r="M40" i="10"/>
  <c r="O39" i="10"/>
  <c r="N39" i="10"/>
  <c r="M39" i="10"/>
  <c r="O38" i="10"/>
  <c r="N38" i="10"/>
  <c r="M38" i="10"/>
  <c r="O37" i="10"/>
  <c r="N37" i="10"/>
  <c r="M37" i="10"/>
  <c r="O36" i="10"/>
  <c r="N36" i="10"/>
  <c r="M36" i="10"/>
  <c r="M48" i="10" l="1"/>
  <c r="N48" i="10"/>
  <c r="O48" i="10"/>
  <c r="M50" i="10"/>
  <c r="M46" i="10"/>
  <c r="N46" i="10"/>
  <c r="N50" i="10"/>
  <c r="O46" i="10"/>
  <c r="O50" i="10"/>
  <c r="D25" i="10"/>
  <c r="E25" i="10"/>
  <c r="F25" i="10"/>
  <c r="D26" i="10"/>
  <c r="E26" i="10"/>
  <c r="F26" i="10"/>
  <c r="D27" i="10"/>
  <c r="E27" i="10"/>
  <c r="F27" i="10"/>
  <c r="D28" i="10"/>
  <c r="E28" i="10"/>
  <c r="F28" i="10"/>
  <c r="D29" i="10"/>
  <c r="E29" i="10"/>
  <c r="F29" i="10"/>
  <c r="E24" i="10"/>
  <c r="F24" i="10"/>
  <c r="D24" i="10"/>
  <c r="D16" i="10"/>
  <c r="E16" i="10"/>
  <c r="F16" i="10"/>
  <c r="D17" i="10"/>
  <c r="E17" i="10"/>
  <c r="F17" i="10"/>
  <c r="D18" i="10"/>
  <c r="E18" i="10"/>
  <c r="F18" i="10"/>
  <c r="D19" i="10"/>
  <c r="E19" i="10"/>
  <c r="F19" i="10"/>
  <c r="D20" i="10"/>
  <c r="E20" i="10"/>
  <c r="F20" i="10"/>
  <c r="E15" i="10"/>
  <c r="F15" i="10"/>
  <c r="D15" i="10"/>
  <c r="I24" i="10" l="1"/>
  <c r="O24" i="10" s="1"/>
  <c r="H24" i="10"/>
  <c r="N24" i="10" s="1"/>
  <c r="G24" i="10"/>
  <c r="M24" i="10" s="1"/>
  <c r="I20" i="10"/>
  <c r="O20" i="10" s="1"/>
  <c r="H20" i="10"/>
  <c r="N20" i="10" s="1"/>
  <c r="G20" i="10"/>
  <c r="M20" i="10" s="1"/>
  <c r="I19" i="10"/>
  <c r="O19" i="10" s="1"/>
  <c r="H19" i="10"/>
  <c r="H29" i="10" s="1"/>
  <c r="N29" i="10" s="1"/>
  <c r="G19" i="10"/>
  <c r="G29" i="10" s="1"/>
  <c r="M29" i="10" s="1"/>
  <c r="I18" i="10"/>
  <c r="I28" i="10" s="1"/>
  <c r="O28" i="10" s="1"/>
  <c r="H18" i="10"/>
  <c r="H28" i="10" s="1"/>
  <c r="N28" i="10" s="1"/>
  <c r="G18" i="10"/>
  <c r="G28" i="10" s="1"/>
  <c r="M28" i="10" s="1"/>
  <c r="I17" i="10"/>
  <c r="I27" i="10" s="1"/>
  <c r="O27" i="10" s="1"/>
  <c r="H17" i="10"/>
  <c r="H27" i="10" s="1"/>
  <c r="N27" i="10" s="1"/>
  <c r="G17" i="10"/>
  <c r="G27" i="10" s="1"/>
  <c r="M27" i="10" s="1"/>
  <c r="I16" i="10"/>
  <c r="O16" i="10" s="1"/>
  <c r="H16" i="10"/>
  <c r="H26" i="10" s="1"/>
  <c r="N26" i="10" s="1"/>
  <c r="G16" i="10"/>
  <c r="G26" i="10" s="1"/>
  <c r="M26" i="10" s="1"/>
  <c r="I15" i="10"/>
  <c r="I25" i="10" s="1"/>
  <c r="O25" i="10" s="1"/>
  <c r="H15" i="10"/>
  <c r="H25" i="10" s="1"/>
  <c r="N25" i="10" s="1"/>
  <c r="G15" i="10"/>
  <c r="M15" i="10" s="1"/>
  <c r="O10" i="10"/>
  <c r="N10" i="10"/>
  <c r="M10" i="10"/>
  <c r="O9" i="10"/>
  <c r="N9" i="10"/>
  <c r="M9" i="10"/>
  <c r="O8" i="10"/>
  <c r="N8" i="10"/>
  <c r="M8" i="10"/>
  <c r="O7" i="10"/>
  <c r="N7" i="10"/>
  <c r="M7" i="10"/>
  <c r="O6" i="10"/>
  <c r="N6" i="10"/>
  <c r="M6" i="10"/>
  <c r="O5" i="10"/>
  <c r="N5" i="10"/>
  <c r="M5" i="10"/>
  <c r="N18" i="10" l="1"/>
  <c r="M17" i="10"/>
  <c r="M16" i="10"/>
  <c r="N16" i="10"/>
  <c r="O17" i="10"/>
  <c r="O15" i="10"/>
  <c r="O18" i="10"/>
  <c r="N17" i="10"/>
  <c r="I26" i="10"/>
  <c r="O26" i="10" s="1"/>
  <c r="M19" i="10"/>
  <c r="G25" i="10"/>
  <c r="M25" i="10" s="1"/>
  <c r="N15" i="10"/>
  <c r="N19" i="10"/>
  <c r="I29" i="10"/>
  <c r="O29" i="10" s="1"/>
  <c r="M18" i="10"/>
  <c r="D438" i="9"/>
  <c r="E438" i="9"/>
  <c r="F438" i="9"/>
  <c r="D439" i="9"/>
  <c r="E439" i="9"/>
  <c r="F439" i="9"/>
  <c r="D440" i="9"/>
  <c r="E440" i="9"/>
  <c r="F440" i="9"/>
  <c r="D441" i="9"/>
  <c r="E441" i="9"/>
  <c r="F441" i="9"/>
  <c r="D442" i="9"/>
  <c r="E442" i="9"/>
  <c r="F442" i="9"/>
  <c r="E437" i="9"/>
  <c r="F437" i="9"/>
  <c r="D437" i="9"/>
  <c r="D429" i="9"/>
  <c r="E429" i="9"/>
  <c r="F429" i="9"/>
  <c r="D430" i="9"/>
  <c r="E430" i="9"/>
  <c r="F430" i="9"/>
  <c r="D431" i="9"/>
  <c r="E431" i="9"/>
  <c r="F431" i="9"/>
  <c r="D432" i="9"/>
  <c r="E432" i="9"/>
  <c r="F432" i="9"/>
  <c r="D433" i="9"/>
  <c r="E433" i="9"/>
  <c r="F433" i="9"/>
  <c r="E428" i="9"/>
  <c r="F428" i="9"/>
  <c r="D428" i="9"/>
  <c r="N441" i="9"/>
  <c r="H441" i="9"/>
  <c r="I440" i="9"/>
  <c r="O440" i="9" s="1"/>
  <c r="H440" i="9"/>
  <c r="N440" i="9" s="1"/>
  <c r="G439" i="9"/>
  <c r="M439" i="9" s="1"/>
  <c r="O437" i="9"/>
  <c r="N437" i="9"/>
  <c r="I437" i="9"/>
  <c r="H437" i="9"/>
  <c r="G437" i="9"/>
  <c r="M437" i="9" s="1"/>
  <c r="M433" i="9"/>
  <c r="I433" i="9"/>
  <c r="O433" i="9" s="1"/>
  <c r="H433" i="9"/>
  <c r="N433" i="9" s="1"/>
  <c r="G433" i="9"/>
  <c r="I432" i="9"/>
  <c r="I442" i="9" s="1"/>
  <c r="O442" i="9" s="1"/>
  <c r="H432" i="9"/>
  <c r="H442" i="9" s="1"/>
  <c r="N442" i="9" s="1"/>
  <c r="G432" i="9"/>
  <c r="G442" i="9" s="1"/>
  <c r="M442" i="9" s="1"/>
  <c r="N431" i="9"/>
  <c r="M431" i="9"/>
  <c r="I431" i="9"/>
  <c r="I441" i="9" s="1"/>
  <c r="O441" i="9" s="1"/>
  <c r="H431" i="9"/>
  <c r="G431" i="9"/>
  <c r="G441" i="9" s="1"/>
  <c r="M441" i="9" s="1"/>
  <c r="O430" i="9"/>
  <c r="N430" i="9"/>
  <c r="I430" i="9"/>
  <c r="H430" i="9"/>
  <c r="G430" i="9"/>
  <c r="G440" i="9" s="1"/>
  <c r="M440" i="9" s="1"/>
  <c r="M429" i="9"/>
  <c r="I429" i="9"/>
  <c r="O429" i="9" s="1"/>
  <c r="H429" i="9"/>
  <c r="H439" i="9" s="1"/>
  <c r="N439" i="9" s="1"/>
  <c r="G429" i="9"/>
  <c r="O428" i="9"/>
  <c r="N428" i="9"/>
  <c r="I428" i="9"/>
  <c r="I438" i="9" s="1"/>
  <c r="O438" i="9" s="1"/>
  <c r="H428" i="9"/>
  <c r="H438" i="9" s="1"/>
  <c r="N438" i="9" s="1"/>
  <c r="G428" i="9"/>
  <c r="G438" i="9" s="1"/>
  <c r="M438" i="9" s="1"/>
  <c r="O423" i="9"/>
  <c r="N423" i="9"/>
  <c r="M423" i="9"/>
  <c r="O422" i="9"/>
  <c r="N422" i="9"/>
  <c r="M422" i="9"/>
  <c r="O421" i="9"/>
  <c r="N421" i="9"/>
  <c r="M421" i="9"/>
  <c r="O420" i="9"/>
  <c r="N420" i="9"/>
  <c r="M420" i="9"/>
  <c r="O419" i="9"/>
  <c r="N419" i="9"/>
  <c r="M419" i="9"/>
  <c r="O418" i="9"/>
  <c r="N418" i="9"/>
  <c r="M418" i="9"/>
  <c r="O431" i="9" l="1"/>
  <c r="M430" i="9"/>
  <c r="I439" i="9"/>
  <c r="O439" i="9" s="1"/>
  <c r="N429" i="9"/>
  <c r="M428" i="9"/>
  <c r="M432" i="9"/>
  <c r="N432" i="9"/>
  <c r="O432" i="9"/>
  <c r="F407" i="9"/>
  <c r="F408" i="9"/>
  <c r="F409" i="9"/>
  <c r="F410" i="9"/>
  <c r="F411" i="9"/>
  <c r="E407" i="9"/>
  <c r="E408" i="9"/>
  <c r="E409" i="9"/>
  <c r="E410" i="9"/>
  <c r="E411" i="9"/>
  <c r="E406" i="9"/>
  <c r="F406" i="9"/>
  <c r="D407" i="9"/>
  <c r="D408" i="9"/>
  <c r="D409" i="9"/>
  <c r="D410" i="9"/>
  <c r="D411" i="9"/>
  <c r="D406" i="9"/>
  <c r="F398" i="9"/>
  <c r="F399" i="9"/>
  <c r="F400" i="9"/>
  <c r="F401" i="9"/>
  <c r="F402" i="9"/>
  <c r="E398" i="9"/>
  <c r="E399" i="9"/>
  <c r="E400" i="9"/>
  <c r="E401" i="9"/>
  <c r="E402" i="9"/>
  <c r="E397" i="9"/>
  <c r="F397" i="9"/>
  <c r="D398" i="9"/>
  <c r="D399" i="9"/>
  <c r="D400" i="9"/>
  <c r="D401" i="9"/>
  <c r="D402" i="9"/>
  <c r="D397" i="9"/>
  <c r="I411" i="9"/>
  <c r="O411" i="9" s="1"/>
  <c r="G411" i="9"/>
  <c r="M411" i="9" s="1"/>
  <c r="H410" i="9"/>
  <c r="N410" i="9" s="1"/>
  <c r="I409" i="9"/>
  <c r="O409" i="9" s="1"/>
  <c r="G409" i="9"/>
  <c r="M409" i="9" s="1"/>
  <c r="H408" i="9"/>
  <c r="N408" i="9" s="1"/>
  <c r="I407" i="9"/>
  <c r="O407" i="9" s="1"/>
  <c r="G407" i="9"/>
  <c r="M407" i="9" s="1"/>
  <c r="O406" i="9"/>
  <c r="M406" i="9"/>
  <c r="I406" i="9"/>
  <c r="H406" i="9"/>
  <c r="N406" i="9" s="1"/>
  <c r="G406" i="9"/>
  <c r="N402" i="9"/>
  <c r="I402" i="9"/>
  <c r="O402" i="9" s="1"/>
  <c r="H402" i="9"/>
  <c r="G402" i="9"/>
  <c r="M402" i="9" s="1"/>
  <c r="O401" i="9"/>
  <c r="M401" i="9"/>
  <c r="I401" i="9"/>
  <c r="H401" i="9"/>
  <c r="H411" i="9" s="1"/>
  <c r="N411" i="9" s="1"/>
  <c r="G401" i="9"/>
  <c r="N400" i="9"/>
  <c r="I400" i="9"/>
  <c r="I410" i="9" s="1"/>
  <c r="O410" i="9" s="1"/>
  <c r="H400" i="9"/>
  <c r="G400" i="9"/>
  <c r="G410" i="9" s="1"/>
  <c r="M410" i="9" s="1"/>
  <c r="O399" i="9"/>
  <c r="M399" i="9"/>
  <c r="I399" i="9"/>
  <c r="H399" i="9"/>
  <c r="H409" i="9" s="1"/>
  <c r="N409" i="9" s="1"/>
  <c r="G399" i="9"/>
  <c r="N398" i="9"/>
  <c r="I398" i="9"/>
  <c r="I408" i="9" s="1"/>
  <c r="O408" i="9" s="1"/>
  <c r="H398" i="9"/>
  <c r="G398" i="9"/>
  <c r="G408" i="9" s="1"/>
  <c r="M408" i="9" s="1"/>
  <c r="O397" i="9"/>
  <c r="M397" i="9"/>
  <c r="I397" i="9"/>
  <c r="H397" i="9"/>
  <c r="H407" i="9" s="1"/>
  <c r="N407" i="9" s="1"/>
  <c r="G397" i="9"/>
  <c r="O392" i="9"/>
  <c r="N392" i="9"/>
  <c r="M392" i="9"/>
  <c r="O391" i="9"/>
  <c r="N391" i="9"/>
  <c r="M391" i="9"/>
  <c r="O390" i="9"/>
  <c r="N390" i="9"/>
  <c r="M390" i="9"/>
  <c r="O389" i="9"/>
  <c r="N389" i="9"/>
  <c r="M389" i="9"/>
  <c r="O388" i="9"/>
  <c r="N388" i="9"/>
  <c r="M388" i="9"/>
  <c r="O387" i="9"/>
  <c r="N387" i="9"/>
  <c r="M387" i="9"/>
  <c r="F377" i="9"/>
  <c r="F378" i="9"/>
  <c r="F379" i="9"/>
  <c r="F380" i="9"/>
  <c r="F381" i="9"/>
  <c r="E377" i="9"/>
  <c r="E378" i="9"/>
  <c r="E379" i="9"/>
  <c r="E380" i="9"/>
  <c r="E381" i="9"/>
  <c r="E376" i="9"/>
  <c r="F376" i="9"/>
  <c r="D377" i="9"/>
  <c r="D378" i="9"/>
  <c r="D379" i="9"/>
  <c r="D380" i="9"/>
  <c r="D381" i="9"/>
  <c r="D376" i="9"/>
  <c r="F368" i="9"/>
  <c r="F369" i="9"/>
  <c r="F370" i="9"/>
  <c r="F371" i="9"/>
  <c r="F372" i="9"/>
  <c r="E368" i="9"/>
  <c r="E369" i="9"/>
  <c r="E370" i="9"/>
  <c r="E371" i="9"/>
  <c r="E372" i="9"/>
  <c r="E367" i="9"/>
  <c r="F367" i="9"/>
  <c r="D368" i="9"/>
  <c r="D369" i="9"/>
  <c r="D370" i="9"/>
  <c r="D371" i="9"/>
  <c r="D372" i="9"/>
  <c r="D367" i="9"/>
  <c r="I381" i="9"/>
  <c r="O381" i="9" s="1"/>
  <c r="G381" i="9"/>
  <c r="M381" i="9" s="1"/>
  <c r="H380" i="9"/>
  <c r="N380" i="9" s="1"/>
  <c r="I379" i="9"/>
  <c r="O379" i="9" s="1"/>
  <c r="G379" i="9"/>
  <c r="M379" i="9" s="1"/>
  <c r="H378" i="9"/>
  <c r="N378" i="9" s="1"/>
  <c r="I377" i="9"/>
  <c r="O377" i="9" s="1"/>
  <c r="G377" i="9"/>
  <c r="M377" i="9" s="1"/>
  <c r="O376" i="9"/>
  <c r="M376" i="9"/>
  <c r="I376" i="9"/>
  <c r="H376" i="9"/>
  <c r="N376" i="9" s="1"/>
  <c r="G376" i="9"/>
  <c r="N372" i="9"/>
  <c r="I372" i="9"/>
  <c r="O372" i="9" s="1"/>
  <c r="H372" i="9"/>
  <c r="G372" i="9"/>
  <c r="M372" i="9" s="1"/>
  <c r="O371" i="9"/>
  <c r="M371" i="9"/>
  <c r="I371" i="9"/>
  <c r="H371" i="9"/>
  <c r="H381" i="9" s="1"/>
  <c r="N381" i="9" s="1"/>
  <c r="G371" i="9"/>
  <c r="N370" i="9"/>
  <c r="I370" i="9"/>
  <c r="I380" i="9" s="1"/>
  <c r="O380" i="9" s="1"/>
  <c r="H370" i="9"/>
  <c r="G370" i="9"/>
  <c r="G380" i="9" s="1"/>
  <c r="M380" i="9" s="1"/>
  <c r="O369" i="9"/>
  <c r="M369" i="9"/>
  <c r="I369" i="9"/>
  <c r="H369" i="9"/>
  <c r="H379" i="9" s="1"/>
  <c r="N379" i="9" s="1"/>
  <c r="G369" i="9"/>
  <c r="N368" i="9"/>
  <c r="I368" i="9"/>
  <c r="I378" i="9" s="1"/>
  <c r="O378" i="9" s="1"/>
  <c r="H368" i="9"/>
  <c r="G368" i="9"/>
  <c r="G378" i="9" s="1"/>
  <c r="M378" i="9" s="1"/>
  <c r="O367" i="9"/>
  <c r="M367" i="9"/>
  <c r="I367" i="9"/>
  <c r="H367" i="9"/>
  <c r="H377" i="9" s="1"/>
  <c r="N377" i="9" s="1"/>
  <c r="G367" i="9"/>
  <c r="O362" i="9"/>
  <c r="N362" i="9"/>
  <c r="M362" i="9"/>
  <c r="O361" i="9"/>
  <c r="N361" i="9"/>
  <c r="M361" i="9"/>
  <c r="O360" i="9"/>
  <c r="N360" i="9"/>
  <c r="M360" i="9"/>
  <c r="O359" i="9"/>
  <c r="N359" i="9"/>
  <c r="M359" i="9"/>
  <c r="O358" i="9"/>
  <c r="N358" i="9"/>
  <c r="M358" i="9"/>
  <c r="O357" i="9"/>
  <c r="N357" i="9"/>
  <c r="M357" i="9"/>
  <c r="N397" i="9" l="1"/>
  <c r="M398" i="9"/>
  <c r="O398" i="9"/>
  <c r="N399" i="9"/>
  <c r="M400" i="9"/>
  <c r="O400" i="9"/>
  <c r="N401" i="9"/>
  <c r="N367" i="9"/>
  <c r="M368" i="9"/>
  <c r="O368" i="9"/>
  <c r="N369" i="9"/>
  <c r="M370" i="9"/>
  <c r="O370" i="9"/>
  <c r="N371" i="9"/>
  <c r="F347" i="9"/>
  <c r="F348" i="9"/>
  <c r="F349" i="9"/>
  <c r="F350" i="9"/>
  <c r="F351" i="9"/>
  <c r="E347" i="9"/>
  <c r="E348" i="9"/>
  <c r="E349" i="9"/>
  <c r="E350" i="9"/>
  <c r="E351" i="9"/>
  <c r="E346" i="9"/>
  <c r="F346" i="9"/>
  <c r="D347" i="9"/>
  <c r="D348" i="9"/>
  <c r="D349" i="9"/>
  <c r="D350" i="9"/>
  <c r="D351" i="9"/>
  <c r="D346" i="9"/>
  <c r="F338" i="9"/>
  <c r="F339" i="9"/>
  <c r="F340" i="9"/>
  <c r="F341" i="9"/>
  <c r="F342" i="9"/>
  <c r="E338" i="9"/>
  <c r="E339" i="9"/>
  <c r="E340" i="9"/>
  <c r="E341" i="9"/>
  <c r="E342" i="9"/>
  <c r="E337" i="9"/>
  <c r="F337" i="9"/>
  <c r="D338" i="9"/>
  <c r="D339" i="9"/>
  <c r="D340" i="9"/>
  <c r="D341" i="9"/>
  <c r="D342" i="9"/>
  <c r="D337" i="9"/>
  <c r="I351" i="9"/>
  <c r="O351" i="9" s="1"/>
  <c r="G351" i="9"/>
  <c r="M351" i="9" s="1"/>
  <c r="H350" i="9"/>
  <c r="N350" i="9" s="1"/>
  <c r="I349" i="9"/>
  <c r="O349" i="9" s="1"/>
  <c r="G349" i="9"/>
  <c r="M349" i="9" s="1"/>
  <c r="H348" i="9"/>
  <c r="N348" i="9" s="1"/>
  <c r="I347" i="9"/>
  <c r="O347" i="9" s="1"/>
  <c r="G347" i="9"/>
  <c r="M347" i="9" s="1"/>
  <c r="O346" i="9"/>
  <c r="M346" i="9"/>
  <c r="I346" i="9"/>
  <c r="H346" i="9"/>
  <c r="N346" i="9" s="1"/>
  <c r="G346" i="9"/>
  <c r="N342" i="9"/>
  <c r="I342" i="9"/>
  <c r="O342" i="9" s="1"/>
  <c r="H342" i="9"/>
  <c r="G342" i="9"/>
  <c r="M342" i="9" s="1"/>
  <c r="O341" i="9"/>
  <c r="M341" i="9"/>
  <c r="I341" i="9"/>
  <c r="H341" i="9"/>
  <c r="H351" i="9" s="1"/>
  <c r="N351" i="9" s="1"/>
  <c r="G341" i="9"/>
  <c r="N340" i="9"/>
  <c r="I340" i="9"/>
  <c r="I350" i="9" s="1"/>
  <c r="O350" i="9" s="1"/>
  <c r="H340" i="9"/>
  <c r="G340" i="9"/>
  <c r="G350" i="9" s="1"/>
  <c r="M350" i="9" s="1"/>
  <c r="O339" i="9"/>
  <c r="M339" i="9"/>
  <c r="I339" i="9"/>
  <c r="H339" i="9"/>
  <c r="H349" i="9" s="1"/>
  <c r="N349" i="9" s="1"/>
  <c r="G339" i="9"/>
  <c r="N338" i="9"/>
  <c r="I338" i="9"/>
  <c r="I348" i="9" s="1"/>
  <c r="O348" i="9" s="1"/>
  <c r="H338" i="9"/>
  <c r="G338" i="9"/>
  <c r="G348" i="9" s="1"/>
  <c r="M348" i="9" s="1"/>
  <c r="O337" i="9"/>
  <c r="M337" i="9"/>
  <c r="I337" i="9"/>
  <c r="H337" i="9"/>
  <c r="H347" i="9" s="1"/>
  <c r="N347" i="9" s="1"/>
  <c r="G337" i="9"/>
  <c r="O332" i="9"/>
  <c r="N332" i="9"/>
  <c r="M332" i="9"/>
  <c r="O331" i="9"/>
  <c r="N331" i="9"/>
  <c r="M331" i="9"/>
  <c r="O330" i="9"/>
  <c r="N330" i="9"/>
  <c r="M330" i="9"/>
  <c r="O329" i="9"/>
  <c r="N329" i="9"/>
  <c r="M329" i="9"/>
  <c r="O328" i="9"/>
  <c r="N328" i="9"/>
  <c r="M328" i="9"/>
  <c r="O327" i="9"/>
  <c r="N327" i="9"/>
  <c r="M327" i="9"/>
  <c r="N337" i="9" l="1"/>
  <c r="M338" i="9"/>
  <c r="O338" i="9"/>
  <c r="N339" i="9"/>
  <c r="M340" i="9"/>
  <c r="O340" i="9"/>
  <c r="N341" i="9"/>
  <c r="F317" i="9"/>
  <c r="F318" i="9"/>
  <c r="F319" i="9"/>
  <c r="F320" i="9"/>
  <c r="F321" i="9"/>
  <c r="E317" i="9"/>
  <c r="E318" i="9"/>
  <c r="E319" i="9"/>
  <c r="E320" i="9"/>
  <c r="E321" i="9"/>
  <c r="E316" i="9"/>
  <c r="F316" i="9"/>
  <c r="D317" i="9"/>
  <c r="D318" i="9"/>
  <c r="D319" i="9"/>
  <c r="D320" i="9"/>
  <c r="D321" i="9"/>
  <c r="D316" i="9"/>
  <c r="F308" i="9"/>
  <c r="F309" i="9"/>
  <c r="F310" i="9"/>
  <c r="F311" i="9"/>
  <c r="F312" i="9"/>
  <c r="E308" i="9"/>
  <c r="E309" i="9"/>
  <c r="E310" i="9"/>
  <c r="E311" i="9"/>
  <c r="E312" i="9"/>
  <c r="E307" i="9"/>
  <c r="F307" i="9"/>
  <c r="D308" i="9"/>
  <c r="D309" i="9"/>
  <c r="D310" i="9"/>
  <c r="D311" i="9"/>
  <c r="D312" i="9"/>
  <c r="D307" i="9"/>
  <c r="I321" i="9"/>
  <c r="O321" i="9" s="1"/>
  <c r="G321" i="9"/>
  <c r="M321" i="9" s="1"/>
  <c r="H320" i="9"/>
  <c r="N320" i="9" s="1"/>
  <c r="I319" i="9"/>
  <c r="O319" i="9" s="1"/>
  <c r="G319" i="9"/>
  <c r="M319" i="9" s="1"/>
  <c r="H318" i="9"/>
  <c r="N318" i="9" s="1"/>
  <c r="I317" i="9"/>
  <c r="O317" i="9" s="1"/>
  <c r="G317" i="9"/>
  <c r="M317" i="9" s="1"/>
  <c r="O316" i="9"/>
  <c r="M316" i="9"/>
  <c r="I316" i="9"/>
  <c r="H316" i="9"/>
  <c r="N316" i="9" s="1"/>
  <c r="G316" i="9"/>
  <c r="N312" i="9"/>
  <c r="I312" i="9"/>
  <c r="O312" i="9" s="1"/>
  <c r="H312" i="9"/>
  <c r="G312" i="9"/>
  <c r="M312" i="9" s="1"/>
  <c r="O311" i="9"/>
  <c r="M311" i="9"/>
  <c r="I311" i="9"/>
  <c r="H311" i="9"/>
  <c r="H321" i="9" s="1"/>
  <c r="N321" i="9" s="1"/>
  <c r="G311" i="9"/>
  <c r="N310" i="9"/>
  <c r="I310" i="9"/>
  <c r="I320" i="9" s="1"/>
  <c r="O320" i="9" s="1"/>
  <c r="H310" i="9"/>
  <c r="G310" i="9"/>
  <c r="G320" i="9" s="1"/>
  <c r="M320" i="9" s="1"/>
  <c r="O309" i="9"/>
  <c r="M309" i="9"/>
  <c r="I309" i="9"/>
  <c r="H309" i="9"/>
  <c r="H319" i="9" s="1"/>
  <c r="N319" i="9" s="1"/>
  <c r="G309" i="9"/>
  <c r="N308" i="9"/>
  <c r="I308" i="9"/>
  <c r="I318" i="9" s="1"/>
  <c r="O318" i="9" s="1"/>
  <c r="H308" i="9"/>
  <c r="G308" i="9"/>
  <c r="G318" i="9" s="1"/>
  <c r="M318" i="9" s="1"/>
  <c r="O307" i="9"/>
  <c r="M307" i="9"/>
  <c r="I307" i="9"/>
  <c r="H307" i="9"/>
  <c r="H317" i="9" s="1"/>
  <c r="N317" i="9" s="1"/>
  <c r="G307" i="9"/>
  <c r="O302" i="9"/>
  <c r="N302" i="9"/>
  <c r="M302" i="9"/>
  <c r="O301" i="9"/>
  <c r="N301" i="9"/>
  <c r="M301" i="9"/>
  <c r="O300" i="9"/>
  <c r="N300" i="9"/>
  <c r="M300" i="9"/>
  <c r="O299" i="9"/>
  <c r="N299" i="9"/>
  <c r="M299" i="9"/>
  <c r="O298" i="9"/>
  <c r="N298" i="9"/>
  <c r="M298" i="9"/>
  <c r="O297" i="9"/>
  <c r="N297" i="9"/>
  <c r="M297" i="9"/>
  <c r="N307" i="9" l="1"/>
  <c r="M308" i="9"/>
  <c r="O308" i="9"/>
  <c r="N309" i="9"/>
  <c r="M310" i="9"/>
  <c r="O310" i="9"/>
  <c r="N311" i="9"/>
  <c r="F287" i="9"/>
  <c r="F288" i="9"/>
  <c r="F289" i="9"/>
  <c r="F290" i="9"/>
  <c r="F291" i="9"/>
  <c r="E287" i="9"/>
  <c r="E288" i="9"/>
  <c r="E289" i="9"/>
  <c r="E290" i="9"/>
  <c r="E291" i="9"/>
  <c r="E286" i="9"/>
  <c r="F286" i="9"/>
  <c r="D287" i="9"/>
  <c r="D288" i="9"/>
  <c r="D289" i="9"/>
  <c r="D290" i="9"/>
  <c r="D291" i="9"/>
  <c r="D286" i="9"/>
  <c r="F278" i="9"/>
  <c r="F279" i="9"/>
  <c r="F280" i="9"/>
  <c r="F281" i="9"/>
  <c r="F282" i="9"/>
  <c r="E278" i="9"/>
  <c r="E279" i="9"/>
  <c r="E280" i="9"/>
  <c r="E281" i="9"/>
  <c r="E282" i="9"/>
  <c r="E277" i="9"/>
  <c r="F277" i="9"/>
  <c r="D278" i="9"/>
  <c r="D279" i="9"/>
  <c r="D280" i="9"/>
  <c r="D281" i="9"/>
  <c r="D282" i="9"/>
  <c r="D277" i="9"/>
  <c r="I291" i="9"/>
  <c r="O291" i="9" s="1"/>
  <c r="G291" i="9"/>
  <c r="M291" i="9" s="1"/>
  <c r="H290" i="9"/>
  <c r="N290" i="9" s="1"/>
  <c r="I289" i="9"/>
  <c r="O289" i="9" s="1"/>
  <c r="G289" i="9"/>
  <c r="M289" i="9" s="1"/>
  <c r="H288" i="9"/>
  <c r="N288" i="9" s="1"/>
  <c r="I287" i="9"/>
  <c r="O287" i="9" s="1"/>
  <c r="G287" i="9"/>
  <c r="M287" i="9" s="1"/>
  <c r="O286" i="9"/>
  <c r="M286" i="9"/>
  <c r="I286" i="9"/>
  <c r="H286" i="9"/>
  <c r="N286" i="9" s="1"/>
  <c r="G286" i="9"/>
  <c r="N282" i="9"/>
  <c r="I282" i="9"/>
  <c r="O282" i="9" s="1"/>
  <c r="H282" i="9"/>
  <c r="G282" i="9"/>
  <c r="M282" i="9" s="1"/>
  <c r="O281" i="9"/>
  <c r="M281" i="9"/>
  <c r="I281" i="9"/>
  <c r="H281" i="9"/>
  <c r="H291" i="9" s="1"/>
  <c r="N291" i="9" s="1"/>
  <c r="G281" i="9"/>
  <c r="N280" i="9"/>
  <c r="I280" i="9"/>
  <c r="I290" i="9" s="1"/>
  <c r="O290" i="9" s="1"/>
  <c r="H280" i="9"/>
  <c r="G280" i="9"/>
  <c r="G290" i="9" s="1"/>
  <c r="M290" i="9" s="1"/>
  <c r="O279" i="9"/>
  <c r="M279" i="9"/>
  <c r="I279" i="9"/>
  <c r="H279" i="9"/>
  <c r="H289" i="9" s="1"/>
  <c r="N289" i="9" s="1"/>
  <c r="G279" i="9"/>
  <c r="N278" i="9"/>
  <c r="I278" i="9"/>
  <c r="I288" i="9" s="1"/>
  <c r="O288" i="9" s="1"/>
  <c r="H278" i="9"/>
  <c r="G278" i="9"/>
  <c r="G288" i="9" s="1"/>
  <c r="M288" i="9" s="1"/>
  <c r="O277" i="9"/>
  <c r="M277" i="9"/>
  <c r="I277" i="9"/>
  <c r="H277" i="9"/>
  <c r="H287" i="9" s="1"/>
  <c r="N287" i="9" s="1"/>
  <c r="G277" i="9"/>
  <c r="O272" i="9"/>
  <c r="N272" i="9"/>
  <c r="M272" i="9"/>
  <c r="O271" i="9"/>
  <c r="N271" i="9"/>
  <c r="M271" i="9"/>
  <c r="O270" i="9"/>
  <c r="N270" i="9"/>
  <c r="M270" i="9"/>
  <c r="O269" i="9"/>
  <c r="N269" i="9"/>
  <c r="M269" i="9"/>
  <c r="O268" i="9"/>
  <c r="N268" i="9"/>
  <c r="M268" i="9"/>
  <c r="O267" i="9"/>
  <c r="N267" i="9"/>
  <c r="M267" i="9"/>
  <c r="N277" i="9" l="1"/>
  <c r="M278" i="9"/>
  <c r="O278" i="9"/>
  <c r="N279" i="9"/>
  <c r="M280" i="9"/>
  <c r="O280" i="9"/>
  <c r="N281" i="9"/>
  <c r="F257" i="9"/>
  <c r="F258" i="9"/>
  <c r="F259" i="9"/>
  <c r="F260" i="9"/>
  <c r="F261" i="9"/>
  <c r="E257" i="9"/>
  <c r="E258" i="9"/>
  <c r="E259" i="9"/>
  <c r="E260" i="9"/>
  <c r="E261" i="9"/>
  <c r="E256" i="9"/>
  <c r="F256" i="9"/>
  <c r="D257" i="9"/>
  <c r="D258" i="9"/>
  <c r="D259" i="9"/>
  <c r="D260" i="9"/>
  <c r="D261" i="9"/>
  <c r="D256" i="9"/>
  <c r="F248" i="9"/>
  <c r="F249" i="9"/>
  <c r="F250" i="9"/>
  <c r="F251" i="9"/>
  <c r="F252" i="9"/>
  <c r="E248" i="9"/>
  <c r="E249" i="9"/>
  <c r="E250" i="9"/>
  <c r="E251" i="9"/>
  <c r="E252" i="9"/>
  <c r="E247" i="9"/>
  <c r="F247" i="9"/>
  <c r="D248" i="9"/>
  <c r="D249" i="9"/>
  <c r="D250" i="9"/>
  <c r="D251" i="9"/>
  <c r="D252" i="9"/>
  <c r="D247" i="9"/>
  <c r="I261" i="9"/>
  <c r="O261" i="9" s="1"/>
  <c r="G261" i="9"/>
  <c r="M261" i="9" s="1"/>
  <c r="H260" i="9"/>
  <c r="N260" i="9" s="1"/>
  <c r="I259" i="9"/>
  <c r="O259" i="9" s="1"/>
  <c r="G259" i="9"/>
  <c r="M259" i="9" s="1"/>
  <c r="H258" i="9"/>
  <c r="N258" i="9" s="1"/>
  <c r="I257" i="9"/>
  <c r="O257" i="9" s="1"/>
  <c r="G257" i="9"/>
  <c r="M257" i="9" s="1"/>
  <c r="O256" i="9"/>
  <c r="M256" i="9"/>
  <c r="I256" i="9"/>
  <c r="H256" i="9"/>
  <c r="N256" i="9" s="1"/>
  <c r="G256" i="9"/>
  <c r="N252" i="9"/>
  <c r="I252" i="9"/>
  <c r="O252" i="9" s="1"/>
  <c r="H252" i="9"/>
  <c r="G252" i="9"/>
  <c r="M252" i="9" s="1"/>
  <c r="O251" i="9"/>
  <c r="M251" i="9"/>
  <c r="I251" i="9"/>
  <c r="H251" i="9"/>
  <c r="H261" i="9" s="1"/>
  <c r="N261" i="9" s="1"/>
  <c r="G251" i="9"/>
  <c r="N250" i="9"/>
  <c r="I250" i="9"/>
  <c r="I260" i="9" s="1"/>
  <c r="O260" i="9" s="1"/>
  <c r="H250" i="9"/>
  <c r="G250" i="9"/>
  <c r="G260" i="9" s="1"/>
  <c r="M260" i="9" s="1"/>
  <c r="O249" i="9"/>
  <c r="M249" i="9"/>
  <c r="I249" i="9"/>
  <c r="H249" i="9"/>
  <c r="H259" i="9" s="1"/>
  <c r="N259" i="9" s="1"/>
  <c r="G249" i="9"/>
  <c r="N248" i="9"/>
  <c r="I248" i="9"/>
  <c r="I258" i="9" s="1"/>
  <c r="O258" i="9" s="1"/>
  <c r="H248" i="9"/>
  <c r="G248" i="9"/>
  <c r="G258" i="9" s="1"/>
  <c r="M258" i="9" s="1"/>
  <c r="O247" i="9"/>
  <c r="M247" i="9"/>
  <c r="I247" i="9"/>
  <c r="H247" i="9"/>
  <c r="H257" i="9" s="1"/>
  <c r="N257" i="9" s="1"/>
  <c r="G247" i="9"/>
  <c r="O242" i="9"/>
  <c r="N242" i="9"/>
  <c r="M242" i="9"/>
  <c r="O241" i="9"/>
  <c r="N241" i="9"/>
  <c r="M241" i="9"/>
  <c r="O240" i="9"/>
  <c r="N240" i="9"/>
  <c r="M240" i="9"/>
  <c r="O239" i="9"/>
  <c r="N239" i="9"/>
  <c r="M239" i="9"/>
  <c r="O238" i="9"/>
  <c r="N238" i="9"/>
  <c r="M238" i="9"/>
  <c r="O237" i="9"/>
  <c r="N237" i="9"/>
  <c r="M237" i="9"/>
  <c r="N247" i="9" l="1"/>
  <c r="M248" i="9"/>
  <c r="O248" i="9"/>
  <c r="N249" i="9"/>
  <c r="M250" i="9"/>
  <c r="O250" i="9"/>
  <c r="N251" i="9"/>
  <c r="F227" i="9"/>
  <c r="F228" i="9"/>
  <c r="F229" i="9"/>
  <c r="F230" i="9"/>
  <c r="F231" i="9"/>
  <c r="F226" i="9"/>
  <c r="E227" i="9"/>
  <c r="E228" i="9"/>
  <c r="E229" i="9"/>
  <c r="E230" i="9"/>
  <c r="E231" i="9"/>
  <c r="E226" i="9"/>
  <c r="D227" i="9"/>
  <c r="D228" i="9"/>
  <c r="D229" i="9"/>
  <c r="D230" i="9"/>
  <c r="D231" i="9"/>
  <c r="D226" i="9"/>
  <c r="F218" i="9"/>
  <c r="F219" i="9"/>
  <c r="F220" i="9"/>
  <c r="F221" i="9"/>
  <c r="F222" i="9"/>
  <c r="E218" i="9"/>
  <c r="E219" i="9"/>
  <c r="E220" i="9"/>
  <c r="E221" i="9"/>
  <c r="E222" i="9"/>
  <c r="E217" i="9"/>
  <c r="F217" i="9"/>
  <c r="D218" i="9"/>
  <c r="D219" i="9"/>
  <c r="D220" i="9"/>
  <c r="D221" i="9"/>
  <c r="D222" i="9"/>
  <c r="D217" i="9"/>
  <c r="I231" i="9"/>
  <c r="O231" i="9" s="1"/>
  <c r="G231" i="9"/>
  <c r="M231" i="9" s="1"/>
  <c r="H230" i="9"/>
  <c r="N230" i="9" s="1"/>
  <c r="I229" i="9"/>
  <c r="O229" i="9" s="1"/>
  <c r="G229" i="9"/>
  <c r="M229" i="9" s="1"/>
  <c r="H228" i="9"/>
  <c r="N228" i="9" s="1"/>
  <c r="I227" i="9"/>
  <c r="O227" i="9" s="1"/>
  <c r="G227" i="9"/>
  <c r="M227" i="9" s="1"/>
  <c r="O226" i="9"/>
  <c r="M226" i="9"/>
  <c r="I226" i="9"/>
  <c r="H226" i="9"/>
  <c r="N226" i="9" s="1"/>
  <c r="G226" i="9"/>
  <c r="N222" i="9"/>
  <c r="I222" i="9"/>
  <c r="O222" i="9" s="1"/>
  <c r="H222" i="9"/>
  <c r="G222" i="9"/>
  <c r="M222" i="9" s="1"/>
  <c r="O221" i="9"/>
  <c r="M221" i="9"/>
  <c r="I221" i="9"/>
  <c r="H221" i="9"/>
  <c r="H231" i="9" s="1"/>
  <c r="N231" i="9" s="1"/>
  <c r="G221" i="9"/>
  <c r="N220" i="9"/>
  <c r="I220" i="9"/>
  <c r="I230" i="9" s="1"/>
  <c r="O230" i="9" s="1"/>
  <c r="H220" i="9"/>
  <c r="G220" i="9"/>
  <c r="G230" i="9" s="1"/>
  <c r="M230" i="9" s="1"/>
  <c r="O219" i="9"/>
  <c r="M219" i="9"/>
  <c r="I219" i="9"/>
  <c r="H219" i="9"/>
  <c r="H229" i="9" s="1"/>
  <c r="N229" i="9" s="1"/>
  <c r="G219" i="9"/>
  <c r="N218" i="9"/>
  <c r="I218" i="9"/>
  <c r="I228" i="9" s="1"/>
  <c r="O228" i="9" s="1"/>
  <c r="H218" i="9"/>
  <c r="G218" i="9"/>
  <c r="G228" i="9" s="1"/>
  <c r="M228" i="9" s="1"/>
  <c r="O217" i="9"/>
  <c r="M217" i="9"/>
  <c r="I217" i="9"/>
  <c r="H217" i="9"/>
  <c r="H227" i="9" s="1"/>
  <c r="N227" i="9" s="1"/>
  <c r="G217" i="9"/>
  <c r="O212" i="9"/>
  <c r="N212" i="9"/>
  <c r="M212" i="9"/>
  <c r="O211" i="9"/>
  <c r="N211" i="9"/>
  <c r="M211" i="9"/>
  <c r="O210" i="9"/>
  <c r="N210" i="9"/>
  <c r="M210" i="9"/>
  <c r="O209" i="9"/>
  <c r="N209" i="9"/>
  <c r="M209" i="9"/>
  <c r="O208" i="9"/>
  <c r="N208" i="9"/>
  <c r="M208" i="9"/>
  <c r="O207" i="9"/>
  <c r="N207" i="9"/>
  <c r="M207" i="9"/>
  <c r="F197" i="9"/>
  <c r="F198" i="9"/>
  <c r="F199" i="9"/>
  <c r="F200" i="9"/>
  <c r="F201" i="9"/>
  <c r="E197" i="9"/>
  <c r="E198" i="9"/>
  <c r="E199" i="9"/>
  <c r="E200" i="9"/>
  <c r="E201" i="9"/>
  <c r="E196" i="9"/>
  <c r="F196" i="9"/>
  <c r="D197" i="9"/>
  <c r="D198" i="9"/>
  <c r="D199" i="9"/>
  <c r="D200" i="9"/>
  <c r="D201" i="9"/>
  <c r="D196" i="9"/>
  <c r="F188" i="9"/>
  <c r="F189" i="9"/>
  <c r="F190" i="9"/>
  <c r="F191" i="9"/>
  <c r="F192" i="9"/>
  <c r="E188" i="9"/>
  <c r="E189" i="9"/>
  <c r="E190" i="9"/>
  <c r="E191" i="9"/>
  <c r="E192" i="9"/>
  <c r="E187" i="9"/>
  <c r="F187" i="9"/>
  <c r="D188" i="9"/>
  <c r="D189" i="9"/>
  <c r="D190" i="9"/>
  <c r="D191" i="9"/>
  <c r="D192" i="9"/>
  <c r="D187" i="9"/>
  <c r="I201" i="9"/>
  <c r="O201" i="9" s="1"/>
  <c r="G201" i="9"/>
  <c r="M201" i="9" s="1"/>
  <c r="H200" i="9"/>
  <c r="N200" i="9" s="1"/>
  <c r="I199" i="9"/>
  <c r="O199" i="9" s="1"/>
  <c r="G199" i="9"/>
  <c r="M199" i="9" s="1"/>
  <c r="H198" i="9"/>
  <c r="N198" i="9" s="1"/>
  <c r="I197" i="9"/>
  <c r="O197" i="9" s="1"/>
  <c r="G197" i="9"/>
  <c r="M197" i="9" s="1"/>
  <c r="O196" i="9"/>
  <c r="M196" i="9"/>
  <c r="I196" i="9"/>
  <c r="H196" i="9"/>
  <c r="N196" i="9" s="1"/>
  <c r="G196" i="9"/>
  <c r="N192" i="9"/>
  <c r="I192" i="9"/>
  <c r="O192" i="9" s="1"/>
  <c r="H192" i="9"/>
  <c r="G192" i="9"/>
  <c r="M192" i="9" s="1"/>
  <c r="O191" i="9"/>
  <c r="M191" i="9"/>
  <c r="I191" i="9"/>
  <c r="H191" i="9"/>
  <c r="H201" i="9" s="1"/>
  <c r="N201" i="9" s="1"/>
  <c r="G191" i="9"/>
  <c r="N190" i="9"/>
  <c r="I190" i="9"/>
  <c r="I200" i="9" s="1"/>
  <c r="O200" i="9" s="1"/>
  <c r="H190" i="9"/>
  <c r="G190" i="9"/>
  <c r="G200" i="9" s="1"/>
  <c r="M200" i="9" s="1"/>
  <c r="O189" i="9"/>
  <c r="M189" i="9"/>
  <c r="I189" i="9"/>
  <c r="H189" i="9"/>
  <c r="H199" i="9" s="1"/>
  <c r="N199" i="9" s="1"/>
  <c r="G189" i="9"/>
  <c r="N188" i="9"/>
  <c r="I188" i="9"/>
  <c r="I198" i="9" s="1"/>
  <c r="O198" i="9" s="1"/>
  <c r="H188" i="9"/>
  <c r="G188" i="9"/>
  <c r="G198" i="9" s="1"/>
  <c r="M198" i="9" s="1"/>
  <c r="O187" i="9"/>
  <c r="M187" i="9"/>
  <c r="I187" i="9"/>
  <c r="H187" i="9"/>
  <c r="H197" i="9" s="1"/>
  <c r="N197" i="9" s="1"/>
  <c r="G187" i="9"/>
  <c r="O182" i="9"/>
  <c r="N182" i="9"/>
  <c r="M182" i="9"/>
  <c r="O181" i="9"/>
  <c r="N181" i="9"/>
  <c r="M181" i="9"/>
  <c r="O180" i="9"/>
  <c r="N180" i="9"/>
  <c r="M180" i="9"/>
  <c r="O179" i="9"/>
  <c r="N179" i="9"/>
  <c r="M179" i="9"/>
  <c r="O178" i="9"/>
  <c r="N178" i="9"/>
  <c r="M178" i="9"/>
  <c r="O177" i="9"/>
  <c r="N177" i="9"/>
  <c r="M177" i="9"/>
  <c r="N217" i="9" l="1"/>
  <c r="M218" i="9"/>
  <c r="O218" i="9"/>
  <c r="N219" i="9"/>
  <c r="M220" i="9"/>
  <c r="O220" i="9"/>
  <c r="N221" i="9"/>
  <c r="N187" i="9"/>
  <c r="M188" i="9"/>
  <c r="O188" i="9"/>
  <c r="N189" i="9"/>
  <c r="M190" i="9"/>
  <c r="O190" i="9"/>
  <c r="N191" i="9"/>
  <c r="F167" i="9"/>
  <c r="F168" i="9"/>
  <c r="F169" i="9"/>
  <c r="F170" i="9"/>
  <c r="F171" i="9"/>
  <c r="E167" i="9"/>
  <c r="E168" i="9"/>
  <c r="E169" i="9"/>
  <c r="E170" i="9"/>
  <c r="E171" i="9"/>
  <c r="E166" i="9"/>
  <c r="F166" i="9"/>
  <c r="G166" i="9"/>
  <c r="H166" i="9"/>
  <c r="I166" i="9"/>
  <c r="D167" i="9"/>
  <c r="D168" i="9"/>
  <c r="D169" i="9"/>
  <c r="D170" i="9"/>
  <c r="D171" i="9"/>
  <c r="D166" i="9"/>
  <c r="F158" i="9"/>
  <c r="F159" i="9"/>
  <c r="F160" i="9"/>
  <c r="F161" i="9"/>
  <c r="F162" i="9"/>
  <c r="E158" i="9"/>
  <c r="E159" i="9"/>
  <c r="E160" i="9"/>
  <c r="E161" i="9"/>
  <c r="E162" i="9"/>
  <c r="E157" i="9"/>
  <c r="F157" i="9"/>
  <c r="D158" i="9"/>
  <c r="D159" i="9"/>
  <c r="D160" i="9"/>
  <c r="D161" i="9"/>
  <c r="D162" i="9"/>
  <c r="D157" i="9"/>
  <c r="N171" i="9"/>
  <c r="I171" i="9"/>
  <c r="O171" i="9" s="1"/>
  <c r="H171" i="9"/>
  <c r="G171" i="9"/>
  <c r="M171" i="9" s="1"/>
  <c r="O170" i="9"/>
  <c r="M170" i="9"/>
  <c r="I170" i="9"/>
  <c r="H170" i="9"/>
  <c r="N170" i="9" s="1"/>
  <c r="G170" i="9"/>
  <c r="N169" i="9"/>
  <c r="I169" i="9"/>
  <c r="O169" i="9" s="1"/>
  <c r="H169" i="9"/>
  <c r="O168" i="9"/>
  <c r="M168" i="9"/>
  <c r="I168" i="9"/>
  <c r="H168" i="9"/>
  <c r="N168" i="9" s="1"/>
  <c r="G168" i="9"/>
  <c r="N167" i="9"/>
  <c r="I167" i="9"/>
  <c r="O167" i="9" s="1"/>
  <c r="H167" i="9"/>
  <c r="G167" i="9"/>
  <c r="M167" i="9" s="1"/>
  <c r="O166" i="9"/>
  <c r="M166" i="9"/>
  <c r="N166" i="9"/>
  <c r="N162" i="9"/>
  <c r="I162" i="9"/>
  <c r="O162" i="9" s="1"/>
  <c r="H162" i="9"/>
  <c r="G162" i="9"/>
  <c r="M162" i="9" s="1"/>
  <c r="O161" i="9"/>
  <c r="M161" i="9"/>
  <c r="I161" i="9"/>
  <c r="H161" i="9"/>
  <c r="N161" i="9" s="1"/>
  <c r="G161" i="9"/>
  <c r="N160" i="9"/>
  <c r="I160" i="9"/>
  <c r="O160" i="9" s="1"/>
  <c r="H160" i="9"/>
  <c r="G160" i="9"/>
  <c r="M160" i="9" s="1"/>
  <c r="O159" i="9"/>
  <c r="I159" i="9"/>
  <c r="H159" i="9"/>
  <c r="N159" i="9" s="1"/>
  <c r="G159" i="9"/>
  <c r="G169" i="9" s="1"/>
  <c r="M169" i="9" s="1"/>
  <c r="N158" i="9"/>
  <c r="I158" i="9"/>
  <c r="O158" i="9" s="1"/>
  <c r="H158" i="9"/>
  <c r="G158" i="9"/>
  <c r="M158" i="9" s="1"/>
  <c r="O157" i="9"/>
  <c r="M157" i="9"/>
  <c r="I157" i="9"/>
  <c r="H157" i="9"/>
  <c r="N157" i="9" s="1"/>
  <c r="G157" i="9"/>
  <c r="O152" i="9"/>
  <c r="N152" i="9"/>
  <c r="M152" i="9"/>
  <c r="O151" i="9"/>
  <c r="N151" i="9"/>
  <c r="M151" i="9"/>
  <c r="O150" i="9"/>
  <c r="N150" i="9"/>
  <c r="M150" i="9"/>
  <c r="O149" i="9"/>
  <c r="N149" i="9"/>
  <c r="M149" i="9"/>
  <c r="O148" i="9"/>
  <c r="N148" i="9"/>
  <c r="M148" i="9"/>
  <c r="O147" i="9"/>
  <c r="N147" i="9"/>
  <c r="M147" i="9"/>
  <c r="M159" i="9" l="1"/>
  <c r="D138" i="9"/>
  <c r="E138" i="9"/>
  <c r="F138" i="9"/>
  <c r="D139" i="9"/>
  <c r="E139" i="9"/>
  <c r="F139" i="9"/>
  <c r="D140" i="9"/>
  <c r="E140" i="9"/>
  <c r="F140" i="9"/>
  <c r="D141" i="9"/>
  <c r="E141" i="9"/>
  <c r="F141" i="9"/>
  <c r="D142" i="9"/>
  <c r="E142" i="9"/>
  <c r="F142" i="9"/>
  <c r="E137" i="9"/>
  <c r="F137" i="9"/>
  <c r="D137" i="9"/>
  <c r="I142" i="9"/>
  <c r="O142" i="9" s="1"/>
  <c r="H142" i="9"/>
  <c r="N142" i="9" s="1"/>
  <c r="G142" i="9"/>
  <c r="M142" i="9" s="1"/>
  <c r="I141" i="9"/>
  <c r="O141" i="9" s="1"/>
  <c r="H141" i="9"/>
  <c r="N141" i="9" s="1"/>
  <c r="G141" i="9"/>
  <c r="M141" i="9" s="1"/>
  <c r="M140" i="9"/>
  <c r="I140" i="9"/>
  <c r="O140" i="9" s="1"/>
  <c r="H140" i="9"/>
  <c r="N140" i="9" s="1"/>
  <c r="G140" i="9"/>
  <c r="I139" i="9"/>
  <c r="O139" i="9" s="1"/>
  <c r="H139" i="9"/>
  <c r="N139" i="9" s="1"/>
  <c r="G139" i="9"/>
  <c r="M139" i="9" s="1"/>
  <c r="I138" i="9"/>
  <c r="O138" i="9" s="1"/>
  <c r="H138" i="9"/>
  <c r="N138" i="9" s="1"/>
  <c r="G138" i="9"/>
  <c r="M138" i="9" s="1"/>
  <c r="I137" i="9"/>
  <c r="O137" i="9" s="1"/>
  <c r="H137" i="9"/>
  <c r="N137" i="9" s="1"/>
  <c r="G137" i="9"/>
  <c r="M137" i="9" s="1"/>
  <c r="O132" i="9"/>
  <c r="N132" i="9"/>
  <c r="M132" i="9"/>
  <c r="O131" i="9"/>
  <c r="N131" i="9"/>
  <c r="M131" i="9"/>
  <c r="O130" i="9"/>
  <c r="N130" i="9"/>
  <c r="M130" i="9"/>
  <c r="O129" i="9"/>
  <c r="N129" i="9"/>
  <c r="M129" i="9"/>
  <c r="O128" i="9"/>
  <c r="N128" i="9"/>
  <c r="M128" i="9"/>
  <c r="O127" i="9"/>
  <c r="N127" i="9"/>
  <c r="M127" i="9"/>
  <c r="D118" i="9" l="1"/>
  <c r="E118" i="9"/>
  <c r="F118" i="9"/>
  <c r="D119" i="9"/>
  <c r="E119" i="9"/>
  <c r="F119" i="9"/>
  <c r="D120" i="9"/>
  <c r="E120" i="9"/>
  <c r="F120" i="9"/>
  <c r="D121" i="9"/>
  <c r="E121" i="9"/>
  <c r="F121" i="9"/>
  <c r="D122" i="9"/>
  <c r="E122" i="9"/>
  <c r="F122" i="9"/>
  <c r="E117" i="9"/>
  <c r="F117" i="9"/>
  <c r="D117" i="9"/>
  <c r="G117" i="9"/>
  <c r="M117" i="9"/>
  <c r="I122" i="9"/>
  <c r="O122" i="9" s="1"/>
  <c r="H122" i="9"/>
  <c r="N122" i="9" s="1"/>
  <c r="G122" i="9"/>
  <c r="M122" i="9" s="1"/>
  <c r="O121" i="9"/>
  <c r="I121" i="9"/>
  <c r="H121" i="9"/>
  <c r="N121" i="9" s="1"/>
  <c r="G121" i="9"/>
  <c r="M121" i="9" s="1"/>
  <c r="I120" i="9"/>
  <c r="O120" i="9" s="1"/>
  <c r="H120" i="9"/>
  <c r="N120" i="9" s="1"/>
  <c r="G120" i="9"/>
  <c r="M120" i="9" s="1"/>
  <c r="I119" i="9"/>
  <c r="O119" i="9" s="1"/>
  <c r="H119" i="9"/>
  <c r="N119" i="9" s="1"/>
  <c r="G119" i="9"/>
  <c r="M119" i="9" s="1"/>
  <c r="I118" i="9"/>
  <c r="O118" i="9" s="1"/>
  <c r="H118" i="9"/>
  <c r="N118" i="9" s="1"/>
  <c r="G118" i="9"/>
  <c r="M118" i="9" s="1"/>
  <c r="I117" i="9"/>
  <c r="O117" i="9" s="1"/>
  <c r="H117" i="9"/>
  <c r="N117" i="9" s="1"/>
  <c r="O112" i="9"/>
  <c r="N112" i="9"/>
  <c r="M112" i="9"/>
  <c r="O111" i="9"/>
  <c r="N111" i="9"/>
  <c r="M111" i="9"/>
  <c r="O110" i="9"/>
  <c r="N110" i="9"/>
  <c r="M110" i="9"/>
  <c r="O109" i="9"/>
  <c r="N109" i="9"/>
  <c r="M109" i="9"/>
  <c r="O108" i="9"/>
  <c r="N108" i="9"/>
  <c r="M108" i="9"/>
  <c r="O107" i="9"/>
  <c r="N107" i="9"/>
  <c r="M107" i="9"/>
  <c r="D98" i="9" l="1"/>
  <c r="E98" i="9"/>
  <c r="F98" i="9"/>
  <c r="D99" i="9"/>
  <c r="E99" i="9"/>
  <c r="F99" i="9"/>
  <c r="D100" i="9"/>
  <c r="E100" i="9"/>
  <c r="F100" i="9"/>
  <c r="D101" i="9"/>
  <c r="E101" i="9"/>
  <c r="F101" i="9"/>
  <c r="D102" i="9"/>
  <c r="E102" i="9"/>
  <c r="F102" i="9"/>
  <c r="E97" i="9"/>
  <c r="F97" i="9"/>
  <c r="D97" i="9"/>
  <c r="D77" i="9"/>
  <c r="E77" i="9"/>
  <c r="F77" i="9"/>
  <c r="D78" i="9"/>
  <c r="E78" i="9"/>
  <c r="F78" i="9"/>
  <c r="D79" i="9"/>
  <c r="E79" i="9"/>
  <c r="F79" i="9"/>
  <c r="D80" i="9"/>
  <c r="E80" i="9"/>
  <c r="F80" i="9"/>
  <c r="D81" i="9"/>
  <c r="E81" i="9"/>
  <c r="F81" i="9"/>
  <c r="E76" i="9"/>
  <c r="F76" i="9"/>
  <c r="D76" i="9"/>
  <c r="I102" i="9"/>
  <c r="O102" i="9" s="1"/>
  <c r="H102" i="9"/>
  <c r="N102" i="9" s="1"/>
  <c r="G102" i="9"/>
  <c r="M102" i="9" s="1"/>
  <c r="O101" i="9"/>
  <c r="M101" i="9"/>
  <c r="I101" i="9"/>
  <c r="H101" i="9"/>
  <c r="N101" i="9" s="1"/>
  <c r="G101" i="9"/>
  <c r="I100" i="9"/>
  <c r="O100" i="9" s="1"/>
  <c r="H100" i="9"/>
  <c r="N100" i="9" s="1"/>
  <c r="G100" i="9"/>
  <c r="M100" i="9" s="1"/>
  <c r="I99" i="9"/>
  <c r="O99" i="9" s="1"/>
  <c r="H99" i="9"/>
  <c r="N99" i="9" s="1"/>
  <c r="G99" i="9"/>
  <c r="M99" i="9" s="1"/>
  <c r="I98" i="9"/>
  <c r="O98" i="9" s="1"/>
  <c r="H98" i="9"/>
  <c r="N98" i="9" s="1"/>
  <c r="G98" i="9"/>
  <c r="M98" i="9" s="1"/>
  <c r="O97" i="9"/>
  <c r="M97" i="9"/>
  <c r="I97" i="9"/>
  <c r="H97" i="9"/>
  <c r="N97" i="9" s="1"/>
  <c r="G97" i="9"/>
  <c r="O92" i="9"/>
  <c r="N92" i="9"/>
  <c r="M92" i="9"/>
  <c r="O91" i="9"/>
  <c r="N91" i="9"/>
  <c r="M91" i="9"/>
  <c r="O90" i="9"/>
  <c r="N90" i="9"/>
  <c r="M90" i="9"/>
  <c r="O89" i="9"/>
  <c r="N89" i="9"/>
  <c r="M89" i="9"/>
  <c r="O88" i="9"/>
  <c r="N88" i="9"/>
  <c r="M88" i="9"/>
  <c r="O87" i="9"/>
  <c r="N87" i="9"/>
  <c r="M87" i="9"/>
  <c r="I81" i="9"/>
  <c r="O81" i="9" s="1"/>
  <c r="H81" i="9"/>
  <c r="N81" i="9" s="1"/>
  <c r="G81" i="9"/>
  <c r="M81" i="9" s="1"/>
  <c r="N80" i="9"/>
  <c r="I80" i="9"/>
  <c r="O80" i="9" s="1"/>
  <c r="H80" i="9"/>
  <c r="G80" i="9"/>
  <c r="M80" i="9" s="1"/>
  <c r="I79" i="9"/>
  <c r="O79" i="9" s="1"/>
  <c r="H79" i="9"/>
  <c r="N79" i="9" s="1"/>
  <c r="G79" i="9"/>
  <c r="M79" i="9" s="1"/>
  <c r="I78" i="9"/>
  <c r="O78" i="9" s="1"/>
  <c r="H78" i="9"/>
  <c r="N78" i="9" s="1"/>
  <c r="G78" i="9"/>
  <c r="M78" i="9" s="1"/>
  <c r="I77" i="9"/>
  <c r="O77" i="9" s="1"/>
  <c r="H77" i="9"/>
  <c r="N77" i="9" s="1"/>
  <c r="G77" i="9"/>
  <c r="M77" i="9" s="1"/>
  <c r="N76" i="9"/>
  <c r="I76" i="9"/>
  <c r="O76" i="9" s="1"/>
  <c r="H76" i="9"/>
  <c r="G76" i="9"/>
  <c r="M76" i="9" s="1"/>
  <c r="O71" i="9"/>
  <c r="N71" i="9"/>
  <c r="M71" i="9"/>
  <c r="O70" i="9"/>
  <c r="N70" i="9"/>
  <c r="M70" i="9"/>
  <c r="O69" i="9"/>
  <c r="N69" i="9"/>
  <c r="M69" i="9"/>
  <c r="O68" i="9"/>
  <c r="N68" i="9"/>
  <c r="M68" i="9"/>
  <c r="O67" i="9"/>
  <c r="N67" i="9"/>
  <c r="M67" i="9"/>
  <c r="O66" i="9"/>
  <c r="N66" i="9"/>
  <c r="M66" i="9"/>
  <c r="D61" i="9" l="1"/>
  <c r="E61" i="9"/>
  <c r="F61" i="9"/>
  <c r="D60" i="9"/>
  <c r="E60" i="9"/>
  <c r="F60" i="9"/>
  <c r="D57" i="9"/>
  <c r="E57" i="9"/>
  <c r="F57" i="9"/>
  <c r="D58" i="9"/>
  <c r="E58" i="9"/>
  <c r="F58" i="9"/>
  <c r="D59" i="9"/>
  <c r="E59" i="9"/>
  <c r="F59" i="9"/>
  <c r="E56" i="9"/>
  <c r="F56" i="9"/>
  <c r="D56" i="9"/>
  <c r="I61" i="9"/>
  <c r="O61" i="9" s="1"/>
  <c r="H61" i="9"/>
  <c r="N61" i="9" s="1"/>
  <c r="G61" i="9"/>
  <c r="M61" i="9" s="1"/>
  <c r="N60" i="9"/>
  <c r="I60" i="9"/>
  <c r="O60" i="9" s="1"/>
  <c r="H60" i="9"/>
  <c r="G60" i="9"/>
  <c r="M60" i="9" s="1"/>
  <c r="I59" i="9"/>
  <c r="O59" i="9" s="1"/>
  <c r="H59" i="9"/>
  <c r="N59" i="9" s="1"/>
  <c r="G59" i="9"/>
  <c r="M59" i="9" s="1"/>
  <c r="I58" i="9"/>
  <c r="O58" i="9" s="1"/>
  <c r="H58" i="9"/>
  <c r="N58" i="9" s="1"/>
  <c r="G58" i="9"/>
  <c r="M58" i="9" s="1"/>
  <c r="I57" i="9"/>
  <c r="O57" i="9" s="1"/>
  <c r="H57" i="9"/>
  <c r="N57" i="9" s="1"/>
  <c r="G57" i="9"/>
  <c r="M57" i="9" s="1"/>
  <c r="I56" i="9"/>
  <c r="O56" i="9" s="1"/>
  <c r="H56" i="9"/>
  <c r="N56" i="9" s="1"/>
  <c r="G56" i="9"/>
  <c r="M56" i="9" s="1"/>
  <c r="O51" i="9"/>
  <c r="N51" i="9"/>
  <c r="M51" i="9"/>
  <c r="O50" i="9"/>
  <c r="N50" i="9"/>
  <c r="M50" i="9"/>
  <c r="O49" i="9"/>
  <c r="N49" i="9"/>
  <c r="M49" i="9"/>
  <c r="O48" i="9"/>
  <c r="N48" i="9"/>
  <c r="M48" i="9"/>
  <c r="O47" i="9"/>
  <c r="N47" i="9"/>
  <c r="M47" i="9"/>
  <c r="O46" i="9"/>
  <c r="N46" i="9"/>
  <c r="M46" i="9"/>
  <c r="D37" i="9" l="1"/>
  <c r="E37" i="9"/>
  <c r="F37" i="9"/>
  <c r="D38" i="9"/>
  <c r="E38" i="9"/>
  <c r="F38" i="9"/>
  <c r="D39" i="9"/>
  <c r="E39" i="9"/>
  <c r="F39" i="9"/>
  <c r="D40" i="9"/>
  <c r="E40" i="9"/>
  <c r="F40" i="9"/>
  <c r="D41" i="9"/>
  <c r="E41" i="9"/>
  <c r="F41" i="9"/>
  <c r="E36" i="9"/>
  <c r="F36" i="9"/>
  <c r="D36" i="9"/>
  <c r="I41" i="9"/>
  <c r="O41" i="9" s="1"/>
  <c r="H41" i="9"/>
  <c r="N41" i="9" s="1"/>
  <c r="G41" i="9"/>
  <c r="M41" i="9" s="1"/>
  <c r="I40" i="9"/>
  <c r="O40" i="9" s="1"/>
  <c r="H40" i="9"/>
  <c r="N40" i="9" s="1"/>
  <c r="G40" i="9"/>
  <c r="M40" i="9" s="1"/>
  <c r="I39" i="9"/>
  <c r="O39" i="9" s="1"/>
  <c r="H39" i="9"/>
  <c r="N39" i="9" s="1"/>
  <c r="G39" i="9"/>
  <c r="M39" i="9" s="1"/>
  <c r="I38" i="9"/>
  <c r="O38" i="9" s="1"/>
  <c r="H38" i="9"/>
  <c r="N38" i="9" s="1"/>
  <c r="G38" i="9"/>
  <c r="M38" i="9" s="1"/>
  <c r="I37" i="9"/>
  <c r="O37" i="9" s="1"/>
  <c r="H37" i="9"/>
  <c r="N37" i="9" s="1"/>
  <c r="G37" i="9"/>
  <c r="M37" i="9" s="1"/>
  <c r="I36" i="9"/>
  <c r="O36" i="9" s="1"/>
  <c r="H36" i="9"/>
  <c r="N36" i="9" s="1"/>
  <c r="G36" i="9"/>
  <c r="M36" i="9" s="1"/>
  <c r="O31" i="9"/>
  <c r="N31" i="9"/>
  <c r="M31" i="9"/>
  <c r="O30" i="9"/>
  <c r="N30" i="9"/>
  <c r="M30" i="9"/>
  <c r="O29" i="9"/>
  <c r="N29" i="9"/>
  <c r="M29" i="9"/>
  <c r="O28" i="9"/>
  <c r="N28" i="9"/>
  <c r="M28" i="9"/>
  <c r="O27" i="9"/>
  <c r="N27" i="9"/>
  <c r="M27" i="9"/>
  <c r="O26" i="9"/>
  <c r="N26" i="9"/>
  <c r="M26" i="9"/>
  <c r="D16" i="9" l="1"/>
  <c r="E16" i="9"/>
  <c r="F16" i="9"/>
  <c r="D17" i="9"/>
  <c r="E17" i="9"/>
  <c r="F17" i="9"/>
  <c r="D18" i="9"/>
  <c r="E18" i="9"/>
  <c r="F18" i="9"/>
  <c r="D19" i="9"/>
  <c r="E19" i="9"/>
  <c r="F19" i="9"/>
  <c r="D20" i="9"/>
  <c r="E20" i="9"/>
  <c r="F20" i="9"/>
  <c r="E15" i="9"/>
  <c r="F15" i="9"/>
  <c r="D15" i="9"/>
  <c r="I20" i="9"/>
  <c r="O20" i="9" s="1"/>
  <c r="H20" i="9"/>
  <c r="N20" i="9" s="1"/>
  <c r="G20" i="9"/>
  <c r="M20" i="9" s="1"/>
  <c r="I19" i="9"/>
  <c r="O19" i="9" s="1"/>
  <c r="H19" i="9"/>
  <c r="N19" i="9" s="1"/>
  <c r="G19" i="9"/>
  <c r="M19" i="9" s="1"/>
  <c r="I18" i="9"/>
  <c r="O18" i="9" s="1"/>
  <c r="H18" i="9"/>
  <c r="N18" i="9" s="1"/>
  <c r="G18" i="9"/>
  <c r="M18" i="9" s="1"/>
  <c r="I17" i="9"/>
  <c r="O17" i="9" s="1"/>
  <c r="H17" i="9"/>
  <c r="N17" i="9" s="1"/>
  <c r="G17" i="9"/>
  <c r="M17" i="9" s="1"/>
  <c r="I16" i="9"/>
  <c r="O16" i="9" s="1"/>
  <c r="H16" i="9"/>
  <c r="N16" i="9" s="1"/>
  <c r="G16" i="9"/>
  <c r="M16" i="9" s="1"/>
  <c r="I15" i="9"/>
  <c r="O15" i="9" s="1"/>
  <c r="H15" i="9"/>
  <c r="N15" i="9" s="1"/>
  <c r="G15" i="9"/>
  <c r="M15" i="9" s="1"/>
  <c r="O10" i="9"/>
  <c r="N10" i="9"/>
  <c r="M10" i="9"/>
  <c r="O9" i="9"/>
  <c r="N9" i="9"/>
  <c r="M9" i="9"/>
  <c r="O8" i="9"/>
  <c r="N8" i="9"/>
  <c r="M8" i="9"/>
  <c r="O7" i="9"/>
  <c r="N7" i="9"/>
  <c r="M7" i="9"/>
  <c r="O6" i="9"/>
  <c r="N6" i="9"/>
  <c r="M6" i="9"/>
  <c r="O5" i="9"/>
  <c r="N5" i="9"/>
  <c r="M5" i="9"/>
  <c r="D381" i="8" l="1"/>
  <c r="E381" i="8"/>
  <c r="F381" i="8"/>
  <c r="D382" i="8"/>
  <c r="E382" i="8"/>
  <c r="F382" i="8"/>
  <c r="D383" i="8"/>
  <c r="E383" i="8"/>
  <c r="F383" i="8"/>
  <c r="D384" i="8"/>
  <c r="E384" i="8"/>
  <c r="F384" i="8"/>
  <c r="D385" i="8"/>
  <c r="E385" i="8"/>
  <c r="F385" i="8"/>
  <c r="E380" i="8"/>
  <c r="F380" i="8"/>
  <c r="D380" i="8"/>
  <c r="D339" i="8"/>
  <c r="D340" i="8"/>
  <c r="D341" i="8"/>
  <c r="D342" i="8"/>
  <c r="D360" i="8"/>
  <c r="E360" i="8"/>
  <c r="F360" i="8"/>
  <c r="D361" i="8"/>
  <c r="E361" i="8"/>
  <c r="F361" i="8"/>
  <c r="D362" i="8"/>
  <c r="E362" i="8"/>
  <c r="F362" i="8"/>
  <c r="D363" i="8"/>
  <c r="E363" i="8"/>
  <c r="F363" i="8"/>
  <c r="D364" i="8"/>
  <c r="E364" i="8"/>
  <c r="F364" i="8"/>
  <c r="E359" i="8"/>
  <c r="F359" i="8"/>
  <c r="D359" i="8"/>
  <c r="I385" i="8"/>
  <c r="O385" i="8" s="1"/>
  <c r="H385" i="8"/>
  <c r="N385" i="8" s="1"/>
  <c r="G385" i="8"/>
  <c r="M385" i="8" s="1"/>
  <c r="I384" i="8"/>
  <c r="O384" i="8" s="1"/>
  <c r="H384" i="8"/>
  <c r="N384" i="8" s="1"/>
  <c r="G384" i="8"/>
  <c r="M384" i="8" s="1"/>
  <c r="I383" i="8"/>
  <c r="O383" i="8" s="1"/>
  <c r="H383" i="8"/>
  <c r="N383" i="8" s="1"/>
  <c r="G383" i="8"/>
  <c r="M383" i="8" s="1"/>
  <c r="I382" i="8"/>
  <c r="O382" i="8" s="1"/>
  <c r="H382" i="8"/>
  <c r="N382" i="8" s="1"/>
  <c r="G382" i="8"/>
  <c r="M382" i="8" s="1"/>
  <c r="I381" i="8"/>
  <c r="O381" i="8" s="1"/>
  <c r="H381" i="8"/>
  <c r="N381" i="8" s="1"/>
  <c r="G381" i="8"/>
  <c r="M381" i="8" s="1"/>
  <c r="I380" i="8"/>
  <c r="O380" i="8" s="1"/>
  <c r="H380" i="8"/>
  <c r="N380" i="8" s="1"/>
  <c r="G380" i="8"/>
  <c r="M380" i="8" s="1"/>
  <c r="O375" i="8"/>
  <c r="N375" i="8"/>
  <c r="M375" i="8"/>
  <c r="O374" i="8"/>
  <c r="N374" i="8"/>
  <c r="M374" i="8"/>
  <c r="O373" i="8"/>
  <c r="N373" i="8"/>
  <c r="M373" i="8"/>
  <c r="O372" i="8"/>
  <c r="N372" i="8"/>
  <c r="M372" i="8"/>
  <c r="O371" i="8"/>
  <c r="N371" i="8"/>
  <c r="M371" i="8"/>
  <c r="O370" i="8"/>
  <c r="N370" i="8"/>
  <c r="M370" i="8"/>
  <c r="I364" i="8" l="1"/>
  <c r="O364" i="8" s="1"/>
  <c r="H364" i="8"/>
  <c r="N364" i="8" s="1"/>
  <c r="G364" i="8"/>
  <c r="M364" i="8" s="1"/>
  <c r="I363" i="8"/>
  <c r="O363" i="8" s="1"/>
  <c r="H363" i="8"/>
  <c r="N363" i="8" s="1"/>
  <c r="G363" i="8"/>
  <c r="M363" i="8" s="1"/>
  <c r="I362" i="8"/>
  <c r="O362" i="8" s="1"/>
  <c r="H362" i="8"/>
  <c r="N362" i="8" s="1"/>
  <c r="G362" i="8"/>
  <c r="M362" i="8" s="1"/>
  <c r="I361" i="8"/>
  <c r="O361" i="8" s="1"/>
  <c r="H361" i="8"/>
  <c r="N361" i="8" s="1"/>
  <c r="G361" i="8"/>
  <c r="M361" i="8" s="1"/>
  <c r="I360" i="8"/>
  <c r="O360" i="8" s="1"/>
  <c r="H360" i="8"/>
  <c r="N360" i="8" s="1"/>
  <c r="G360" i="8"/>
  <c r="M360" i="8" s="1"/>
  <c r="I359" i="8"/>
  <c r="O359" i="8" s="1"/>
  <c r="H359" i="8"/>
  <c r="N359" i="8" s="1"/>
  <c r="G359" i="8"/>
  <c r="M359" i="8" s="1"/>
  <c r="O354" i="8"/>
  <c r="N354" i="8"/>
  <c r="M354" i="8"/>
  <c r="O353" i="8"/>
  <c r="N353" i="8"/>
  <c r="M353" i="8"/>
  <c r="O352" i="8"/>
  <c r="N352" i="8"/>
  <c r="M352" i="8"/>
  <c r="O351" i="8"/>
  <c r="N351" i="8"/>
  <c r="M351" i="8"/>
  <c r="O350" i="8"/>
  <c r="N350" i="8"/>
  <c r="M350" i="8"/>
  <c r="O349" i="8"/>
  <c r="N349" i="8"/>
  <c r="M349" i="8"/>
  <c r="E339" i="8" l="1"/>
  <c r="F339" i="8"/>
  <c r="E340" i="8"/>
  <c r="F340" i="8"/>
  <c r="E341" i="8"/>
  <c r="F341" i="8"/>
  <c r="E342" i="8"/>
  <c r="F342" i="8"/>
  <c r="D343" i="8"/>
  <c r="E343" i="8"/>
  <c r="F343" i="8"/>
  <c r="E338" i="8"/>
  <c r="F338" i="8"/>
  <c r="D338" i="8"/>
  <c r="G338" i="8" l="1"/>
  <c r="M338" i="8" s="1"/>
  <c r="H338" i="8"/>
  <c r="I338" i="8"/>
  <c r="O338" i="8" s="1"/>
  <c r="N338" i="8"/>
  <c r="G339" i="8"/>
  <c r="M339" i="8" s="1"/>
  <c r="H339" i="8"/>
  <c r="I339" i="8"/>
  <c r="O339" i="8" s="1"/>
  <c r="N339" i="8"/>
  <c r="G340" i="8"/>
  <c r="M340" i="8" s="1"/>
  <c r="H340" i="8"/>
  <c r="N340" i="8" s="1"/>
  <c r="I340" i="8"/>
  <c r="O340" i="8" s="1"/>
  <c r="G341" i="8"/>
  <c r="M341" i="8" s="1"/>
  <c r="H341" i="8"/>
  <c r="I341" i="8"/>
  <c r="O341" i="8" s="1"/>
  <c r="N341" i="8"/>
  <c r="G342" i="8"/>
  <c r="M342" i="8" s="1"/>
  <c r="H342" i="8"/>
  <c r="N342" i="8" s="1"/>
  <c r="I342" i="8"/>
  <c r="O342" i="8" s="1"/>
  <c r="G343" i="8"/>
  <c r="M343" i="8" s="1"/>
  <c r="H343" i="8"/>
  <c r="N343" i="8" s="1"/>
  <c r="I343" i="8"/>
  <c r="O343" i="8" s="1"/>
  <c r="O333" i="8"/>
  <c r="N333" i="8"/>
  <c r="M333" i="8"/>
  <c r="O332" i="8"/>
  <c r="N332" i="8"/>
  <c r="M332" i="8"/>
  <c r="O331" i="8"/>
  <c r="N331" i="8"/>
  <c r="M331" i="8"/>
  <c r="O330" i="8"/>
  <c r="N330" i="8"/>
  <c r="M330" i="8"/>
  <c r="O329" i="8"/>
  <c r="N329" i="8"/>
  <c r="M329" i="8"/>
  <c r="O328" i="8"/>
  <c r="N328" i="8"/>
  <c r="M328" i="8"/>
  <c r="F318" i="8"/>
  <c r="F319" i="8"/>
  <c r="F320" i="8"/>
  <c r="F321" i="8"/>
  <c r="F322" i="8"/>
  <c r="E318" i="8"/>
  <c r="E319" i="8"/>
  <c r="E320" i="8"/>
  <c r="E321" i="8"/>
  <c r="E322" i="8"/>
  <c r="E317" i="8"/>
  <c r="F317" i="8"/>
  <c r="D318" i="8"/>
  <c r="D319" i="8"/>
  <c r="D320" i="8"/>
  <c r="D321" i="8"/>
  <c r="D322" i="8"/>
  <c r="D317" i="8"/>
  <c r="I322" i="8"/>
  <c r="O322" i="8" s="1"/>
  <c r="H322" i="8"/>
  <c r="N322" i="8" s="1"/>
  <c r="G322" i="8"/>
  <c r="M322" i="8" s="1"/>
  <c r="I321" i="8"/>
  <c r="O321" i="8" s="1"/>
  <c r="H321" i="8"/>
  <c r="N321" i="8" s="1"/>
  <c r="G321" i="8"/>
  <c r="M321" i="8" s="1"/>
  <c r="I320" i="8"/>
  <c r="O320" i="8" s="1"/>
  <c r="H320" i="8"/>
  <c r="N320" i="8" s="1"/>
  <c r="G320" i="8"/>
  <c r="M320" i="8" s="1"/>
  <c r="I319" i="8"/>
  <c r="O319" i="8" s="1"/>
  <c r="H319" i="8"/>
  <c r="N319" i="8" s="1"/>
  <c r="G319" i="8"/>
  <c r="M319" i="8" s="1"/>
  <c r="I318" i="8"/>
  <c r="O318" i="8"/>
  <c r="H318" i="8"/>
  <c r="N318" i="8" s="1"/>
  <c r="G318" i="8"/>
  <c r="M318" i="8" s="1"/>
  <c r="I317" i="8"/>
  <c r="O317" i="8" s="1"/>
  <c r="H317" i="8"/>
  <c r="N317" i="8" s="1"/>
  <c r="G317" i="8"/>
  <c r="M317" i="8" s="1"/>
  <c r="O312" i="8"/>
  <c r="N312" i="8"/>
  <c r="M312" i="8"/>
  <c r="O311" i="8"/>
  <c r="N311" i="8"/>
  <c r="M311" i="8"/>
  <c r="O310" i="8"/>
  <c r="N310" i="8"/>
  <c r="M310" i="8"/>
  <c r="O309" i="8"/>
  <c r="N309" i="8"/>
  <c r="M309" i="8"/>
  <c r="O308" i="8"/>
  <c r="N308" i="8"/>
  <c r="M308" i="8"/>
  <c r="O307" i="8"/>
  <c r="N307" i="8"/>
  <c r="M307" i="8"/>
  <c r="F298" i="8"/>
  <c r="F299" i="8"/>
  <c r="F300" i="8"/>
  <c r="F301" i="8"/>
  <c r="F302" i="8"/>
  <c r="E298" i="8"/>
  <c r="E299" i="8"/>
  <c r="E300" i="8"/>
  <c r="E301" i="8"/>
  <c r="E302" i="8"/>
  <c r="E297" i="8"/>
  <c r="F297" i="8"/>
  <c r="D298" i="8"/>
  <c r="D299" i="8"/>
  <c r="D300" i="8"/>
  <c r="D301" i="8"/>
  <c r="D302" i="8"/>
  <c r="D297" i="8"/>
  <c r="I302" i="8"/>
  <c r="O302" i="8" s="1"/>
  <c r="H302" i="8"/>
  <c r="N302" i="8" s="1"/>
  <c r="G302" i="8"/>
  <c r="M302" i="8" s="1"/>
  <c r="I301" i="8"/>
  <c r="O301" i="8" s="1"/>
  <c r="H301" i="8"/>
  <c r="N301" i="8" s="1"/>
  <c r="G301" i="8"/>
  <c r="M301" i="8" s="1"/>
  <c r="I300" i="8"/>
  <c r="O300" i="8" s="1"/>
  <c r="H300" i="8"/>
  <c r="N300" i="8" s="1"/>
  <c r="G300" i="8"/>
  <c r="M300" i="8" s="1"/>
  <c r="I299" i="8"/>
  <c r="O299" i="8" s="1"/>
  <c r="H299" i="8"/>
  <c r="N299" i="8" s="1"/>
  <c r="G299" i="8"/>
  <c r="M299" i="8" s="1"/>
  <c r="I298" i="8"/>
  <c r="O298" i="8" s="1"/>
  <c r="H298" i="8"/>
  <c r="N298" i="8" s="1"/>
  <c r="G298" i="8"/>
  <c r="M298" i="8" s="1"/>
  <c r="I297" i="8"/>
  <c r="O297" i="8" s="1"/>
  <c r="H297" i="8"/>
  <c r="N297" i="8" s="1"/>
  <c r="G297" i="8"/>
  <c r="M297" i="8" s="1"/>
  <c r="O292" i="8"/>
  <c r="N292" i="8"/>
  <c r="M292" i="8"/>
  <c r="O291" i="8"/>
  <c r="N291" i="8"/>
  <c r="M291" i="8"/>
  <c r="O290" i="8"/>
  <c r="N290" i="8"/>
  <c r="M290" i="8"/>
  <c r="O289" i="8"/>
  <c r="N289" i="8"/>
  <c r="M289" i="8"/>
  <c r="O288" i="8"/>
  <c r="N288" i="8"/>
  <c r="M288" i="8"/>
  <c r="O287" i="8"/>
  <c r="N287" i="8"/>
  <c r="M287" i="8"/>
  <c r="F278" i="8"/>
  <c r="F279" i="8"/>
  <c r="F280" i="8"/>
  <c r="F281" i="8"/>
  <c r="F282" i="8"/>
  <c r="E278" i="8"/>
  <c r="E279" i="8"/>
  <c r="E280" i="8"/>
  <c r="E281" i="8"/>
  <c r="E282" i="8"/>
  <c r="E277" i="8"/>
  <c r="F277" i="8"/>
  <c r="D278" i="8"/>
  <c r="D279" i="8"/>
  <c r="D280" i="8"/>
  <c r="D281" i="8"/>
  <c r="D282" i="8"/>
  <c r="D277" i="8"/>
  <c r="I282" i="8"/>
  <c r="O282" i="8" s="1"/>
  <c r="H282" i="8"/>
  <c r="N282" i="8" s="1"/>
  <c r="G282" i="8"/>
  <c r="M282" i="8" s="1"/>
  <c r="I281" i="8"/>
  <c r="O281" i="8" s="1"/>
  <c r="H281" i="8"/>
  <c r="N281" i="8" s="1"/>
  <c r="G281" i="8"/>
  <c r="M281" i="8" s="1"/>
  <c r="I280" i="8"/>
  <c r="O280" i="8" s="1"/>
  <c r="H280" i="8"/>
  <c r="N280" i="8" s="1"/>
  <c r="G280" i="8"/>
  <c r="M280" i="8" s="1"/>
  <c r="I279" i="8"/>
  <c r="O279" i="8" s="1"/>
  <c r="H279" i="8"/>
  <c r="N279" i="8" s="1"/>
  <c r="G279" i="8"/>
  <c r="M279" i="8" s="1"/>
  <c r="I278" i="8"/>
  <c r="O278" i="8" s="1"/>
  <c r="H278" i="8"/>
  <c r="N278" i="8" s="1"/>
  <c r="G278" i="8"/>
  <c r="M278" i="8" s="1"/>
  <c r="I277" i="8"/>
  <c r="O277" i="8" s="1"/>
  <c r="H277" i="8"/>
  <c r="N277" i="8" s="1"/>
  <c r="G277" i="8"/>
  <c r="M277" i="8" s="1"/>
  <c r="O272" i="8"/>
  <c r="N272" i="8"/>
  <c r="M272" i="8"/>
  <c r="O271" i="8"/>
  <c r="N271" i="8"/>
  <c r="M271" i="8"/>
  <c r="O270" i="8"/>
  <c r="N270" i="8"/>
  <c r="M270" i="8"/>
  <c r="O269" i="8"/>
  <c r="N269" i="8"/>
  <c r="M269" i="8"/>
  <c r="O268" i="8"/>
  <c r="N268" i="8"/>
  <c r="M268" i="8"/>
  <c r="O267" i="8"/>
  <c r="N267" i="8"/>
  <c r="M267" i="8"/>
  <c r="F258" i="8"/>
  <c r="F259" i="8"/>
  <c r="F260" i="8"/>
  <c r="F261" i="8"/>
  <c r="F262" i="8"/>
  <c r="E258" i="8"/>
  <c r="E259" i="8"/>
  <c r="E260" i="8"/>
  <c r="E261" i="8"/>
  <c r="E262" i="8"/>
  <c r="E257" i="8"/>
  <c r="F257" i="8"/>
  <c r="D258" i="8"/>
  <c r="D259" i="8"/>
  <c r="D260" i="8"/>
  <c r="D261" i="8"/>
  <c r="D262" i="8"/>
  <c r="D257" i="8"/>
  <c r="I262" i="8"/>
  <c r="O262" i="8" s="1"/>
  <c r="H262" i="8"/>
  <c r="N262" i="8" s="1"/>
  <c r="G262" i="8"/>
  <c r="M262" i="8" s="1"/>
  <c r="I261" i="8"/>
  <c r="O261" i="8" s="1"/>
  <c r="H261" i="8"/>
  <c r="N261" i="8" s="1"/>
  <c r="G261" i="8"/>
  <c r="M261" i="8" s="1"/>
  <c r="I260" i="8"/>
  <c r="O260" i="8" s="1"/>
  <c r="H260" i="8"/>
  <c r="N260" i="8" s="1"/>
  <c r="G260" i="8"/>
  <c r="M260" i="8" s="1"/>
  <c r="I259" i="8"/>
  <c r="O259" i="8" s="1"/>
  <c r="H259" i="8"/>
  <c r="N259" i="8" s="1"/>
  <c r="G259" i="8"/>
  <c r="M259" i="8" s="1"/>
  <c r="I258" i="8"/>
  <c r="O258" i="8" s="1"/>
  <c r="H258" i="8"/>
  <c r="N258" i="8" s="1"/>
  <c r="G258" i="8"/>
  <c r="M258" i="8" s="1"/>
  <c r="I257" i="8"/>
  <c r="O257" i="8" s="1"/>
  <c r="H257" i="8"/>
  <c r="N257" i="8" s="1"/>
  <c r="G257" i="8"/>
  <c r="M257" i="8" s="1"/>
  <c r="O252" i="8"/>
  <c r="N252" i="8"/>
  <c r="M252" i="8"/>
  <c r="O251" i="8"/>
  <c r="N251" i="8"/>
  <c r="M251" i="8"/>
  <c r="O250" i="8"/>
  <c r="N250" i="8"/>
  <c r="M250" i="8"/>
  <c r="O249" i="8"/>
  <c r="N249" i="8"/>
  <c r="M249" i="8"/>
  <c r="O248" i="8"/>
  <c r="N248" i="8"/>
  <c r="M248" i="8"/>
  <c r="O247" i="8"/>
  <c r="N247" i="8"/>
  <c r="M247" i="8"/>
  <c r="F238" i="8"/>
  <c r="F239" i="8"/>
  <c r="F240" i="8"/>
  <c r="F241" i="8"/>
  <c r="F242" i="8"/>
  <c r="E238" i="8"/>
  <c r="E239" i="8"/>
  <c r="E240" i="8"/>
  <c r="E241" i="8"/>
  <c r="E242" i="8"/>
  <c r="E237" i="8"/>
  <c r="F237" i="8"/>
  <c r="D238" i="8"/>
  <c r="D239" i="8"/>
  <c r="D240" i="8"/>
  <c r="D241" i="8"/>
  <c r="D242" i="8"/>
  <c r="D237" i="8"/>
  <c r="I242" i="8"/>
  <c r="O242" i="8" s="1"/>
  <c r="H242" i="8"/>
  <c r="N242" i="8" s="1"/>
  <c r="G242" i="8"/>
  <c r="M242" i="8" s="1"/>
  <c r="I241" i="8"/>
  <c r="O241" i="8" s="1"/>
  <c r="H241" i="8"/>
  <c r="N241" i="8" s="1"/>
  <c r="G241" i="8"/>
  <c r="M241" i="8" s="1"/>
  <c r="I240" i="8"/>
  <c r="O240" i="8" s="1"/>
  <c r="H240" i="8"/>
  <c r="N240" i="8" s="1"/>
  <c r="G240" i="8"/>
  <c r="M240" i="8" s="1"/>
  <c r="I239" i="8"/>
  <c r="O239" i="8" s="1"/>
  <c r="H239" i="8"/>
  <c r="N239" i="8" s="1"/>
  <c r="G239" i="8"/>
  <c r="M239" i="8" s="1"/>
  <c r="I238" i="8"/>
  <c r="O238" i="8" s="1"/>
  <c r="H238" i="8"/>
  <c r="N238" i="8" s="1"/>
  <c r="G238" i="8"/>
  <c r="M238" i="8" s="1"/>
  <c r="I237" i="8"/>
  <c r="O237" i="8" s="1"/>
  <c r="H237" i="8"/>
  <c r="N237" i="8" s="1"/>
  <c r="G237" i="8"/>
  <c r="M237" i="8" s="1"/>
  <c r="O232" i="8"/>
  <c r="N232" i="8"/>
  <c r="M232" i="8"/>
  <c r="O231" i="8"/>
  <c r="N231" i="8"/>
  <c r="M231" i="8"/>
  <c r="O230" i="8"/>
  <c r="N230" i="8"/>
  <c r="M230" i="8"/>
  <c r="O229" i="8"/>
  <c r="N229" i="8"/>
  <c r="M229" i="8"/>
  <c r="O228" i="8"/>
  <c r="N228" i="8"/>
  <c r="M228" i="8"/>
  <c r="O227" i="8"/>
  <c r="N227" i="8"/>
  <c r="M227" i="8"/>
  <c r="F218" i="8"/>
  <c r="F219" i="8"/>
  <c r="F220" i="8"/>
  <c r="F221" i="8"/>
  <c r="F222" i="8"/>
  <c r="E218" i="8"/>
  <c r="E219" i="8"/>
  <c r="E220" i="8"/>
  <c r="E221" i="8"/>
  <c r="E222" i="8"/>
  <c r="E217" i="8"/>
  <c r="F217" i="8"/>
  <c r="D218" i="8"/>
  <c r="D219" i="8"/>
  <c r="D220" i="8"/>
  <c r="D221" i="8"/>
  <c r="D222" i="8"/>
  <c r="D217" i="8"/>
  <c r="I222" i="8"/>
  <c r="O222" i="8" s="1"/>
  <c r="H222" i="8"/>
  <c r="N222" i="8" s="1"/>
  <c r="G222" i="8"/>
  <c r="M222" i="8" s="1"/>
  <c r="I221" i="8"/>
  <c r="O221" i="8" s="1"/>
  <c r="H221" i="8"/>
  <c r="N221" i="8" s="1"/>
  <c r="G221" i="8"/>
  <c r="M221" i="8" s="1"/>
  <c r="I220" i="8"/>
  <c r="O220" i="8" s="1"/>
  <c r="H220" i="8"/>
  <c r="N220" i="8" s="1"/>
  <c r="G220" i="8"/>
  <c r="M220" i="8" s="1"/>
  <c r="I219" i="8"/>
  <c r="O219" i="8" s="1"/>
  <c r="H219" i="8"/>
  <c r="N219" i="8" s="1"/>
  <c r="G219" i="8"/>
  <c r="M219" i="8" s="1"/>
  <c r="I218" i="8"/>
  <c r="O218" i="8" s="1"/>
  <c r="H218" i="8"/>
  <c r="N218" i="8" s="1"/>
  <c r="G218" i="8"/>
  <c r="M218" i="8" s="1"/>
  <c r="I217" i="8"/>
  <c r="O217" i="8" s="1"/>
  <c r="H217" i="8"/>
  <c r="N217" i="8" s="1"/>
  <c r="G217" i="8"/>
  <c r="M217" i="8" s="1"/>
  <c r="O212" i="8"/>
  <c r="N212" i="8"/>
  <c r="M212" i="8"/>
  <c r="O211" i="8"/>
  <c r="N211" i="8"/>
  <c r="M211" i="8"/>
  <c r="O210" i="8"/>
  <c r="N210" i="8"/>
  <c r="M210" i="8"/>
  <c r="O209" i="8"/>
  <c r="N209" i="8"/>
  <c r="M209" i="8"/>
  <c r="O208" i="8"/>
  <c r="N208" i="8"/>
  <c r="M208" i="8"/>
  <c r="O207" i="8"/>
  <c r="N207" i="8"/>
  <c r="M207" i="8"/>
  <c r="F198" i="8"/>
  <c r="F199" i="8"/>
  <c r="F200" i="8"/>
  <c r="F201" i="8"/>
  <c r="F202" i="8"/>
  <c r="E198" i="8"/>
  <c r="E199" i="8"/>
  <c r="E200" i="8"/>
  <c r="E201" i="8"/>
  <c r="E202" i="8"/>
  <c r="E197" i="8"/>
  <c r="F197" i="8"/>
  <c r="D198" i="8"/>
  <c r="D199" i="8"/>
  <c r="D200" i="8"/>
  <c r="D201" i="8"/>
  <c r="D202" i="8"/>
  <c r="D197" i="8"/>
  <c r="I202" i="8"/>
  <c r="O202" i="8" s="1"/>
  <c r="H202" i="8"/>
  <c r="N202" i="8" s="1"/>
  <c r="G202" i="8"/>
  <c r="M202" i="8" s="1"/>
  <c r="I201" i="8"/>
  <c r="O201" i="8" s="1"/>
  <c r="H201" i="8"/>
  <c r="N201" i="8" s="1"/>
  <c r="G201" i="8"/>
  <c r="M201" i="8" s="1"/>
  <c r="I200" i="8"/>
  <c r="O200" i="8" s="1"/>
  <c r="H200" i="8"/>
  <c r="N200" i="8" s="1"/>
  <c r="G200" i="8"/>
  <c r="M200" i="8" s="1"/>
  <c r="I199" i="8"/>
  <c r="O199" i="8" s="1"/>
  <c r="H199" i="8"/>
  <c r="N199" i="8" s="1"/>
  <c r="G199" i="8"/>
  <c r="M199" i="8" s="1"/>
  <c r="I198" i="8"/>
  <c r="O198" i="8" s="1"/>
  <c r="H198" i="8"/>
  <c r="N198" i="8" s="1"/>
  <c r="G198" i="8"/>
  <c r="M198" i="8" s="1"/>
  <c r="I197" i="8"/>
  <c r="O197" i="8" s="1"/>
  <c r="H197" i="8"/>
  <c r="N197" i="8" s="1"/>
  <c r="G197" i="8"/>
  <c r="M197" i="8" s="1"/>
  <c r="O192" i="8"/>
  <c r="N192" i="8"/>
  <c r="M192" i="8"/>
  <c r="O191" i="8"/>
  <c r="N191" i="8"/>
  <c r="M191" i="8"/>
  <c r="O190" i="8"/>
  <c r="N190" i="8"/>
  <c r="M190" i="8"/>
  <c r="O189" i="8"/>
  <c r="N189" i="8"/>
  <c r="M189" i="8"/>
  <c r="O188" i="8"/>
  <c r="N188" i="8"/>
  <c r="M188" i="8"/>
  <c r="O187" i="8"/>
  <c r="N187" i="8"/>
  <c r="M187" i="8"/>
  <c r="F178" i="8"/>
  <c r="F179" i="8"/>
  <c r="F180" i="8"/>
  <c r="F181" i="8"/>
  <c r="F182" i="8"/>
  <c r="E178" i="8"/>
  <c r="E179" i="8"/>
  <c r="E180" i="8"/>
  <c r="E181" i="8"/>
  <c r="E182" i="8"/>
  <c r="E177" i="8"/>
  <c r="F177" i="8"/>
  <c r="D178" i="8"/>
  <c r="D179" i="8"/>
  <c r="D180" i="8"/>
  <c r="D181" i="8"/>
  <c r="D182" i="8"/>
  <c r="D177" i="8"/>
  <c r="I182" i="8"/>
  <c r="O182" i="8" s="1"/>
  <c r="H182" i="8"/>
  <c r="N182" i="8" s="1"/>
  <c r="G182" i="8"/>
  <c r="M182" i="8" s="1"/>
  <c r="I181" i="8"/>
  <c r="O181" i="8" s="1"/>
  <c r="H181" i="8"/>
  <c r="N181" i="8" s="1"/>
  <c r="G181" i="8"/>
  <c r="M181" i="8" s="1"/>
  <c r="I180" i="8"/>
  <c r="O180" i="8" s="1"/>
  <c r="H180" i="8"/>
  <c r="N180" i="8" s="1"/>
  <c r="G180" i="8"/>
  <c r="M180" i="8" s="1"/>
  <c r="I179" i="8"/>
  <c r="O179" i="8" s="1"/>
  <c r="H179" i="8"/>
  <c r="N179" i="8" s="1"/>
  <c r="G179" i="8"/>
  <c r="M179" i="8" s="1"/>
  <c r="I178" i="8"/>
  <c r="O178" i="8" s="1"/>
  <c r="H178" i="8"/>
  <c r="N178" i="8" s="1"/>
  <c r="G178" i="8"/>
  <c r="M178" i="8" s="1"/>
  <c r="I177" i="8"/>
  <c r="O177" i="8" s="1"/>
  <c r="H177" i="8"/>
  <c r="N177" i="8" s="1"/>
  <c r="G177" i="8"/>
  <c r="M177" i="8" s="1"/>
  <c r="O172" i="8"/>
  <c r="N172" i="8"/>
  <c r="M172" i="8"/>
  <c r="O171" i="8"/>
  <c r="N171" i="8"/>
  <c r="M171" i="8"/>
  <c r="O170" i="8"/>
  <c r="N170" i="8"/>
  <c r="M170" i="8"/>
  <c r="O169" i="8"/>
  <c r="N169" i="8"/>
  <c r="M169" i="8"/>
  <c r="O168" i="8"/>
  <c r="N168" i="8"/>
  <c r="M168" i="8"/>
  <c r="O167" i="8"/>
  <c r="N167" i="8"/>
  <c r="M167" i="8"/>
  <c r="F158" i="8"/>
  <c r="F159" i="8"/>
  <c r="F160" i="8"/>
  <c r="F161" i="8"/>
  <c r="F162" i="8"/>
  <c r="E158" i="8"/>
  <c r="E159" i="8"/>
  <c r="E160" i="8"/>
  <c r="E161" i="8"/>
  <c r="E162" i="8"/>
  <c r="E157" i="8"/>
  <c r="F157" i="8"/>
  <c r="G157" i="8"/>
  <c r="M157" i="8" s="1"/>
  <c r="D158" i="8"/>
  <c r="D159" i="8"/>
  <c r="D160" i="8"/>
  <c r="D161" i="8"/>
  <c r="D162" i="8"/>
  <c r="D157" i="8"/>
  <c r="I162" i="8"/>
  <c r="O162" i="8" s="1"/>
  <c r="H162" i="8"/>
  <c r="N162" i="8" s="1"/>
  <c r="G162" i="8"/>
  <c r="M162" i="8" s="1"/>
  <c r="I161" i="8"/>
  <c r="O161" i="8" s="1"/>
  <c r="H161" i="8"/>
  <c r="N161" i="8" s="1"/>
  <c r="G161" i="8"/>
  <c r="M161" i="8" s="1"/>
  <c r="I160" i="8"/>
  <c r="O160" i="8" s="1"/>
  <c r="H160" i="8"/>
  <c r="N160" i="8" s="1"/>
  <c r="G160" i="8"/>
  <c r="M160" i="8" s="1"/>
  <c r="I159" i="8"/>
  <c r="O159" i="8" s="1"/>
  <c r="H159" i="8"/>
  <c r="N159" i="8" s="1"/>
  <c r="G159" i="8"/>
  <c r="M159" i="8" s="1"/>
  <c r="I158" i="8"/>
  <c r="O158" i="8" s="1"/>
  <c r="H158" i="8"/>
  <c r="N158" i="8"/>
  <c r="G158" i="8"/>
  <c r="M158" i="8" s="1"/>
  <c r="I157" i="8"/>
  <c r="O157" i="8" s="1"/>
  <c r="H157" i="8"/>
  <c r="N157" i="8" s="1"/>
  <c r="O152" i="8"/>
  <c r="N152" i="8"/>
  <c r="M152" i="8"/>
  <c r="O151" i="8"/>
  <c r="N151" i="8"/>
  <c r="M151" i="8"/>
  <c r="O150" i="8"/>
  <c r="N150" i="8"/>
  <c r="M150" i="8"/>
  <c r="O149" i="8"/>
  <c r="N149" i="8"/>
  <c r="M149" i="8"/>
  <c r="O148" i="8"/>
  <c r="N148" i="8"/>
  <c r="M148" i="8"/>
  <c r="O147" i="8"/>
  <c r="N147" i="8"/>
  <c r="M147" i="8"/>
  <c r="F138" i="8"/>
  <c r="F139" i="8"/>
  <c r="F140" i="8"/>
  <c r="F141" i="8"/>
  <c r="F142" i="8"/>
  <c r="E138" i="8"/>
  <c r="E139" i="8"/>
  <c r="E140" i="8"/>
  <c r="E141" i="8"/>
  <c r="E142" i="8"/>
  <c r="E137" i="8"/>
  <c r="F137" i="8"/>
  <c r="D138" i="8"/>
  <c r="D139" i="8"/>
  <c r="D140" i="8"/>
  <c r="D141" i="8"/>
  <c r="D142" i="8"/>
  <c r="D137" i="8"/>
  <c r="I142" i="8"/>
  <c r="O142" i="8" s="1"/>
  <c r="H142" i="8"/>
  <c r="N142" i="8" s="1"/>
  <c r="G142" i="8"/>
  <c r="M142" i="8" s="1"/>
  <c r="I141" i="8"/>
  <c r="O141" i="8" s="1"/>
  <c r="H141" i="8"/>
  <c r="N141" i="8" s="1"/>
  <c r="G141" i="8"/>
  <c r="M141" i="8" s="1"/>
  <c r="I140" i="8"/>
  <c r="O140" i="8" s="1"/>
  <c r="H140" i="8"/>
  <c r="N140" i="8" s="1"/>
  <c r="G140" i="8"/>
  <c r="M140" i="8" s="1"/>
  <c r="I139" i="8"/>
  <c r="O139" i="8" s="1"/>
  <c r="H139" i="8"/>
  <c r="N139" i="8" s="1"/>
  <c r="G139" i="8"/>
  <c r="M139" i="8" s="1"/>
  <c r="I138" i="8"/>
  <c r="O138" i="8" s="1"/>
  <c r="H138" i="8"/>
  <c r="N138" i="8" s="1"/>
  <c r="G138" i="8"/>
  <c r="M138" i="8" s="1"/>
  <c r="I137" i="8"/>
  <c r="O137" i="8" s="1"/>
  <c r="H137" i="8"/>
  <c r="N137" i="8" s="1"/>
  <c r="G137" i="8"/>
  <c r="M137" i="8" s="1"/>
  <c r="O132" i="8"/>
  <c r="N132" i="8"/>
  <c r="M132" i="8"/>
  <c r="O131" i="8"/>
  <c r="N131" i="8"/>
  <c r="M131" i="8"/>
  <c r="O130" i="8"/>
  <c r="N130" i="8"/>
  <c r="M130" i="8"/>
  <c r="O129" i="8"/>
  <c r="N129" i="8"/>
  <c r="M129" i="8"/>
  <c r="O128" i="8"/>
  <c r="N128" i="8"/>
  <c r="M128" i="8"/>
  <c r="O127" i="8"/>
  <c r="N127" i="8"/>
  <c r="M127" i="8"/>
  <c r="F122" i="8"/>
  <c r="E122" i="8"/>
  <c r="D122" i="8"/>
  <c r="F118" i="8"/>
  <c r="F119" i="8"/>
  <c r="F120" i="8"/>
  <c r="F121" i="8"/>
  <c r="E118" i="8"/>
  <c r="E119" i="8"/>
  <c r="E120" i="8"/>
  <c r="E121" i="8"/>
  <c r="E117" i="8"/>
  <c r="F117" i="8"/>
  <c r="D118" i="8"/>
  <c r="D119" i="8"/>
  <c r="D120" i="8"/>
  <c r="D121" i="8"/>
  <c r="D117" i="8"/>
  <c r="I122" i="8"/>
  <c r="O122" i="8" s="1"/>
  <c r="H122" i="8"/>
  <c r="N122" i="8" s="1"/>
  <c r="G122" i="8"/>
  <c r="M122" i="8" s="1"/>
  <c r="I121" i="8"/>
  <c r="O121" i="8" s="1"/>
  <c r="H121" i="8"/>
  <c r="N121" i="8" s="1"/>
  <c r="G121" i="8"/>
  <c r="M121" i="8" s="1"/>
  <c r="I120" i="8"/>
  <c r="O120" i="8" s="1"/>
  <c r="H120" i="8"/>
  <c r="N120" i="8" s="1"/>
  <c r="G120" i="8"/>
  <c r="M120" i="8" s="1"/>
  <c r="I119" i="8"/>
  <c r="O119" i="8" s="1"/>
  <c r="H119" i="8"/>
  <c r="N119" i="8" s="1"/>
  <c r="G119" i="8"/>
  <c r="M119" i="8" s="1"/>
  <c r="I118" i="8"/>
  <c r="O118" i="8" s="1"/>
  <c r="H118" i="8"/>
  <c r="N118" i="8" s="1"/>
  <c r="G118" i="8"/>
  <c r="M118" i="8" s="1"/>
  <c r="I117" i="8"/>
  <c r="O117" i="8" s="1"/>
  <c r="H117" i="8"/>
  <c r="N117" i="8" s="1"/>
  <c r="G117" i="8"/>
  <c r="M117" i="8"/>
  <c r="O112" i="8"/>
  <c r="N112" i="8"/>
  <c r="M112" i="8"/>
  <c r="O111" i="8"/>
  <c r="N111" i="8"/>
  <c r="M111" i="8"/>
  <c r="O110" i="8"/>
  <c r="N110" i="8"/>
  <c r="M110" i="8"/>
  <c r="O109" i="8"/>
  <c r="N109" i="8"/>
  <c r="M109" i="8"/>
  <c r="O108" i="8"/>
  <c r="N108" i="8"/>
  <c r="M108" i="8"/>
  <c r="O107" i="8"/>
  <c r="N107" i="8"/>
  <c r="M107" i="8"/>
  <c r="F98" i="8"/>
  <c r="F99" i="8"/>
  <c r="F100" i="8"/>
  <c r="F101" i="8"/>
  <c r="F102" i="8"/>
  <c r="E98" i="8"/>
  <c r="E99" i="8"/>
  <c r="E100" i="8"/>
  <c r="E101" i="8"/>
  <c r="E102" i="8"/>
  <c r="E97" i="8"/>
  <c r="F97" i="8"/>
  <c r="D98" i="8"/>
  <c r="D99" i="8"/>
  <c r="D100" i="8"/>
  <c r="D101" i="8"/>
  <c r="D102" i="8"/>
  <c r="D97" i="8"/>
  <c r="I102" i="8"/>
  <c r="O102" i="8" s="1"/>
  <c r="H102" i="8"/>
  <c r="N102" i="8" s="1"/>
  <c r="G102" i="8"/>
  <c r="M102" i="8" s="1"/>
  <c r="L92" i="8"/>
  <c r="L102" i="8" s="1"/>
  <c r="K92" i="8"/>
  <c r="K102" i="8" s="1"/>
  <c r="J92" i="8"/>
  <c r="J102" i="8" s="1"/>
  <c r="I101" i="8"/>
  <c r="O101" i="8" s="1"/>
  <c r="H101" i="8"/>
  <c r="N101" i="8" s="1"/>
  <c r="G101" i="8"/>
  <c r="M101" i="8" s="1"/>
  <c r="L91" i="8"/>
  <c r="L111" i="3"/>
  <c r="L40" i="3"/>
  <c r="K91" i="8"/>
  <c r="K111" i="3"/>
  <c r="K121" i="3" s="1"/>
  <c r="K40" i="3"/>
  <c r="J91" i="8"/>
  <c r="J111" i="3"/>
  <c r="J40" i="3"/>
  <c r="I100" i="8"/>
  <c r="O100" i="8" s="1"/>
  <c r="H100" i="8"/>
  <c r="N100" i="8" s="1"/>
  <c r="G100" i="8"/>
  <c r="M100" i="8" s="1"/>
  <c r="L90" i="8"/>
  <c r="L110" i="3"/>
  <c r="L39" i="3"/>
  <c r="K90" i="8"/>
  <c r="K110" i="3"/>
  <c r="K39" i="3"/>
  <c r="J90" i="8"/>
  <c r="J110" i="3"/>
  <c r="J39" i="3"/>
  <c r="I99" i="8"/>
  <c r="O99" i="8" s="1"/>
  <c r="H99" i="8"/>
  <c r="N99" i="8" s="1"/>
  <c r="G99" i="8"/>
  <c r="M99" i="8"/>
  <c r="L89" i="8"/>
  <c r="L109" i="3"/>
  <c r="L38" i="3"/>
  <c r="K89" i="8"/>
  <c r="K109" i="3"/>
  <c r="K38" i="3"/>
  <c r="J89" i="8"/>
  <c r="J109" i="3"/>
  <c r="J38" i="3"/>
  <c r="I98" i="8"/>
  <c r="O98" i="8" s="1"/>
  <c r="H98" i="8"/>
  <c r="N98" i="8" s="1"/>
  <c r="G98" i="8"/>
  <c r="M98" i="8" s="1"/>
  <c r="L88" i="8"/>
  <c r="L108" i="3"/>
  <c r="L37" i="3"/>
  <c r="K88" i="8"/>
  <c r="K108" i="3"/>
  <c r="K37" i="3"/>
  <c r="J88" i="8"/>
  <c r="J108" i="3"/>
  <c r="J37" i="3"/>
  <c r="I97" i="8"/>
  <c r="O97" i="8" s="1"/>
  <c r="H97" i="8"/>
  <c r="N97" i="8" s="1"/>
  <c r="G97" i="8"/>
  <c r="M97" i="8" s="1"/>
  <c r="L87" i="8"/>
  <c r="L107" i="3"/>
  <c r="L36" i="3"/>
  <c r="K87" i="8"/>
  <c r="K107" i="3"/>
  <c r="K36" i="3"/>
  <c r="J87" i="8"/>
  <c r="J107" i="3"/>
  <c r="J36" i="3"/>
  <c r="O92" i="8"/>
  <c r="N92" i="8"/>
  <c r="M92" i="8"/>
  <c r="O91" i="8"/>
  <c r="N91" i="8"/>
  <c r="M91" i="8"/>
  <c r="O90" i="8"/>
  <c r="N90" i="8"/>
  <c r="M90" i="8"/>
  <c r="O89" i="8"/>
  <c r="N89" i="8"/>
  <c r="M89" i="8"/>
  <c r="O88" i="8"/>
  <c r="N88" i="8"/>
  <c r="M88" i="8"/>
  <c r="O87" i="8"/>
  <c r="N87" i="8"/>
  <c r="M87" i="8"/>
  <c r="F78" i="8"/>
  <c r="F79" i="8"/>
  <c r="F80" i="8"/>
  <c r="F81" i="8"/>
  <c r="F82" i="8"/>
  <c r="E78" i="8"/>
  <c r="E79" i="8"/>
  <c r="E80" i="8"/>
  <c r="E81" i="8"/>
  <c r="E82" i="8"/>
  <c r="E77" i="8"/>
  <c r="F77" i="8"/>
  <c r="D78" i="8"/>
  <c r="D79" i="8"/>
  <c r="D80" i="8"/>
  <c r="D81" i="8"/>
  <c r="D82" i="8"/>
  <c r="D77" i="8"/>
  <c r="I82" i="8"/>
  <c r="O82" i="8" s="1"/>
  <c r="H82" i="8"/>
  <c r="N82" i="8" s="1"/>
  <c r="G82" i="8"/>
  <c r="M82" i="8" s="1"/>
  <c r="L72" i="8"/>
  <c r="L82" i="8" s="1"/>
  <c r="K72" i="8"/>
  <c r="K82" i="8" s="1"/>
  <c r="J72" i="8"/>
  <c r="J82" i="8" s="1"/>
  <c r="I81" i="8"/>
  <c r="O81" i="8" s="1"/>
  <c r="H81" i="8"/>
  <c r="N81" i="8" s="1"/>
  <c r="G81" i="8"/>
  <c r="M81" i="8" s="1"/>
  <c r="L71" i="8"/>
  <c r="L91" i="3"/>
  <c r="K71" i="8"/>
  <c r="K91" i="3"/>
  <c r="K101" i="3" s="1"/>
  <c r="J71" i="8"/>
  <c r="J91" i="3"/>
  <c r="J101" i="3" s="1"/>
  <c r="I80" i="8"/>
  <c r="O80" i="8" s="1"/>
  <c r="H80" i="8"/>
  <c r="N80" i="8"/>
  <c r="G80" i="8"/>
  <c r="M80" i="8"/>
  <c r="L70" i="8"/>
  <c r="L90" i="3"/>
  <c r="L100" i="3" s="1"/>
  <c r="K70" i="8"/>
  <c r="K90" i="3"/>
  <c r="J70" i="8"/>
  <c r="J90" i="3"/>
  <c r="I79" i="8"/>
  <c r="O79" i="8" s="1"/>
  <c r="H79" i="8"/>
  <c r="N79" i="8" s="1"/>
  <c r="G79" i="8"/>
  <c r="M79" i="8"/>
  <c r="L69" i="8"/>
  <c r="L89" i="3"/>
  <c r="K69" i="8"/>
  <c r="K89" i="3"/>
  <c r="K99" i="3" s="1"/>
  <c r="J69" i="8"/>
  <c r="J89" i="3"/>
  <c r="I78" i="8"/>
  <c r="O78" i="8" s="1"/>
  <c r="H78" i="8"/>
  <c r="N78" i="8" s="1"/>
  <c r="G78" i="8"/>
  <c r="M78" i="8"/>
  <c r="L68" i="8"/>
  <c r="L88" i="3"/>
  <c r="K68" i="8"/>
  <c r="K88" i="3"/>
  <c r="J68" i="8"/>
  <c r="J88" i="3"/>
  <c r="J98" i="3" s="1"/>
  <c r="I77" i="8"/>
  <c r="O77" i="8" s="1"/>
  <c r="H77" i="8"/>
  <c r="N77" i="8" s="1"/>
  <c r="G77" i="8"/>
  <c r="M77" i="8" s="1"/>
  <c r="L67" i="8"/>
  <c r="L87" i="3"/>
  <c r="K67" i="8"/>
  <c r="K87" i="3"/>
  <c r="J67" i="8"/>
  <c r="J87" i="3"/>
  <c r="O72" i="8"/>
  <c r="N72" i="8"/>
  <c r="M72" i="8"/>
  <c r="O71" i="8"/>
  <c r="N71" i="8"/>
  <c r="M71" i="8"/>
  <c r="O70" i="8"/>
  <c r="N70" i="8"/>
  <c r="M70" i="8"/>
  <c r="O69" i="8"/>
  <c r="N69" i="8"/>
  <c r="M69" i="8"/>
  <c r="O68" i="8"/>
  <c r="N68" i="8"/>
  <c r="M68" i="8"/>
  <c r="O67" i="8"/>
  <c r="N67" i="8"/>
  <c r="M67" i="8"/>
  <c r="F58" i="8"/>
  <c r="F59" i="8"/>
  <c r="F60" i="8"/>
  <c r="F61" i="8"/>
  <c r="F62" i="8"/>
  <c r="E58" i="8"/>
  <c r="E59" i="8"/>
  <c r="E60" i="8"/>
  <c r="E61" i="8"/>
  <c r="E62" i="8"/>
  <c r="E57" i="8"/>
  <c r="F57" i="8"/>
  <c r="D58" i="8"/>
  <c r="D59" i="8"/>
  <c r="D60" i="8"/>
  <c r="D61" i="8"/>
  <c r="D62" i="8"/>
  <c r="D57" i="8"/>
  <c r="I62" i="8"/>
  <c r="O62" i="8" s="1"/>
  <c r="H62" i="8"/>
  <c r="N62" i="8" s="1"/>
  <c r="G62" i="8"/>
  <c r="M62" i="8" s="1"/>
  <c r="L52" i="8"/>
  <c r="L62" i="8" s="1"/>
  <c r="K52" i="8"/>
  <c r="K62" i="8" s="1"/>
  <c r="J52" i="8"/>
  <c r="J62" i="8" s="1"/>
  <c r="I61" i="8"/>
  <c r="O61" i="8" s="1"/>
  <c r="H61" i="8"/>
  <c r="N61" i="8" s="1"/>
  <c r="G61" i="8"/>
  <c r="M61" i="8" s="1"/>
  <c r="L51" i="8"/>
  <c r="L71" i="3"/>
  <c r="K51" i="8"/>
  <c r="K71" i="3"/>
  <c r="J51" i="8"/>
  <c r="J71" i="3"/>
  <c r="J81" i="3" s="1"/>
  <c r="I60" i="8"/>
  <c r="O60" i="8" s="1"/>
  <c r="H60" i="8"/>
  <c r="N60" i="8" s="1"/>
  <c r="G60" i="8"/>
  <c r="M60" i="8" s="1"/>
  <c r="L50" i="8"/>
  <c r="L70" i="3"/>
  <c r="K50" i="8"/>
  <c r="K70" i="3"/>
  <c r="J50" i="8"/>
  <c r="J70" i="3"/>
  <c r="I59" i="8"/>
  <c r="O59" i="8" s="1"/>
  <c r="H59" i="8"/>
  <c r="N59" i="8" s="1"/>
  <c r="G59" i="8"/>
  <c r="M59" i="8" s="1"/>
  <c r="L49" i="8"/>
  <c r="L69" i="3"/>
  <c r="K49" i="8"/>
  <c r="K69" i="3"/>
  <c r="K79" i="3" s="1"/>
  <c r="J49" i="8"/>
  <c r="J69" i="3"/>
  <c r="J79" i="3" s="1"/>
  <c r="I58" i="8"/>
  <c r="O58" i="8" s="1"/>
  <c r="H58" i="8"/>
  <c r="N58" i="8" s="1"/>
  <c r="G58" i="8"/>
  <c r="M58" i="8" s="1"/>
  <c r="L48" i="8"/>
  <c r="L68" i="3"/>
  <c r="K48" i="8"/>
  <c r="K68" i="3"/>
  <c r="K78" i="3" s="1"/>
  <c r="J48" i="8"/>
  <c r="J68" i="3"/>
  <c r="J78" i="3" s="1"/>
  <c r="I57" i="8"/>
  <c r="O57" i="8" s="1"/>
  <c r="H57" i="8"/>
  <c r="N57" i="8" s="1"/>
  <c r="G57" i="8"/>
  <c r="M57" i="8" s="1"/>
  <c r="L47" i="8"/>
  <c r="L67" i="3"/>
  <c r="K47" i="8"/>
  <c r="K67" i="3"/>
  <c r="K77" i="3" s="1"/>
  <c r="J47" i="8"/>
  <c r="J67" i="3"/>
  <c r="J77" i="3" s="1"/>
  <c r="O52" i="8"/>
  <c r="N52" i="8"/>
  <c r="M52" i="8"/>
  <c r="O51" i="8"/>
  <c r="N51" i="8"/>
  <c r="M51" i="8"/>
  <c r="O50" i="8"/>
  <c r="N50" i="8"/>
  <c r="M50" i="8"/>
  <c r="O49" i="8"/>
  <c r="N49" i="8"/>
  <c r="M49" i="8"/>
  <c r="O48" i="8"/>
  <c r="N48" i="8"/>
  <c r="M48" i="8"/>
  <c r="O47" i="8"/>
  <c r="N47" i="8"/>
  <c r="M47" i="8"/>
  <c r="F38" i="8"/>
  <c r="F39" i="8"/>
  <c r="F40" i="8"/>
  <c r="F41" i="8"/>
  <c r="F42" i="8"/>
  <c r="E38" i="8"/>
  <c r="E39" i="8"/>
  <c r="E40" i="8"/>
  <c r="E41" i="8"/>
  <c r="E42" i="8"/>
  <c r="E37" i="8"/>
  <c r="F37" i="8"/>
  <c r="D38" i="8"/>
  <c r="D39" i="8"/>
  <c r="D40" i="8"/>
  <c r="D41" i="8"/>
  <c r="D42" i="8"/>
  <c r="D37" i="8"/>
  <c r="I42" i="8"/>
  <c r="O42" i="8" s="1"/>
  <c r="H42" i="8"/>
  <c r="N42" i="8" s="1"/>
  <c r="G42" i="8"/>
  <c r="M42" i="8" s="1"/>
  <c r="L32" i="8"/>
  <c r="L42" i="8" s="1"/>
  <c r="K32" i="8"/>
  <c r="K42" i="8"/>
  <c r="J32" i="8"/>
  <c r="J42" i="8"/>
  <c r="I41" i="8"/>
  <c r="O41" i="8" s="1"/>
  <c r="H41" i="8"/>
  <c r="N41" i="8" s="1"/>
  <c r="G41" i="8"/>
  <c r="M41" i="8" s="1"/>
  <c r="L31" i="8"/>
  <c r="L41" i="8" s="1"/>
  <c r="K31" i="8"/>
  <c r="K41" i="8" s="1"/>
  <c r="J31" i="8"/>
  <c r="J41" i="8" s="1"/>
  <c r="I40" i="8"/>
  <c r="O40" i="8" s="1"/>
  <c r="H40" i="8"/>
  <c r="N40" i="8" s="1"/>
  <c r="G40" i="8"/>
  <c r="M40" i="8" s="1"/>
  <c r="L30" i="8"/>
  <c r="L168" i="2"/>
  <c r="K30" i="8"/>
  <c r="K168" i="2"/>
  <c r="K60" i="3" s="1"/>
  <c r="J30" i="8"/>
  <c r="J168" i="2"/>
  <c r="I39" i="8"/>
  <c r="O39" i="8" s="1"/>
  <c r="H39" i="8"/>
  <c r="N39" i="8"/>
  <c r="G39" i="8"/>
  <c r="M39" i="8" s="1"/>
  <c r="L29" i="8"/>
  <c r="L167" i="2"/>
  <c r="L59" i="3" s="1"/>
  <c r="K29" i="8"/>
  <c r="K167" i="2"/>
  <c r="J29" i="8"/>
  <c r="J167" i="2"/>
  <c r="I38" i="8"/>
  <c r="O38" i="8" s="1"/>
  <c r="H38" i="8"/>
  <c r="N38" i="8" s="1"/>
  <c r="G38" i="8"/>
  <c r="M38" i="8" s="1"/>
  <c r="L28" i="8"/>
  <c r="L166" i="2"/>
  <c r="K28" i="8"/>
  <c r="K166" i="2"/>
  <c r="K58" i="3" s="1"/>
  <c r="J28" i="8"/>
  <c r="J166" i="2"/>
  <c r="I37" i="8"/>
  <c r="O37" i="8" s="1"/>
  <c r="H37" i="8"/>
  <c r="N37" i="8" s="1"/>
  <c r="G37" i="8"/>
  <c r="M37" i="8" s="1"/>
  <c r="L27" i="8"/>
  <c r="L165" i="2"/>
  <c r="K27" i="8"/>
  <c r="K165" i="2"/>
  <c r="J27" i="8"/>
  <c r="J165" i="2"/>
  <c r="O32" i="8"/>
  <c r="N32" i="8"/>
  <c r="M32" i="8"/>
  <c r="O31" i="8"/>
  <c r="N31" i="8"/>
  <c r="M31" i="8"/>
  <c r="O30" i="8"/>
  <c r="N30" i="8"/>
  <c r="M30" i="8"/>
  <c r="O29" i="8"/>
  <c r="N29" i="8"/>
  <c r="M29" i="8"/>
  <c r="O28" i="8"/>
  <c r="N28" i="8"/>
  <c r="M28" i="8"/>
  <c r="O27" i="8"/>
  <c r="N27" i="8"/>
  <c r="M27" i="8"/>
  <c r="F16" i="8"/>
  <c r="F17" i="8"/>
  <c r="F18" i="8"/>
  <c r="F19" i="8"/>
  <c r="F20" i="8"/>
  <c r="E16" i="8"/>
  <c r="E17" i="8"/>
  <c r="E18" i="8"/>
  <c r="E19" i="8"/>
  <c r="E20" i="8"/>
  <c r="E15" i="8"/>
  <c r="F15" i="8"/>
  <c r="D16" i="8"/>
  <c r="D17" i="8"/>
  <c r="D18" i="8"/>
  <c r="D19" i="8"/>
  <c r="D20" i="8"/>
  <c r="D15" i="8"/>
  <c r="I20" i="8"/>
  <c r="O20" i="8" s="1"/>
  <c r="H20" i="8"/>
  <c r="N20" i="8" s="1"/>
  <c r="G20" i="8"/>
  <c r="M20" i="8" s="1"/>
  <c r="L10" i="8"/>
  <c r="K10" i="8"/>
  <c r="K20" i="8" s="1"/>
  <c r="J10" i="8"/>
  <c r="J20" i="8" s="1"/>
  <c r="I19" i="8"/>
  <c r="O19" i="8" s="1"/>
  <c r="H19" i="8"/>
  <c r="N19" i="8" s="1"/>
  <c r="G19" i="8"/>
  <c r="M19" i="8" s="1"/>
  <c r="L9" i="8"/>
  <c r="L19" i="8"/>
  <c r="K9" i="8"/>
  <c r="J9" i="8"/>
  <c r="I18" i="8"/>
  <c r="O18" i="8" s="1"/>
  <c r="H18" i="8"/>
  <c r="N18" i="8" s="1"/>
  <c r="G18" i="8"/>
  <c r="M18" i="8" s="1"/>
  <c r="L8" i="8"/>
  <c r="L18" i="8" s="1"/>
  <c r="K8" i="8"/>
  <c r="K18" i="8" s="1"/>
  <c r="J8" i="8"/>
  <c r="J18" i="8" s="1"/>
  <c r="I17" i="8"/>
  <c r="O17" i="8" s="1"/>
  <c r="H17" i="8"/>
  <c r="N17" i="8" s="1"/>
  <c r="G17" i="8"/>
  <c r="M17" i="8" s="1"/>
  <c r="L7" i="8"/>
  <c r="K7" i="8"/>
  <c r="J7" i="8"/>
  <c r="J17" i="8" s="1"/>
  <c r="I16" i="8"/>
  <c r="O16" i="8" s="1"/>
  <c r="H16" i="8"/>
  <c r="N16" i="8" s="1"/>
  <c r="G16" i="8"/>
  <c r="M16" i="8" s="1"/>
  <c r="L6" i="8"/>
  <c r="K6" i="8"/>
  <c r="K16" i="8" s="1"/>
  <c r="J6" i="8"/>
  <c r="J16" i="8" s="1"/>
  <c r="I15" i="8"/>
  <c r="O15" i="8" s="1"/>
  <c r="H15" i="8"/>
  <c r="N15" i="8" s="1"/>
  <c r="G15" i="8"/>
  <c r="M15" i="8" s="1"/>
  <c r="L5" i="8"/>
  <c r="L35" i="3"/>
  <c r="K5" i="8"/>
  <c r="K35" i="3"/>
  <c r="J5" i="8"/>
  <c r="J35" i="3"/>
  <c r="O10" i="8"/>
  <c r="N10" i="8"/>
  <c r="M10" i="8"/>
  <c r="O9" i="8"/>
  <c r="N9" i="8"/>
  <c r="M9" i="8"/>
  <c r="O8" i="8"/>
  <c r="N8" i="8"/>
  <c r="M8" i="8"/>
  <c r="O7" i="8"/>
  <c r="N7" i="8"/>
  <c r="M7" i="8"/>
  <c r="O6" i="8"/>
  <c r="N6" i="8"/>
  <c r="M6" i="8"/>
  <c r="O5" i="8"/>
  <c r="N5" i="8"/>
  <c r="M5" i="8"/>
  <c r="F568" i="5"/>
  <c r="F569" i="5"/>
  <c r="F570" i="5"/>
  <c r="F571" i="5"/>
  <c r="F572" i="5"/>
  <c r="E568" i="5"/>
  <c r="E569" i="5"/>
  <c r="E570" i="5"/>
  <c r="E571" i="5"/>
  <c r="E572" i="5"/>
  <c r="E567" i="5"/>
  <c r="F567" i="5"/>
  <c r="D568" i="5"/>
  <c r="D569" i="5"/>
  <c r="D570" i="5"/>
  <c r="D571" i="5"/>
  <c r="D572" i="5"/>
  <c r="D567" i="5"/>
  <c r="I572" i="5"/>
  <c r="O572" i="5" s="1"/>
  <c r="H572" i="5"/>
  <c r="N572" i="5" s="1"/>
  <c r="G572" i="5"/>
  <c r="M572" i="5" s="1"/>
  <c r="L562" i="5"/>
  <c r="L572" i="5" s="1"/>
  <c r="K562" i="5"/>
  <c r="K572" i="5" s="1"/>
  <c r="J562" i="5"/>
  <c r="J572" i="5" s="1"/>
  <c r="I571" i="5"/>
  <c r="O571" i="5" s="1"/>
  <c r="H571" i="5"/>
  <c r="N571" i="5" s="1"/>
  <c r="G571" i="5"/>
  <c r="M571" i="5" s="1"/>
  <c r="L561" i="5"/>
  <c r="L571" i="5" s="1"/>
  <c r="K561" i="5"/>
  <c r="K571" i="5" s="1"/>
  <c r="J561" i="5"/>
  <c r="J571" i="5" s="1"/>
  <c r="I570" i="5"/>
  <c r="O570" i="5" s="1"/>
  <c r="H570" i="5"/>
  <c r="N570" i="5" s="1"/>
  <c r="G570" i="5"/>
  <c r="M570" i="5" s="1"/>
  <c r="L560" i="5"/>
  <c r="L570" i="5" s="1"/>
  <c r="K560" i="5"/>
  <c r="K570" i="5" s="1"/>
  <c r="J560" i="5"/>
  <c r="J570" i="5" s="1"/>
  <c r="I569" i="5"/>
  <c r="O569" i="5" s="1"/>
  <c r="H569" i="5"/>
  <c r="N569" i="5" s="1"/>
  <c r="G569" i="5"/>
  <c r="M569" i="5" s="1"/>
  <c r="L559" i="5"/>
  <c r="L569" i="5" s="1"/>
  <c r="K559" i="5"/>
  <c r="K569" i="5" s="1"/>
  <c r="J559" i="5"/>
  <c r="J569" i="5" s="1"/>
  <c r="I568" i="5"/>
  <c r="O568" i="5" s="1"/>
  <c r="H568" i="5"/>
  <c r="N568" i="5" s="1"/>
  <c r="G568" i="5"/>
  <c r="M568" i="5" s="1"/>
  <c r="L558" i="5"/>
  <c r="L568" i="5" s="1"/>
  <c r="K558" i="5"/>
  <c r="K568" i="5" s="1"/>
  <c r="J558" i="5"/>
  <c r="J568" i="5" s="1"/>
  <c r="I567" i="5"/>
  <c r="O567" i="5" s="1"/>
  <c r="H567" i="5"/>
  <c r="N567" i="5" s="1"/>
  <c r="G567" i="5"/>
  <c r="M567" i="5" s="1"/>
  <c r="L557" i="5"/>
  <c r="L567" i="5" s="1"/>
  <c r="K557" i="5"/>
  <c r="K567" i="5" s="1"/>
  <c r="J557" i="5"/>
  <c r="J567" i="5" s="1"/>
  <c r="O562" i="5"/>
  <c r="N562" i="5"/>
  <c r="M562" i="5"/>
  <c r="O561" i="5"/>
  <c r="N561" i="5"/>
  <c r="M561" i="5"/>
  <c r="O560" i="5"/>
  <c r="N560" i="5"/>
  <c r="M560" i="5"/>
  <c r="O559" i="5"/>
  <c r="N559" i="5"/>
  <c r="M559" i="5"/>
  <c r="O558" i="5"/>
  <c r="N558" i="5"/>
  <c r="M558" i="5"/>
  <c r="O557" i="5"/>
  <c r="N557" i="5"/>
  <c r="M557" i="5"/>
  <c r="F548" i="5"/>
  <c r="F549" i="5"/>
  <c r="F550" i="5"/>
  <c r="F551" i="5"/>
  <c r="F552" i="5"/>
  <c r="E548" i="5"/>
  <c r="E549" i="5"/>
  <c r="E550" i="5"/>
  <c r="E551" i="5"/>
  <c r="E552" i="5"/>
  <c r="E547" i="5"/>
  <c r="F547" i="5"/>
  <c r="D548" i="5"/>
  <c r="D549" i="5"/>
  <c r="D550" i="5"/>
  <c r="D551" i="5"/>
  <c r="D552" i="5"/>
  <c r="D547" i="5"/>
  <c r="I552" i="5"/>
  <c r="O552" i="5" s="1"/>
  <c r="H552" i="5"/>
  <c r="N552" i="5" s="1"/>
  <c r="G552" i="5"/>
  <c r="M552" i="5" s="1"/>
  <c r="L542" i="5"/>
  <c r="L552" i="5" s="1"/>
  <c r="K542" i="5"/>
  <c r="K552" i="5" s="1"/>
  <c r="J542" i="5"/>
  <c r="J552" i="5" s="1"/>
  <c r="I551" i="5"/>
  <c r="O551" i="5" s="1"/>
  <c r="H551" i="5"/>
  <c r="N551" i="5" s="1"/>
  <c r="G551" i="5"/>
  <c r="M551" i="5" s="1"/>
  <c r="L541" i="5"/>
  <c r="L551" i="5" s="1"/>
  <c r="K541" i="5"/>
  <c r="K551" i="5" s="1"/>
  <c r="J541" i="5"/>
  <c r="J551" i="5" s="1"/>
  <c r="I550" i="5"/>
  <c r="O550" i="5" s="1"/>
  <c r="H550" i="5"/>
  <c r="N550" i="5" s="1"/>
  <c r="G550" i="5"/>
  <c r="M550" i="5" s="1"/>
  <c r="L540" i="5"/>
  <c r="L550" i="5" s="1"/>
  <c r="K540" i="5"/>
  <c r="K550" i="5" s="1"/>
  <c r="J540" i="5"/>
  <c r="J550" i="5" s="1"/>
  <c r="I549" i="5"/>
  <c r="O549" i="5" s="1"/>
  <c r="H549" i="5"/>
  <c r="N549" i="5" s="1"/>
  <c r="G549" i="5"/>
  <c r="M549" i="5" s="1"/>
  <c r="L539" i="5"/>
  <c r="L549" i="5" s="1"/>
  <c r="K539" i="5"/>
  <c r="K549" i="5" s="1"/>
  <c r="J539" i="5"/>
  <c r="J549" i="5" s="1"/>
  <c r="I548" i="5"/>
  <c r="O548" i="5" s="1"/>
  <c r="H548" i="5"/>
  <c r="N548" i="5" s="1"/>
  <c r="G548" i="5"/>
  <c r="M548" i="5" s="1"/>
  <c r="L538" i="5"/>
  <c r="L548" i="5" s="1"/>
  <c r="K538" i="5"/>
  <c r="K548" i="5" s="1"/>
  <c r="J538" i="5"/>
  <c r="J548" i="5" s="1"/>
  <c r="I547" i="5"/>
  <c r="O547" i="5" s="1"/>
  <c r="H547" i="5"/>
  <c r="N547" i="5" s="1"/>
  <c r="G547" i="5"/>
  <c r="M547" i="5" s="1"/>
  <c r="L537" i="5"/>
  <c r="L547" i="5" s="1"/>
  <c r="K537" i="5"/>
  <c r="K547" i="5" s="1"/>
  <c r="J537" i="5"/>
  <c r="J547" i="5" s="1"/>
  <c r="O542" i="5"/>
  <c r="N542" i="5"/>
  <c r="M542" i="5"/>
  <c r="O541" i="5"/>
  <c r="N541" i="5"/>
  <c r="M541" i="5"/>
  <c r="O540" i="5"/>
  <c r="N540" i="5"/>
  <c r="M540" i="5"/>
  <c r="O539" i="5"/>
  <c r="N539" i="5"/>
  <c r="M539" i="5"/>
  <c r="O538" i="5"/>
  <c r="N538" i="5"/>
  <c r="M538" i="5"/>
  <c r="O537" i="5"/>
  <c r="N537" i="5"/>
  <c r="M537" i="5"/>
  <c r="F528" i="5"/>
  <c r="F529" i="5"/>
  <c r="F530" i="5"/>
  <c r="F531" i="5"/>
  <c r="F532" i="5"/>
  <c r="E528" i="5"/>
  <c r="E529" i="5"/>
  <c r="E530" i="5"/>
  <c r="E531" i="5"/>
  <c r="E532" i="5"/>
  <c r="E527" i="5"/>
  <c r="F527" i="5"/>
  <c r="D528" i="5"/>
  <c r="D529" i="5"/>
  <c r="D530" i="5"/>
  <c r="D531" i="5"/>
  <c r="D532" i="5"/>
  <c r="D527" i="5"/>
  <c r="H532" i="5"/>
  <c r="N532" i="5" s="1"/>
  <c r="I532" i="5"/>
  <c r="O532" i="5" s="1"/>
  <c r="G532" i="5"/>
  <c r="M532" i="5" s="1"/>
  <c r="J521" i="5"/>
  <c r="J531" i="5" s="1"/>
  <c r="I531" i="5"/>
  <c r="O531" i="5" s="1"/>
  <c r="H531" i="5"/>
  <c r="N531" i="5" s="1"/>
  <c r="G531" i="5"/>
  <c r="M531" i="5" s="1"/>
  <c r="I530" i="5"/>
  <c r="O530" i="5" s="1"/>
  <c r="H530" i="5"/>
  <c r="N530" i="5" s="1"/>
  <c r="G530" i="5"/>
  <c r="M530" i="5" s="1"/>
  <c r="I529" i="5"/>
  <c r="O529" i="5" s="1"/>
  <c r="H529" i="5"/>
  <c r="N529" i="5" s="1"/>
  <c r="G529" i="5"/>
  <c r="M529" i="5" s="1"/>
  <c r="J518" i="5"/>
  <c r="J528" i="5" s="1"/>
  <c r="I528" i="5"/>
  <c r="O528" i="5" s="1"/>
  <c r="H528" i="5"/>
  <c r="N528" i="5" s="1"/>
  <c r="G528" i="5"/>
  <c r="M528" i="5"/>
  <c r="I527" i="5"/>
  <c r="O527" i="5" s="1"/>
  <c r="H527" i="5"/>
  <c r="N527" i="5" s="1"/>
  <c r="G527" i="5"/>
  <c r="M527" i="5" s="1"/>
  <c r="O522" i="5"/>
  <c r="N522" i="5"/>
  <c r="M522" i="5"/>
  <c r="L522" i="5"/>
  <c r="L532" i="5"/>
  <c r="K522" i="5"/>
  <c r="K532" i="5"/>
  <c r="J522" i="5"/>
  <c r="J532" i="5"/>
  <c r="O521" i="5"/>
  <c r="N521" i="5"/>
  <c r="M521" i="5"/>
  <c r="L521" i="5"/>
  <c r="L531" i="5" s="1"/>
  <c r="K521" i="5"/>
  <c r="K531" i="5" s="1"/>
  <c r="O520" i="5"/>
  <c r="N520" i="5"/>
  <c r="M520" i="5"/>
  <c r="L520" i="5"/>
  <c r="L530" i="5"/>
  <c r="K520" i="5"/>
  <c r="K530" i="5"/>
  <c r="J520" i="5"/>
  <c r="J530" i="5" s="1"/>
  <c r="O519" i="5"/>
  <c r="N519" i="5"/>
  <c r="M519" i="5"/>
  <c r="L519" i="5"/>
  <c r="L529" i="5" s="1"/>
  <c r="K519" i="5"/>
  <c r="K529" i="5" s="1"/>
  <c r="J519" i="5"/>
  <c r="J529" i="5" s="1"/>
  <c r="O518" i="5"/>
  <c r="N518" i="5"/>
  <c r="M518" i="5"/>
  <c r="L518" i="5"/>
  <c r="L528" i="5" s="1"/>
  <c r="K518" i="5"/>
  <c r="K528" i="5" s="1"/>
  <c r="O517" i="5"/>
  <c r="N517" i="5"/>
  <c r="M517" i="5"/>
  <c r="L517" i="5"/>
  <c r="L527" i="5" s="1"/>
  <c r="K517" i="5"/>
  <c r="K527" i="5" s="1"/>
  <c r="J517" i="5"/>
  <c r="J527" i="5" s="1"/>
  <c r="F508" i="5"/>
  <c r="F509" i="5"/>
  <c r="F510" i="5"/>
  <c r="F511" i="5"/>
  <c r="F512" i="5"/>
  <c r="E508" i="5"/>
  <c r="E509" i="5"/>
  <c r="E510" i="5"/>
  <c r="E511" i="5"/>
  <c r="E512" i="5"/>
  <c r="E507" i="5"/>
  <c r="F507" i="5"/>
  <c r="D508" i="5"/>
  <c r="D509" i="5"/>
  <c r="D510" i="5"/>
  <c r="D511" i="5"/>
  <c r="D512" i="5"/>
  <c r="D507" i="5"/>
  <c r="F499" i="5"/>
  <c r="F500" i="5"/>
  <c r="F501" i="5"/>
  <c r="F502" i="5"/>
  <c r="F503" i="5"/>
  <c r="E499" i="5"/>
  <c r="E500" i="5"/>
  <c r="E501" i="5"/>
  <c r="E502" i="5"/>
  <c r="E503" i="5"/>
  <c r="E498" i="5"/>
  <c r="F498" i="5"/>
  <c r="D499" i="5"/>
  <c r="D500" i="5"/>
  <c r="D501" i="5"/>
  <c r="D502" i="5"/>
  <c r="D503" i="5"/>
  <c r="D498" i="5"/>
  <c r="G507" i="5"/>
  <c r="M507" i="5" s="1"/>
  <c r="L507" i="5"/>
  <c r="K507" i="5"/>
  <c r="J507" i="5"/>
  <c r="I507" i="5"/>
  <c r="O507" i="5" s="1"/>
  <c r="H507" i="5"/>
  <c r="N507" i="5" s="1"/>
  <c r="G503" i="5"/>
  <c r="M503" i="5"/>
  <c r="I503" i="5"/>
  <c r="O503" i="5"/>
  <c r="H503" i="5"/>
  <c r="N503" i="5"/>
  <c r="G502" i="5"/>
  <c r="I502" i="5"/>
  <c r="H502" i="5"/>
  <c r="N502" i="5"/>
  <c r="G501" i="5"/>
  <c r="M501" i="5" s="1"/>
  <c r="I501" i="5"/>
  <c r="I511" i="5" s="1"/>
  <c r="O511" i="5" s="1"/>
  <c r="H501" i="5"/>
  <c r="H511" i="5" s="1"/>
  <c r="N511" i="5" s="1"/>
  <c r="G500" i="5"/>
  <c r="G510" i="5" s="1"/>
  <c r="M510" i="5" s="1"/>
  <c r="L490" i="5"/>
  <c r="L500" i="5" s="1"/>
  <c r="L510" i="5" s="1"/>
  <c r="I500" i="5"/>
  <c r="O500" i="5" s="1"/>
  <c r="H500" i="5"/>
  <c r="H510" i="5" s="1"/>
  <c r="N510" i="5" s="1"/>
  <c r="G499" i="5"/>
  <c r="M499" i="5" s="1"/>
  <c r="I499" i="5"/>
  <c r="H499" i="5"/>
  <c r="H509" i="5" s="1"/>
  <c r="N509" i="5" s="1"/>
  <c r="G498" i="5"/>
  <c r="M498" i="5" s="1"/>
  <c r="I498" i="5"/>
  <c r="I508" i="5" s="1"/>
  <c r="O508" i="5" s="1"/>
  <c r="H498" i="5"/>
  <c r="O493" i="5"/>
  <c r="N493" i="5"/>
  <c r="M493" i="5"/>
  <c r="L493" i="5"/>
  <c r="L503" i="5" s="1"/>
  <c r="K493" i="5"/>
  <c r="K503" i="5" s="1"/>
  <c r="J493" i="5"/>
  <c r="J503" i="5" s="1"/>
  <c r="O492" i="5"/>
  <c r="N492" i="5"/>
  <c r="M492" i="5"/>
  <c r="L492" i="5"/>
  <c r="L502" i="5" s="1"/>
  <c r="L512" i="5" s="1"/>
  <c r="K492" i="5"/>
  <c r="K502" i="5" s="1"/>
  <c r="K512" i="5" s="1"/>
  <c r="J492" i="5"/>
  <c r="J502" i="5" s="1"/>
  <c r="J512" i="5" s="1"/>
  <c r="O491" i="5"/>
  <c r="N491" i="5"/>
  <c r="M491" i="5"/>
  <c r="L491" i="5"/>
  <c r="L501" i="5" s="1"/>
  <c r="L511" i="5" s="1"/>
  <c r="K491" i="5"/>
  <c r="K501" i="5" s="1"/>
  <c r="K511" i="5" s="1"/>
  <c r="J491" i="5"/>
  <c r="J501" i="5" s="1"/>
  <c r="J511" i="5" s="1"/>
  <c r="O490" i="5"/>
  <c r="N490" i="5"/>
  <c r="M490" i="5"/>
  <c r="K490" i="5"/>
  <c r="K500" i="5" s="1"/>
  <c r="K510" i="5" s="1"/>
  <c r="J490" i="5"/>
  <c r="J500" i="5" s="1"/>
  <c r="J510" i="5" s="1"/>
  <c r="O489" i="5"/>
  <c r="N489" i="5"/>
  <c r="M489" i="5"/>
  <c r="L489" i="5"/>
  <c r="L499" i="5" s="1"/>
  <c r="L509" i="5" s="1"/>
  <c r="K489" i="5"/>
  <c r="K499" i="5" s="1"/>
  <c r="K509" i="5" s="1"/>
  <c r="J489" i="5"/>
  <c r="J499" i="5" s="1"/>
  <c r="J509" i="5" s="1"/>
  <c r="O488" i="5"/>
  <c r="N488" i="5"/>
  <c r="M488" i="5"/>
  <c r="L488" i="5"/>
  <c r="L498" i="5" s="1"/>
  <c r="L508" i="5" s="1"/>
  <c r="K488" i="5"/>
  <c r="K498" i="5" s="1"/>
  <c r="K508" i="5" s="1"/>
  <c r="J488" i="5"/>
  <c r="J498" i="5" s="1"/>
  <c r="J508" i="5" s="1"/>
  <c r="H512" i="5"/>
  <c r="N512" i="5" s="1"/>
  <c r="F479" i="5"/>
  <c r="F480" i="5"/>
  <c r="F481" i="5"/>
  <c r="F482" i="5"/>
  <c r="F483" i="5"/>
  <c r="E479" i="5"/>
  <c r="E480" i="5"/>
  <c r="E481" i="5"/>
  <c r="E482" i="5"/>
  <c r="E483" i="5"/>
  <c r="E478" i="5"/>
  <c r="F478" i="5"/>
  <c r="D479" i="5"/>
  <c r="D480" i="5"/>
  <c r="D481" i="5"/>
  <c r="D482" i="5"/>
  <c r="D483" i="5"/>
  <c r="D478" i="5"/>
  <c r="F470" i="5"/>
  <c r="F471" i="5"/>
  <c r="F472" i="5"/>
  <c r="F473" i="5"/>
  <c r="F474" i="5"/>
  <c r="E470" i="5"/>
  <c r="E471" i="5"/>
  <c r="E472" i="5"/>
  <c r="E473" i="5"/>
  <c r="E474" i="5"/>
  <c r="E469" i="5"/>
  <c r="F469" i="5"/>
  <c r="D470" i="5"/>
  <c r="D471" i="5"/>
  <c r="D472" i="5"/>
  <c r="D473" i="5"/>
  <c r="D474" i="5"/>
  <c r="D469" i="5"/>
  <c r="G478" i="5"/>
  <c r="M478" i="5" s="1"/>
  <c r="L478" i="5"/>
  <c r="K478" i="5"/>
  <c r="J478" i="5"/>
  <c r="I478" i="5"/>
  <c r="O478" i="5" s="1"/>
  <c r="H478" i="5"/>
  <c r="N478" i="5" s="1"/>
  <c r="G474" i="5"/>
  <c r="M474" i="5" s="1"/>
  <c r="I474" i="5"/>
  <c r="O474" i="5" s="1"/>
  <c r="H474" i="5"/>
  <c r="N474" i="5" s="1"/>
  <c r="G473" i="5"/>
  <c r="G483" i="5" s="1"/>
  <c r="M483" i="5" s="1"/>
  <c r="I473" i="5"/>
  <c r="O473" i="5" s="1"/>
  <c r="H473" i="5"/>
  <c r="N473" i="5" s="1"/>
  <c r="G472" i="5"/>
  <c r="M472" i="5" s="1"/>
  <c r="I472" i="5"/>
  <c r="I482" i="5" s="1"/>
  <c r="O482" i="5" s="1"/>
  <c r="H472" i="5"/>
  <c r="N472" i="5" s="1"/>
  <c r="G482" i="5"/>
  <c r="M482" i="5" s="1"/>
  <c r="G471" i="5"/>
  <c r="L461" i="5"/>
  <c r="L471" i="5" s="1"/>
  <c r="L481" i="5" s="1"/>
  <c r="I471" i="5"/>
  <c r="O471" i="5" s="1"/>
  <c r="H471" i="5"/>
  <c r="N471" i="5" s="1"/>
  <c r="G470" i="5"/>
  <c r="M470" i="5" s="1"/>
  <c r="I470" i="5"/>
  <c r="O470" i="5" s="1"/>
  <c r="H470" i="5"/>
  <c r="G469" i="5"/>
  <c r="M469" i="5" s="1"/>
  <c r="I469" i="5"/>
  <c r="O469" i="5" s="1"/>
  <c r="H469" i="5"/>
  <c r="O464" i="5"/>
  <c r="N464" i="5"/>
  <c r="M464" i="5"/>
  <c r="L464" i="5"/>
  <c r="L474" i="5" s="1"/>
  <c r="K464" i="5"/>
  <c r="K474" i="5" s="1"/>
  <c r="J464" i="5"/>
  <c r="J474" i="5" s="1"/>
  <c r="O463" i="5"/>
  <c r="N463" i="5"/>
  <c r="M463" i="5"/>
  <c r="L463" i="5"/>
  <c r="L473" i="5" s="1"/>
  <c r="L483" i="5" s="1"/>
  <c r="K463" i="5"/>
  <c r="K473" i="5" s="1"/>
  <c r="K483" i="5" s="1"/>
  <c r="J463" i="5"/>
  <c r="J473" i="5" s="1"/>
  <c r="J483" i="5" s="1"/>
  <c r="O462" i="5"/>
  <c r="N462" i="5"/>
  <c r="M462" i="5"/>
  <c r="L462" i="5"/>
  <c r="L472" i="5" s="1"/>
  <c r="L482" i="5" s="1"/>
  <c r="K462" i="5"/>
  <c r="K472" i="5" s="1"/>
  <c r="K482" i="5" s="1"/>
  <c r="J462" i="5"/>
  <c r="J472" i="5" s="1"/>
  <c r="J482" i="5" s="1"/>
  <c r="O461" i="5"/>
  <c r="N461" i="5"/>
  <c r="M461" i="5"/>
  <c r="K461" i="5"/>
  <c r="K471" i="5" s="1"/>
  <c r="K481" i="5" s="1"/>
  <c r="J461" i="5"/>
  <c r="J471" i="5" s="1"/>
  <c r="J481" i="5" s="1"/>
  <c r="O460" i="5"/>
  <c r="N460" i="5"/>
  <c r="M460" i="5"/>
  <c r="L460" i="5"/>
  <c r="L470" i="5" s="1"/>
  <c r="L480" i="5" s="1"/>
  <c r="K460" i="5"/>
  <c r="K470" i="5" s="1"/>
  <c r="K480" i="5" s="1"/>
  <c r="J460" i="5"/>
  <c r="J470" i="5" s="1"/>
  <c r="J480" i="5" s="1"/>
  <c r="O459" i="5"/>
  <c r="N459" i="5"/>
  <c r="M459" i="5"/>
  <c r="L459" i="5"/>
  <c r="L469" i="5" s="1"/>
  <c r="L479" i="5" s="1"/>
  <c r="K459" i="5"/>
  <c r="K469" i="5" s="1"/>
  <c r="K479" i="5" s="1"/>
  <c r="J459" i="5"/>
  <c r="J469" i="5" s="1"/>
  <c r="J479" i="5" s="1"/>
  <c r="H481" i="5"/>
  <c r="N481" i="5" s="1"/>
  <c r="H483" i="5"/>
  <c r="N483" i="5" s="1"/>
  <c r="I480" i="5"/>
  <c r="O480" i="5" s="1"/>
  <c r="F450" i="5"/>
  <c r="F451" i="5"/>
  <c r="F452" i="5"/>
  <c r="F453" i="5"/>
  <c r="F454" i="5"/>
  <c r="E450" i="5"/>
  <c r="E451" i="5"/>
  <c r="E452" i="5"/>
  <c r="E453" i="5"/>
  <c r="E454" i="5"/>
  <c r="E449" i="5"/>
  <c r="F449" i="5"/>
  <c r="D450" i="5"/>
  <c r="D451" i="5"/>
  <c r="D452" i="5"/>
  <c r="D453" i="5"/>
  <c r="D454" i="5"/>
  <c r="D449" i="5"/>
  <c r="F441" i="5"/>
  <c r="F442" i="5"/>
  <c r="F443" i="5"/>
  <c r="F444" i="5"/>
  <c r="F445" i="5"/>
  <c r="E441" i="5"/>
  <c r="E442" i="5"/>
  <c r="E443" i="5"/>
  <c r="E444" i="5"/>
  <c r="E445" i="5"/>
  <c r="E440" i="5"/>
  <c r="F440" i="5"/>
  <c r="D441" i="5"/>
  <c r="D442" i="5"/>
  <c r="D443" i="5"/>
  <c r="D444" i="5"/>
  <c r="D445" i="5"/>
  <c r="D440" i="5"/>
  <c r="H449" i="5"/>
  <c r="N449" i="5" s="1"/>
  <c r="G449" i="5"/>
  <c r="M449" i="5" s="1"/>
  <c r="L449" i="5"/>
  <c r="K449" i="5"/>
  <c r="J449" i="5"/>
  <c r="I449" i="5"/>
  <c r="O449" i="5" s="1"/>
  <c r="H445" i="5"/>
  <c r="N445" i="5" s="1"/>
  <c r="G445" i="5"/>
  <c r="M445" i="5" s="1"/>
  <c r="I445" i="5"/>
  <c r="O445" i="5"/>
  <c r="H444" i="5"/>
  <c r="N444" i="5" s="1"/>
  <c r="G444" i="5"/>
  <c r="M444" i="5" s="1"/>
  <c r="I444" i="5"/>
  <c r="O444" i="5"/>
  <c r="H443" i="5"/>
  <c r="N443" i="5" s="1"/>
  <c r="G443" i="5"/>
  <c r="I443" i="5"/>
  <c r="O443" i="5"/>
  <c r="H442" i="5"/>
  <c r="G442" i="5"/>
  <c r="G452" i="5" s="1"/>
  <c r="M452" i="5" s="1"/>
  <c r="I442" i="5"/>
  <c r="O442" i="5" s="1"/>
  <c r="H441" i="5"/>
  <c r="G441" i="5"/>
  <c r="I441" i="5"/>
  <c r="O441" i="5" s="1"/>
  <c r="H440" i="5"/>
  <c r="H450" i="5" s="1"/>
  <c r="N450" i="5" s="1"/>
  <c r="G440" i="5"/>
  <c r="I440" i="5"/>
  <c r="O435" i="5"/>
  <c r="N435" i="5"/>
  <c r="M435" i="5"/>
  <c r="L435" i="5"/>
  <c r="L445" i="5" s="1"/>
  <c r="K435" i="5"/>
  <c r="K445" i="5" s="1"/>
  <c r="J435" i="5"/>
  <c r="J445" i="5" s="1"/>
  <c r="O434" i="5"/>
  <c r="N434" i="5"/>
  <c r="M434" i="5"/>
  <c r="L434" i="5"/>
  <c r="L444" i="5" s="1"/>
  <c r="L454" i="5" s="1"/>
  <c r="K434" i="5"/>
  <c r="K444" i="5" s="1"/>
  <c r="K454" i="5" s="1"/>
  <c r="J434" i="5"/>
  <c r="J444" i="5" s="1"/>
  <c r="J454" i="5" s="1"/>
  <c r="O433" i="5"/>
  <c r="N433" i="5"/>
  <c r="M433" i="5"/>
  <c r="L433" i="5"/>
  <c r="L443" i="5" s="1"/>
  <c r="L453" i="5" s="1"/>
  <c r="K433" i="5"/>
  <c r="K443" i="5" s="1"/>
  <c r="K453" i="5" s="1"/>
  <c r="J433" i="5"/>
  <c r="J443" i="5" s="1"/>
  <c r="J453" i="5" s="1"/>
  <c r="O432" i="5"/>
  <c r="N432" i="5"/>
  <c r="M432" i="5"/>
  <c r="L432" i="5"/>
  <c r="L442" i="5" s="1"/>
  <c r="L452" i="5" s="1"/>
  <c r="K432" i="5"/>
  <c r="K442" i="5" s="1"/>
  <c r="K452" i="5" s="1"/>
  <c r="J432" i="5"/>
  <c r="J442" i="5" s="1"/>
  <c r="J452" i="5" s="1"/>
  <c r="O431" i="5"/>
  <c r="N431" i="5"/>
  <c r="M431" i="5"/>
  <c r="L431" i="5"/>
  <c r="L441" i="5" s="1"/>
  <c r="L451" i="5" s="1"/>
  <c r="K431" i="5"/>
  <c r="K441" i="5" s="1"/>
  <c r="K451" i="5" s="1"/>
  <c r="J431" i="5"/>
  <c r="J441" i="5" s="1"/>
  <c r="J451" i="5" s="1"/>
  <c r="O430" i="5"/>
  <c r="N430" i="5"/>
  <c r="M430" i="5"/>
  <c r="L430" i="5"/>
  <c r="L440" i="5" s="1"/>
  <c r="L450" i="5" s="1"/>
  <c r="K430" i="5"/>
  <c r="K440" i="5" s="1"/>
  <c r="K450" i="5" s="1"/>
  <c r="J430" i="5"/>
  <c r="J440" i="5" s="1"/>
  <c r="J450" i="5" s="1"/>
  <c r="I453" i="5"/>
  <c r="O453" i="5" s="1"/>
  <c r="I454" i="5"/>
  <c r="O454" i="5" s="1"/>
  <c r="F421" i="5"/>
  <c r="F422" i="5"/>
  <c r="F423" i="5"/>
  <c r="F424" i="5"/>
  <c r="F425" i="5"/>
  <c r="E421" i="5"/>
  <c r="E422" i="5"/>
  <c r="E423" i="5"/>
  <c r="E424" i="5"/>
  <c r="E425" i="5"/>
  <c r="E420" i="5"/>
  <c r="F420" i="5"/>
  <c r="D421" i="5"/>
  <c r="D422" i="5"/>
  <c r="D423" i="5"/>
  <c r="D424" i="5"/>
  <c r="D425" i="5"/>
  <c r="D420" i="5"/>
  <c r="F412" i="5"/>
  <c r="F413" i="5"/>
  <c r="F414" i="5"/>
  <c r="F415" i="5"/>
  <c r="F416" i="5"/>
  <c r="E412" i="5"/>
  <c r="E413" i="5"/>
  <c r="E414" i="5"/>
  <c r="E415" i="5"/>
  <c r="E416" i="5"/>
  <c r="E411" i="5"/>
  <c r="F411" i="5"/>
  <c r="D412" i="5"/>
  <c r="D413" i="5"/>
  <c r="D414" i="5"/>
  <c r="D415" i="5"/>
  <c r="D416" i="5"/>
  <c r="D411" i="5"/>
  <c r="I420" i="5"/>
  <c r="O420" i="5" s="1"/>
  <c r="H420" i="5"/>
  <c r="N420" i="5" s="1"/>
  <c r="L420" i="5"/>
  <c r="K420" i="5"/>
  <c r="J420" i="5"/>
  <c r="G420" i="5"/>
  <c r="M420" i="5" s="1"/>
  <c r="I416" i="5"/>
  <c r="O416" i="5" s="1"/>
  <c r="H416" i="5"/>
  <c r="N416" i="5" s="1"/>
  <c r="G416" i="5"/>
  <c r="M416" i="5" s="1"/>
  <c r="I415" i="5"/>
  <c r="H415" i="5"/>
  <c r="N415" i="5" s="1"/>
  <c r="J405" i="5"/>
  <c r="J415" i="5" s="1"/>
  <c r="J425" i="5" s="1"/>
  <c r="G415" i="5"/>
  <c r="I414" i="5"/>
  <c r="H414" i="5"/>
  <c r="N414" i="5" s="1"/>
  <c r="G414" i="5"/>
  <c r="M414" i="5" s="1"/>
  <c r="I413" i="5"/>
  <c r="H413" i="5"/>
  <c r="G413" i="5"/>
  <c r="I412" i="5"/>
  <c r="O412" i="5" s="1"/>
  <c r="H412" i="5"/>
  <c r="N412" i="5" s="1"/>
  <c r="G412" i="5"/>
  <c r="M412" i="5" s="1"/>
  <c r="I411" i="5"/>
  <c r="O411" i="5" s="1"/>
  <c r="H411" i="5"/>
  <c r="N411" i="5" s="1"/>
  <c r="G411" i="5"/>
  <c r="O406" i="5"/>
  <c r="N406" i="5"/>
  <c r="M406" i="5"/>
  <c r="L406" i="5"/>
  <c r="L416" i="5" s="1"/>
  <c r="K406" i="5"/>
  <c r="K416" i="5" s="1"/>
  <c r="J406" i="5"/>
  <c r="J416" i="5" s="1"/>
  <c r="O405" i="5"/>
  <c r="N405" i="5"/>
  <c r="M405" i="5"/>
  <c r="L405" i="5"/>
  <c r="L415" i="5" s="1"/>
  <c r="L425" i="5" s="1"/>
  <c r="K405" i="5"/>
  <c r="K415" i="5" s="1"/>
  <c r="K425" i="5" s="1"/>
  <c r="O404" i="5"/>
  <c r="N404" i="5"/>
  <c r="M404" i="5"/>
  <c r="L404" i="5"/>
  <c r="L414" i="5" s="1"/>
  <c r="L424" i="5" s="1"/>
  <c r="K404" i="5"/>
  <c r="K414" i="5" s="1"/>
  <c r="K424" i="5" s="1"/>
  <c r="J404" i="5"/>
  <c r="J414" i="5" s="1"/>
  <c r="J424" i="5" s="1"/>
  <c r="O403" i="5"/>
  <c r="N403" i="5"/>
  <c r="M403" i="5"/>
  <c r="L403" i="5"/>
  <c r="L413" i="5"/>
  <c r="L423" i="5" s="1"/>
  <c r="K403" i="5"/>
  <c r="K413" i="5" s="1"/>
  <c r="K423" i="5" s="1"/>
  <c r="J403" i="5"/>
  <c r="J413" i="5" s="1"/>
  <c r="J423" i="5" s="1"/>
  <c r="O402" i="5"/>
  <c r="N402" i="5"/>
  <c r="M402" i="5"/>
  <c r="L402" i="5"/>
  <c r="L412" i="5" s="1"/>
  <c r="L422" i="5" s="1"/>
  <c r="K402" i="5"/>
  <c r="K412" i="5" s="1"/>
  <c r="K422" i="5" s="1"/>
  <c r="J402" i="5"/>
  <c r="J412" i="5" s="1"/>
  <c r="J422" i="5" s="1"/>
  <c r="O401" i="5"/>
  <c r="N401" i="5"/>
  <c r="M401" i="5"/>
  <c r="L401" i="5"/>
  <c r="L411" i="5" s="1"/>
  <c r="L421" i="5" s="1"/>
  <c r="K401" i="5"/>
  <c r="K411" i="5" s="1"/>
  <c r="K421" i="5" s="1"/>
  <c r="J401" i="5"/>
  <c r="J411" i="5" s="1"/>
  <c r="J421" i="5" s="1"/>
  <c r="G422" i="5"/>
  <c r="M422" i="5" s="1"/>
  <c r="F65" i="6"/>
  <c r="F66" i="6"/>
  <c r="F67" i="6"/>
  <c r="F68" i="6"/>
  <c r="F69" i="6"/>
  <c r="E65" i="6"/>
  <c r="E66" i="6"/>
  <c r="E67" i="6"/>
  <c r="E68" i="6"/>
  <c r="E69" i="6"/>
  <c r="E64" i="6"/>
  <c r="F64" i="6"/>
  <c r="D65" i="6"/>
  <c r="D66" i="6"/>
  <c r="D67" i="6"/>
  <c r="D68" i="6"/>
  <c r="D69" i="6"/>
  <c r="D64" i="6"/>
  <c r="H59" i="6"/>
  <c r="H69" i="6" s="1"/>
  <c r="N69" i="6" s="1"/>
  <c r="G59" i="6"/>
  <c r="L49" i="6"/>
  <c r="K49" i="6"/>
  <c r="J49" i="6"/>
  <c r="I59" i="6"/>
  <c r="H58" i="6"/>
  <c r="H68" i="6" s="1"/>
  <c r="N68" i="6" s="1"/>
  <c r="G58" i="6"/>
  <c r="G68" i="6"/>
  <c r="M68" i="6" s="1"/>
  <c r="L48" i="6"/>
  <c r="K48" i="6"/>
  <c r="J48" i="6"/>
  <c r="I58" i="6"/>
  <c r="I68" i="6" s="1"/>
  <c r="O68" i="6" s="1"/>
  <c r="H57" i="6"/>
  <c r="H67" i="6" s="1"/>
  <c r="N67" i="6"/>
  <c r="G57" i="6"/>
  <c r="M57" i="6" s="1"/>
  <c r="L47" i="6"/>
  <c r="K47" i="6"/>
  <c r="K57" i="6" s="1"/>
  <c r="K67" i="6" s="1"/>
  <c r="J47" i="6"/>
  <c r="J57" i="6" s="1"/>
  <c r="J67" i="6" s="1"/>
  <c r="I57" i="6"/>
  <c r="H56" i="6"/>
  <c r="G56" i="6"/>
  <c r="M56" i="6" s="1"/>
  <c r="G66" i="6"/>
  <c r="M66" i="6" s="1"/>
  <c r="L46" i="6"/>
  <c r="L66" i="3"/>
  <c r="L86" i="3"/>
  <c r="K46" i="6"/>
  <c r="K66" i="3"/>
  <c r="K76" i="3" s="1"/>
  <c r="K86" i="3"/>
  <c r="J46" i="6"/>
  <c r="J66" i="3"/>
  <c r="J86" i="3"/>
  <c r="I56" i="6"/>
  <c r="I66" i="6" s="1"/>
  <c r="O66" i="6" s="1"/>
  <c r="H55" i="6"/>
  <c r="H65" i="6" s="1"/>
  <c r="N65" i="6" s="1"/>
  <c r="G55" i="6"/>
  <c r="L45" i="6"/>
  <c r="L55" i="6"/>
  <c r="L65" i="6" s="1"/>
  <c r="K45" i="6"/>
  <c r="K55" i="6" s="1"/>
  <c r="K65" i="6" s="1"/>
  <c r="J45" i="6"/>
  <c r="J55" i="6" s="1"/>
  <c r="J65" i="6" s="1"/>
  <c r="I55" i="6"/>
  <c r="H64" i="6"/>
  <c r="N64" i="6" s="1"/>
  <c r="G64" i="6"/>
  <c r="M64" i="6" s="1"/>
  <c r="L64" i="6"/>
  <c r="K64" i="6"/>
  <c r="J64" i="6"/>
  <c r="I64" i="6"/>
  <c r="O64" i="6" s="1"/>
  <c r="F56" i="6"/>
  <c r="F57" i="6"/>
  <c r="F58" i="6"/>
  <c r="F59" i="6"/>
  <c r="F60" i="6"/>
  <c r="F55" i="6"/>
  <c r="E56" i="6"/>
  <c r="E57" i="6"/>
  <c r="E58" i="6"/>
  <c r="E59" i="6"/>
  <c r="E60" i="6"/>
  <c r="E55" i="6"/>
  <c r="D56" i="6"/>
  <c r="D57" i="6"/>
  <c r="D58" i="6"/>
  <c r="D59" i="6"/>
  <c r="D60" i="6"/>
  <c r="D55" i="6"/>
  <c r="H60" i="6"/>
  <c r="N60" i="6" s="1"/>
  <c r="I60" i="6"/>
  <c r="O60" i="6"/>
  <c r="G60" i="6"/>
  <c r="M60" i="6"/>
  <c r="M58" i="6"/>
  <c r="N57" i="6"/>
  <c r="N55" i="6"/>
  <c r="O50" i="6"/>
  <c r="N50" i="6"/>
  <c r="M50" i="6"/>
  <c r="L50" i="6"/>
  <c r="K50" i="6"/>
  <c r="J50" i="6"/>
  <c r="O49" i="6"/>
  <c r="N49" i="6"/>
  <c r="M49" i="6"/>
  <c r="O48" i="6"/>
  <c r="N48" i="6"/>
  <c r="M48" i="6"/>
  <c r="O47" i="6"/>
  <c r="N47" i="6"/>
  <c r="M47" i="6"/>
  <c r="O46" i="6"/>
  <c r="N46" i="6"/>
  <c r="M46" i="6"/>
  <c r="O45" i="6"/>
  <c r="N45" i="6"/>
  <c r="M45" i="6"/>
  <c r="F392" i="5"/>
  <c r="F393" i="5"/>
  <c r="F394" i="5"/>
  <c r="F395" i="5"/>
  <c r="F396" i="5"/>
  <c r="E392" i="5"/>
  <c r="E393" i="5"/>
  <c r="E394" i="5"/>
  <c r="E395" i="5"/>
  <c r="E396" i="5"/>
  <c r="E391" i="5"/>
  <c r="F391" i="5"/>
  <c r="D392" i="5"/>
  <c r="D393" i="5"/>
  <c r="D394" i="5"/>
  <c r="D395" i="5"/>
  <c r="D396" i="5"/>
  <c r="D391" i="5"/>
  <c r="F383" i="5"/>
  <c r="F384" i="5"/>
  <c r="F385" i="5"/>
  <c r="F386" i="5"/>
  <c r="F387" i="5"/>
  <c r="E383" i="5"/>
  <c r="E384" i="5"/>
  <c r="E385" i="5"/>
  <c r="E386" i="5"/>
  <c r="E387" i="5"/>
  <c r="E382" i="5"/>
  <c r="F382" i="5"/>
  <c r="D383" i="5"/>
  <c r="D384" i="5"/>
  <c r="D385" i="5"/>
  <c r="D386" i="5"/>
  <c r="D387" i="5"/>
  <c r="D382" i="5"/>
  <c r="H391" i="5"/>
  <c r="N391" i="5" s="1"/>
  <c r="G391" i="5"/>
  <c r="M391" i="5" s="1"/>
  <c r="L391" i="5"/>
  <c r="K391" i="5"/>
  <c r="J391" i="5"/>
  <c r="I391" i="5"/>
  <c r="O391" i="5" s="1"/>
  <c r="H387" i="5"/>
  <c r="N387" i="5" s="1"/>
  <c r="G387" i="5"/>
  <c r="M387" i="5" s="1"/>
  <c r="I387" i="5"/>
  <c r="O387" i="5" s="1"/>
  <c r="H386" i="5"/>
  <c r="N386" i="5" s="1"/>
  <c r="G386" i="5"/>
  <c r="M386" i="5" s="1"/>
  <c r="J376" i="5"/>
  <c r="J386" i="5" s="1"/>
  <c r="J396" i="5" s="1"/>
  <c r="I386" i="5"/>
  <c r="O386" i="5" s="1"/>
  <c r="H385" i="5"/>
  <c r="H395" i="5" s="1"/>
  <c r="N395" i="5" s="1"/>
  <c r="N385" i="5"/>
  <c r="G385" i="5"/>
  <c r="G395" i="5" s="1"/>
  <c r="M395" i="5" s="1"/>
  <c r="M385" i="5"/>
  <c r="I385" i="5"/>
  <c r="H384" i="5"/>
  <c r="G384" i="5"/>
  <c r="M384" i="5" s="1"/>
  <c r="J374" i="5"/>
  <c r="J384" i="5" s="1"/>
  <c r="J394" i="5" s="1"/>
  <c r="I384" i="5"/>
  <c r="O384" i="5" s="1"/>
  <c r="G394" i="5"/>
  <c r="M394" i="5" s="1"/>
  <c r="H383" i="5"/>
  <c r="H393" i="5" s="1"/>
  <c r="N393" i="5" s="1"/>
  <c r="N383" i="5"/>
  <c r="G383" i="5"/>
  <c r="G393" i="5" s="1"/>
  <c r="M393" i="5" s="1"/>
  <c r="M383" i="5"/>
  <c r="I383" i="5"/>
  <c r="H382" i="5"/>
  <c r="N382" i="5" s="1"/>
  <c r="G382" i="5"/>
  <c r="M382" i="5"/>
  <c r="I382" i="5"/>
  <c r="O382" i="5" s="1"/>
  <c r="G392" i="5"/>
  <c r="M392" i="5" s="1"/>
  <c r="O377" i="5"/>
  <c r="N377" i="5"/>
  <c r="M377" i="5"/>
  <c r="L377" i="5"/>
  <c r="L387" i="5" s="1"/>
  <c r="K377" i="5"/>
  <c r="K387" i="5" s="1"/>
  <c r="J377" i="5"/>
  <c r="J387" i="5" s="1"/>
  <c r="O376" i="5"/>
  <c r="N376" i="5"/>
  <c r="M376" i="5"/>
  <c r="L376" i="5"/>
  <c r="L386" i="5" s="1"/>
  <c r="L396" i="5" s="1"/>
  <c r="K376" i="5"/>
  <c r="K386" i="5" s="1"/>
  <c r="K396" i="5" s="1"/>
  <c r="O375" i="5"/>
  <c r="N375" i="5"/>
  <c r="M375" i="5"/>
  <c r="L375" i="5"/>
  <c r="L385" i="5" s="1"/>
  <c r="L395" i="5" s="1"/>
  <c r="K375" i="5"/>
  <c r="K385" i="5" s="1"/>
  <c r="K395" i="5" s="1"/>
  <c r="J375" i="5"/>
  <c r="J385" i="5" s="1"/>
  <c r="J395" i="5" s="1"/>
  <c r="O374" i="5"/>
  <c r="N374" i="5"/>
  <c r="M374" i="5"/>
  <c r="L374" i="5"/>
  <c r="L384" i="5" s="1"/>
  <c r="L394" i="5" s="1"/>
  <c r="K374" i="5"/>
  <c r="K384" i="5" s="1"/>
  <c r="K394" i="5" s="1"/>
  <c r="O373" i="5"/>
  <c r="N373" i="5"/>
  <c r="M373" i="5"/>
  <c r="L373" i="5"/>
  <c r="L383" i="5" s="1"/>
  <c r="L393" i="5" s="1"/>
  <c r="K373" i="5"/>
  <c r="K383" i="5" s="1"/>
  <c r="K393" i="5" s="1"/>
  <c r="J373" i="5"/>
  <c r="J383" i="5" s="1"/>
  <c r="J393" i="5" s="1"/>
  <c r="O372" i="5"/>
  <c r="N372" i="5"/>
  <c r="M372" i="5"/>
  <c r="L372" i="5"/>
  <c r="L382" i="5" s="1"/>
  <c r="L392" i="5" s="1"/>
  <c r="K372" i="5"/>
  <c r="K382" i="5" s="1"/>
  <c r="K392" i="5" s="1"/>
  <c r="J372" i="5"/>
  <c r="J382" i="5" s="1"/>
  <c r="J392" i="5" s="1"/>
  <c r="I392" i="5"/>
  <c r="O392" i="5" s="1"/>
  <c r="F363" i="5"/>
  <c r="F364" i="5"/>
  <c r="F365" i="5"/>
  <c r="F366" i="5"/>
  <c r="F367" i="5"/>
  <c r="E363" i="5"/>
  <c r="E364" i="5"/>
  <c r="E365" i="5"/>
  <c r="E366" i="5"/>
  <c r="E367" i="5"/>
  <c r="E362" i="5"/>
  <c r="F362" i="5"/>
  <c r="D363" i="5"/>
  <c r="D364" i="5"/>
  <c r="D365" i="5"/>
  <c r="D366" i="5"/>
  <c r="D367" i="5"/>
  <c r="D362" i="5"/>
  <c r="F354" i="5"/>
  <c r="F355" i="5"/>
  <c r="F356" i="5"/>
  <c r="F357" i="5"/>
  <c r="F358" i="5"/>
  <c r="E354" i="5"/>
  <c r="E355" i="5"/>
  <c r="E356" i="5"/>
  <c r="E357" i="5"/>
  <c r="E358" i="5"/>
  <c r="E353" i="5"/>
  <c r="F353" i="5"/>
  <c r="D354" i="5"/>
  <c r="D355" i="5"/>
  <c r="D356" i="5"/>
  <c r="D357" i="5"/>
  <c r="D358" i="5"/>
  <c r="D353" i="5"/>
  <c r="I362" i="5"/>
  <c r="O362" i="5" s="1"/>
  <c r="L362" i="5"/>
  <c r="K362" i="5"/>
  <c r="J362" i="5"/>
  <c r="H362" i="5"/>
  <c r="N362" i="5" s="1"/>
  <c r="G362" i="5"/>
  <c r="M362" i="5" s="1"/>
  <c r="I358" i="5"/>
  <c r="O358" i="5" s="1"/>
  <c r="H358" i="5"/>
  <c r="N358" i="5" s="1"/>
  <c r="G358" i="5"/>
  <c r="M358" i="5" s="1"/>
  <c r="I357" i="5"/>
  <c r="H357" i="5"/>
  <c r="G357" i="5"/>
  <c r="I356" i="5"/>
  <c r="O356" i="5" s="1"/>
  <c r="I366" i="5"/>
  <c r="O366" i="5" s="1"/>
  <c r="H356" i="5"/>
  <c r="N356" i="5" s="1"/>
  <c r="G356" i="5"/>
  <c r="I355" i="5"/>
  <c r="O355" i="5" s="1"/>
  <c r="L345" i="5"/>
  <c r="L355" i="5" s="1"/>
  <c r="L365" i="5" s="1"/>
  <c r="H355" i="5"/>
  <c r="H365" i="5" s="1"/>
  <c r="N365" i="5" s="1"/>
  <c r="N355" i="5"/>
  <c r="G355" i="5"/>
  <c r="M355" i="5" s="1"/>
  <c r="I354" i="5"/>
  <c r="O354" i="5" s="1"/>
  <c r="H354" i="5"/>
  <c r="N354" i="5"/>
  <c r="G354" i="5"/>
  <c r="I353" i="5"/>
  <c r="H353" i="5"/>
  <c r="H363" i="5" s="1"/>
  <c r="N363" i="5" s="1"/>
  <c r="G353" i="5"/>
  <c r="G363" i="5" s="1"/>
  <c r="M363" i="5" s="1"/>
  <c r="O348" i="5"/>
  <c r="N348" i="5"/>
  <c r="M348" i="5"/>
  <c r="L348" i="5"/>
  <c r="L358" i="5" s="1"/>
  <c r="K348" i="5"/>
  <c r="K358" i="5" s="1"/>
  <c r="J348" i="5"/>
  <c r="J358" i="5" s="1"/>
  <c r="O347" i="5"/>
  <c r="N347" i="5"/>
  <c r="M347" i="5"/>
  <c r="L347" i="5"/>
  <c r="L357" i="5" s="1"/>
  <c r="L367" i="5" s="1"/>
  <c r="K347" i="5"/>
  <c r="K357" i="5" s="1"/>
  <c r="K367" i="5" s="1"/>
  <c r="J347" i="5"/>
  <c r="J357" i="5" s="1"/>
  <c r="J367" i="5" s="1"/>
  <c r="O346" i="5"/>
  <c r="N346" i="5"/>
  <c r="M346" i="5"/>
  <c r="L346" i="5"/>
  <c r="L356" i="5" s="1"/>
  <c r="L366" i="5" s="1"/>
  <c r="K346" i="5"/>
  <c r="K356" i="5" s="1"/>
  <c r="K366" i="5" s="1"/>
  <c r="J346" i="5"/>
  <c r="J356" i="5" s="1"/>
  <c r="J366" i="5" s="1"/>
  <c r="O345" i="5"/>
  <c r="N345" i="5"/>
  <c r="M345" i="5"/>
  <c r="K345" i="5"/>
  <c r="K355" i="5" s="1"/>
  <c r="K365" i="5" s="1"/>
  <c r="J345" i="5"/>
  <c r="J355" i="5" s="1"/>
  <c r="J365" i="5" s="1"/>
  <c r="O344" i="5"/>
  <c r="N344" i="5"/>
  <c r="M344" i="5"/>
  <c r="L344" i="5"/>
  <c r="L354" i="5" s="1"/>
  <c r="L364" i="5" s="1"/>
  <c r="K344" i="5"/>
  <c r="K354" i="5" s="1"/>
  <c r="K364" i="5" s="1"/>
  <c r="J344" i="5"/>
  <c r="J354" i="5" s="1"/>
  <c r="J364" i="5" s="1"/>
  <c r="O343" i="5"/>
  <c r="N343" i="5"/>
  <c r="M343" i="5"/>
  <c r="L343" i="5"/>
  <c r="L353" i="5" s="1"/>
  <c r="L363" i="5" s="1"/>
  <c r="K343" i="5"/>
  <c r="K353" i="5" s="1"/>
  <c r="K363" i="5" s="1"/>
  <c r="J343" i="5"/>
  <c r="J353" i="5" s="1"/>
  <c r="J363" i="5" s="1"/>
  <c r="G365" i="5"/>
  <c r="M365" i="5" s="1"/>
  <c r="H364" i="5"/>
  <c r="N364" i="5" s="1"/>
  <c r="H366" i="5"/>
  <c r="N366" i="5" s="1"/>
  <c r="F334" i="5"/>
  <c r="F335" i="5"/>
  <c r="F336" i="5"/>
  <c r="F337" i="5"/>
  <c r="F338" i="5"/>
  <c r="E334" i="5"/>
  <c r="E335" i="5"/>
  <c r="E336" i="5"/>
  <c r="E337" i="5"/>
  <c r="E338" i="5"/>
  <c r="E333" i="5"/>
  <c r="F333" i="5"/>
  <c r="G333" i="5"/>
  <c r="M333" i="5" s="1"/>
  <c r="H333" i="5"/>
  <c r="N333" i="5" s="1"/>
  <c r="I333" i="5"/>
  <c r="D334" i="5"/>
  <c r="D335" i="5"/>
  <c r="D336" i="5"/>
  <c r="D337" i="5"/>
  <c r="D338" i="5"/>
  <c r="D333" i="5"/>
  <c r="G328" i="5"/>
  <c r="L318" i="5"/>
  <c r="L328" i="5" s="1"/>
  <c r="L338" i="5" s="1"/>
  <c r="K318" i="5"/>
  <c r="K328" i="5" s="1"/>
  <c r="K338" i="5" s="1"/>
  <c r="J318" i="5"/>
  <c r="J328" i="5" s="1"/>
  <c r="J338" i="5" s="1"/>
  <c r="I328" i="5"/>
  <c r="H328" i="5"/>
  <c r="H338" i="5"/>
  <c r="N338" i="5" s="1"/>
  <c r="G327" i="5"/>
  <c r="G337" i="5" s="1"/>
  <c r="M337" i="5" s="1"/>
  <c r="L317" i="5"/>
  <c r="L327" i="5" s="1"/>
  <c r="L337" i="5" s="1"/>
  <c r="K317" i="5"/>
  <c r="K327" i="5" s="1"/>
  <c r="K337" i="5" s="1"/>
  <c r="J317" i="5"/>
  <c r="J327" i="5" s="1"/>
  <c r="J337" i="5" s="1"/>
  <c r="I327" i="5"/>
  <c r="H327" i="5"/>
  <c r="G326" i="5"/>
  <c r="M326" i="5" s="1"/>
  <c r="L316" i="5"/>
  <c r="L326" i="5" s="1"/>
  <c r="L336" i="5" s="1"/>
  <c r="K316" i="5"/>
  <c r="K326" i="5" s="1"/>
  <c r="K336" i="5" s="1"/>
  <c r="J316" i="5"/>
  <c r="J326" i="5" s="1"/>
  <c r="J336" i="5" s="1"/>
  <c r="I326" i="5"/>
  <c r="O326" i="5" s="1"/>
  <c r="H326" i="5"/>
  <c r="H336" i="5" s="1"/>
  <c r="N336" i="5" s="1"/>
  <c r="G325" i="5"/>
  <c r="M325" i="5" s="1"/>
  <c r="L315" i="5"/>
  <c r="L325" i="5" s="1"/>
  <c r="L335" i="5" s="1"/>
  <c r="K315" i="5"/>
  <c r="K325" i="5" s="1"/>
  <c r="K335" i="5" s="1"/>
  <c r="J315" i="5"/>
  <c r="J325" i="5" s="1"/>
  <c r="J335" i="5" s="1"/>
  <c r="I325" i="5"/>
  <c r="I335" i="5" s="1"/>
  <c r="O335" i="5" s="1"/>
  <c r="H325" i="5"/>
  <c r="N325" i="5" s="1"/>
  <c r="G324" i="5"/>
  <c r="M324" i="5" s="1"/>
  <c r="L314" i="5"/>
  <c r="L324" i="5" s="1"/>
  <c r="L334" i="5" s="1"/>
  <c r="K314" i="5"/>
  <c r="K324" i="5" s="1"/>
  <c r="K334" i="5" s="1"/>
  <c r="J314" i="5"/>
  <c r="J324" i="5" s="1"/>
  <c r="J334" i="5" s="1"/>
  <c r="I324" i="5"/>
  <c r="H324" i="5"/>
  <c r="N324" i="5" s="1"/>
  <c r="L333" i="5"/>
  <c r="K333" i="5"/>
  <c r="J333" i="5"/>
  <c r="O333" i="5"/>
  <c r="F309" i="4"/>
  <c r="F310" i="4"/>
  <c r="F311" i="4"/>
  <c r="F312" i="4"/>
  <c r="F313" i="4"/>
  <c r="E309" i="4"/>
  <c r="E310" i="4"/>
  <c r="E311" i="4"/>
  <c r="E312" i="4"/>
  <c r="E313" i="4"/>
  <c r="E308" i="4"/>
  <c r="F308" i="4"/>
  <c r="D309" i="4"/>
  <c r="D310" i="4"/>
  <c r="D311" i="4"/>
  <c r="D312" i="4"/>
  <c r="D313" i="4"/>
  <c r="D308" i="4"/>
  <c r="I313" i="4"/>
  <c r="O313" i="4" s="1"/>
  <c r="H313" i="4"/>
  <c r="N313" i="4" s="1"/>
  <c r="G313" i="4"/>
  <c r="M313" i="4" s="1"/>
  <c r="I312" i="4"/>
  <c r="O312" i="4" s="1"/>
  <c r="H312" i="4"/>
  <c r="N312" i="4" s="1"/>
  <c r="G312" i="4"/>
  <c r="M312" i="4" s="1"/>
  <c r="I311" i="4"/>
  <c r="O311" i="4" s="1"/>
  <c r="H311" i="4"/>
  <c r="N311" i="4" s="1"/>
  <c r="G311" i="4"/>
  <c r="M311" i="4"/>
  <c r="I310" i="4"/>
  <c r="O310" i="4" s="1"/>
  <c r="H310" i="4"/>
  <c r="N310" i="4" s="1"/>
  <c r="G310" i="4"/>
  <c r="M310" i="4" s="1"/>
  <c r="I309" i="4"/>
  <c r="O309" i="4" s="1"/>
  <c r="H309" i="4"/>
  <c r="N309" i="4" s="1"/>
  <c r="G309" i="4"/>
  <c r="M309" i="4" s="1"/>
  <c r="I308" i="4"/>
  <c r="O308" i="4" s="1"/>
  <c r="H308" i="4"/>
  <c r="N308" i="4"/>
  <c r="G308" i="4"/>
  <c r="M308" i="4" s="1"/>
  <c r="O303" i="4"/>
  <c r="N303" i="4"/>
  <c r="M303" i="4"/>
  <c r="L303" i="4"/>
  <c r="L313" i="4" s="1"/>
  <c r="K303" i="4"/>
  <c r="K313" i="4" s="1"/>
  <c r="J303" i="4"/>
  <c r="J313" i="4" s="1"/>
  <c r="O302" i="4"/>
  <c r="N302" i="4"/>
  <c r="M302" i="4"/>
  <c r="L302" i="4"/>
  <c r="L312" i="4" s="1"/>
  <c r="K302" i="4"/>
  <c r="K312" i="4" s="1"/>
  <c r="J302" i="4"/>
  <c r="J312" i="4" s="1"/>
  <c r="O301" i="4"/>
  <c r="N301" i="4"/>
  <c r="M301" i="4"/>
  <c r="L301" i="4"/>
  <c r="L311" i="4" s="1"/>
  <c r="K301" i="4"/>
  <c r="K311" i="4" s="1"/>
  <c r="J301" i="4"/>
  <c r="J311" i="4" s="1"/>
  <c r="O300" i="4"/>
  <c r="N300" i="4"/>
  <c r="M300" i="4"/>
  <c r="L300" i="4"/>
  <c r="L310" i="4" s="1"/>
  <c r="K300" i="4"/>
  <c r="K310" i="4" s="1"/>
  <c r="J300" i="4"/>
  <c r="J310" i="4" s="1"/>
  <c r="O299" i="4"/>
  <c r="N299" i="4"/>
  <c r="M299" i="4"/>
  <c r="L299" i="4"/>
  <c r="L309" i="4" s="1"/>
  <c r="K299" i="4"/>
  <c r="K309" i="4" s="1"/>
  <c r="J299" i="4"/>
  <c r="J309" i="4" s="1"/>
  <c r="O298" i="4"/>
  <c r="N298" i="4"/>
  <c r="M298" i="4"/>
  <c r="L298" i="4"/>
  <c r="L308" i="4" s="1"/>
  <c r="K298" i="4"/>
  <c r="K308" i="4" s="1"/>
  <c r="J298" i="4"/>
  <c r="J308" i="4" s="1"/>
  <c r="D304" i="5"/>
  <c r="F325" i="5"/>
  <c r="F326" i="5"/>
  <c r="F327" i="5"/>
  <c r="F328" i="5"/>
  <c r="F329" i="5"/>
  <c r="E325" i="5"/>
  <c r="E326" i="5"/>
  <c r="E327" i="5"/>
  <c r="E328" i="5"/>
  <c r="E329" i="5"/>
  <c r="E324" i="5"/>
  <c r="F324" i="5"/>
  <c r="D325" i="5"/>
  <c r="D326" i="5"/>
  <c r="D327" i="5"/>
  <c r="D328" i="5"/>
  <c r="D329" i="5"/>
  <c r="D324" i="5"/>
  <c r="H329" i="5"/>
  <c r="N329" i="5" s="1"/>
  <c r="G329" i="5"/>
  <c r="M329" i="5" s="1"/>
  <c r="I329" i="5"/>
  <c r="O329" i="5" s="1"/>
  <c r="N328" i="5"/>
  <c r="M327" i="5"/>
  <c r="N326" i="5"/>
  <c r="O325" i="5"/>
  <c r="O319" i="5"/>
  <c r="N319" i="5"/>
  <c r="M319" i="5"/>
  <c r="L319" i="5"/>
  <c r="L329" i="5" s="1"/>
  <c r="K319" i="5"/>
  <c r="K329" i="5" s="1"/>
  <c r="J319" i="5"/>
  <c r="J329" i="5" s="1"/>
  <c r="O318" i="5"/>
  <c r="N318" i="5"/>
  <c r="M318" i="5"/>
  <c r="O317" i="5"/>
  <c r="N317" i="5"/>
  <c r="M317" i="5"/>
  <c r="O316" i="5"/>
  <c r="N316" i="5"/>
  <c r="M316" i="5"/>
  <c r="O315" i="5"/>
  <c r="N315" i="5"/>
  <c r="M315" i="5"/>
  <c r="O314" i="5"/>
  <c r="N314" i="5"/>
  <c r="M314" i="5"/>
  <c r="F305" i="5"/>
  <c r="F306" i="5"/>
  <c r="F307" i="5"/>
  <c r="F308" i="5"/>
  <c r="F309" i="5"/>
  <c r="E305" i="5"/>
  <c r="E306" i="5"/>
  <c r="E307" i="5"/>
  <c r="E308" i="5"/>
  <c r="E309" i="5"/>
  <c r="E304" i="5"/>
  <c r="F304" i="5"/>
  <c r="D305" i="5"/>
  <c r="D306" i="5"/>
  <c r="D307" i="5"/>
  <c r="D308" i="5"/>
  <c r="D309" i="5"/>
  <c r="G309" i="5"/>
  <c r="M309" i="5"/>
  <c r="I309" i="5"/>
  <c r="O309" i="5" s="1"/>
  <c r="H309" i="5"/>
  <c r="N309" i="5" s="1"/>
  <c r="G308" i="5"/>
  <c r="M308" i="5" s="1"/>
  <c r="I308" i="5"/>
  <c r="O308" i="5" s="1"/>
  <c r="H308" i="5"/>
  <c r="N308" i="5" s="1"/>
  <c r="G307" i="5"/>
  <c r="M307" i="5" s="1"/>
  <c r="I307" i="5"/>
  <c r="O307" i="5" s="1"/>
  <c r="H307" i="5"/>
  <c r="N307" i="5" s="1"/>
  <c r="G306" i="5"/>
  <c r="M306" i="5" s="1"/>
  <c r="I306" i="5"/>
  <c r="O306" i="5" s="1"/>
  <c r="H306" i="5"/>
  <c r="N306" i="5" s="1"/>
  <c r="G305" i="5"/>
  <c r="M305" i="5" s="1"/>
  <c r="I305" i="5"/>
  <c r="O305" i="5" s="1"/>
  <c r="H305" i="5"/>
  <c r="N305" i="5" s="1"/>
  <c r="G304" i="5"/>
  <c r="M304" i="5" s="1"/>
  <c r="I304" i="5"/>
  <c r="O304" i="5" s="1"/>
  <c r="H304" i="5"/>
  <c r="N304" i="5" s="1"/>
  <c r="O299" i="5"/>
  <c r="N299" i="5"/>
  <c r="M299" i="5"/>
  <c r="L299" i="5"/>
  <c r="L309" i="5" s="1"/>
  <c r="K299" i="5"/>
  <c r="K309" i="5" s="1"/>
  <c r="J299" i="5"/>
  <c r="J309" i="5" s="1"/>
  <c r="O298" i="5"/>
  <c r="N298" i="5"/>
  <c r="M298" i="5"/>
  <c r="L298" i="5"/>
  <c r="L308" i="5" s="1"/>
  <c r="K298" i="5"/>
  <c r="K308" i="5" s="1"/>
  <c r="J298" i="5"/>
  <c r="J308" i="5" s="1"/>
  <c r="O297" i="5"/>
  <c r="N297" i="5"/>
  <c r="M297" i="5"/>
  <c r="L297" i="5"/>
  <c r="L307" i="5" s="1"/>
  <c r="K297" i="5"/>
  <c r="K307" i="5" s="1"/>
  <c r="J297" i="5"/>
  <c r="J307" i="5" s="1"/>
  <c r="O296" i="5"/>
  <c r="N296" i="5"/>
  <c r="M296" i="5"/>
  <c r="L296" i="5"/>
  <c r="L306" i="5"/>
  <c r="K296" i="5"/>
  <c r="K306" i="5" s="1"/>
  <c r="J296" i="5"/>
  <c r="J306" i="5" s="1"/>
  <c r="O295" i="5"/>
  <c r="N295" i="5"/>
  <c r="M295" i="5"/>
  <c r="L295" i="5"/>
  <c r="L305" i="5" s="1"/>
  <c r="K295" i="5"/>
  <c r="K305" i="5"/>
  <c r="J295" i="5"/>
  <c r="J305" i="5" s="1"/>
  <c r="O294" i="5"/>
  <c r="N294" i="5"/>
  <c r="M294" i="5"/>
  <c r="L294" i="5"/>
  <c r="L304" i="5"/>
  <c r="K294" i="5"/>
  <c r="K304" i="5"/>
  <c r="J294" i="5"/>
  <c r="J304" i="5"/>
  <c r="F285" i="5"/>
  <c r="F286" i="5"/>
  <c r="F287" i="5"/>
  <c r="F288" i="5"/>
  <c r="F289" i="5"/>
  <c r="E285" i="5"/>
  <c r="E286" i="5"/>
  <c r="E287" i="5"/>
  <c r="E288" i="5"/>
  <c r="E289" i="5"/>
  <c r="E284" i="5"/>
  <c r="F284" i="5"/>
  <c r="D285" i="5"/>
  <c r="D286" i="5"/>
  <c r="D287" i="5"/>
  <c r="D288" i="5"/>
  <c r="D289" i="5"/>
  <c r="D284" i="5"/>
  <c r="I289" i="5"/>
  <c r="O289" i="5"/>
  <c r="H289" i="5"/>
  <c r="N289" i="5"/>
  <c r="G289" i="5"/>
  <c r="M289" i="5"/>
  <c r="I288" i="5"/>
  <c r="O288" i="5"/>
  <c r="H288" i="5"/>
  <c r="N288" i="5" s="1"/>
  <c r="G288" i="5"/>
  <c r="M288" i="5" s="1"/>
  <c r="I287" i="5"/>
  <c r="O287" i="5" s="1"/>
  <c r="H287" i="5"/>
  <c r="N287" i="5" s="1"/>
  <c r="G287" i="5"/>
  <c r="M287" i="5"/>
  <c r="I286" i="5"/>
  <c r="O286" i="5" s="1"/>
  <c r="K276" i="5"/>
  <c r="K286" i="5" s="1"/>
  <c r="H286" i="5"/>
  <c r="N286" i="5" s="1"/>
  <c r="G286" i="5"/>
  <c r="M286" i="5" s="1"/>
  <c r="I285" i="5"/>
  <c r="O285" i="5"/>
  <c r="H285" i="5"/>
  <c r="N285" i="5"/>
  <c r="G285" i="5"/>
  <c r="M285" i="5" s="1"/>
  <c r="I284" i="5"/>
  <c r="O284" i="5" s="1"/>
  <c r="H284" i="5"/>
  <c r="N284" i="5" s="1"/>
  <c r="G284" i="5"/>
  <c r="M284" i="5" s="1"/>
  <c r="O279" i="5"/>
  <c r="N279" i="5"/>
  <c r="M279" i="5"/>
  <c r="L279" i="5"/>
  <c r="L289" i="5" s="1"/>
  <c r="K279" i="5"/>
  <c r="K289" i="5" s="1"/>
  <c r="J279" i="5"/>
  <c r="J289" i="5" s="1"/>
  <c r="O278" i="5"/>
  <c r="N278" i="5"/>
  <c r="M278" i="5"/>
  <c r="L278" i="5"/>
  <c r="L288" i="5" s="1"/>
  <c r="K278" i="5"/>
  <c r="K288" i="5" s="1"/>
  <c r="J278" i="5"/>
  <c r="J288" i="5" s="1"/>
  <c r="O277" i="5"/>
  <c r="N277" i="5"/>
  <c r="M277" i="5"/>
  <c r="L277" i="5"/>
  <c r="L287" i="5" s="1"/>
  <c r="K277" i="5"/>
  <c r="K287" i="5" s="1"/>
  <c r="J277" i="5"/>
  <c r="J287" i="5" s="1"/>
  <c r="O276" i="5"/>
  <c r="N276" i="5"/>
  <c r="M276" i="5"/>
  <c r="L276" i="5"/>
  <c r="L286" i="5" s="1"/>
  <c r="J276" i="5"/>
  <c r="J286" i="5" s="1"/>
  <c r="O275" i="5"/>
  <c r="N275" i="5"/>
  <c r="M275" i="5"/>
  <c r="L275" i="5"/>
  <c r="L285" i="5" s="1"/>
  <c r="K275" i="5"/>
  <c r="K285" i="5" s="1"/>
  <c r="J275" i="5"/>
  <c r="J285" i="5" s="1"/>
  <c r="O274" i="5"/>
  <c r="N274" i="5"/>
  <c r="M274" i="5"/>
  <c r="L274" i="5"/>
  <c r="L284" i="5" s="1"/>
  <c r="K274" i="5"/>
  <c r="K284" i="5" s="1"/>
  <c r="J274" i="5"/>
  <c r="J284" i="5" s="1"/>
  <c r="F265" i="5"/>
  <c r="F266" i="5"/>
  <c r="F267" i="5"/>
  <c r="F268" i="5"/>
  <c r="F269" i="5"/>
  <c r="E265" i="5"/>
  <c r="E266" i="5"/>
  <c r="E267" i="5"/>
  <c r="E268" i="5"/>
  <c r="E269" i="5"/>
  <c r="E264" i="5"/>
  <c r="F264" i="5"/>
  <c r="D265" i="5"/>
  <c r="D266" i="5"/>
  <c r="D267" i="5"/>
  <c r="D268" i="5"/>
  <c r="D269" i="5"/>
  <c r="D264" i="5"/>
  <c r="I269" i="5"/>
  <c r="O269" i="5" s="1"/>
  <c r="H269" i="5"/>
  <c r="N269" i="5" s="1"/>
  <c r="G269" i="5"/>
  <c r="M269" i="5" s="1"/>
  <c r="I268" i="5"/>
  <c r="O268" i="5" s="1"/>
  <c r="H268" i="5"/>
  <c r="N268" i="5" s="1"/>
  <c r="G268" i="5"/>
  <c r="M268" i="5" s="1"/>
  <c r="I267" i="5"/>
  <c r="O267" i="5" s="1"/>
  <c r="H267" i="5"/>
  <c r="N267" i="5" s="1"/>
  <c r="G267" i="5"/>
  <c r="M267" i="5" s="1"/>
  <c r="I266" i="5"/>
  <c r="O266" i="5" s="1"/>
  <c r="H266" i="5"/>
  <c r="N266" i="5"/>
  <c r="G266" i="5"/>
  <c r="M266" i="5" s="1"/>
  <c r="I265" i="5"/>
  <c r="O265" i="5" s="1"/>
  <c r="H265" i="5"/>
  <c r="N265" i="5" s="1"/>
  <c r="G265" i="5"/>
  <c r="M265" i="5" s="1"/>
  <c r="I264" i="5"/>
  <c r="O264" i="5" s="1"/>
  <c r="H264" i="5"/>
  <c r="N264" i="5" s="1"/>
  <c r="G264" i="5"/>
  <c r="M264" i="5" s="1"/>
  <c r="O259" i="5"/>
  <c r="N259" i="5"/>
  <c r="M259" i="5"/>
  <c r="L259" i="5"/>
  <c r="L269" i="5" s="1"/>
  <c r="K259" i="5"/>
  <c r="K269" i="5" s="1"/>
  <c r="J259" i="5"/>
  <c r="J269" i="5" s="1"/>
  <c r="O258" i="5"/>
  <c r="N258" i="5"/>
  <c r="M258" i="5"/>
  <c r="L258" i="5"/>
  <c r="L268" i="5" s="1"/>
  <c r="K258" i="5"/>
  <c r="K268" i="5" s="1"/>
  <c r="J258" i="5"/>
  <c r="J268" i="5" s="1"/>
  <c r="O257" i="5"/>
  <c r="N257" i="5"/>
  <c r="M257" i="5"/>
  <c r="L257" i="5"/>
  <c r="L267" i="5" s="1"/>
  <c r="K257" i="5"/>
  <c r="K267" i="5" s="1"/>
  <c r="J257" i="5"/>
  <c r="J267" i="5" s="1"/>
  <c r="O256" i="5"/>
  <c r="N256" i="5"/>
  <c r="M256" i="5"/>
  <c r="L256" i="5"/>
  <c r="L266" i="5" s="1"/>
  <c r="K256" i="5"/>
  <c r="K266" i="5" s="1"/>
  <c r="J256" i="5"/>
  <c r="J266" i="5" s="1"/>
  <c r="O255" i="5"/>
  <c r="N255" i="5"/>
  <c r="M255" i="5"/>
  <c r="L255" i="5"/>
  <c r="L265" i="5" s="1"/>
  <c r="K255" i="5"/>
  <c r="K265" i="5" s="1"/>
  <c r="J255" i="5"/>
  <c r="J265" i="5" s="1"/>
  <c r="O254" i="5"/>
  <c r="N254" i="5"/>
  <c r="M254" i="5"/>
  <c r="L254" i="5"/>
  <c r="L264" i="5" s="1"/>
  <c r="K254" i="5"/>
  <c r="K264" i="5" s="1"/>
  <c r="J254" i="5"/>
  <c r="J264" i="5" s="1"/>
  <c r="F245" i="5"/>
  <c r="F246" i="5"/>
  <c r="F247" i="5"/>
  <c r="F248" i="5"/>
  <c r="F249" i="5"/>
  <c r="E245" i="5"/>
  <c r="E246" i="5"/>
  <c r="E247" i="5"/>
  <c r="E248" i="5"/>
  <c r="E249" i="5"/>
  <c r="E244" i="5"/>
  <c r="F244" i="5"/>
  <c r="D245" i="5"/>
  <c r="D246" i="5"/>
  <c r="D247" i="5"/>
  <c r="D248" i="5"/>
  <c r="D249" i="5"/>
  <c r="D244" i="5"/>
  <c r="I249" i="5"/>
  <c r="O249" i="5" s="1"/>
  <c r="H249" i="5"/>
  <c r="N249" i="5" s="1"/>
  <c r="G249" i="5"/>
  <c r="M249" i="5" s="1"/>
  <c r="I248" i="5"/>
  <c r="O248" i="5" s="1"/>
  <c r="H248" i="5"/>
  <c r="N248" i="5"/>
  <c r="J238" i="5"/>
  <c r="J248" i="5" s="1"/>
  <c r="G248" i="5"/>
  <c r="M248" i="5" s="1"/>
  <c r="I247" i="5"/>
  <c r="O247" i="5" s="1"/>
  <c r="H247" i="5"/>
  <c r="N247" i="5" s="1"/>
  <c r="G247" i="5"/>
  <c r="M247" i="5" s="1"/>
  <c r="I246" i="5"/>
  <c r="O246" i="5" s="1"/>
  <c r="H246" i="5"/>
  <c r="N246" i="5" s="1"/>
  <c r="J236" i="5"/>
  <c r="J246" i="5" s="1"/>
  <c r="G246" i="5"/>
  <c r="M246" i="5" s="1"/>
  <c r="I245" i="5"/>
  <c r="O245" i="5" s="1"/>
  <c r="H245" i="5"/>
  <c r="N245" i="5" s="1"/>
  <c r="G245" i="5"/>
  <c r="M245" i="5" s="1"/>
  <c r="I244" i="5"/>
  <c r="O244" i="5" s="1"/>
  <c r="H244" i="5"/>
  <c r="N244" i="5" s="1"/>
  <c r="G244" i="5"/>
  <c r="M244" i="5" s="1"/>
  <c r="O239" i="5"/>
  <c r="N239" i="5"/>
  <c r="M239" i="5"/>
  <c r="L239" i="5"/>
  <c r="L249" i="5" s="1"/>
  <c r="K239" i="5"/>
  <c r="K249" i="5" s="1"/>
  <c r="J239" i="5"/>
  <c r="J249" i="5" s="1"/>
  <c r="O238" i="5"/>
  <c r="N238" i="5"/>
  <c r="M238" i="5"/>
  <c r="L238" i="5"/>
  <c r="L248" i="5" s="1"/>
  <c r="K238" i="5"/>
  <c r="K248" i="5" s="1"/>
  <c r="O237" i="5"/>
  <c r="N237" i="5"/>
  <c r="M237" i="5"/>
  <c r="L237" i="5"/>
  <c r="L247" i="5" s="1"/>
  <c r="K237" i="5"/>
  <c r="K247" i="5" s="1"/>
  <c r="J237" i="5"/>
  <c r="J247" i="5" s="1"/>
  <c r="O236" i="5"/>
  <c r="N236" i="5"/>
  <c r="M236" i="5"/>
  <c r="L236" i="5"/>
  <c r="L246" i="5" s="1"/>
  <c r="K236" i="5"/>
  <c r="K246" i="5" s="1"/>
  <c r="O235" i="5"/>
  <c r="N235" i="5"/>
  <c r="M235" i="5"/>
  <c r="L235" i="5"/>
  <c r="L245" i="5" s="1"/>
  <c r="K235" i="5"/>
  <c r="K245" i="5" s="1"/>
  <c r="J235" i="5"/>
  <c r="J245" i="5" s="1"/>
  <c r="O234" i="5"/>
  <c r="N234" i="5"/>
  <c r="M234" i="5"/>
  <c r="L234" i="5"/>
  <c r="L244" i="5" s="1"/>
  <c r="K234" i="5"/>
  <c r="K244" i="5" s="1"/>
  <c r="J234" i="5"/>
  <c r="J244" i="5" s="1"/>
  <c r="F225" i="5"/>
  <c r="F226" i="5"/>
  <c r="F227" i="5"/>
  <c r="F228" i="5"/>
  <c r="F229" i="5"/>
  <c r="E225" i="5"/>
  <c r="E226" i="5"/>
  <c r="E227" i="5"/>
  <c r="E228" i="5"/>
  <c r="E229" i="5"/>
  <c r="E224" i="5"/>
  <c r="F224" i="5"/>
  <c r="D225" i="5"/>
  <c r="D226" i="5"/>
  <c r="D227" i="5"/>
  <c r="D228" i="5"/>
  <c r="D229" i="5"/>
  <c r="D224" i="5"/>
  <c r="I229" i="5"/>
  <c r="O229" i="5" s="1"/>
  <c r="H229" i="5"/>
  <c r="N229" i="5" s="1"/>
  <c r="G229" i="5"/>
  <c r="M229" i="5" s="1"/>
  <c r="I228" i="5"/>
  <c r="O228" i="5" s="1"/>
  <c r="H228" i="5"/>
  <c r="N228" i="5" s="1"/>
  <c r="J218" i="5"/>
  <c r="J228" i="5" s="1"/>
  <c r="G228" i="5"/>
  <c r="M228" i="5" s="1"/>
  <c r="I227" i="5"/>
  <c r="O227" i="5" s="1"/>
  <c r="H227" i="5"/>
  <c r="N227" i="5"/>
  <c r="G227" i="5"/>
  <c r="M227" i="5" s="1"/>
  <c r="I226" i="5"/>
  <c r="O226" i="5" s="1"/>
  <c r="H226" i="5"/>
  <c r="N226" i="5" s="1"/>
  <c r="K216" i="5"/>
  <c r="K226" i="5" s="1"/>
  <c r="G226" i="5"/>
  <c r="M226" i="5" s="1"/>
  <c r="I225" i="5"/>
  <c r="O225" i="5" s="1"/>
  <c r="H225" i="5"/>
  <c r="N225" i="5"/>
  <c r="G225" i="5"/>
  <c r="M225" i="5" s="1"/>
  <c r="I224" i="5"/>
  <c r="O224" i="5" s="1"/>
  <c r="H224" i="5"/>
  <c r="N224" i="5"/>
  <c r="G224" i="5"/>
  <c r="M224" i="5" s="1"/>
  <c r="O219" i="5"/>
  <c r="N219" i="5"/>
  <c r="M219" i="5"/>
  <c r="L219" i="5"/>
  <c r="L229" i="5" s="1"/>
  <c r="K219" i="5"/>
  <c r="K229" i="5" s="1"/>
  <c r="J219" i="5"/>
  <c r="J229" i="5" s="1"/>
  <c r="O218" i="5"/>
  <c r="N218" i="5"/>
  <c r="M218" i="5"/>
  <c r="L218" i="5"/>
  <c r="L228" i="5" s="1"/>
  <c r="K218" i="5"/>
  <c r="K228" i="5" s="1"/>
  <c r="O217" i="5"/>
  <c r="N217" i="5"/>
  <c r="M217" i="5"/>
  <c r="L217" i="5"/>
  <c r="L227" i="5"/>
  <c r="K217" i="5"/>
  <c r="K227" i="5" s="1"/>
  <c r="J217" i="5"/>
  <c r="J227" i="5" s="1"/>
  <c r="O216" i="5"/>
  <c r="N216" i="5"/>
  <c r="M216" i="5"/>
  <c r="L216" i="5"/>
  <c r="L226" i="5" s="1"/>
  <c r="J216" i="5"/>
  <c r="J226" i="5" s="1"/>
  <c r="O215" i="5"/>
  <c r="N215" i="5"/>
  <c r="M215" i="5"/>
  <c r="L215" i="5"/>
  <c r="L225" i="5" s="1"/>
  <c r="K215" i="5"/>
  <c r="K225" i="5" s="1"/>
  <c r="J215" i="5"/>
  <c r="J225" i="5" s="1"/>
  <c r="O214" i="5"/>
  <c r="N214" i="5"/>
  <c r="M214" i="5"/>
  <c r="L214" i="5"/>
  <c r="L224" i="5" s="1"/>
  <c r="K214" i="5"/>
  <c r="K224" i="5" s="1"/>
  <c r="J214" i="5"/>
  <c r="J224" i="5"/>
  <c r="F36" i="6"/>
  <c r="F37" i="6"/>
  <c r="F38" i="6"/>
  <c r="F39" i="6"/>
  <c r="F40" i="6"/>
  <c r="E36" i="6"/>
  <c r="E37" i="6"/>
  <c r="E38" i="6"/>
  <c r="E39" i="6"/>
  <c r="E40" i="6"/>
  <c r="E35" i="6"/>
  <c r="F35" i="6"/>
  <c r="D36" i="6"/>
  <c r="D37" i="6"/>
  <c r="D38" i="6"/>
  <c r="D39" i="6"/>
  <c r="D40" i="6"/>
  <c r="D35" i="6"/>
  <c r="G40" i="6"/>
  <c r="M40" i="6" s="1"/>
  <c r="I40" i="6"/>
  <c r="O40" i="6" s="1"/>
  <c r="H40" i="6"/>
  <c r="N40" i="6"/>
  <c r="G39" i="6"/>
  <c r="M39" i="6" s="1"/>
  <c r="L29" i="6"/>
  <c r="L39" i="6" s="1"/>
  <c r="I39" i="6"/>
  <c r="O39" i="6" s="1"/>
  <c r="H39" i="6"/>
  <c r="N39" i="6" s="1"/>
  <c r="G38" i="6"/>
  <c r="M38" i="6" s="1"/>
  <c r="I38" i="6"/>
  <c r="O38" i="6" s="1"/>
  <c r="H38" i="6"/>
  <c r="N38" i="6" s="1"/>
  <c r="G37" i="6"/>
  <c r="M37" i="6" s="1"/>
  <c r="L27" i="6"/>
  <c r="I37" i="6"/>
  <c r="O37" i="6"/>
  <c r="H37" i="6"/>
  <c r="N37" i="6"/>
  <c r="G36" i="6"/>
  <c r="M36" i="6"/>
  <c r="I36" i="6"/>
  <c r="O36" i="6" s="1"/>
  <c r="H36" i="6"/>
  <c r="N36" i="6" s="1"/>
  <c r="G35" i="6"/>
  <c r="M35" i="6" s="1"/>
  <c r="I35" i="6"/>
  <c r="O35" i="6" s="1"/>
  <c r="H35" i="6"/>
  <c r="N35" i="6"/>
  <c r="O30" i="6"/>
  <c r="N30" i="6"/>
  <c r="M30" i="6"/>
  <c r="L30" i="6"/>
  <c r="K30" i="6"/>
  <c r="K40" i="6" s="1"/>
  <c r="J30" i="6"/>
  <c r="O29" i="6"/>
  <c r="N29" i="6"/>
  <c r="M29" i="6"/>
  <c r="K29" i="6"/>
  <c r="J29" i="6"/>
  <c r="O28" i="6"/>
  <c r="N28" i="6"/>
  <c r="M28" i="6"/>
  <c r="L28" i="6"/>
  <c r="K28" i="6"/>
  <c r="K38" i="6" s="1"/>
  <c r="J28" i="6"/>
  <c r="O27" i="6"/>
  <c r="N27" i="6"/>
  <c r="M27" i="6"/>
  <c r="K27" i="6"/>
  <c r="J27" i="6"/>
  <c r="O26" i="6"/>
  <c r="N26" i="6"/>
  <c r="M26" i="6"/>
  <c r="L26" i="6"/>
  <c r="L164" i="2"/>
  <c r="K26" i="6"/>
  <c r="K164" i="2"/>
  <c r="K56" i="3" s="1"/>
  <c r="J26" i="6"/>
  <c r="J164" i="2"/>
  <c r="J56" i="3" s="1"/>
  <c r="O25" i="6"/>
  <c r="N25" i="6"/>
  <c r="M25" i="6"/>
  <c r="L25" i="6"/>
  <c r="L163" i="2"/>
  <c r="K25" i="6"/>
  <c r="K163" i="2"/>
  <c r="K55" i="3" s="1"/>
  <c r="J25" i="6"/>
  <c r="J163" i="2"/>
  <c r="F205" i="5"/>
  <c r="F206" i="5"/>
  <c r="F207" i="5"/>
  <c r="F208" i="5"/>
  <c r="F209" i="5"/>
  <c r="E205" i="5"/>
  <c r="E206" i="5"/>
  <c r="E207" i="5"/>
  <c r="E208" i="5"/>
  <c r="E209" i="5"/>
  <c r="E204" i="5"/>
  <c r="F204" i="5"/>
  <c r="D205" i="5"/>
  <c r="D206" i="5"/>
  <c r="D207" i="5"/>
  <c r="D208" i="5"/>
  <c r="D209" i="5"/>
  <c r="D204" i="5"/>
  <c r="I209" i="5"/>
  <c r="O209" i="5" s="1"/>
  <c r="H209" i="5"/>
  <c r="N209" i="5" s="1"/>
  <c r="G209" i="5"/>
  <c r="M209" i="5"/>
  <c r="G208" i="5"/>
  <c r="M208" i="5" s="1"/>
  <c r="I208" i="5"/>
  <c r="O208" i="5" s="1"/>
  <c r="H208" i="5"/>
  <c r="N208" i="5" s="1"/>
  <c r="H207" i="5"/>
  <c r="N207" i="5" s="1"/>
  <c r="G207" i="5"/>
  <c r="M207" i="5" s="1"/>
  <c r="I207" i="5"/>
  <c r="O207" i="5" s="1"/>
  <c r="H206" i="5"/>
  <c r="N206" i="5" s="1"/>
  <c r="G206" i="5"/>
  <c r="M206" i="5" s="1"/>
  <c r="I206" i="5"/>
  <c r="O206" i="5" s="1"/>
  <c r="H205" i="5"/>
  <c r="N205" i="5" s="1"/>
  <c r="G205" i="5"/>
  <c r="M205" i="5" s="1"/>
  <c r="I205" i="5"/>
  <c r="O205" i="5" s="1"/>
  <c r="H204" i="5"/>
  <c r="N204" i="5" s="1"/>
  <c r="G204" i="5"/>
  <c r="M204" i="5" s="1"/>
  <c r="I204" i="5"/>
  <c r="O204" i="5" s="1"/>
  <c r="O199" i="5"/>
  <c r="N199" i="5"/>
  <c r="M199" i="5"/>
  <c r="L199" i="5"/>
  <c r="L209" i="5" s="1"/>
  <c r="K199" i="5"/>
  <c r="K209" i="5"/>
  <c r="J199" i="5"/>
  <c r="J209" i="5" s="1"/>
  <c r="O198" i="5"/>
  <c r="N198" i="5"/>
  <c r="M198" i="5"/>
  <c r="L198" i="5"/>
  <c r="L208" i="5" s="1"/>
  <c r="K198" i="5"/>
  <c r="K208" i="5" s="1"/>
  <c r="J198" i="5"/>
  <c r="J208" i="5" s="1"/>
  <c r="O197" i="5"/>
  <c r="N197" i="5"/>
  <c r="M197" i="5"/>
  <c r="L197" i="5"/>
  <c r="L207" i="5" s="1"/>
  <c r="K197" i="5"/>
  <c r="K207" i="5" s="1"/>
  <c r="J197" i="5"/>
  <c r="J207" i="5" s="1"/>
  <c r="O196" i="5"/>
  <c r="N196" i="5"/>
  <c r="M196" i="5"/>
  <c r="L196" i="5"/>
  <c r="L206" i="5" s="1"/>
  <c r="K196" i="5"/>
  <c r="K206" i="5" s="1"/>
  <c r="J196" i="5"/>
  <c r="J206" i="5" s="1"/>
  <c r="O195" i="5"/>
  <c r="N195" i="5"/>
  <c r="M195" i="5"/>
  <c r="L195" i="5"/>
  <c r="L205" i="5" s="1"/>
  <c r="K195" i="5"/>
  <c r="K205" i="5" s="1"/>
  <c r="J195" i="5"/>
  <c r="J205" i="5" s="1"/>
  <c r="O194" i="5"/>
  <c r="N194" i="5"/>
  <c r="M194" i="5"/>
  <c r="L194" i="5"/>
  <c r="L204" i="5" s="1"/>
  <c r="K194" i="5"/>
  <c r="K204" i="5" s="1"/>
  <c r="J194" i="5"/>
  <c r="J204" i="5"/>
  <c r="F188" i="5"/>
  <c r="D186" i="5"/>
  <c r="D187" i="5"/>
  <c r="E185" i="5"/>
  <c r="F185" i="5"/>
  <c r="D185" i="5"/>
  <c r="D188" i="5"/>
  <c r="E188" i="5"/>
  <c r="F184" i="5"/>
  <c r="E184" i="5"/>
  <c r="D184" i="5"/>
  <c r="E183" i="5"/>
  <c r="F183" i="5"/>
  <c r="D183" i="5"/>
  <c r="F186" i="5"/>
  <c r="F187" i="5"/>
  <c r="E186" i="5"/>
  <c r="E187" i="5"/>
  <c r="G188" i="5"/>
  <c r="M188" i="5" s="1"/>
  <c r="I188" i="5"/>
  <c r="O188" i="5" s="1"/>
  <c r="H188" i="5"/>
  <c r="N188" i="5"/>
  <c r="G187" i="5"/>
  <c r="M187" i="5" s="1"/>
  <c r="L177" i="5"/>
  <c r="L187" i="5" s="1"/>
  <c r="I187" i="5"/>
  <c r="O187" i="5" s="1"/>
  <c r="H187" i="5"/>
  <c r="N187" i="5" s="1"/>
  <c r="G186" i="5"/>
  <c r="M186" i="5" s="1"/>
  <c r="I186" i="5"/>
  <c r="O186" i="5" s="1"/>
  <c r="H186" i="5"/>
  <c r="N186" i="5" s="1"/>
  <c r="G185" i="5"/>
  <c r="M185" i="5" s="1"/>
  <c r="I185" i="5"/>
  <c r="O185" i="5" s="1"/>
  <c r="H185" i="5"/>
  <c r="N185" i="5" s="1"/>
  <c r="G184" i="5"/>
  <c r="M184" i="5" s="1"/>
  <c r="I184" i="5"/>
  <c r="O184" i="5"/>
  <c r="H184" i="5"/>
  <c r="N184" i="5" s="1"/>
  <c r="G183" i="5"/>
  <c r="M183" i="5" s="1"/>
  <c r="I183" i="5"/>
  <c r="O183" i="5" s="1"/>
  <c r="H183" i="5"/>
  <c r="N183" i="5" s="1"/>
  <c r="O178" i="5"/>
  <c r="N178" i="5"/>
  <c r="M178" i="5"/>
  <c r="L178" i="5"/>
  <c r="L188" i="5" s="1"/>
  <c r="K178" i="5"/>
  <c r="K188" i="5" s="1"/>
  <c r="J178" i="5"/>
  <c r="J188" i="5" s="1"/>
  <c r="O177" i="5"/>
  <c r="N177" i="5"/>
  <c r="M177" i="5"/>
  <c r="K177" i="5"/>
  <c r="K187" i="5" s="1"/>
  <c r="J177" i="5"/>
  <c r="J187" i="5" s="1"/>
  <c r="O176" i="5"/>
  <c r="N176" i="5"/>
  <c r="M176" i="5"/>
  <c r="L176" i="5"/>
  <c r="L186" i="5" s="1"/>
  <c r="K176" i="5"/>
  <c r="K186" i="5" s="1"/>
  <c r="J176" i="5"/>
  <c r="J186" i="5"/>
  <c r="O175" i="5"/>
  <c r="N175" i="5"/>
  <c r="M175" i="5"/>
  <c r="L175" i="5"/>
  <c r="L185" i="5" s="1"/>
  <c r="K175" i="5"/>
  <c r="K185" i="5" s="1"/>
  <c r="J175" i="5"/>
  <c r="J185" i="5" s="1"/>
  <c r="O174" i="5"/>
  <c r="N174" i="5"/>
  <c r="M174" i="5"/>
  <c r="L174" i="5"/>
  <c r="L184" i="5" s="1"/>
  <c r="K174" i="5"/>
  <c r="K184" i="5" s="1"/>
  <c r="J174" i="5"/>
  <c r="J184" i="5" s="1"/>
  <c r="O173" i="5"/>
  <c r="N173" i="5"/>
  <c r="M173" i="5"/>
  <c r="L173" i="5"/>
  <c r="L183" i="5" s="1"/>
  <c r="K173" i="5"/>
  <c r="K183" i="5" s="1"/>
  <c r="J173" i="5"/>
  <c r="J183" i="5" s="1"/>
  <c r="F163" i="5"/>
  <c r="E163" i="5"/>
  <c r="E162" i="5"/>
  <c r="F162" i="5"/>
  <c r="D163" i="5"/>
  <c r="D164" i="5"/>
  <c r="D165" i="5"/>
  <c r="D166" i="5"/>
  <c r="D167" i="5"/>
  <c r="D162" i="5"/>
  <c r="G167" i="5"/>
  <c r="M167" i="5" s="1"/>
  <c r="I167" i="5"/>
  <c r="O167" i="5" s="1"/>
  <c r="H167" i="5"/>
  <c r="N167" i="5" s="1"/>
  <c r="F167" i="5"/>
  <c r="E167" i="5"/>
  <c r="G166" i="5"/>
  <c r="M166" i="5" s="1"/>
  <c r="L156" i="5"/>
  <c r="L166" i="5" s="1"/>
  <c r="I166" i="5"/>
  <c r="O166" i="5" s="1"/>
  <c r="H166" i="5"/>
  <c r="N166" i="5" s="1"/>
  <c r="F166" i="5"/>
  <c r="E166" i="5"/>
  <c r="G165" i="5"/>
  <c r="M165" i="5" s="1"/>
  <c r="I165" i="5"/>
  <c r="O165" i="5" s="1"/>
  <c r="H165" i="5"/>
  <c r="N165" i="5" s="1"/>
  <c r="F29" i="4"/>
  <c r="F165" i="5" s="1"/>
  <c r="E29" i="4"/>
  <c r="G164" i="5"/>
  <c r="M164" i="5"/>
  <c r="L154" i="5"/>
  <c r="L164" i="5" s="1"/>
  <c r="I164" i="5"/>
  <c r="O164" i="5" s="1"/>
  <c r="H164" i="5"/>
  <c r="N164" i="5" s="1"/>
  <c r="F28" i="4"/>
  <c r="E28" i="4"/>
  <c r="E164" i="5" s="1"/>
  <c r="G163" i="5"/>
  <c r="M163" i="5" s="1"/>
  <c r="I163" i="5"/>
  <c r="O163" i="5" s="1"/>
  <c r="H163" i="5"/>
  <c r="N163" i="5" s="1"/>
  <c r="G162" i="5"/>
  <c r="M162" i="5" s="1"/>
  <c r="I162" i="5"/>
  <c r="O162" i="5"/>
  <c r="H162" i="5"/>
  <c r="N162" i="5" s="1"/>
  <c r="O157" i="5"/>
  <c r="N157" i="5"/>
  <c r="M157" i="5"/>
  <c r="L157" i="5"/>
  <c r="L167" i="5" s="1"/>
  <c r="K157" i="5"/>
  <c r="K167" i="5" s="1"/>
  <c r="J157" i="5"/>
  <c r="J167" i="5"/>
  <c r="O156" i="5"/>
  <c r="N156" i="5"/>
  <c r="M156" i="5"/>
  <c r="K156" i="5"/>
  <c r="K166" i="5" s="1"/>
  <c r="J156" i="5"/>
  <c r="J166" i="5" s="1"/>
  <c r="O155" i="5"/>
  <c r="N155" i="5"/>
  <c r="M155" i="5"/>
  <c r="L155" i="5"/>
  <c r="L165" i="5" s="1"/>
  <c r="K155" i="5"/>
  <c r="K165" i="5" s="1"/>
  <c r="J155" i="5"/>
  <c r="J165" i="5" s="1"/>
  <c r="O154" i="5"/>
  <c r="N154" i="5"/>
  <c r="M154" i="5"/>
  <c r="K154" i="5"/>
  <c r="K164" i="5" s="1"/>
  <c r="J154" i="5"/>
  <c r="J164" i="5" s="1"/>
  <c r="O153" i="5"/>
  <c r="N153" i="5"/>
  <c r="M153" i="5"/>
  <c r="L153" i="5"/>
  <c r="L163" i="5" s="1"/>
  <c r="K153" i="5"/>
  <c r="K163" i="5"/>
  <c r="J153" i="5"/>
  <c r="J163" i="5" s="1"/>
  <c r="O152" i="5"/>
  <c r="N152" i="5"/>
  <c r="M152" i="5"/>
  <c r="L152" i="5"/>
  <c r="L162" i="5" s="1"/>
  <c r="K152" i="5"/>
  <c r="K162" i="5" s="1"/>
  <c r="J152" i="5"/>
  <c r="J162" i="5" s="1"/>
  <c r="F142" i="5"/>
  <c r="F143" i="5"/>
  <c r="F144" i="5"/>
  <c r="F145" i="5"/>
  <c r="F146" i="5"/>
  <c r="E142" i="5"/>
  <c r="E143" i="5"/>
  <c r="E144" i="5"/>
  <c r="E145" i="5"/>
  <c r="E146" i="5"/>
  <c r="D142" i="5"/>
  <c r="D143" i="5"/>
  <c r="D144" i="5"/>
  <c r="D145" i="5"/>
  <c r="D146" i="5"/>
  <c r="E141" i="5"/>
  <c r="F141" i="5"/>
  <c r="D141" i="5"/>
  <c r="G146" i="5"/>
  <c r="M146" i="5" s="1"/>
  <c r="I146" i="5"/>
  <c r="O146" i="5" s="1"/>
  <c r="H146" i="5"/>
  <c r="N146" i="5" s="1"/>
  <c r="G145" i="5"/>
  <c r="M145" i="5" s="1"/>
  <c r="I145" i="5"/>
  <c r="O145" i="5" s="1"/>
  <c r="H145" i="5"/>
  <c r="N145" i="5" s="1"/>
  <c r="G144" i="5"/>
  <c r="M144" i="5" s="1"/>
  <c r="I144" i="5"/>
  <c r="O144" i="5" s="1"/>
  <c r="H144" i="5"/>
  <c r="N144" i="5" s="1"/>
  <c r="G143" i="5"/>
  <c r="M143" i="5" s="1"/>
  <c r="I143" i="5"/>
  <c r="O143" i="5" s="1"/>
  <c r="H143" i="5"/>
  <c r="N143" i="5" s="1"/>
  <c r="G142" i="5"/>
  <c r="M142" i="5" s="1"/>
  <c r="I142" i="5"/>
  <c r="O142" i="5" s="1"/>
  <c r="H142" i="5"/>
  <c r="N142" i="5" s="1"/>
  <c r="G141" i="5"/>
  <c r="M141" i="5" s="1"/>
  <c r="I141" i="5"/>
  <c r="O141" i="5" s="1"/>
  <c r="H141" i="5"/>
  <c r="N141" i="5" s="1"/>
  <c r="O136" i="5"/>
  <c r="N136" i="5"/>
  <c r="M136" i="5"/>
  <c r="L136" i="5"/>
  <c r="L146" i="5" s="1"/>
  <c r="K136" i="5"/>
  <c r="K146" i="5" s="1"/>
  <c r="J136" i="5"/>
  <c r="J146" i="5" s="1"/>
  <c r="O135" i="5"/>
  <c r="N135" i="5"/>
  <c r="M135" i="5"/>
  <c r="L135" i="5"/>
  <c r="L145" i="5" s="1"/>
  <c r="K135" i="5"/>
  <c r="K145" i="5" s="1"/>
  <c r="J135" i="5"/>
  <c r="J145" i="5"/>
  <c r="O134" i="5"/>
  <c r="N134" i="5"/>
  <c r="M134" i="5"/>
  <c r="L134" i="5"/>
  <c r="L144" i="5" s="1"/>
  <c r="K134" i="5"/>
  <c r="K144" i="5" s="1"/>
  <c r="J134" i="5"/>
  <c r="J144" i="5" s="1"/>
  <c r="O133" i="5"/>
  <c r="N133" i="5"/>
  <c r="M133" i="5"/>
  <c r="L133" i="5"/>
  <c r="L143" i="5" s="1"/>
  <c r="K133" i="5"/>
  <c r="K143" i="5"/>
  <c r="J133" i="5"/>
  <c r="J143" i="5" s="1"/>
  <c r="O132" i="5"/>
  <c r="N132" i="5"/>
  <c r="M132" i="5"/>
  <c r="L132" i="5"/>
  <c r="L142" i="5" s="1"/>
  <c r="K132" i="5"/>
  <c r="K142" i="5" s="1"/>
  <c r="J132" i="5"/>
  <c r="J142" i="5" s="1"/>
  <c r="O131" i="5"/>
  <c r="N131" i="5"/>
  <c r="M131" i="5"/>
  <c r="L131" i="5"/>
  <c r="L141" i="5" s="1"/>
  <c r="K131" i="5"/>
  <c r="K141" i="5" s="1"/>
  <c r="J131" i="5"/>
  <c r="J141" i="5" s="1"/>
  <c r="F121" i="5"/>
  <c r="F122" i="5"/>
  <c r="F123" i="5"/>
  <c r="F124" i="5"/>
  <c r="F125" i="5"/>
  <c r="E121" i="5"/>
  <c r="E122" i="5"/>
  <c r="E123" i="5"/>
  <c r="E124" i="5"/>
  <c r="E125" i="5"/>
  <c r="E120" i="5"/>
  <c r="F120" i="5"/>
  <c r="D121" i="5"/>
  <c r="D122" i="5"/>
  <c r="D123" i="5"/>
  <c r="D124" i="5"/>
  <c r="D125" i="5"/>
  <c r="D120" i="5"/>
  <c r="I125" i="5"/>
  <c r="O125" i="5" s="1"/>
  <c r="H125" i="5"/>
  <c r="N125" i="5" s="1"/>
  <c r="G125" i="5"/>
  <c r="M125" i="5" s="1"/>
  <c r="I124" i="5"/>
  <c r="O124" i="5" s="1"/>
  <c r="K114" i="5"/>
  <c r="K124" i="5" s="1"/>
  <c r="H124" i="5"/>
  <c r="N124" i="5" s="1"/>
  <c r="G124" i="5"/>
  <c r="M124" i="5" s="1"/>
  <c r="I123" i="5"/>
  <c r="O123" i="5" s="1"/>
  <c r="H123" i="5"/>
  <c r="N123" i="5" s="1"/>
  <c r="G123" i="5"/>
  <c r="M123" i="5" s="1"/>
  <c r="I122" i="5"/>
  <c r="O122" i="5" s="1"/>
  <c r="K112" i="5"/>
  <c r="K132" i="3"/>
  <c r="K142" i="3" s="1"/>
  <c r="H122" i="5"/>
  <c r="N122" i="5" s="1"/>
  <c r="G122" i="5"/>
  <c r="M122" i="5" s="1"/>
  <c r="I121" i="5"/>
  <c r="O121" i="5" s="1"/>
  <c r="H121" i="5"/>
  <c r="N121" i="5" s="1"/>
  <c r="G121" i="5"/>
  <c r="M121" i="5" s="1"/>
  <c r="I120" i="5"/>
  <c r="O120" i="5" s="1"/>
  <c r="H120" i="5"/>
  <c r="N120" i="5" s="1"/>
  <c r="G120" i="5"/>
  <c r="M120" i="5" s="1"/>
  <c r="O115" i="5"/>
  <c r="N115" i="5"/>
  <c r="M115" i="5"/>
  <c r="L115" i="5"/>
  <c r="L125" i="5" s="1"/>
  <c r="K115" i="5"/>
  <c r="K125" i="5" s="1"/>
  <c r="J115" i="5"/>
  <c r="J125" i="5" s="1"/>
  <c r="O114" i="5"/>
  <c r="N114" i="5"/>
  <c r="M114" i="5"/>
  <c r="L114" i="5"/>
  <c r="L124" i="5" s="1"/>
  <c r="J114" i="5"/>
  <c r="J124" i="5" s="1"/>
  <c r="O113" i="5"/>
  <c r="N113" i="5"/>
  <c r="M113" i="5"/>
  <c r="L113" i="5"/>
  <c r="L123" i="5" s="1"/>
  <c r="K113" i="5"/>
  <c r="K123" i="5" s="1"/>
  <c r="J113" i="5"/>
  <c r="J123" i="5" s="1"/>
  <c r="O112" i="5"/>
  <c r="N112" i="5"/>
  <c r="M112" i="5"/>
  <c r="L112" i="5"/>
  <c r="L132" i="3"/>
  <c r="L142" i="3" s="1"/>
  <c r="L122" i="5" s="1"/>
  <c r="J112" i="5"/>
  <c r="J132" i="3"/>
  <c r="J142" i="3" s="1"/>
  <c r="O111" i="5"/>
  <c r="N111" i="5"/>
  <c r="M111" i="5"/>
  <c r="L111" i="5"/>
  <c r="L131" i="3"/>
  <c r="K111" i="5"/>
  <c r="K131" i="3"/>
  <c r="J111" i="5"/>
  <c r="J131" i="3"/>
  <c r="O110" i="5"/>
  <c r="N110" i="5"/>
  <c r="M110" i="5"/>
  <c r="L110" i="5"/>
  <c r="L130" i="3"/>
  <c r="K110" i="5"/>
  <c r="K130" i="3"/>
  <c r="J110" i="5"/>
  <c r="J130" i="3"/>
  <c r="F100" i="5"/>
  <c r="F101" i="5"/>
  <c r="F102" i="5"/>
  <c r="F103" i="5"/>
  <c r="F104" i="5"/>
  <c r="E100" i="5"/>
  <c r="E101" i="5"/>
  <c r="E102" i="5"/>
  <c r="E103" i="5"/>
  <c r="E104" i="5"/>
  <c r="E99" i="5"/>
  <c r="F99" i="5"/>
  <c r="D100" i="5"/>
  <c r="D101" i="5"/>
  <c r="D102" i="5"/>
  <c r="D103" i="5"/>
  <c r="D104" i="5"/>
  <c r="D99" i="5"/>
  <c r="G104" i="5"/>
  <c r="M104" i="5" s="1"/>
  <c r="I104" i="5"/>
  <c r="O104" i="5" s="1"/>
  <c r="H104" i="5"/>
  <c r="N104" i="5" s="1"/>
  <c r="G103" i="5"/>
  <c r="M103" i="5" s="1"/>
  <c r="L93" i="5"/>
  <c r="L103" i="5" s="1"/>
  <c r="I103" i="5"/>
  <c r="O103" i="5" s="1"/>
  <c r="H103" i="5"/>
  <c r="N103" i="5" s="1"/>
  <c r="G102" i="5"/>
  <c r="M102" i="5" s="1"/>
  <c r="I102" i="5"/>
  <c r="O102" i="5"/>
  <c r="H102" i="5"/>
  <c r="N102" i="5" s="1"/>
  <c r="G101" i="5"/>
  <c r="M101" i="5" s="1"/>
  <c r="I101" i="5"/>
  <c r="O101" i="5" s="1"/>
  <c r="H101" i="5"/>
  <c r="N101" i="5" s="1"/>
  <c r="G100" i="5"/>
  <c r="M100" i="5" s="1"/>
  <c r="I100" i="5"/>
  <c r="O100" i="5"/>
  <c r="H100" i="5"/>
  <c r="N100" i="5" s="1"/>
  <c r="G99" i="5"/>
  <c r="M99" i="5" s="1"/>
  <c r="I99" i="5"/>
  <c r="O99" i="5"/>
  <c r="H99" i="5"/>
  <c r="N99" i="5" s="1"/>
  <c r="O94" i="5"/>
  <c r="N94" i="5"/>
  <c r="M94" i="5"/>
  <c r="L94" i="5"/>
  <c r="L104" i="5"/>
  <c r="K94" i="5"/>
  <c r="K104" i="5" s="1"/>
  <c r="J94" i="5"/>
  <c r="J104" i="5" s="1"/>
  <c r="O93" i="5"/>
  <c r="N93" i="5"/>
  <c r="M93" i="5"/>
  <c r="K93" i="5"/>
  <c r="K103" i="5" s="1"/>
  <c r="J93" i="5"/>
  <c r="J103" i="5"/>
  <c r="O92" i="5"/>
  <c r="N92" i="5"/>
  <c r="M92" i="5"/>
  <c r="L92" i="5"/>
  <c r="L102" i="5" s="1"/>
  <c r="K92" i="5"/>
  <c r="K102" i="5" s="1"/>
  <c r="J92" i="5"/>
  <c r="J102" i="5" s="1"/>
  <c r="O91" i="5"/>
  <c r="N91" i="5"/>
  <c r="M91" i="5"/>
  <c r="L91" i="5"/>
  <c r="K91" i="5"/>
  <c r="J91" i="5"/>
  <c r="O90" i="5"/>
  <c r="N90" i="5"/>
  <c r="M90" i="5"/>
  <c r="L90" i="5"/>
  <c r="K90" i="5"/>
  <c r="J90" i="5"/>
  <c r="O89" i="5"/>
  <c r="N89" i="5"/>
  <c r="M89" i="5"/>
  <c r="L89" i="5"/>
  <c r="K89" i="5"/>
  <c r="J89" i="5"/>
  <c r="G20" i="6"/>
  <c r="M20" i="6" s="1"/>
  <c r="I20" i="6"/>
  <c r="O20" i="6" s="1"/>
  <c r="H20" i="6"/>
  <c r="N20" i="6" s="1"/>
  <c r="F20" i="6"/>
  <c r="E20" i="6"/>
  <c r="D20" i="6"/>
  <c r="G19" i="6"/>
  <c r="M19" i="6" s="1"/>
  <c r="I19" i="6"/>
  <c r="O19" i="6" s="1"/>
  <c r="H19" i="6"/>
  <c r="N19" i="6" s="1"/>
  <c r="F19" i="6"/>
  <c r="E19" i="6"/>
  <c r="D19" i="6"/>
  <c r="G18" i="6"/>
  <c r="M18" i="6" s="1"/>
  <c r="I18" i="6"/>
  <c r="O18" i="6" s="1"/>
  <c r="H18" i="6"/>
  <c r="N18" i="6" s="1"/>
  <c r="F18" i="6"/>
  <c r="E18" i="6"/>
  <c r="D18" i="6"/>
  <c r="G17" i="6"/>
  <c r="M17" i="6" s="1"/>
  <c r="I17" i="6"/>
  <c r="O17" i="6" s="1"/>
  <c r="H17" i="6"/>
  <c r="N17" i="6" s="1"/>
  <c r="F17" i="6"/>
  <c r="E17" i="6"/>
  <c r="D17" i="6"/>
  <c r="G16" i="6"/>
  <c r="M16" i="6" s="1"/>
  <c r="I16" i="6"/>
  <c r="O16" i="6" s="1"/>
  <c r="H16" i="6"/>
  <c r="N16" i="6" s="1"/>
  <c r="F16" i="6"/>
  <c r="E16" i="6"/>
  <c r="D16" i="6"/>
  <c r="G15" i="6"/>
  <c r="M15" i="6" s="1"/>
  <c r="I15" i="6"/>
  <c r="O15" i="6" s="1"/>
  <c r="H15" i="6"/>
  <c r="N15" i="6" s="1"/>
  <c r="F15" i="6"/>
  <c r="E15" i="6"/>
  <c r="D15" i="6"/>
  <c r="O10" i="6"/>
  <c r="N10" i="6"/>
  <c r="M10" i="6"/>
  <c r="L10" i="6"/>
  <c r="L20" i="6" s="1"/>
  <c r="K10" i="6"/>
  <c r="K20" i="6" s="1"/>
  <c r="J10" i="6"/>
  <c r="J20" i="6" s="1"/>
  <c r="O9" i="6"/>
  <c r="N9" i="6"/>
  <c r="M9" i="6"/>
  <c r="L9" i="6"/>
  <c r="L19" i="6" s="1"/>
  <c r="K9" i="6"/>
  <c r="K19" i="6" s="1"/>
  <c r="J9" i="6"/>
  <c r="J19" i="6" s="1"/>
  <c r="O8" i="6"/>
  <c r="N8" i="6"/>
  <c r="M8" i="6"/>
  <c r="L8" i="6"/>
  <c r="K8" i="6"/>
  <c r="K18" i="6" s="1"/>
  <c r="J8" i="6"/>
  <c r="J18" i="6" s="1"/>
  <c r="O7" i="6"/>
  <c r="N7" i="6"/>
  <c r="M7" i="6"/>
  <c r="L7" i="6"/>
  <c r="K7" i="6"/>
  <c r="K17" i="6" s="1"/>
  <c r="J7" i="6"/>
  <c r="J17" i="6" s="1"/>
  <c r="O6" i="6"/>
  <c r="N6" i="6"/>
  <c r="M6" i="6"/>
  <c r="L6" i="6"/>
  <c r="K6" i="6"/>
  <c r="K16" i="6"/>
  <c r="J6" i="6"/>
  <c r="J16" i="6" s="1"/>
  <c r="O5" i="6"/>
  <c r="N5" i="6"/>
  <c r="M5" i="6"/>
  <c r="L5" i="6"/>
  <c r="K5" i="6"/>
  <c r="K15" i="6" s="1"/>
  <c r="J5" i="6"/>
  <c r="F79" i="5"/>
  <c r="E79" i="5"/>
  <c r="E80" i="5"/>
  <c r="E81" i="5"/>
  <c r="E82" i="5"/>
  <c r="E83" i="5"/>
  <c r="E78" i="5"/>
  <c r="F78" i="5"/>
  <c r="D79" i="5"/>
  <c r="D80" i="5"/>
  <c r="D81" i="5"/>
  <c r="D82" i="5"/>
  <c r="D83" i="5"/>
  <c r="D78" i="5"/>
  <c r="G83" i="5"/>
  <c r="M83" i="5" s="1"/>
  <c r="I83" i="5"/>
  <c r="O83" i="5" s="1"/>
  <c r="H83" i="5"/>
  <c r="N83" i="5" s="1"/>
  <c r="F83" i="5"/>
  <c r="G82" i="5"/>
  <c r="M82" i="5" s="1"/>
  <c r="I82" i="5"/>
  <c r="O82" i="5" s="1"/>
  <c r="H82" i="5"/>
  <c r="N82" i="5" s="1"/>
  <c r="F82" i="5"/>
  <c r="G81" i="5"/>
  <c r="M81" i="5" s="1"/>
  <c r="I81" i="5"/>
  <c r="O81" i="5" s="1"/>
  <c r="H81" i="5"/>
  <c r="N81" i="5" s="1"/>
  <c r="F81" i="5"/>
  <c r="G80" i="5"/>
  <c r="M80" i="5" s="1"/>
  <c r="L70" i="5"/>
  <c r="I80" i="5"/>
  <c r="O80" i="5" s="1"/>
  <c r="H80" i="5"/>
  <c r="N80" i="5" s="1"/>
  <c r="F49" i="4"/>
  <c r="F80" i="5" s="1"/>
  <c r="G79" i="5"/>
  <c r="M79" i="5" s="1"/>
  <c r="I79" i="5"/>
  <c r="O79" i="5" s="1"/>
  <c r="H79" i="5"/>
  <c r="N79" i="5" s="1"/>
  <c r="G78" i="5"/>
  <c r="M78" i="5" s="1"/>
  <c r="I78" i="5"/>
  <c r="O78" i="5" s="1"/>
  <c r="H78" i="5"/>
  <c r="N78" i="5" s="1"/>
  <c r="O73" i="5"/>
  <c r="N73" i="5"/>
  <c r="M73" i="5"/>
  <c r="L73" i="5"/>
  <c r="L83" i="5" s="1"/>
  <c r="K73" i="5"/>
  <c r="K83" i="5" s="1"/>
  <c r="J73" i="5"/>
  <c r="J83" i="5" s="1"/>
  <c r="O72" i="5"/>
  <c r="N72" i="5"/>
  <c r="M72" i="5"/>
  <c r="L72" i="5"/>
  <c r="L82" i="5" s="1"/>
  <c r="K72" i="5"/>
  <c r="K82" i="5" s="1"/>
  <c r="J72" i="5"/>
  <c r="J82" i="5" s="1"/>
  <c r="O71" i="5"/>
  <c r="N71" i="5"/>
  <c r="M71" i="5"/>
  <c r="L71" i="5"/>
  <c r="K71" i="5"/>
  <c r="K81" i="5"/>
  <c r="J71" i="5"/>
  <c r="J81" i="5" s="1"/>
  <c r="O70" i="5"/>
  <c r="N70" i="5"/>
  <c r="M70" i="5"/>
  <c r="K70" i="5"/>
  <c r="J70" i="5"/>
  <c r="O69" i="5"/>
  <c r="N69" i="5"/>
  <c r="M69" i="5"/>
  <c r="L69" i="5"/>
  <c r="K69" i="5"/>
  <c r="J69" i="5"/>
  <c r="O68" i="5"/>
  <c r="N68" i="5"/>
  <c r="M68" i="5"/>
  <c r="L68" i="5"/>
  <c r="K68" i="5"/>
  <c r="J68" i="5"/>
  <c r="J78" i="5" s="1"/>
  <c r="F58" i="5"/>
  <c r="E58" i="5"/>
  <c r="D58" i="5"/>
  <c r="D59" i="5"/>
  <c r="D60" i="5"/>
  <c r="D61" i="5"/>
  <c r="D62" i="5"/>
  <c r="E57" i="5"/>
  <c r="F57" i="5"/>
  <c r="D57" i="5"/>
  <c r="I62" i="5"/>
  <c r="O62" i="5" s="1"/>
  <c r="H62" i="5"/>
  <c r="N62" i="5" s="1"/>
  <c r="G62" i="5"/>
  <c r="M62" i="5" s="1"/>
  <c r="F62" i="5"/>
  <c r="E62" i="5"/>
  <c r="I61" i="5"/>
  <c r="O61" i="5" s="1"/>
  <c r="H61" i="5"/>
  <c r="N61" i="5" s="1"/>
  <c r="G61" i="5"/>
  <c r="M61" i="5" s="1"/>
  <c r="F61" i="5"/>
  <c r="E61" i="5"/>
  <c r="I60" i="5"/>
  <c r="O60" i="5" s="1"/>
  <c r="H60" i="5"/>
  <c r="N60" i="5" s="1"/>
  <c r="G60" i="5"/>
  <c r="M60" i="5" s="1"/>
  <c r="F60" i="5"/>
  <c r="I59" i="5"/>
  <c r="O59" i="5" s="1"/>
  <c r="H59" i="5"/>
  <c r="N59" i="5" s="1"/>
  <c r="G59" i="5"/>
  <c r="M59" i="5" s="1"/>
  <c r="E59" i="5"/>
  <c r="I58" i="5"/>
  <c r="O58" i="5" s="1"/>
  <c r="H58" i="5"/>
  <c r="N58" i="5" s="1"/>
  <c r="G58" i="5"/>
  <c r="M58" i="5" s="1"/>
  <c r="I57" i="5"/>
  <c r="O57" i="5" s="1"/>
  <c r="H57" i="5"/>
  <c r="N57" i="5" s="1"/>
  <c r="G57" i="5"/>
  <c r="M57" i="5" s="1"/>
  <c r="O52" i="5"/>
  <c r="N52" i="5"/>
  <c r="M52" i="5"/>
  <c r="L52" i="5"/>
  <c r="L62" i="5" s="1"/>
  <c r="K52" i="5"/>
  <c r="K62" i="5" s="1"/>
  <c r="J52" i="5"/>
  <c r="J62" i="5" s="1"/>
  <c r="O51" i="5"/>
  <c r="N51" i="5"/>
  <c r="M51" i="5"/>
  <c r="L51" i="5"/>
  <c r="K51" i="5"/>
  <c r="J51" i="5"/>
  <c r="J61" i="5"/>
  <c r="O50" i="5"/>
  <c r="N50" i="5"/>
  <c r="M50" i="5"/>
  <c r="L50" i="5"/>
  <c r="K50" i="5"/>
  <c r="J50" i="5"/>
  <c r="O49" i="5"/>
  <c r="N49" i="5"/>
  <c r="M49" i="5"/>
  <c r="L49" i="5"/>
  <c r="K49" i="5"/>
  <c r="K59" i="5" s="1"/>
  <c r="J49" i="5"/>
  <c r="J59" i="5" s="1"/>
  <c r="O48" i="5"/>
  <c r="N48" i="5"/>
  <c r="M48" i="5"/>
  <c r="L48" i="5"/>
  <c r="K48" i="5"/>
  <c r="J48" i="5"/>
  <c r="O47" i="5"/>
  <c r="N47" i="5"/>
  <c r="M47" i="5"/>
  <c r="L47" i="5"/>
  <c r="K47" i="5"/>
  <c r="K57" i="5" s="1"/>
  <c r="J47" i="5"/>
  <c r="J57" i="5" s="1"/>
  <c r="F37" i="5"/>
  <c r="F38" i="5"/>
  <c r="F39" i="5"/>
  <c r="F40" i="5"/>
  <c r="F41" i="5"/>
  <c r="E41" i="5"/>
  <c r="E37" i="5"/>
  <c r="E38" i="5"/>
  <c r="E39" i="5"/>
  <c r="E40" i="5"/>
  <c r="E36" i="5"/>
  <c r="F36" i="5"/>
  <c r="D37" i="5"/>
  <c r="D38" i="5"/>
  <c r="D39" i="5"/>
  <c r="D40" i="5"/>
  <c r="D41" i="5"/>
  <c r="D36" i="5"/>
  <c r="G41" i="5"/>
  <c r="M41" i="5" s="1"/>
  <c r="I41" i="5"/>
  <c r="O41" i="5" s="1"/>
  <c r="H41" i="5"/>
  <c r="N41" i="5" s="1"/>
  <c r="G40" i="5"/>
  <c r="M40" i="5" s="1"/>
  <c r="L30" i="5"/>
  <c r="I40" i="5"/>
  <c r="O40" i="5" s="1"/>
  <c r="H40" i="5"/>
  <c r="N40" i="5" s="1"/>
  <c r="G39" i="5"/>
  <c r="M39" i="5" s="1"/>
  <c r="I39" i="5"/>
  <c r="O39" i="5" s="1"/>
  <c r="H39" i="5"/>
  <c r="N39" i="5" s="1"/>
  <c r="G38" i="5"/>
  <c r="M38" i="5" s="1"/>
  <c r="I38" i="5"/>
  <c r="O38" i="5" s="1"/>
  <c r="H38" i="5"/>
  <c r="N38" i="5" s="1"/>
  <c r="G37" i="5"/>
  <c r="M37" i="5" s="1"/>
  <c r="I37" i="5"/>
  <c r="O37" i="5" s="1"/>
  <c r="H37" i="5"/>
  <c r="N37" i="5" s="1"/>
  <c r="G36" i="5"/>
  <c r="M36" i="5" s="1"/>
  <c r="I36" i="5"/>
  <c r="O36" i="5" s="1"/>
  <c r="H36" i="5"/>
  <c r="N36" i="5" s="1"/>
  <c r="O31" i="5"/>
  <c r="N31" i="5"/>
  <c r="M31" i="5"/>
  <c r="L31" i="5"/>
  <c r="L41" i="5" s="1"/>
  <c r="K31" i="5"/>
  <c r="K41" i="5" s="1"/>
  <c r="J31" i="5"/>
  <c r="J41" i="5" s="1"/>
  <c r="O30" i="5"/>
  <c r="N30" i="5"/>
  <c r="M30" i="5"/>
  <c r="K30" i="5"/>
  <c r="J30" i="5"/>
  <c r="O29" i="5"/>
  <c r="N29" i="5"/>
  <c r="M29" i="5"/>
  <c r="L29" i="5"/>
  <c r="L39" i="5" s="1"/>
  <c r="K29" i="5"/>
  <c r="J29" i="5"/>
  <c r="O28" i="5"/>
  <c r="N28" i="5"/>
  <c r="M28" i="5"/>
  <c r="L28" i="5"/>
  <c r="K28" i="5"/>
  <c r="K38" i="5" s="1"/>
  <c r="J28" i="5"/>
  <c r="O27" i="5"/>
  <c r="N27" i="5"/>
  <c r="M27" i="5"/>
  <c r="L27" i="5"/>
  <c r="K27" i="5"/>
  <c r="J27" i="5"/>
  <c r="O26" i="5"/>
  <c r="N26" i="5"/>
  <c r="M26" i="5"/>
  <c r="L26" i="5"/>
  <c r="K26" i="5"/>
  <c r="J26" i="5"/>
  <c r="F16" i="5"/>
  <c r="F17" i="5"/>
  <c r="F18" i="5"/>
  <c r="F19" i="5"/>
  <c r="F20" i="5"/>
  <c r="E16" i="5"/>
  <c r="E17" i="5"/>
  <c r="E18" i="5"/>
  <c r="E19" i="5"/>
  <c r="E20" i="5"/>
  <c r="E15" i="5"/>
  <c r="F15" i="5"/>
  <c r="D16" i="5"/>
  <c r="D17" i="5"/>
  <c r="D18" i="5"/>
  <c r="D19" i="5"/>
  <c r="D20" i="5"/>
  <c r="D15" i="5"/>
  <c r="I20" i="5"/>
  <c r="O20" i="5" s="1"/>
  <c r="H20" i="5"/>
  <c r="N20" i="5" s="1"/>
  <c r="G20" i="5"/>
  <c r="M20" i="5" s="1"/>
  <c r="I19" i="5"/>
  <c r="O19" i="5" s="1"/>
  <c r="H19" i="5"/>
  <c r="N19" i="5" s="1"/>
  <c r="G19" i="5"/>
  <c r="M19" i="5" s="1"/>
  <c r="I18" i="5"/>
  <c r="O18" i="5" s="1"/>
  <c r="H18" i="5"/>
  <c r="N18" i="5" s="1"/>
  <c r="G18" i="5"/>
  <c r="M18" i="5" s="1"/>
  <c r="I17" i="5"/>
  <c r="O17" i="5" s="1"/>
  <c r="H17" i="5"/>
  <c r="N17" i="5" s="1"/>
  <c r="G17" i="5"/>
  <c r="M17" i="5" s="1"/>
  <c r="I16" i="5"/>
  <c r="O16" i="5" s="1"/>
  <c r="H16" i="5"/>
  <c r="N16" i="5" s="1"/>
  <c r="G16" i="5"/>
  <c r="M16" i="5" s="1"/>
  <c r="I15" i="5"/>
  <c r="O15" i="5" s="1"/>
  <c r="H15" i="5"/>
  <c r="N15" i="5" s="1"/>
  <c r="G15" i="5"/>
  <c r="M15" i="5" s="1"/>
  <c r="O10" i="5"/>
  <c r="N10" i="5"/>
  <c r="M10" i="5"/>
  <c r="L10" i="5"/>
  <c r="L20" i="5"/>
  <c r="K10" i="5"/>
  <c r="K20" i="5" s="1"/>
  <c r="J10" i="5"/>
  <c r="J20" i="5" s="1"/>
  <c r="O9" i="5"/>
  <c r="N9" i="5"/>
  <c r="M9" i="5"/>
  <c r="L9" i="5"/>
  <c r="L19" i="5" s="1"/>
  <c r="K9" i="5"/>
  <c r="K19" i="5" s="1"/>
  <c r="J9" i="5"/>
  <c r="O8" i="5"/>
  <c r="N8" i="5"/>
  <c r="M8" i="5"/>
  <c r="L8" i="5"/>
  <c r="L18" i="5" s="1"/>
  <c r="K8" i="5"/>
  <c r="K18" i="5" s="1"/>
  <c r="J8" i="5"/>
  <c r="J18" i="5" s="1"/>
  <c r="O7" i="5"/>
  <c r="N7" i="5"/>
  <c r="M7" i="5"/>
  <c r="L7" i="5"/>
  <c r="K7" i="5"/>
  <c r="K17" i="5" s="1"/>
  <c r="J7" i="5"/>
  <c r="J17" i="5" s="1"/>
  <c r="O6" i="5"/>
  <c r="N6" i="5"/>
  <c r="M6" i="5"/>
  <c r="L6" i="5"/>
  <c r="K6" i="5"/>
  <c r="J6" i="5"/>
  <c r="J16" i="5" s="1"/>
  <c r="O5" i="5"/>
  <c r="N5" i="5"/>
  <c r="M5" i="5"/>
  <c r="L5" i="5"/>
  <c r="L15" i="5" s="1"/>
  <c r="K5" i="5"/>
  <c r="K15" i="5" s="1"/>
  <c r="J5" i="5"/>
  <c r="K16" i="5"/>
  <c r="F25" i="4"/>
  <c r="F26" i="4"/>
  <c r="F27" i="4"/>
  <c r="E25" i="4"/>
  <c r="E26" i="4"/>
  <c r="E27" i="4"/>
  <c r="E24" i="4"/>
  <c r="F24" i="4"/>
  <c r="D25" i="4"/>
  <c r="D26" i="4"/>
  <c r="D27" i="4"/>
  <c r="D28" i="4"/>
  <c r="D29" i="4"/>
  <c r="D24" i="4"/>
  <c r="F16" i="4"/>
  <c r="F17" i="4"/>
  <c r="F18" i="4"/>
  <c r="F19" i="4"/>
  <c r="F20" i="4"/>
  <c r="E16" i="4"/>
  <c r="E17" i="4"/>
  <c r="E18" i="4"/>
  <c r="E19" i="4"/>
  <c r="E20" i="4"/>
  <c r="D16" i="4"/>
  <c r="D17" i="4"/>
  <c r="D18" i="4"/>
  <c r="D19" i="4"/>
  <c r="D20" i="4"/>
  <c r="E15" i="4"/>
  <c r="F15" i="4"/>
  <c r="D15" i="4"/>
  <c r="I19" i="4"/>
  <c r="O19" i="4" s="1"/>
  <c r="O29" i="4"/>
  <c r="H19" i="4"/>
  <c r="N19" i="4" s="1"/>
  <c r="N29" i="4"/>
  <c r="G19" i="4"/>
  <c r="M19" i="4" s="1"/>
  <c r="M29" i="4"/>
  <c r="L10" i="4"/>
  <c r="K10" i="4"/>
  <c r="J10" i="4"/>
  <c r="I18" i="4"/>
  <c r="O18" i="4" s="1"/>
  <c r="O28" i="4"/>
  <c r="H18" i="4"/>
  <c r="N18" i="4" s="1"/>
  <c r="N28" i="4"/>
  <c r="G18" i="4"/>
  <c r="M18" i="4" s="1"/>
  <c r="M28" i="4"/>
  <c r="L9" i="4"/>
  <c r="L19" i="4" s="1"/>
  <c r="K9" i="4"/>
  <c r="J9" i="4"/>
  <c r="I17" i="4"/>
  <c r="O17" i="4" s="1"/>
  <c r="O27" i="4"/>
  <c r="H17" i="4"/>
  <c r="N27" i="4"/>
  <c r="G17" i="4"/>
  <c r="M17" i="4" s="1"/>
  <c r="M27" i="4"/>
  <c r="L8" i="4"/>
  <c r="K8" i="4"/>
  <c r="K18" i="4" s="1"/>
  <c r="J8" i="4"/>
  <c r="J27" i="4" s="1"/>
  <c r="I16" i="4"/>
  <c r="O16" i="4" s="1"/>
  <c r="O26" i="4"/>
  <c r="H16" i="4"/>
  <c r="N16" i="4" s="1"/>
  <c r="N26" i="4"/>
  <c r="G16" i="4"/>
  <c r="M16" i="4" s="1"/>
  <c r="M26" i="4"/>
  <c r="L7" i="4"/>
  <c r="K7" i="4"/>
  <c r="J7" i="4"/>
  <c r="J129" i="3"/>
  <c r="I15" i="4"/>
  <c r="O15" i="4" s="1"/>
  <c r="O25" i="4"/>
  <c r="H15" i="4"/>
  <c r="N15" i="4" s="1"/>
  <c r="N25" i="4"/>
  <c r="G15" i="4"/>
  <c r="M15" i="4" s="1"/>
  <c r="M25" i="4"/>
  <c r="L6" i="4"/>
  <c r="K6" i="4"/>
  <c r="J6" i="4"/>
  <c r="O24" i="4"/>
  <c r="N24" i="4"/>
  <c r="M24" i="4"/>
  <c r="L5" i="4"/>
  <c r="K5" i="4"/>
  <c r="K127" i="3"/>
  <c r="J5" i="4"/>
  <c r="I20" i="4"/>
  <c r="O20" i="4" s="1"/>
  <c r="H20" i="4"/>
  <c r="N20" i="4" s="1"/>
  <c r="G20" i="4"/>
  <c r="M20" i="4" s="1"/>
  <c r="N17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F54" i="4"/>
  <c r="F55" i="4"/>
  <c r="F56" i="4"/>
  <c r="F57" i="4"/>
  <c r="F58" i="4"/>
  <c r="E54" i="4"/>
  <c r="E55" i="4"/>
  <c r="E56" i="4"/>
  <c r="E57" i="4"/>
  <c r="E58" i="4"/>
  <c r="E53" i="4"/>
  <c r="F53" i="4"/>
  <c r="D54" i="4"/>
  <c r="D55" i="4"/>
  <c r="D56" i="4"/>
  <c r="D57" i="4"/>
  <c r="D58" i="4"/>
  <c r="D53" i="4"/>
  <c r="F45" i="4"/>
  <c r="F46" i="4"/>
  <c r="F47" i="4"/>
  <c r="F48" i="4"/>
  <c r="E45" i="4"/>
  <c r="E46" i="4"/>
  <c r="E47" i="4"/>
  <c r="E48" i="4"/>
  <c r="E49" i="4"/>
  <c r="D45" i="4"/>
  <c r="D46" i="4"/>
  <c r="D47" i="4"/>
  <c r="D48" i="4"/>
  <c r="D49" i="4"/>
  <c r="E44" i="4"/>
  <c r="F44" i="4"/>
  <c r="D44" i="4"/>
  <c r="G48" i="4"/>
  <c r="M48" i="4" s="1"/>
  <c r="K38" i="4"/>
  <c r="K57" i="4" s="1"/>
  <c r="G47" i="4"/>
  <c r="K37" i="4"/>
  <c r="G46" i="4"/>
  <c r="L36" i="4"/>
  <c r="G45" i="4"/>
  <c r="M45" i="4" s="1"/>
  <c r="G44" i="4"/>
  <c r="O53" i="4"/>
  <c r="N53" i="4"/>
  <c r="M53" i="4"/>
  <c r="G49" i="4"/>
  <c r="M49" i="4" s="1"/>
  <c r="I49" i="4"/>
  <c r="O49" i="4"/>
  <c r="H49" i="4"/>
  <c r="N49" i="4" s="1"/>
  <c r="I48" i="4"/>
  <c r="O48" i="4" s="1"/>
  <c r="H48" i="4"/>
  <c r="H58" i="4" s="1"/>
  <c r="N58" i="4" s="1"/>
  <c r="I47" i="4"/>
  <c r="I57" i="4" s="1"/>
  <c r="O57" i="4" s="1"/>
  <c r="H47" i="4"/>
  <c r="I46" i="4"/>
  <c r="I56" i="4" s="1"/>
  <c r="O56" i="4" s="1"/>
  <c r="H46" i="4"/>
  <c r="N46" i="4" s="1"/>
  <c r="I45" i="4"/>
  <c r="O45" i="4" s="1"/>
  <c r="H45" i="4"/>
  <c r="H55" i="4" s="1"/>
  <c r="N55" i="4" s="1"/>
  <c r="I44" i="4"/>
  <c r="I54" i="4" s="1"/>
  <c r="O54" i="4" s="1"/>
  <c r="H44" i="4"/>
  <c r="O39" i="4"/>
  <c r="N39" i="4"/>
  <c r="M39" i="4"/>
  <c r="L39" i="4"/>
  <c r="L58" i="4" s="1"/>
  <c r="K39" i="4"/>
  <c r="J39" i="4"/>
  <c r="J49" i="4" s="1"/>
  <c r="J58" i="4"/>
  <c r="O38" i="4"/>
  <c r="N38" i="4"/>
  <c r="M38" i="4"/>
  <c r="L38" i="4"/>
  <c r="L57" i="4" s="1"/>
  <c r="J38" i="4"/>
  <c r="J57" i="4" s="1"/>
  <c r="O37" i="4"/>
  <c r="N37" i="4"/>
  <c r="M37" i="4"/>
  <c r="L37" i="4"/>
  <c r="J37" i="4"/>
  <c r="J56" i="4" s="1"/>
  <c r="O36" i="4"/>
  <c r="N36" i="4"/>
  <c r="M36" i="4"/>
  <c r="K36" i="4"/>
  <c r="K8" i="3"/>
  <c r="J36" i="4"/>
  <c r="O35" i="4"/>
  <c r="N35" i="4"/>
  <c r="M35" i="4"/>
  <c r="L35" i="4"/>
  <c r="K35" i="4"/>
  <c r="J35" i="4"/>
  <c r="O34" i="4"/>
  <c r="N34" i="4"/>
  <c r="M34" i="4"/>
  <c r="L34" i="4"/>
  <c r="L6" i="3"/>
  <c r="K34" i="4"/>
  <c r="J34" i="4"/>
  <c r="I55" i="4"/>
  <c r="O55" i="4" s="1"/>
  <c r="F83" i="4"/>
  <c r="F84" i="4"/>
  <c r="F85" i="4"/>
  <c r="F86" i="4"/>
  <c r="F87" i="4"/>
  <c r="E83" i="4"/>
  <c r="E84" i="4"/>
  <c r="E85" i="4"/>
  <c r="E86" i="4"/>
  <c r="E87" i="4"/>
  <c r="E82" i="4"/>
  <c r="F82" i="4"/>
  <c r="D83" i="4"/>
  <c r="D84" i="4"/>
  <c r="D85" i="4"/>
  <c r="D86" i="4"/>
  <c r="D87" i="4"/>
  <c r="D82" i="4"/>
  <c r="F74" i="4"/>
  <c r="F75" i="4"/>
  <c r="F76" i="4"/>
  <c r="F77" i="4"/>
  <c r="F78" i="4"/>
  <c r="E74" i="4"/>
  <c r="E75" i="4"/>
  <c r="E76" i="4"/>
  <c r="E77" i="4"/>
  <c r="E78" i="4"/>
  <c r="E73" i="4"/>
  <c r="F73" i="4"/>
  <c r="D74" i="4"/>
  <c r="D75" i="4"/>
  <c r="D76" i="4"/>
  <c r="D77" i="4"/>
  <c r="D78" i="4"/>
  <c r="D73" i="4"/>
  <c r="H75" i="4"/>
  <c r="N75" i="4" s="1"/>
  <c r="O82" i="4"/>
  <c r="N82" i="4"/>
  <c r="M82" i="4"/>
  <c r="I78" i="4"/>
  <c r="O78" i="4" s="1"/>
  <c r="H78" i="4"/>
  <c r="N78" i="4" s="1"/>
  <c r="G78" i="4"/>
  <c r="M78" i="4" s="1"/>
  <c r="I77" i="4"/>
  <c r="I87" i="4" s="1"/>
  <c r="O87" i="4" s="1"/>
  <c r="H77" i="4"/>
  <c r="H87" i="4" s="1"/>
  <c r="N87" i="4" s="1"/>
  <c r="G77" i="4"/>
  <c r="H76" i="4"/>
  <c r="N76" i="4" s="1"/>
  <c r="I76" i="4"/>
  <c r="O76" i="4" s="1"/>
  <c r="G76" i="4"/>
  <c r="M76" i="4" s="1"/>
  <c r="I75" i="4"/>
  <c r="G75" i="4"/>
  <c r="I74" i="4"/>
  <c r="H74" i="4"/>
  <c r="G74" i="4"/>
  <c r="I73" i="4"/>
  <c r="I83" i="4" s="1"/>
  <c r="O83" i="4" s="1"/>
  <c r="H73" i="4"/>
  <c r="G73" i="4"/>
  <c r="G83" i="4" s="1"/>
  <c r="M83" i="4" s="1"/>
  <c r="O68" i="4"/>
  <c r="N68" i="4"/>
  <c r="M68" i="4"/>
  <c r="L68" i="4"/>
  <c r="L87" i="4" s="1"/>
  <c r="K68" i="4"/>
  <c r="K78" i="4" s="1"/>
  <c r="J68" i="4"/>
  <c r="O67" i="4"/>
  <c r="N67" i="4"/>
  <c r="M67" i="4"/>
  <c r="L67" i="4"/>
  <c r="K67" i="4"/>
  <c r="K86" i="4" s="1"/>
  <c r="J67" i="4"/>
  <c r="O66" i="4"/>
  <c r="N66" i="4"/>
  <c r="M66" i="4"/>
  <c r="L66" i="4"/>
  <c r="K66" i="4"/>
  <c r="J66" i="4"/>
  <c r="O65" i="4"/>
  <c r="N65" i="4"/>
  <c r="M65" i="4"/>
  <c r="L65" i="4"/>
  <c r="K65" i="4"/>
  <c r="J65" i="4"/>
  <c r="O64" i="4"/>
  <c r="N64" i="4"/>
  <c r="M64" i="4"/>
  <c r="L64" i="4"/>
  <c r="K64" i="4"/>
  <c r="K74" i="4" s="1"/>
  <c r="J64" i="4"/>
  <c r="O63" i="4"/>
  <c r="N63" i="4"/>
  <c r="M63" i="4"/>
  <c r="L63" i="4"/>
  <c r="K63" i="4"/>
  <c r="K82" i="4" s="1"/>
  <c r="J63" i="4"/>
  <c r="J127" i="3"/>
  <c r="J137" i="3" s="1"/>
  <c r="O73" i="4"/>
  <c r="F112" i="4"/>
  <c r="F113" i="4"/>
  <c r="F114" i="4"/>
  <c r="F115" i="4"/>
  <c r="F116" i="4"/>
  <c r="E112" i="4"/>
  <c r="E113" i="4"/>
  <c r="E114" i="4"/>
  <c r="E115" i="4"/>
  <c r="E116" i="4"/>
  <c r="E111" i="4"/>
  <c r="F111" i="4"/>
  <c r="D112" i="4"/>
  <c r="D113" i="4"/>
  <c r="D114" i="4"/>
  <c r="D115" i="4"/>
  <c r="D116" i="4"/>
  <c r="D111" i="4"/>
  <c r="F103" i="4"/>
  <c r="F104" i="4"/>
  <c r="F105" i="4"/>
  <c r="F106" i="4"/>
  <c r="F107" i="4"/>
  <c r="E103" i="4"/>
  <c r="E104" i="4"/>
  <c r="E105" i="4"/>
  <c r="E106" i="4"/>
  <c r="E107" i="4"/>
  <c r="E102" i="4"/>
  <c r="F102" i="4"/>
  <c r="D103" i="4"/>
  <c r="D104" i="4"/>
  <c r="D105" i="4"/>
  <c r="D106" i="4"/>
  <c r="D107" i="4"/>
  <c r="D102" i="4"/>
  <c r="O111" i="4"/>
  <c r="N111" i="4"/>
  <c r="M111" i="4"/>
  <c r="I107" i="4"/>
  <c r="O107" i="4" s="1"/>
  <c r="H107" i="4"/>
  <c r="N107" i="4" s="1"/>
  <c r="G107" i="4"/>
  <c r="M107" i="4" s="1"/>
  <c r="I106" i="4"/>
  <c r="I116" i="4" s="1"/>
  <c r="O116" i="4" s="1"/>
  <c r="H106" i="4"/>
  <c r="G106" i="4"/>
  <c r="M106" i="4" s="1"/>
  <c r="G116" i="4"/>
  <c r="M116" i="4" s="1"/>
  <c r="I105" i="4"/>
  <c r="H105" i="4"/>
  <c r="N105" i="4" s="1"/>
  <c r="G105" i="4"/>
  <c r="I104" i="4"/>
  <c r="H104" i="4"/>
  <c r="G104" i="4"/>
  <c r="M104" i="4" s="1"/>
  <c r="I103" i="4"/>
  <c r="I113" i="4" s="1"/>
  <c r="O113" i="4" s="1"/>
  <c r="H103" i="4"/>
  <c r="H113" i="4" s="1"/>
  <c r="N113" i="4" s="1"/>
  <c r="G103" i="4"/>
  <c r="M103" i="4" s="1"/>
  <c r="I102" i="4"/>
  <c r="O102" i="4" s="1"/>
  <c r="H102" i="4"/>
  <c r="G102" i="4"/>
  <c r="M102" i="4" s="1"/>
  <c r="O97" i="4"/>
  <c r="N97" i="4"/>
  <c r="M97" i="4"/>
  <c r="L97" i="4"/>
  <c r="L116" i="4" s="1"/>
  <c r="K97" i="4"/>
  <c r="K116" i="4" s="1"/>
  <c r="J97" i="4"/>
  <c r="O96" i="4"/>
  <c r="N96" i="4"/>
  <c r="M96" i="4"/>
  <c r="L96" i="4"/>
  <c r="L115" i="4" s="1"/>
  <c r="K96" i="4"/>
  <c r="J96" i="4"/>
  <c r="J115" i="4" s="1"/>
  <c r="O95" i="4"/>
  <c r="N95" i="4"/>
  <c r="M95" i="4"/>
  <c r="L95" i="4"/>
  <c r="K95" i="4"/>
  <c r="J95" i="4"/>
  <c r="J114" i="4" s="1"/>
  <c r="O94" i="4"/>
  <c r="N94" i="4"/>
  <c r="M94" i="4"/>
  <c r="L94" i="4"/>
  <c r="K94" i="4"/>
  <c r="K104" i="4" s="1"/>
  <c r="J94" i="4"/>
  <c r="O93" i="4"/>
  <c r="N93" i="4"/>
  <c r="M93" i="4"/>
  <c r="L93" i="4"/>
  <c r="K93" i="4"/>
  <c r="J93" i="4"/>
  <c r="O92" i="4"/>
  <c r="N92" i="4"/>
  <c r="M92" i="4"/>
  <c r="L92" i="4"/>
  <c r="K92" i="4"/>
  <c r="J92" i="4"/>
  <c r="F141" i="4"/>
  <c r="F142" i="4"/>
  <c r="F143" i="4"/>
  <c r="F144" i="4"/>
  <c r="F145" i="4"/>
  <c r="E141" i="4"/>
  <c r="E142" i="4"/>
  <c r="E143" i="4"/>
  <c r="E144" i="4"/>
  <c r="E145" i="4"/>
  <c r="E140" i="4"/>
  <c r="F140" i="4"/>
  <c r="D141" i="4"/>
  <c r="D142" i="4"/>
  <c r="D143" i="4"/>
  <c r="D144" i="4"/>
  <c r="D145" i="4"/>
  <c r="D140" i="4"/>
  <c r="F132" i="4"/>
  <c r="F133" i="4"/>
  <c r="F134" i="4"/>
  <c r="F135" i="4"/>
  <c r="F136" i="4"/>
  <c r="E132" i="4"/>
  <c r="E133" i="4"/>
  <c r="E134" i="4"/>
  <c r="E135" i="4"/>
  <c r="E136" i="4"/>
  <c r="E131" i="4"/>
  <c r="F131" i="4"/>
  <c r="D132" i="4"/>
  <c r="D133" i="4"/>
  <c r="D134" i="4"/>
  <c r="D135" i="4"/>
  <c r="D136" i="4"/>
  <c r="D131" i="4"/>
  <c r="O140" i="4"/>
  <c r="N140" i="4"/>
  <c r="M140" i="4"/>
  <c r="I136" i="4"/>
  <c r="O136" i="4"/>
  <c r="H136" i="4"/>
  <c r="N136" i="4"/>
  <c r="G136" i="4"/>
  <c r="M136" i="4" s="1"/>
  <c r="I135" i="4"/>
  <c r="H135" i="4"/>
  <c r="H145" i="4"/>
  <c r="N145" i="4" s="1"/>
  <c r="G135" i="4"/>
  <c r="M135" i="4" s="1"/>
  <c r="I134" i="4"/>
  <c r="H134" i="4"/>
  <c r="N134" i="4" s="1"/>
  <c r="H144" i="4"/>
  <c r="N144" i="4" s="1"/>
  <c r="G134" i="4"/>
  <c r="G144" i="4" s="1"/>
  <c r="M144" i="4" s="1"/>
  <c r="I133" i="4"/>
  <c r="H133" i="4"/>
  <c r="H143" i="4" s="1"/>
  <c r="N143" i="4"/>
  <c r="G133" i="4"/>
  <c r="G143" i="4" s="1"/>
  <c r="M143" i="4" s="1"/>
  <c r="I132" i="4"/>
  <c r="O132" i="4" s="1"/>
  <c r="H132" i="4"/>
  <c r="N132" i="4" s="1"/>
  <c r="G132" i="4"/>
  <c r="I131" i="4"/>
  <c r="I141" i="4" s="1"/>
  <c r="O141" i="4" s="1"/>
  <c r="H131" i="4"/>
  <c r="H141" i="4" s="1"/>
  <c r="N141" i="4" s="1"/>
  <c r="G131" i="4"/>
  <c r="O126" i="4"/>
  <c r="N126" i="4"/>
  <c r="M126" i="4"/>
  <c r="L126" i="4"/>
  <c r="K126" i="4"/>
  <c r="J126" i="4"/>
  <c r="O125" i="4"/>
  <c r="N125" i="4"/>
  <c r="M125" i="4"/>
  <c r="L125" i="4"/>
  <c r="K125" i="4"/>
  <c r="K144" i="4" s="1"/>
  <c r="J125" i="4"/>
  <c r="O124" i="4"/>
  <c r="N124" i="4"/>
  <c r="M124" i="4"/>
  <c r="L124" i="4"/>
  <c r="K124" i="4"/>
  <c r="J124" i="4"/>
  <c r="O123" i="4"/>
  <c r="N123" i="4"/>
  <c r="M123" i="4"/>
  <c r="L123" i="4"/>
  <c r="K123" i="4"/>
  <c r="J123" i="4"/>
  <c r="O122" i="4"/>
  <c r="N122" i="4"/>
  <c r="M122" i="4"/>
  <c r="L122" i="4"/>
  <c r="K122" i="4"/>
  <c r="J122" i="4"/>
  <c r="J128" i="3"/>
  <c r="J83" i="4" s="1"/>
  <c r="O121" i="4"/>
  <c r="N121" i="4"/>
  <c r="M121" i="4"/>
  <c r="L121" i="4"/>
  <c r="L127" i="3"/>
  <c r="L24" i="4" s="1"/>
  <c r="L140" i="4"/>
  <c r="K121" i="4"/>
  <c r="K140" i="4" s="1"/>
  <c r="J121" i="4"/>
  <c r="N135" i="4"/>
  <c r="H142" i="4"/>
  <c r="N142" i="4" s="1"/>
  <c r="M133" i="4"/>
  <c r="F169" i="4"/>
  <c r="F170" i="4"/>
  <c r="F171" i="4"/>
  <c r="F172" i="4"/>
  <c r="F173" i="4"/>
  <c r="F174" i="4"/>
  <c r="E170" i="4"/>
  <c r="E171" i="4"/>
  <c r="E172" i="4"/>
  <c r="E173" i="4"/>
  <c r="E174" i="4"/>
  <c r="E169" i="4"/>
  <c r="D170" i="4"/>
  <c r="D171" i="4"/>
  <c r="D172" i="4"/>
  <c r="D173" i="4"/>
  <c r="D174" i="4"/>
  <c r="D169" i="4"/>
  <c r="F161" i="4"/>
  <c r="F162" i="4"/>
  <c r="F163" i="4"/>
  <c r="F164" i="4"/>
  <c r="F165" i="4"/>
  <c r="E161" i="4"/>
  <c r="E162" i="4"/>
  <c r="E163" i="4"/>
  <c r="E164" i="4"/>
  <c r="E165" i="4"/>
  <c r="E160" i="4"/>
  <c r="F160" i="4"/>
  <c r="D161" i="4"/>
  <c r="D162" i="4"/>
  <c r="D163" i="4"/>
  <c r="D164" i="4"/>
  <c r="D165" i="4"/>
  <c r="D160" i="4"/>
  <c r="O169" i="4"/>
  <c r="N169" i="4"/>
  <c r="M169" i="4"/>
  <c r="I165" i="4"/>
  <c r="O165" i="4" s="1"/>
  <c r="H165" i="4"/>
  <c r="N165" i="4" s="1"/>
  <c r="G165" i="4"/>
  <c r="M165" i="4" s="1"/>
  <c r="I164" i="4"/>
  <c r="H164" i="4"/>
  <c r="G164" i="4"/>
  <c r="I163" i="4"/>
  <c r="O163" i="4" s="1"/>
  <c r="H163" i="4"/>
  <c r="N163" i="4" s="1"/>
  <c r="G163" i="4"/>
  <c r="I162" i="4"/>
  <c r="I172" i="4" s="1"/>
  <c r="O172" i="4" s="1"/>
  <c r="O162" i="4"/>
  <c r="H162" i="4"/>
  <c r="H172" i="4" s="1"/>
  <c r="N172" i="4" s="1"/>
  <c r="G162" i="4"/>
  <c r="G172" i="4" s="1"/>
  <c r="M172" i="4" s="1"/>
  <c r="I161" i="4"/>
  <c r="I171" i="4" s="1"/>
  <c r="O171" i="4" s="1"/>
  <c r="H161" i="4"/>
  <c r="G161" i="4"/>
  <c r="G171" i="4" s="1"/>
  <c r="M171" i="4" s="1"/>
  <c r="I160" i="4"/>
  <c r="O160" i="4" s="1"/>
  <c r="H160" i="4"/>
  <c r="H170" i="4" s="1"/>
  <c r="N170" i="4" s="1"/>
  <c r="G160" i="4"/>
  <c r="G170" i="4" s="1"/>
  <c r="M170" i="4"/>
  <c r="O155" i="4"/>
  <c r="N155" i="4"/>
  <c r="M155" i="4"/>
  <c r="L155" i="4"/>
  <c r="L174" i="4" s="1"/>
  <c r="K155" i="4"/>
  <c r="J155" i="4"/>
  <c r="O154" i="4"/>
  <c r="N154" i="4"/>
  <c r="M154" i="4"/>
  <c r="L154" i="4"/>
  <c r="L173" i="4" s="1"/>
  <c r="K154" i="4"/>
  <c r="J154" i="4"/>
  <c r="J173" i="4" s="1"/>
  <c r="O153" i="4"/>
  <c r="N153" i="4"/>
  <c r="M153" i="4"/>
  <c r="L153" i="4"/>
  <c r="L163" i="4" s="1"/>
  <c r="K153" i="4"/>
  <c r="J153" i="4"/>
  <c r="J172" i="4" s="1"/>
  <c r="O152" i="4"/>
  <c r="N152" i="4"/>
  <c r="M152" i="4"/>
  <c r="L152" i="4"/>
  <c r="K152" i="4"/>
  <c r="J152" i="4"/>
  <c r="O151" i="4"/>
  <c r="N151" i="4"/>
  <c r="M151" i="4"/>
  <c r="L151" i="4"/>
  <c r="L161" i="4" s="1"/>
  <c r="K151" i="4"/>
  <c r="J151" i="4"/>
  <c r="O150" i="4"/>
  <c r="N150" i="4"/>
  <c r="M150" i="4"/>
  <c r="L150" i="4"/>
  <c r="L169" i="4" s="1"/>
  <c r="K150" i="4"/>
  <c r="J150" i="4"/>
  <c r="M161" i="4"/>
  <c r="F199" i="4"/>
  <c r="F200" i="4"/>
  <c r="F201" i="4"/>
  <c r="F202" i="4"/>
  <c r="F203" i="4"/>
  <c r="E199" i="4"/>
  <c r="E200" i="4"/>
  <c r="E201" i="4"/>
  <c r="E202" i="4"/>
  <c r="E203" i="4"/>
  <c r="E198" i="4"/>
  <c r="F198" i="4"/>
  <c r="D199" i="4"/>
  <c r="D200" i="4"/>
  <c r="D201" i="4"/>
  <c r="D202" i="4"/>
  <c r="D203" i="4"/>
  <c r="D198" i="4"/>
  <c r="F190" i="4"/>
  <c r="F191" i="4"/>
  <c r="F192" i="4"/>
  <c r="F193" i="4"/>
  <c r="F194" i="4"/>
  <c r="E190" i="4"/>
  <c r="E191" i="4"/>
  <c r="E192" i="4"/>
  <c r="E193" i="4"/>
  <c r="E194" i="4"/>
  <c r="E189" i="4"/>
  <c r="F189" i="4"/>
  <c r="D190" i="4"/>
  <c r="D191" i="4"/>
  <c r="D192" i="4"/>
  <c r="D193" i="4"/>
  <c r="D194" i="4"/>
  <c r="D189" i="4"/>
  <c r="O198" i="4"/>
  <c r="N198" i="4"/>
  <c r="M198" i="4"/>
  <c r="I194" i="4"/>
  <c r="O194" i="4" s="1"/>
  <c r="H194" i="4"/>
  <c r="N194" i="4"/>
  <c r="G194" i="4"/>
  <c r="M194" i="4"/>
  <c r="I193" i="4"/>
  <c r="O193" i="4" s="1"/>
  <c r="H193" i="4"/>
  <c r="G193" i="4"/>
  <c r="I192" i="4"/>
  <c r="I202" i="4" s="1"/>
  <c r="O202" i="4" s="1"/>
  <c r="H192" i="4"/>
  <c r="G192" i="4"/>
  <c r="G202" i="4" s="1"/>
  <c r="M202" i="4" s="1"/>
  <c r="I191" i="4"/>
  <c r="O191" i="4"/>
  <c r="H191" i="4"/>
  <c r="H201" i="4" s="1"/>
  <c r="N201" i="4" s="1"/>
  <c r="G191" i="4"/>
  <c r="G190" i="4"/>
  <c r="G200" i="4" s="1"/>
  <c r="M190" i="4"/>
  <c r="I190" i="4"/>
  <c r="H190" i="4"/>
  <c r="N190" i="4" s="1"/>
  <c r="M200" i="4"/>
  <c r="I189" i="4"/>
  <c r="H189" i="4"/>
  <c r="G189" i="4"/>
  <c r="M189" i="4" s="1"/>
  <c r="O184" i="4"/>
  <c r="N184" i="4"/>
  <c r="M184" i="4"/>
  <c r="L184" i="4"/>
  <c r="K184" i="4"/>
  <c r="K194" i="4" s="1"/>
  <c r="J184" i="4"/>
  <c r="O183" i="4"/>
  <c r="N183" i="4"/>
  <c r="M183" i="4"/>
  <c r="L183" i="4"/>
  <c r="L193" i="4" s="1"/>
  <c r="L203" i="4" s="1"/>
  <c r="K183" i="4"/>
  <c r="J183" i="4"/>
  <c r="J193" i="4" s="1"/>
  <c r="J203" i="4" s="1"/>
  <c r="O182" i="4"/>
  <c r="N182" i="4"/>
  <c r="M182" i="4"/>
  <c r="L182" i="4"/>
  <c r="K182" i="4"/>
  <c r="K192" i="4" s="1"/>
  <c r="K202" i="4" s="1"/>
  <c r="J182" i="4"/>
  <c r="J192" i="4" s="1"/>
  <c r="J202" i="4" s="1"/>
  <c r="O181" i="4"/>
  <c r="N181" i="4"/>
  <c r="M181" i="4"/>
  <c r="L181" i="4"/>
  <c r="K181" i="4"/>
  <c r="J181" i="4"/>
  <c r="J191" i="4" s="1"/>
  <c r="J201" i="4" s="1"/>
  <c r="O180" i="4"/>
  <c r="N180" i="4"/>
  <c r="M180" i="4"/>
  <c r="L180" i="4"/>
  <c r="K180" i="4"/>
  <c r="K190" i="4"/>
  <c r="K129" i="3"/>
  <c r="J180" i="4"/>
  <c r="J190" i="4" s="1"/>
  <c r="O179" i="4"/>
  <c r="N179" i="4"/>
  <c r="M179" i="4"/>
  <c r="L179" i="4"/>
  <c r="L189" i="4" s="1"/>
  <c r="K179" i="4"/>
  <c r="J179" i="4"/>
  <c r="I201" i="4"/>
  <c r="O201" i="4" s="1"/>
  <c r="F228" i="4"/>
  <c r="F229" i="4"/>
  <c r="F230" i="4"/>
  <c r="F231" i="4"/>
  <c r="F232" i="4"/>
  <c r="E228" i="4"/>
  <c r="E229" i="4"/>
  <c r="E230" i="4"/>
  <c r="E231" i="4"/>
  <c r="E232" i="4"/>
  <c r="E227" i="4"/>
  <c r="F227" i="4"/>
  <c r="D228" i="4"/>
  <c r="D229" i="4"/>
  <c r="D230" i="4"/>
  <c r="D231" i="4"/>
  <c r="D232" i="4"/>
  <c r="D227" i="4"/>
  <c r="N227" i="4"/>
  <c r="F219" i="4"/>
  <c r="F220" i="4"/>
  <c r="F221" i="4"/>
  <c r="F222" i="4"/>
  <c r="F223" i="4"/>
  <c r="E219" i="4"/>
  <c r="E220" i="4"/>
  <c r="E221" i="4"/>
  <c r="E222" i="4"/>
  <c r="E223" i="4"/>
  <c r="D219" i="4"/>
  <c r="D220" i="4"/>
  <c r="D221" i="4"/>
  <c r="D222" i="4"/>
  <c r="D223" i="4"/>
  <c r="E218" i="4"/>
  <c r="F218" i="4"/>
  <c r="M227" i="4"/>
  <c r="L227" i="4"/>
  <c r="K227" i="4"/>
  <c r="J227" i="4"/>
  <c r="O227" i="4"/>
  <c r="D218" i="4"/>
  <c r="I223" i="4"/>
  <c r="O223" i="4" s="1"/>
  <c r="H223" i="4"/>
  <c r="N223" i="4" s="1"/>
  <c r="G223" i="4"/>
  <c r="M223" i="4" s="1"/>
  <c r="I222" i="4"/>
  <c r="O222" i="4" s="1"/>
  <c r="H222" i="4"/>
  <c r="G222" i="4"/>
  <c r="M222" i="4" s="1"/>
  <c r="I221" i="4"/>
  <c r="O221" i="4" s="1"/>
  <c r="H221" i="4"/>
  <c r="N221" i="4"/>
  <c r="G221" i="4"/>
  <c r="G231" i="4"/>
  <c r="M231" i="4" s="1"/>
  <c r="I220" i="4"/>
  <c r="O220" i="4" s="1"/>
  <c r="H220" i="4"/>
  <c r="N220" i="4" s="1"/>
  <c r="G220" i="4"/>
  <c r="G230" i="4" s="1"/>
  <c r="M230" i="4" s="1"/>
  <c r="I219" i="4"/>
  <c r="I229" i="4" s="1"/>
  <c r="O229" i="4" s="1"/>
  <c r="H219" i="4"/>
  <c r="N219" i="4" s="1"/>
  <c r="G219" i="4"/>
  <c r="G229" i="4" s="1"/>
  <c r="M229" i="4" s="1"/>
  <c r="I218" i="4"/>
  <c r="O218" i="4" s="1"/>
  <c r="H218" i="4"/>
  <c r="G218" i="4"/>
  <c r="M218" i="4" s="1"/>
  <c r="O213" i="4"/>
  <c r="N213" i="4"/>
  <c r="M213" i="4"/>
  <c r="L213" i="4"/>
  <c r="K213" i="4"/>
  <c r="J213" i="4"/>
  <c r="O212" i="4"/>
  <c r="N212" i="4"/>
  <c r="M212" i="4"/>
  <c r="L212" i="4"/>
  <c r="K212" i="4"/>
  <c r="J212" i="4"/>
  <c r="O211" i="4"/>
  <c r="N211" i="4"/>
  <c r="M211" i="4"/>
  <c r="L211" i="4"/>
  <c r="L8" i="3"/>
  <c r="L187" i="2"/>
  <c r="L197" i="2" s="1"/>
  <c r="K211" i="4"/>
  <c r="J211" i="4"/>
  <c r="O210" i="4"/>
  <c r="N210" i="4"/>
  <c r="M210" i="4"/>
  <c r="L210" i="4"/>
  <c r="K210" i="4"/>
  <c r="J210" i="4"/>
  <c r="J7" i="3"/>
  <c r="J186" i="2"/>
  <c r="J17" i="3" s="1"/>
  <c r="O209" i="4"/>
  <c r="N209" i="4"/>
  <c r="M209" i="4"/>
  <c r="L209" i="4"/>
  <c r="K209" i="4"/>
  <c r="J209" i="4"/>
  <c r="O208" i="4"/>
  <c r="N208" i="4"/>
  <c r="M208" i="4"/>
  <c r="L208" i="4"/>
  <c r="K208" i="4"/>
  <c r="J208" i="4"/>
  <c r="H229" i="4"/>
  <c r="N229" i="4" s="1"/>
  <c r="H231" i="4"/>
  <c r="N231" i="4" s="1"/>
  <c r="M220" i="4"/>
  <c r="M221" i="4"/>
  <c r="F248" i="4"/>
  <c r="F249" i="4"/>
  <c r="F250" i="4"/>
  <c r="F251" i="4"/>
  <c r="F252" i="4"/>
  <c r="E248" i="4"/>
  <c r="E249" i="4"/>
  <c r="E250" i="4"/>
  <c r="E251" i="4"/>
  <c r="E252" i="4"/>
  <c r="E247" i="4"/>
  <c r="F247" i="4"/>
  <c r="D248" i="4"/>
  <c r="D249" i="4"/>
  <c r="D250" i="4"/>
  <c r="D251" i="4"/>
  <c r="D252" i="4"/>
  <c r="D247" i="4"/>
  <c r="I252" i="4"/>
  <c r="O252" i="4" s="1"/>
  <c r="H252" i="4"/>
  <c r="N252" i="4" s="1"/>
  <c r="G252" i="4"/>
  <c r="M252" i="4" s="1"/>
  <c r="I251" i="4"/>
  <c r="O251" i="4" s="1"/>
  <c r="H251" i="4"/>
  <c r="N251" i="4" s="1"/>
  <c r="G251" i="4"/>
  <c r="M251" i="4" s="1"/>
  <c r="I250" i="4"/>
  <c r="O250" i="4" s="1"/>
  <c r="H250" i="4"/>
  <c r="N250" i="4" s="1"/>
  <c r="G250" i="4"/>
  <c r="M250" i="4" s="1"/>
  <c r="I249" i="4"/>
  <c r="O249" i="4" s="1"/>
  <c r="H249" i="4"/>
  <c r="N249" i="4" s="1"/>
  <c r="G249" i="4"/>
  <c r="M249" i="4" s="1"/>
  <c r="I248" i="4"/>
  <c r="O248" i="4" s="1"/>
  <c r="H248" i="4"/>
  <c r="N248" i="4" s="1"/>
  <c r="G248" i="4"/>
  <c r="M248" i="4" s="1"/>
  <c r="I247" i="4"/>
  <c r="O247" i="4" s="1"/>
  <c r="H247" i="4"/>
  <c r="N247" i="4" s="1"/>
  <c r="G247" i="4"/>
  <c r="M247" i="4" s="1"/>
  <c r="O242" i="4"/>
  <c r="N242" i="4"/>
  <c r="M242" i="4"/>
  <c r="L242" i="4"/>
  <c r="L252" i="4" s="1"/>
  <c r="K242" i="4"/>
  <c r="K252" i="4" s="1"/>
  <c r="J242" i="4"/>
  <c r="J252" i="4" s="1"/>
  <c r="O241" i="4"/>
  <c r="N241" i="4"/>
  <c r="M241" i="4"/>
  <c r="L241" i="4"/>
  <c r="K241" i="4"/>
  <c r="J241" i="4"/>
  <c r="J251" i="4" s="1"/>
  <c r="O240" i="4"/>
  <c r="N240" i="4"/>
  <c r="M240" i="4"/>
  <c r="L240" i="4"/>
  <c r="L250" i="4" s="1"/>
  <c r="K240" i="4"/>
  <c r="K250" i="4" s="1"/>
  <c r="J240" i="4"/>
  <c r="J250" i="4" s="1"/>
  <c r="O239" i="4"/>
  <c r="N239" i="4"/>
  <c r="M239" i="4"/>
  <c r="L239" i="4"/>
  <c r="K239" i="4"/>
  <c r="J239" i="4"/>
  <c r="J249" i="4" s="1"/>
  <c r="O238" i="4"/>
  <c r="N238" i="4"/>
  <c r="M238" i="4"/>
  <c r="L238" i="4"/>
  <c r="L248" i="4" s="1"/>
  <c r="K238" i="4"/>
  <c r="K248" i="4" s="1"/>
  <c r="J238" i="4"/>
  <c r="J248" i="4" s="1"/>
  <c r="O237" i="4"/>
  <c r="N237" i="4"/>
  <c r="M237" i="4"/>
  <c r="L237" i="4"/>
  <c r="K237" i="4"/>
  <c r="J237" i="4"/>
  <c r="J247" i="4" s="1"/>
  <c r="F267" i="4"/>
  <c r="F268" i="4"/>
  <c r="F269" i="4"/>
  <c r="F270" i="4"/>
  <c r="F271" i="4"/>
  <c r="F272" i="4"/>
  <c r="E268" i="4"/>
  <c r="E269" i="4"/>
  <c r="E270" i="4"/>
  <c r="E271" i="4"/>
  <c r="E272" i="4"/>
  <c r="E267" i="4"/>
  <c r="D268" i="4"/>
  <c r="D269" i="4"/>
  <c r="D270" i="4"/>
  <c r="D271" i="4"/>
  <c r="D272" i="4"/>
  <c r="D267" i="4"/>
  <c r="I272" i="4"/>
  <c r="O272" i="4" s="1"/>
  <c r="H272" i="4"/>
  <c r="N272" i="4" s="1"/>
  <c r="G272" i="4"/>
  <c r="M272" i="4" s="1"/>
  <c r="I271" i="4"/>
  <c r="O271" i="4" s="1"/>
  <c r="H271" i="4"/>
  <c r="N271" i="4" s="1"/>
  <c r="G271" i="4"/>
  <c r="M271" i="4" s="1"/>
  <c r="I270" i="4"/>
  <c r="O270" i="4" s="1"/>
  <c r="H270" i="4"/>
  <c r="N270" i="4" s="1"/>
  <c r="G270" i="4"/>
  <c r="M270" i="4" s="1"/>
  <c r="I269" i="4"/>
  <c r="O269" i="4" s="1"/>
  <c r="H269" i="4"/>
  <c r="N269" i="4" s="1"/>
  <c r="G269" i="4"/>
  <c r="M269" i="4" s="1"/>
  <c r="I268" i="4"/>
  <c r="O268" i="4" s="1"/>
  <c r="H268" i="4"/>
  <c r="N268" i="4" s="1"/>
  <c r="G268" i="4"/>
  <c r="M268" i="4" s="1"/>
  <c r="I267" i="4"/>
  <c r="O267" i="4" s="1"/>
  <c r="H267" i="4"/>
  <c r="N267" i="4" s="1"/>
  <c r="G267" i="4"/>
  <c r="M267" i="4" s="1"/>
  <c r="O262" i="4"/>
  <c r="N262" i="4"/>
  <c r="M262" i="4"/>
  <c r="L262" i="4"/>
  <c r="L272" i="4" s="1"/>
  <c r="K262" i="4"/>
  <c r="K272" i="4" s="1"/>
  <c r="J262" i="4"/>
  <c r="J272" i="4" s="1"/>
  <c r="O261" i="4"/>
  <c r="N261" i="4"/>
  <c r="M261" i="4"/>
  <c r="L261" i="4"/>
  <c r="L271" i="4" s="1"/>
  <c r="K261" i="4"/>
  <c r="K271" i="4" s="1"/>
  <c r="J261" i="4"/>
  <c r="J271" i="4" s="1"/>
  <c r="O260" i="4"/>
  <c r="N260" i="4"/>
  <c r="M260" i="4"/>
  <c r="L260" i="4"/>
  <c r="K260" i="4"/>
  <c r="K270" i="4" s="1"/>
  <c r="J260" i="4"/>
  <c r="O259" i="4"/>
  <c r="N259" i="4"/>
  <c r="M259" i="4"/>
  <c r="L259" i="4"/>
  <c r="K259" i="4"/>
  <c r="J259" i="4"/>
  <c r="O258" i="4"/>
  <c r="N258" i="4"/>
  <c r="M258" i="4"/>
  <c r="L258" i="4"/>
  <c r="K258" i="4"/>
  <c r="K268" i="4" s="1"/>
  <c r="J258" i="4"/>
  <c r="O257" i="4"/>
  <c r="N257" i="4"/>
  <c r="M257" i="4"/>
  <c r="L257" i="4"/>
  <c r="K257" i="4"/>
  <c r="J257" i="4"/>
  <c r="I292" i="4"/>
  <c r="O292" i="4" s="1"/>
  <c r="H292" i="4"/>
  <c r="N292" i="4" s="1"/>
  <c r="G292" i="4"/>
  <c r="M292" i="4" s="1"/>
  <c r="F292" i="4"/>
  <c r="E292" i="4"/>
  <c r="D292" i="4"/>
  <c r="I291" i="4"/>
  <c r="O291" i="4" s="1"/>
  <c r="H291" i="4"/>
  <c r="N291" i="4" s="1"/>
  <c r="G291" i="4"/>
  <c r="M291" i="4" s="1"/>
  <c r="F291" i="4"/>
  <c r="E291" i="4"/>
  <c r="D291" i="4"/>
  <c r="I290" i="4"/>
  <c r="O290" i="4" s="1"/>
  <c r="H290" i="4"/>
  <c r="N290" i="4" s="1"/>
  <c r="G290" i="4"/>
  <c r="M290" i="4" s="1"/>
  <c r="F290" i="4"/>
  <c r="E290" i="4"/>
  <c r="D290" i="4"/>
  <c r="I289" i="4"/>
  <c r="O289" i="4" s="1"/>
  <c r="H289" i="4"/>
  <c r="N289" i="4" s="1"/>
  <c r="G289" i="4"/>
  <c r="M289" i="4" s="1"/>
  <c r="F289" i="4"/>
  <c r="E289" i="4"/>
  <c r="D289" i="4"/>
  <c r="I288" i="4"/>
  <c r="O288" i="4" s="1"/>
  <c r="H288" i="4"/>
  <c r="N288" i="4" s="1"/>
  <c r="G288" i="4"/>
  <c r="M288" i="4" s="1"/>
  <c r="F288" i="4"/>
  <c r="E288" i="4"/>
  <c r="D288" i="4"/>
  <c r="I287" i="4"/>
  <c r="O287" i="4" s="1"/>
  <c r="H287" i="4"/>
  <c r="N287" i="4" s="1"/>
  <c r="G287" i="4"/>
  <c r="M287" i="4" s="1"/>
  <c r="F287" i="4"/>
  <c r="E287" i="4"/>
  <c r="D287" i="4"/>
  <c r="O282" i="4"/>
  <c r="N282" i="4"/>
  <c r="M282" i="4"/>
  <c r="L282" i="4"/>
  <c r="L292" i="4" s="1"/>
  <c r="K282" i="4"/>
  <c r="K292" i="4" s="1"/>
  <c r="J282" i="4"/>
  <c r="J292" i="4" s="1"/>
  <c r="O281" i="4"/>
  <c r="N281" i="4"/>
  <c r="M281" i="4"/>
  <c r="L281" i="4"/>
  <c r="K281" i="4"/>
  <c r="J281" i="4"/>
  <c r="J291" i="4" s="1"/>
  <c r="O280" i="4"/>
  <c r="N280" i="4"/>
  <c r="M280" i="4"/>
  <c r="L280" i="4"/>
  <c r="K280" i="4"/>
  <c r="J280" i="4"/>
  <c r="O279" i="4"/>
  <c r="N279" i="4"/>
  <c r="M279" i="4"/>
  <c r="L279" i="4"/>
  <c r="K279" i="4"/>
  <c r="K289" i="4" s="1"/>
  <c r="J279" i="4"/>
  <c r="J289" i="4" s="1"/>
  <c r="O278" i="4"/>
  <c r="N278" i="4"/>
  <c r="M278" i="4"/>
  <c r="L278" i="4"/>
  <c r="K278" i="4"/>
  <c r="J278" i="4"/>
  <c r="O277" i="4"/>
  <c r="N277" i="4"/>
  <c r="M277" i="4"/>
  <c r="L277" i="4"/>
  <c r="K277" i="4"/>
  <c r="K287" i="4" s="1"/>
  <c r="J277" i="4"/>
  <c r="F138" i="3"/>
  <c r="F139" i="3"/>
  <c r="F140" i="3"/>
  <c r="F141" i="3"/>
  <c r="F142" i="3"/>
  <c r="E138" i="3"/>
  <c r="E139" i="3"/>
  <c r="E140" i="3"/>
  <c r="E141" i="3"/>
  <c r="E142" i="3"/>
  <c r="E137" i="3"/>
  <c r="F137" i="3"/>
  <c r="D138" i="3"/>
  <c r="D139" i="3"/>
  <c r="D140" i="3"/>
  <c r="D141" i="3"/>
  <c r="D142" i="3"/>
  <c r="D137" i="3"/>
  <c r="I142" i="3"/>
  <c r="O142" i="3" s="1"/>
  <c r="H142" i="3"/>
  <c r="N142" i="3" s="1"/>
  <c r="G142" i="3"/>
  <c r="M142" i="3" s="1"/>
  <c r="I141" i="3"/>
  <c r="O141" i="3" s="1"/>
  <c r="H141" i="3"/>
  <c r="N141" i="3" s="1"/>
  <c r="G141" i="3"/>
  <c r="M141" i="3" s="1"/>
  <c r="I140" i="3"/>
  <c r="O140" i="3" s="1"/>
  <c r="H140" i="3"/>
  <c r="N140" i="3" s="1"/>
  <c r="G140" i="3"/>
  <c r="M140" i="3" s="1"/>
  <c r="I139" i="3"/>
  <c r="O139" i="3" s="1"/>
  <c r="H139" i="3"/>
  <c r="N139" i="3" s="1"/>
  <c r="G139" i="3"/>
  <c r="M139" i="3" s="1"/>
  <c r="I138" i="3"/>
  <c r="O138" i="3" s="1"/>
  <c r="H138" i="3"/>
  <c r="N138" i="3" s="1"/>
  <c r="G138" i="3"/>
  <c r="M138" i="3" s="1"/>
  <c r="I137" i="3"/>
  <c r="O137" i="3" s="1"/>
  <c r="H137" i="3"/>
  <c r="N137" i="3" s="1"/>
  <c r="G137" i="3"/>
  <c r="M137" i="3" s="1"/>
  <c r="O132" i="3"/>
  <c r="N132" i="3"/>
  <c r="M132" i="3"/>
  <c r="O131" i="3"/>
  <c r="N131" i="3"/>
  <c r="M131" i="3"/>
  <c r="O130" i="3"/>
  <c r="N130" i="3"/>
  <c r="M130" i="3"/>
  <c r="K172" i="4"/>
  <c r="O129" i="3"/>
  <c r="N129" i="3"/>
  <c r="M129" i="3"/>
  <c r="L129" i="3"/>
  <c r="L142" i="4" s="1"/>
  <c r="O128" i="3"/>
  <c r="N128" i="3"/>
  <c r="M128" i="3"/>
  <c r="L128" i="3"/>
  <c r="K128" i="3"/>
  <c r="J170" i="4"/>
  <c r="O127" i="3"/>
  <c r="N127" i="3"/>
  <c r="M127" i="3"/>
  <c r="K174" i="4"/>
  <c r="J198" i="4"/>
  <c r="L83" i="4"/>
  <c r="J144" i="4"/>
  <c r="L198" i="4"/>
  <c r="J85" i="4"/>
  <c r="L86" i="4"/>
  <c r="L144" i="4"/>
  <c r="K169" i="4"/>
  <c r="K198" i="4"/>
  <c r="K84" i="4"/>
  <c r="K142" i="4"/>
  <c r="K171" i="4"/>
  <c r="K173" i="4"/>
  <c r="F117" i="3"/>
  <c r="F118" i="3"/>
  <c r="F119" i="3"/>
  <c r="F120" i="3"/>
  <c r="F121" i="3"/>
  <c r="E117" i="3"/>
  <c r="E118" i="3"/>
  <c r="E119" i="3"/>
  <c r="E120" i="3"/>
  <c r="E121" i="3"/>
  <c r="E116" i="3"/>
  <c r="F116" i="3"/>
  <c r="D117" i="3"/>
  <c r="D118" i="3"/>
  <c r="D119" i="3"/>
  <c r="D120" i="3"/>
  <c r="D121" i="3"/>
  <c r="D116" i="3"/>
  <c r="I121" i="3"/>
  <c r="O121" i="3" s="1"/>
  <c r="H121" i="3"/>
  <c r="N121" i="3"/>
  <c r="G121" i="3"/>
  <c r="M121" i="3" s="1"/>
  <c r="I120" i="3"/>
  <c r="O120" i="3" s="1"/>
  <c r="H120" i="3"/>
  <c r="N120" i="3" s="1"/>
  <c r="G120" i="3"/>
  <c r="M120" i="3" s="1"/>
  <c r="I119" i="3"/>
  <c r="O119" i="3" s="1"/>
  <c r="H119" i="3"/>
  <c r="N119" i="3" s="1"/>
  <c r="G119" i="3"/>
  <c r="M119" i="3" s="1"/>
  <c r="I118" i="3"/>
  <c r="O118" i="3" s="1"/>
  <c r="H118" i="3"/>
  <c r="N118" i="3" s="1"/>
  <c r="G118" i="3"/>
  <c r="M118" i="3" s="1"/>
  <c r="I117" i="3"/>
  <c r="O117" i="3" s="1"/>
  <c r="H117" i="3"/>
  <c r="N117" i="3" s="1"/>
  <c r="G117" i="3"/>
  <c r="M117" i="3" s="1"/>
  <c r="I116" i="3"/>
  <c r="O116" i="3" s="1"/>
  <c r="H116" i="3"/>
  <c r="N116" i="3" s="1"/>
  <c r="G116" i="3"/>
  <c r="M116" i="3" s="1"/>
  <c r="O111" i="3"/>
  <c r="N111" i="3"/>
  <c r="M111" i="3"/>
  <c r="O110" i="3"/>
  <c r="N110" i="3"/>
  <c r="M110" i="3"/>
  <c r="O109" i="3"/>
  <c r="N109" i="3"/>
  <c r="M109" i="3"/>
  <c r="O108" i="3"/>
  <c r="N108" i="3"/>
  <c r="M108" i="3"/>
  <c r="O107" i="3"/>
  <c r="N107" i="3"/>
  <c r="M107" i="3"/>
  <c r="O106" i="3"/>
  <c r="N106" i="3"/>
  <c r="M106" i="3"/>
  <c r="L106" i="3"/>
  <c r="L116" i="3" s="1"/>
  <c r="K106" i="3"/>
  <c r="K116" i="3" s="1"/>
  <c r="J106" i="3"/>
  <c r="F97" i="3"/>
  <c r="F98" i="3"/>
  <c r="F99" i="3"/>
  <c r="F100" i="3"/>
  <c r="F101" i="3"/>
  <c r="E97" i="3"/>
  <c r="E98" i="3"/>
  <c r="E99" i="3"/>
  <c r="E100" i="3"/>
  <c r="E101" i="3"/>
  <c r="D97" i="3"/>
  <c r="D98" i="3"/>
  <c r="D99" i="3"/>
  <c r="D100" i="3"/>
  <c r="D101" i="3"/>
  <c r="E96" i="3"/>
  <c r="F96" i="3"/>
  <c r="D96" i="3"/>
  <c r="I101" i="3"/>
  <c r="O101" i="3" s="1"/>
  <c r="H101" i="3"/>
  <c r="N101" i="3" s="1"/>
  <c r="G101" i="3"/>
  <c r="M101" i="3" s="1"/>
  <c r="I100" i="3"/>
  <c r="O100" i="3" s="1"/>
  <c r="H100" i="3"/>
  <c r="N100" i="3" s="1"/>
  <c r="G100" i="3"/>
  <c r="M100" i="3" s="1"/>
  <c r="I99" i="3"/>
  <c r="O99" i="3" s="1"/>
  <c r="H99" i="3"/>
  <c r="N99" i="3" s="1"/>
  <c r="G99" i="3"/>
  <c r="M99" i="3" s="1"/>
  <c r="I98" i="3"/>
  <c r="O98" i="3" s="1"/>
  <c r="H98" i="3"/>
  <c r="N98" i="3" s="1"/>
  <c r="G98" i="3"/>
  <c r="M98" i="3" s="1"/>
  <c r="G97" i="3"/>
  <c r="M97" i="3" s="1"/>
  <c r="I97" i="3"/>
  <c r="O97" i="3" s="1"/>
  <c r="H97" i="3"/>
  <c r="N97" i="3" s="1"/>
  <c r="I96" i="3"/>
  <c r="O96" i="3" s="1"/>
  <c r="H96" i="3"/>
  <c r="N96" i="3" s="1"/>
  <c r="G96" i="3"/>
  <c r="M96" i="3" s="1"/>
  <c r="O91" i="3"/>
  <c r="N91" i="3"/>
  <c r="M91" i="3"/>
  <c r="O90" i="3"/>
  <c r="N90" i="3"/>
  <c r="M90" i="3"/>
  <c r="O89" i="3"/>
  <c r="N89" i="3"/>
  <c r="M89" i="3"/>
  <c r="O88" i="3"/>
  <c r="N88" i="3"/>
  <c r="M88" i="3"/>
  <c r="O87" i="3"/>
  <c r="N87" i="3"/>
  <c r="M87" i="3"/>
  <c r="O86" i="3"/>
  <c r="N86" i="3"/>
  <c r="M86" i="3"/>
  <c r="L96" i="3"/>
  <c r="F77" i="3"/>
  <c r="F78" i="3"/>
  <c r="F79" i="3"/>
  <c r="F80" i="3"/>
  <c r="F81" i="3"/>
  <c r="E77" i="3"/>
  <c r="E78" i="3"/>
  <c r="E79" i="3"/>
  <c r="E80" i="3"/>
  <c r="E81" i="3"/>
  <c r="E76" i="3"/>
  <c r="F76" i="3"/>
  <c r="D77" i="3"/>
  <c r="D78" i="3"/>
  <c r="D79" i="3"/>
  <c r="D80" i="3"/>
  <c r="D81" i="3"/>
  <c r="D76" i="3"/>
  <c r="G81" i="3"/>
  <c r="M81" i="3" s="1"/>
  <c r="I81" i="3"/>
  <c r="O81" i="3" s="1"/>
  <c r="H81" i="3"/>
  <c r="N81" i="3" s="1"/>
  <c r="H80" i="3"/>
  <c r="N80" i="3" s="1"/>
  <c r="I80" i="3"/>
  <c r="O80" i="3" s="1"/>
  <c r="G80" i="3"/>
  <c r="M80" i="3" s="1"/>
  <c r="H79" i="3"/>
  <c r="N79" i="3" s="1"/>
  <c r="I79" i="3"/>
  <c r="O79" i="3" s="1"/>
  <c r="G79" i="3"/>
  <c r="M79" i="3" s="1"/>
  <c r="I78" i="3"/>
  <c r="O78" i="3" s="1"/>
  <c r="H78" i="3"/>
  <c r="N78" i="3" s="1"/>
  <c r="G78" i="3"/>
  <c r="M78" i="3" s="1"/>
  <c r="I77" i="3"/>
  <c r="O77" i="3" s="1"/>
  <c r="H77" i="3"/>
  <c r="N77" i="3" s="1"/>
  <c r="G77" i="3"/>
  <c r="M77" i="3" s="1"/>
  <c r="H76" i="3"/>
  <c r="N76" i="3" s="1"/>
  <c r="I76" i="3"/>
  <c r="O76" i="3" s="1"/>
  <c r="G76" i="3"/>
  <c r="M76" i="3" s="1"/>
  <c r="O71" i="3"/>
  <c r="N71" i="3"/>
  <c r="M71" i="3"/>
  <c r="O70" i="3"/>
  <c r="N70" i="3"/>
  <c r="M70" i="3"/>
  <c r="O69" i="3"/>
  <c r="N69" i="3"/>
  <c r="M69" i="3"/>
  <c r="O68" i="3"/>
  <c r="N68" i="3"/>
  <c r="M68" i="3"/>
  <c r="O67" i="3"/>
  <c r="N67" i="3"/>
  <c r="M67" i="3"/>
  <c r="O66" i="3"/>
  <c r="N66" i="3"/>
  <c r="M66" i="3"/>
  <c r="D56" i="3"/>
  <c r="E56" i="3"/>
  <c r="F56" i="3"/>
  <c r="D57" i="3"/>
  <c r="E57" i="3"/>
  <c r="F57" i="3"/>
  <c r="D58" i="3"/>
  <c r="E58" i="3"/>
  <c r="F58" i="3"/>
  <c r="D59" i="3"/>
  <c r="E59" i="3"/>
  <c r="F59" i="3"/>
  <c r="D60" i="3"/>
  <c r="E60" i="3"/>
  <c r="F60" i="3"/>
  <c r="E55" i="3"/>
  <c r="F55" i="3"/>
  <c r="D55" i="3"/>
  <c r="E49" i="3"/>
  <c r="D46" i="3"/>
  <c r="E46" i="3"/>
  <c r="F46" i="3"/>
  <c r="D47" i="3"/>
  <c r="E47" i="3"/>
  <c r="F47" i="3"/>
  <c r="D48" i="3"/>
  <c r="E48" i="3"/>
  <c r="F48" i="3"/>
  <c r="D49" i="3"/>
  <c r="F49" i="3"/>
  <c r="D50" i="3"/>
  <c r="E50" i="3"/>
  <c r="F50" i="3"/>
  <c r="E45" i="3"/>
  <c r="F45" i="3"/>
  <c r="D45" i="3"/>
  <c r="D15" i="3"/>
  <c r="I50" i="3"/>
  <c r="I60" i="3" s="1"/>
  <c r="O60" i="3" s="1"/>
  <c r="H50" i="3"/>
  <c r="H60" i="3" s="1"/>
  <c r="N60" i="3" s="1"/>
  <c r="G50" i="3"/>
  <c r="M50" i="3" s="1"/>
  <c r="I49" i="3"/>
  <c r="O49" i="3" s="1"/>
  <c r="H49" i="3"/>
  <c r="G49" i="3"/>
  <c r="G59" i="3" s="1"/>
  <c r="M59" i="3" s="1"/>
  <c r="I48" i="3"/>
  <c r="I58" i="3" s="1"/>
  <c r="O58" i="3" s="1"/>
  <c r="H48" i="3"/>
  <c r="H58" i="3" s="1"/>
  <c r="N58" i="3" s="1"/>
  <c r="G48" i="3"/>
  <c r="G58" i="3" s="1"/>
  <c r="M58" i="3" s="1"/>
  <c r="I47" i="3"/>
  <c r="I57" i="3" s="1"/>
  <c r="O57" i="3" s="1"/>
  <c r="H47" i="3"/>
  <c r="H57" i="3" s="1"/>
  <c r="N57" i="3" s="1"/>
  <c r="G47" i="3"/>
  <c r="G57" i="3" s="1"/>
  <c r="M57" i="3" s="1"/>
  <c r="I46" i="3"/>
  <c r="I56" i="3" s="1"/>
  <c r="O56" i="3" s="1"/>
  <c r="H46" i="3"/>
  <c r="H56" i="3" s="1"/>
  <c r="N56" i="3" s="1"/>
  <c r="G46" i="3"/>
  <c r="I45" i="3"/>
  <c r="O45" i="3" s="1"/>
  <c r="H45" i="3"/>
  <c r="H55" i="3" s="1"/>
  <c r="N55" i="3" s="1"/>
  <c r="G45" i="3"/>
  <c r="G55" i="3" s="1"/>
  <c r="M55" i="3" s="1"/>
  <c r="O40" i="3"/>
  <c r="N40" i="3"/>
  <c r="M40" i="3"/>
  <c r="O39" i="3"/>
  <c r="N39" i="3"/>
  <c r="M39" i="3"/>
  <c r="O38" i="3"/>
  <c r="N38" i="3"/>
  <c r="M38" i="3"/>
  <c r="O37" i="3"/>
  <c r="N37" i="3"/>
  <c r="M37" i="3"/>
  <c r="O36" i="3"/>
  <c r="N36" i="3"/>
  <c r="M36" i="3"/>
  <c r="O35" i="3"/>
  <c r="N35" i="3"/>
  <c r="M35" i="3"/>
  <c r="D26" i="3"/>
  <c r="E26" i="3"/>
  <c r="F26" i="3"/>
  <c r="D27" i="3"/>
  <c r="E27" i="3"/>
  <c r="F27" i="3"/>
  <c r="D28" i="3"/>
  <c r="E28" i="3"/>
  <c r="F28" i="3"/>
  <c r="D29" i="3"/>
  <c r="E29" i="3"/>
  <c r="F29" i="3"/>
  <c r="D30" i="3"/>
  <c r="E30" i="3"/>
  <c r="F30" i="3"/>
  <c r="E25" i="3"/>
  <c r="F25" i="3"/>
  <c r="D25" i="3"/>
  <c r="H15" i="3"/>
  <c r="H25" i="3" s="1"/>
  <c r="N25" i="3" s="1"/>
  <c r="I20" i="3"/>
  <c r="I30" i="3" s="1"/>
  <c r="O30" i="3" s="1"/>
  <c r="H20" i="3"/>
  <c r="H30" i="3" s="1"/>
  <c r="N30" i="3" s="1"/>
  <c r="G20" i="3"/>
  <c r="M20" i="3" s="1"/>
  <c r="F20" i="3"/>
  <c r="E20" i="3"/>
  <c r="D20" i="3"/>
  <c r="I19" i="3"/>
  <c r="I29" i="3" s="1"/>
  <c r="O29" i="3" s="1"/>
  <c r="H19" i="3"/>
  <c r="N19" i="3" s="1"/>
  <c r="G19" i="3"/>
  <c r="G29" i="3" s="1"/>
  <c r="M29" i="3" s="1"/>
  <c r="F19" i="3"/>
  <c r="E19" i="3"/>
  <c r="D19" i="3"/>
  <c r="G18" i="3"/>
  <c r="G28" i="3" s="1"/>
  <c r="M28" i="3" s="1"/>
  <c r="I18" i="3"/>
  <c r="O18" i="3" s="1"/>
  <c r="H18" i="3"/>
  <c r="N18" i="3" s="1"/>
  <c r="F18" i="3"/>
  <c r="E18" i="3"/>
  <c r="D18" i="3"/>
  <c r="I17" i="3"/>
  <c r="H17" i="3"/>
  <c r="H27" i="3" s="1"/>
  <c r="N27" i="3" s="1"/>
  <c r="G17" i="3"/>
  <c r="M17" i="3" s="1"/>
  <c r="F17" i="3"/>
  <c r="E17" i="3"/>
  <c r="D17" i="3"/>
  <c r="I16" i="3"/>
  <c r="O16" i="3" s="1"/>
  <c r="H16" i="3"/>
  <c r="N16" i="3" s="1"/>
  <c r="G16" i="3"/>
  <c r="M16" i="3" s="1"/>
  <c r="F16" i="3"/>
  <c r="E16" i="3"/>
  <c r="D16" i="3"/>
  <c r="I15" i="3"/>
  <c r="O15" i="3" s="1"/>
  <c r="G15" i="3"/>
  <c r="G25" i="3" s="1"/>
  <c r="M25" i="3" s="1"/>
  <c r="F15" i="3"/>
  <c r="E15" i="3"/>
  <c r="O10" i="3"/>
  <c r="N10" i="3"/>
  <c r="M10" i="3"/>
  <c r="L10" i="3"/>
  <c r="K10" i="3"/>
  <c r="K48" i="4" s="1"/>
  <c r="J10" i="3"/>
  <c r="J48" i="4" s="1"/>
  <c r="O9" i="3"/>
  <c r="N9" i="3"/>
  <c r="M9" i="3"/>
  <c r="L9" i="3"/>
  <c r="L19" i="3" s="1"/>
  <c r="L188" i="2"/>
  <c r="L49" i="3" s="1"/>
  <c r="K9" i="3"/>
  <c r="K29" i="3" s="1"/>
  <c r="J9" i="3"/>
  <c r="J29" i="3" s="1"/>
  <c r="O8" i="3"/>
  <c r="N8" i="3"/>
  <c r="M8" i="3"/>
  <c r="L104" i="4"/>
  <c r="J8" i="3"/>
  <c r="J46" i="4" s="1"/>
  <c r="O7" i="3"/>
  <c r="N7" i="3"/>
  <c r="M7" i="3"/>
  <c r="L7" i="3"/>
  <c r="L45" i="4" s="1"/>
  <c r="K7" i="3"/>
  <c r="K27" i="3" s="1"/>
  <c r="K103" i="4"/>
  <c r="O6" i="3"/>
  <c r="N6" i="3"/>
  <c r="M6" i="3"/>
  <c r="L185" i="2"/>
  <c r="L16" i="3" s="1"/>
  <c r="K6" i="3"/>
  <c r="J6" i="3"/>
  <c r="J44" i="4" s="1"/>
  <c r="O5" i="3"/>
  <c r="N5" i="3"/>
  <c r="M5" i="3"/>
  <c r="L5" i="3"/>
  <c r="L25" i="3" s="1"/>
  <c r="L184" i="2"/>
  <c r="L45" i="3" s="1"/>
  <c r="K5" i="3"/>
  <c r="K25" i="3" s="1"/>
  <c r="K184" i="2"/>
  <c r="J5" i="3"/>
  <c r="J184" i="2"/>
  <c r="I199" i="2"/>
  <c r="O199" i="2" s="1"/>
  <c r="H199" i="2"/>
  <c r="N199" i="2" s="1"/>
  <c r="G199" i="2"/>
  <c r="M199" i="2" s="1"/>
  <c r="F199" i="2"/>
  <c r="E199" i="2"/>
  <c r="D199" i="2"/>
  <c r="I198" i="2"/>
  <c r="O198" i="2" s="1"/>
  <c r="H198" i="2"/>
  <c r="N198" i="2"/>
  <c r="G198" i="2"/>
  <c r="M198" i="2" s="1"/>
  <c r="F198" i="2"/>
  <c r="E198" i="2"/>
  <c r="D198" i="2"/>
  <c r="I197" i="2"/>
  <c r="O197" i="2" s="1"/>
  <c r="H197" i="2"/>
  <c r="N197" i="2" s="1"/>
  <c r="G197" i="2"/>
  <c r="M197" i="2" s="1"/>
  <c r="F197" i="2"/>
  <c r="E197" i="2"/>
  <c r="D197" i="2"/>
  <c r="I196" i="2"/>
  <c r="O196" i="2" s="1"/>
  <c r="H196" i="2"/>
  <c r="N196" i="2" s="1"/>
  <c r="G196" i="2"/>
  <c r="M196" i="2" s="1"/>
  <c r="F196" i="2"/>
  <c r="E196" i="2"/>
  <c r="D196" i="2"/>
  <c r="I195" i="2"/>
  <c r="O195" i="2" s="1"/>
  <c r="H195" i="2"/>
  <c r="N195" i="2" s="1"/>
  <c r="G195" i="2"/>
  <c r="M195" i="2" s="1"/>
  <c r="F195" i="2"/>
  <c r="E195" i="2"/>
  <c r="D195" i="2"/>
  <c r="I194" i="2"/>
  <c r="O194" i="2" s="1"/>
  <c r="H194" i="2"/>
  <c r="N194" i="2" s="1"/>
  <c r="G194" i="2"/>
  <c r="M194" i="2" s="1"/>
  <c r="F194" i="2"/>
  <c r="E194" i="2"/>
  <c r="D194" i="2"/>
  <c r="O189" i="2"/>
  <c r="N189" i="2"/>
  <c r="M189" i="2"/>
  <c r="L189" i="2"/>
  <c r="K189" i="2"/>
  <c r="J189" i="2"/>
  <c r="J50" i="3" s="1"/>
  <c r="O188" i="2"/>
  <c r="N188" i="2"/>
  <c r="M188" i="2"/>
  <c r="K188" i="2"/>
  <c r="K198" i="2" s="1"/>
  <c r="J188" i="2"/>
  <c r="J49" i="3" s="1"/>
  <c r="O187" i="2"/>
  <c r="N187" i="2"/>
  <c r="M187" i="2"/>
  <c r="K187" i="2"/>
  <c r="J187" i="2"/>
  <c r="O186" i="2"/>
  <c r="N186" i="2"/>
  <c r="M186" i="2"/>
  <c r="L186" i="2"/>
  <c r="K186" i="2"/>
  <c r="K196" i="2" s="1"/>
  <c r="O185" i="2"/>
  <c r="N185" i="2"/>
  <c r="M185" i="2"/>
  <c r="K185" i="2"/>
  <c r="J185" i="2"/>
  <c r="J46" i="3" s="1"/>
  <c r="O184" i="2"/>
  <c r="N184" i="2"/>
  <c r="M184" i="2"/>
  <c r="I178" i="2"/>
  <c r="O178" i="2" s="1"/>
  <c r="H178" i="2"/>
  <c r="N178" i="2" s="1"/>
  <c r="G178" i="2"/>
  <c r="M178" i="2" s="1"/>
  <c r="F178" i="2"/>
  <c r="L178" i="2" s="1"/>
  <c r="E178" i="2"/>
  <c r="K178" i="2" s="1"/>
  <c r="D178" i="2"/>
  <c r="J178" i="2" s="1"/>
  <c r="I177" i="2"/>
  <c r="O177" i="2" s="1"/>
  <c r="H177" i="2"/>
  <c r="N177" i="2" s="1"/>
  <c r="G177" i="2"/>
  <c r="M177" i="2" s="1"/>
  <c r="F177" i="2"/>
  <c r="L177" i="2" s="1"/>
  <c r="E177" i="2"/>
  <c r="K177" i="2" s="1"/>
  <c r="D177" i="2"/>
  <c r="J177" i="2" s="1"/>
  <c r="I176" i="2"/>
  <c r="O176" i="2" s="1"/>
  <c r="H176" i="2"/>
  <c r="N176" i="2" s="1"/>
  <c r="G176" i="2"/>
  <c r="M176" i="2" s="1"/>
  <c r="F176" i="2"/>
  <c r="L176" i="2" s="1"/>
  <c r="E176" i="2"/>
  <c r="D176" i="2"/>
  <c r="J176" i="2" s="1"/>
  <c r="I175" i="2"/>
  <c r="O175" i="2" s="1"/>
  <c r="H175" i="2"/>
  <c r="N175" i="2" s="1"/>
  <c r="G175" i="2"/>
  <c r="M175" i="2" s="1"/>
  <c r="F175" i="2"/>
  <c r="L175" i="2" s="1"/>
  <c r="E175" i="2"/>
  <c r="K175" i="2" s="1"/>
  <c r="D175" i="2"/>
  <c r="J175" i="2" s="1"/>
  <c r="I174" i="2"/>
  <c r="O174" i="2" s="1"/>
  <c r="H174" i="2"/>
  <c r="N174" i="2" s="1"/>
  <c r="G174" i="2"/>
  <c r="M174" i="2" s="1"/>
  <c r="F174" i="2"/>
  <c r="L174" i="2" s="1"/>
  <c r="E174" i="2"/>
  <c r="K174" i="2" s="1"/>
  <c r="D174" i="2"/>
  <c r="J174" i="2" s="1"/>
  <c r="I173" i="2"/>
  <c r="O173" i="2" s="1"/>
  <c r="H173" i="2"/>
  <c r="N173" i="2" s="1"/>
  <c r="G173" i="2"/>
  <c r="M173" i="2" s="1"/>
  <c r="F173" i="2"/>
  <c r="L173" i="2" s="1"/>
  <c r="E173" i="2"/>
  <c r="D173" i="2"/>
  <c r="O168" i="2"/>
  <c r="N168" i="2"/>
  <c r="M168" i="2"/>
  <c r="O167" i="2"/>
  <c r="N167" i="2"/>
  <c r="M167" i="2"/>
  <c r="J198" i="2"/>
  <c r="O166" i="2"/>
  <c r="N166" i="2"/>
  <c r="M166" i="2"/>
  <c r="O165" i="2"/>
  <c r="N165" i="2"/>
  <c r="M165" i="2"/>
  <c r="O164" i="2"/>
  <c r="N164" i="2"/>
  <c r="M164" i="2"/>
  <c r="K195" i="2"/>
  <c r="O163" i="2"/>
  <c r="N163" i="2"/>
  <c r="M163" i="2"/>
  <c r="H157" i="2"/>
  <c r="N157" i="2" s="1"/>
  <c r="G157" i="2"/>
  <c r="M157" i="2" s="1"/>
  <c r="I157" i="2"/>
  <c r="O157" i="2" s="1"/>
  <c r="F157" i="2"/>
  <c r="E157" i="2"/>
  <c r="D157" i="2"/>
  <c r="I156" i="2"/>
  <c r="O156" i="2" s="1"/>
  <c r="H156" i="2"/>
  <c r="N156" i="2" s="1"/>
  <c r="G156" i="2"/>
  <c r="M156" i="2" s="1"/>
  <c r="F156" i="2"/>
  <c r="E156" i="2"/>
  <c r="D156" i="2"/>
  <c r="G155" i="2"/>
  <c r="M155" i="2" s="1"/>
  <c r="I155" i="2"/>
  <c r="O155" i="2" s="1"/>
  <c r="H155" i="2"/>
  <c r="N155" i="2" s="1"/>
  <c r="F155" i="2"/>
  <c r="E155" i="2"/>
  <c r="D155" i="2"/>
  <c r="I154" i="2"/>
  <c r="O154" i="2" s="1"/>
  <c r="H154" i="2"/>
  <c r="N154" i="2" s="1"/>
  <c r="G154" i="2"/>
  <c r="M154" i="2" s="1"/>
  <c r="F154" i="2"/>
  <c r="E154" i="2"/>
  <c r="D154" i="2"/>
  <c r="I153" i="2"/>
  <c r="O153" i="2" s="1"/>
  <c r="H153" i="2"/>
  <c r="N153" i="2" s="1"/>
  <c r="G153" i="2"/>
  <c r="M153" i="2" s="1"/>
  <c r="F153" i="2"/>
  <c r="E153" i="2"/>
  <c r="D153" i="2"/>
  <c r="I152" i="2"/>
  <c r="O152" i="2" s="1"/>
  <c r="H152" i="2"/>
  <c r="N152" i="2" s="1"/>
  <c r="G152" i="2"/>
  <c r="M152" i="2" s="1"/>
  <c r="F152" i="2"/>
  <c r="E152" i="2"/>
  <c r="D152" i="2"/>
  <c r="O147" i="2"/>
  <c r="N147" i="2"/>
  <c r="M147" i="2"/>
  <c r="L147" i="2"/>
  <c r="K147" i="2"/>
  <c r="J147" i="2"/>
  <c r="J126" i="2"/>
  <c r="J136" i="2" s="1"/>
  <c r="O146" i="2"/>
  <c r="N146" i="2"/>
  <c r="M146" i="2"/>
  <c r="L146" i="2"/>
  <c r="L125" i="2"/>
  <c r="K146" i="2"/>
  <c r="K125" i="2"/>
  <c r="J146" i="2"/>
  <c r="O145" i="2"/>
  <c r="N145" i="2"/>
  <c r="M145" i="2"/>
  <c r="L145" i="2"/>
  <c r="K145" i="2"/>
  <c r="K124" i="2"/>
  <c r="J145" i="2"/>
  <c r="O144" i="2"/>
  <c r="N144" i="2"/>
  <c r="M144" i="2"/>
  <c r="L144" i="2"/>
  <c r="K144" i="2"/>
  <c r="J144" i="2"/>
  <c r="O143" i="2"/>
  <c r="N143" i="2"/>
  <c r="M143" i="2"/>
  <c r="L143" i="2"/>
  <c r="L122" i="2"/>
  <c r="K143" i="2"/>
  <c r="J143" i="2"/>
  <c r="J153" i="2" s="1"/>
  <c r="J122" i="2"/>
  <c r="O142" i="2"/>
  <c r="N142" i="2"/>
  <c r="M142" i="2"/>
  <c r="L142" i="2"/>
  <c r="L121" i="2"/>
  <c r="K142" i="2"/>
  <c r="J142" i="2"/>
  <c r="J152" i="2" s="1"/>
  <c r="J121" i="2"/>
  <c r="O126" i="2"/>
  <c r="N126" i="2"/>
  <c r="M126" i="2"/>
  <c r="L126" i="2"/>
  <c r="K126" i="2"/>
  <c r="D136" i="2"/>
  <c r="O125" i="2"/>
  <c r="N125" i="2"/>
  <c r="M125" i="2"/>
  <c r="E135" i="2"/>
  <c r="K135" i="2" s="1"/>
  <c r="J125" i="2"/>
  <c r="O124" i="2"/>
  <c r="N124" i="2"/>
  <c r="M124" i="2"/>
  <c r="L124" i="2"/>
  <c r="J124" i="2"/>
  <c r="O123" i="2"/>
  <c r="N123" i="2"/>
  <c r="M123" i="2"/>
  <c r="L123" i="2"/>
  <c r="L154" i="2"/>
  <c r="K123" i="2"/>
  <c r="J123" i="2"/>
  <c r="J133" i="2" s="1"/>
  <c r="O122" i="2"/>
  <c r="N122" i="2"/>
  <c r="M122" i="2"/>
  <c r="K122" i="2"/>
  <c r="E132" i="2"/>
  <c r="D132" i="2"/>
  <c r="O121" i="2"/>
  <c r="N121" i="2"/>
  <c r="M121" i="2"/>
  <c r="K121" i="2"/>
  <c r="I136" i="2"/>
  <c r="O136" i="2" s="1"/>
  <c r="H136" i="2"/>
  <c r="N136" i="2" s="1"/>
  <c r="G136" i="2"/>
  <c r="M136" i="2" s="1"/>
  <c r="F136" i="2"/>
  <c r="E136" i="2"/>
  <c r="I135" i="2"/>
  <c r="O135" i="2" s="1"/>
  <c r="H135" i="2"/>
  <c r="N135" i="2" s="1"/>
  <c r="G135" i="2"/>
  <c r="M135" i="2" s="1"/>
  <c r="F135" i="2"/>
  <c r="L135" i="2" s="1"/>
  <c r="D135" i="2"/>
  <c r="I134" i="2"/>
  <c r="O134" i="2" s="1"/>
  <c r="H134" i="2"/>
  <c r="N134" i="2" s="1"/>
  <c r="G134" i="2"/>
  <c r="M134" i="2" s="1"/>
  <c r="F134" i="2"/>
  <c r="E134" i="2"/>
  <c r="D134" i="2"/>
  <c r="I133" i="2"/>
  <c r="O133" i="2" s="1"/>
  <c r="H133" i="2"/>
  <c r="N133" i="2" s="1"/>
  <c r="G133" i="2"/>
  <c r="M133" i="2" s="1"/>
  <c r="F133" i="2"/>
  <c r="E133" i="2"/>
  <c r="D133" i="2"/>
  <c r="I132" i="2"/>
  <c r="O132" i="2" s="1"/>
  <c r="H132" i="2"/>
  <c r="N132" i="2" s="1"/>
  <c r="G132" i="2"/>
  <c r="M132" i="2" s="1"/>
  <c r="F132" i="2"/>
  <c r="I131" i="2"/>
  <c r="O131" i="2" s="1"/>
  <c r="H131" i="2"/>
  <c r="N131" i="2" s="1"/>
  <c r="G131" i="2"/>
  <c r="M131" i="2"/>
  <c r="F131" i="2"/>
  <c r="E131" i="2"/>
  <c r="D131" i="2"/>
  <c r="I115" i="2"/>
  <c r="O115" i="2" s="1"/>
  <c r="H115" i="2"/>
  <c r="N115" i="2" s="1"/>
  <c r="G115" i="2"/>
  <c r="M115" i="2" s="1"/>
  <c r="F115" i="2"/>
  <c r="E115" i="2"/>
  <c r="K105" i="2"/>
  <c r="D115" i="2"/>
  <c r="J105" i="2"/>
  <c r="J115" i="2"/>
  <c r="I114" i="2"/>
  <c r="O114" i="2" s="1"/>
  <c r="H114" i="2"/>
  <c r="N114" i="2" s="1"/>
  <c r="G114" i="2"/>
  <c r="M114" i="2" s="1"/>
  <c r="F114" i="2"/>
  <c r="E114" i="2"/>
  <c r="D114" i="2"/>
  <c r="J104" i="2"/>
  <c r="I113" i="2"/>
  <c r="O113" i="2" s="1"/>
  <c r="H113" i="2"/>
  <c r="N113" i="2" s="1"/>
  <c r="G113" i="2"/>
  <c r="M113" i="2" s="1"/>
  <c r="F113" i="2"/>
  <c r="E113" i="2"/>
  <c r="K103" i="2"/>
  <c r="D113" i="2"/>
  <c r="I112" i="2"/>
  <c r="H112" i="2"/>
  <c r="N112" i="2" s="1"/>
  <c r="G112" i="2"/>
  <c r="M112" i="2" s="1"/>
  <c r="F112" i="2"/>
  <c r="E112" i="2"/>
  <c r="D112" i="2"/>
  <c r="I111" i="2"/>
  <c r="O111" i="2" s="1"/>
  <c r="H111" i="2"/>
  <c r="N111" i="2" s="1"/>
  <c r="G111" i="2"/>
  <c r="M111" i="2" s="1"/>
  <c r="F111" i="2"/>
  <c r="L101" i="2"/>
  <c r="E111" i="2"/>
  <c r="D111" i="2"/>
  <c r="I110" i="2"/>
  <c r="O110" i="2" s="1"/>
  <c r="H110" i="2"/>
  <c r="N110" i="2" s="1"/>
  <c r="G110" i="2"/>
  <c r="M110" i="2" s="1"/>
  <c r="F110" i="2"/>
  <c r="E110" i="2"/>
  <c r="D110" i="2"/>
  <c r="O112" i="2"/>
  <c r="O105" i="2"/>
  <c r="N105" i="2"/>
  <c r="M105" i="2"/>
  <c r="L105" i="2"/>
  <c r="O104" i="2"/>
  <c r="N104" i="2"/>
  <c r="M104" i="2"/>
  <c r="L104" i="2"/>
  <c r="K104" i="2"/>
  <c r="O103" i="2"/>
  <c r="N103" i="2"/>
  <c r="M103" i="2"/>
  <c r="L103" i="2"/>
  <c r="J103" i="2"/>
  <c r="O102" i="2"/>
  <c r="N102" i="2"/>
  <c r="M102" i="2"/>
  <c r="L102" i="2"/>
  <c r="K102" i="2"/>
  <c r="J102" i="2"/>
  <c r="O101" i="2"/>
  <c r="N101" i="2"/>
  <c r="M101" i="2"/>
  <c r="K101" i="2"/>
  <c r="J101" i="2"/>
  <c r="O100" i="2"/>
  <c r="N100" i="2"/>
  <c r="M100" i="2"/>
  <c r="L100" i="2"/>
  <c r="K100" i="2"/>
  <c r="K110" i="2" s="1"/>
  <c r="J100" i="2"/>
  <c r="F68" i="2"/>
  <c r="F69" i="2"/>
  <c r="E69" i="2"/>
  <c r="D69" i="2"/>
  <c r="I94" i="2"/>
  <c r="O94" i="2" s="1"/>
  <c r="H94" i="2"/>
  <c r="N94" i="2" s="1"/>
  <c r="G94" i="2"/>
  <c r="M94" i="2" s="1"/>
  <c r="F94" i="2"/>
  <c r="L84" i="2"/>
  <c r="E94" i="2"/>
  <c r="D94" i="2"/>
  <c r="J94" i="2" s="1"/>
  <c r="J84" i="2"/>
  <c r="I93" i="2"/>
  <c r="O93" i="2" s="1"/>
  <c r="H93" i="2"/>
  <c r="N93" i="2" s="1"/>
  <c r="G93" i="2"/>
  <c r="M93" i="2" s="1"/>
  <c r="F93" i="2"/>
  <c r="L83" i="2"/>
  <c r="E93" i="2"/>
  <c r="D93" i="2"/>
  <c r="I92" i="2"/>
  <c r="O92" i="2" s="1"/>
  <c r="H92" i="2"/>
  <c r="N92" i="2" s="1"/>
  <c r="G92" i="2"/>
  <c r="M92" i="2" s="1"/>
  <c r="F92" i="2"/>
  <c r="E92" i="2"/>
  <c r="K82" i="2"/>
  <c r="D92" i="2"/>
  <c r="I91" i="2"/>
  <c r="O91" i="2" s="1"/>
  <c r="H91" i="2"/>
  <c r="G91" i="2"/>
  <c r="M91" i="2" s="1"/>
  <c r="F91" i="2"/>
  <c r="E91" i="2"/>
  <c r="D91" i="2"/>
  <c r="I90" i="2"/>
  <c r="O90" i="2" s="1"/>
  <c r="H90" i="2"/>
  <c r="G90" i="2"/>
  <c r="M90" i="2" s="1"/>
  <c r="F90" i="2"/>
  <c r="E90" i="2"/>
  <c r="K80" i="2"/>
  <c r="D90" i="2"/>
  <c r="I89" i="2"/>
  <c r="O89" i="2" s="1"/>
  <c r="H89" i="2"/>
  <c r="N89" i="2" s="1"/>
  <c r="G89" i="2"/>
  <c r="F89" i="2"/>
  <c r="E89" i="2"/>
  <c r="D89" i="2"/>
  <c r="J79" i="2"/>
  <c r="L82" i="2"/>
  <c r="N91" i="2"/>
  <c r="N90" i="2"/>
  <c r="M89" i="2"/>
  <c r="O84" i="2"/>
  <c r="N84" i="2"/>
  <c r="M84" i="2"/>
  <c r="K84" i="2"/>
  <c r="O83" i="2"/>
  <c r="N83" i="2"/>
  <c r="M83" i="2"/>
  <c r="K83" i="2"/>
  <c r="K93" i="2"/>
  <c r="J83" i="2"/>
  <c r="O82" i="2"/>
  <c r="N82" i="2"/>
  <c r="M82" i="2"/>
  <c r="J82" i="2"/>
  <c r="O81" i="2"/>
  <c r="N81" i="2"/>
  <c r="M81" i="2"/>
  <c r="L81" i="2"/>
  <c r="K81" i="2"/>
  <c r="K91" i="2" s="1"/>
  <c r="J81" i="2"/>
  <c r="O80" i="2"/>
  <c r="N80" i="2"/>
  <c r="M80" i="2"/>
  <c r="L80" i="2"/>
  <c r="J80" i="2"/>
  <c r="O79" i="2"/>
  <c r="N79" i="2"/>
  <c r="M79" i="2"/>
  <c r="L79" i="2"/>
  <c r="K79" i="2"/>
  <c r="I73" i="2"/>
  <c r="O73" i="2" s="1"/>
  <c r="H73" i="2"/>
  <c r="G73" i="2"/>
  <c r="M73" i="2" s="1"/>
  <c r="F73" i="2"/>
  <c r="E73" i="2"/>
  <c r="D73" i="2"/>
  <c r="J63" i="2"/>
  <c r="I72" i="2"/>
  <c r="O72" i="2" s="1"/>
  <c r="H72" i="2"/>
  <c r="N72" i="2" s="1"/>
  <c r="G72" i="2"/>
  <c r="M72" i="2" s="1"/>
  <c r="F72" i="2"/>
  <c r="E72" i="2"/>
  <c r="D72" i="2"/>
  <c r="I71" i="2"/>
  <c r="O71" i="2" s="1"/>
  <c r="H71" i="2"/>
  <c r="N71" i="2" s="1"/>
  <c r="G71" i="2"/>
  <c r="M71" i="2" s="1"/>
  <c r="F71" i="2"/>
  <c r="E71" i="2"/>
  <c r="D71" i="2"/>
  <c r="I70" i="2"/>
  <c r="O70" i="2" s="1"/>
  <c r="H70" i="2"/>
  <c r="N70" i="2" s="1"/>
  <c r="G70" i="2"/>
  <c r="M70" i="2" s="1"/>
  <c r="F70" i="2"/>
  <c r="L60" i="2"/>
  <c r="E70" i="2"/>
  <c r="D70" i="2"/>
  <c r="I69" i="2"/>
  <c r="O69" i="2" s="1"/>
  <c r="H69" i="2"/>
  <c r="N69" i="2" s="1"/>
  <c r="G69" i="2"/>
  <c r="M69" i="2" s="1"/>
  <c r="I68" i="2"/>
  <c r="O68" i="2" s="1"/>
  <c r="H68" i="2"/>
  <c r="G68" i="2"/>
  <c r="M68" i="2" s="1"/>
  <c r="E68" i="2"/>
  <c r="D68" i="2"/>
  <c r="N73" i="2"/>
  <c r="N68" i="2"/>
  <c r="I52" i="2"/>
  <c r="O52" i="2" s="1"/>
  <c r="H52" i="2"/>
  <c r="N52" i="2" s="1"/>
  <c r="G52" i="2"/>
  <c r="M52" i="2" s="1"/>
  <c r="F52" i="2"/>
  <c r="L52" i="2" s="1"/>
  <c r="E52" i="2"/>
  <c r="K10" i="2"/>
  <c r="D52" i="2"/>
  <c r="I51" i="2"/>
  <c r="O51" i="2" s="1"/>
  <c r="H51" i="2"/>
  <c r="N51" i="2" s="1"/>
  <c r="G51" i="2"/>
  <c r="M51" i="2" s="1"/>
  <c r="F51" i="2"/>
  <c r="L51" i="2"/>
  <c r="E51" i="2"/>
  <c r="D51" i="2"/>
  <c r="J51" i="2" s="1"/>
  <c r="J9" i="2"/>
  <c r="I50" i="2"/>
  <c r="O50" i="2" s="1"/>
  <c r="H50" i="2"/>
  <c r="N50" i="2" s="1"/>
  <c r="G50" i="2"/>
  <c r="M50" i="2" s="1"/>
  <c r="F50" i="2"/>
  <c r="L50" i="2" s="1"/>
  <c r="E50" i="2"/>
  <c r="D50" i="2"/>
  <c r="I49" i="2"/>
  <c r="O49" i="2" s="1"/>
  <c r="H49" i="2"/>
  <c r="N49" i="2" s="1"/>
  <c r="G49" i="2"/>
  <c r="M49" i="2" s="1"/>
  <c r="F49" i="2"/>
  <c r="L49" i="2" s="1"/>
  <c r="E49" i="2"/>
  <c r="D49" i="2"/>
  <c r="J7" i="2"/>
  <c r="I48" i="2"/>
  <c r="O48" i="2" s="1"/>
  <c r="H48" i="2"/>
  <c r="N48" i="2" s="1"/>
  <c r="G48" i="2"/>
  <c r="M48" i="2" s="1"/>
  <c r="F48" i="2"/>
  <c r="E48" i="2"/>
  <c r="D48" i="2"/>
  <c r="I47" i="2"/>
  <c r="O47" i="2" s="1"/>
  <c r="H47" i="2"/>
  <c r="N47" i="2" s="1"/>
  <c r="G47" i="2"/>
  <c r="M47" i="2" s="1"/>
  <c r="F47" i="2"/>
  <c r="L5" i="2"/>
  <c r="E47" i="2"/>
  <c r="D47" i="2"/>
  <c r="J74" i="4"/>
  <c r="J132" i="4"/>
  <c r="J161" i="4"/>
  <c r="J78" i="4"/>
  <c r="J165" i="4"/>
  <c r="J194" i="4"/>
  <c r="J73" i="4"/>
  <c r="J75" i="4"/>
  <c r="J133" i="4"/>
  <c r="L192" i="4"/>
  <c r="L202" i="4" s="1"/>
  <c r="L48" i="3"/>
  <c r="L78" i="4"/>
  <c r="J96" i="3"/>
  <c r="L131" i="4"/>
  <c r="L199" i="4"/>
  <c r="L247" i="4"/>
  <c r="J76" i="4"/>
  <c r="J163" i="4"/>
  <c r="L77" i="4"/>
  <c r="L135" i="4"/>
  <c r="L164" i="4"/>
  <c r="L251" i="4"/>
  <c r="J104" i="4"/>
  <c r="K46" i="3"/>
  <c r="K163" i="4"/>
  <c r="K154" i="2"/>
  <c r="K28" i="3"/>
  <c r="K247" i="4"/>
  <c r="K75" i="4"/>
  <c r="K133" i="4"/>
  <c r="K162" i="4"/>
  <c r="K249" i="4"/>
  <c r="K135" i="4"/>
  <c r="K193" i="4"/>
  <c r="K203" i="4" s="1"/>
  <c r="J19" i="3"/>
  <c r="J222" i="4" s="1"/>
  <c r="J111" i="2"/>
  <c r="J199" i="2"/>
  <c r="I26" i="3"/>
  <c r="O26" i="3" s="1"/>
  <c r="M15" i="3"/>
  <c r="L195" i="2"/>
  <c r="K16" i="3"/>
  <c r="L26" i="3"/>
  <c r="M45" i="3"/>
  <c r="M48" i="3"/>
  <c r="O48" i="3"/>
  <c r="G60" i="3"/>
  <c r="M60" i="3" s="1"/>
  <c r="K176" i="2"/>
  <c r="L136" i="2"/>
  <c r="L134" i="2"/>
  <c r="K134" i="2"/>
  <c r="J134" i="2"/>
  <c r="O21" i="1"/>
  <c r="N21" i="1"/>
  <c r="M21" i="1"/>
  <c r="L21" i="1"/>
  <c r="K21" i="1"/>
  <c r="J21" i="1"/>
  <c r="O20" i="1"/>
  <c r="N20" i="1"/>
  <c r="M20" i="1"/>
  <c r="L20" i="1"/>
  <c r="K20" i="1"/>
  <c r="J20" i="1"/>
  <c r="O19" i="1"/>
  <c r="N19" i="1"/>
  <c r="M19" i="1"/>
  <c r="L19" i="1"/>
  <c r="K19" i="1"/>
  <c r="J19" i="1"/>
  <c r="O18" i="1"/>
  <c r="N18" i="1"/>
  <c r="M18" i="1"/>
  <c r="L18" i="1"/>
  <c r="K18" i="1"/>
  <c r="J18" i="1"/>
  <c r="O17" i="1"/>
  <c r="N17" i="1"/>
  <c r="M17" i="1"/>
  <c r="L17" i="1"/>
  <c r="K17" i="1"/>
  <c r="J17" i="1"/>
  <c r="O16" i="1"/>
  <c r="N16" i="1"/>
  <c r="M16" i="1"/>
  <c r="L16" i="1"/>
  <c r="K16" i="1"/>
  <c r="J16" i="1"/>
  <c r="D20" i="2"/>
  <c r="J10" i="2"/>
  <c r="AE63" i="2"/>
  <c r="AD63" i="2"/>
  <c r="AC63" i="2"/>
  <c r="AB63" i="2"/>
  <c r="AA63" i="2"/>
  <c r="Z63" i="2"/>
  <c r="O63" i="2"/>
  <c r="N63" i="2"/>
  <c r="M63" i="2"/>
  <c r="L63" i="2"/>
  <c r="K63" i="2"/>
  <c r="K73" i="2" s="1"/>
  <c r="AE62" i="2"/>
  <c r="AD62" i="2"/>
  <c r="AC62" i="2"/>
  <c r="AB62" i="2"/>
  <c r="AA62" i="2"/>
  <c r="Z62" i="2"/>
  <c r="O62" i="2"/>
  <c r="N62" i="2"/>
  <c r="M62" i="2"/>
  <c r="L62" i="2"/>
  <c r="K62" i="2"/>
  <c r="J62" i="2"/>
  <c r="J72" i="2" s="1"/>
  <c r="AE61" i="2"/>
  <c r="AD61" i="2"/>
  <c r="AC61" i="2"/>
  <c r="AB61" i="2"/>
  <c r="AA61" i="2"/>
  <c r="Z61" i="2"/>
  <c r="O61" i="2"/>
  <c r="N61" i="2"/>
  <c r="M61" i="2"/>
  <c r="L61" i="2"/>
  <c r="K61" i="2"/>
  <c r="J61" i="2"/>
  <c r="AE60" i="2"/>
  <c r="AD60" i="2"/>
  <c r="AC60" i="2"/>
  <c r="AB60" i="2"/>
  <c r="AA60" i="2"/>
  <c r="Z60" i="2"/>
  <c r="O60" i="2"/>
  <c r="N60" i="2"/>
  <c r="M60" i="2"/>
  <c r="K60" i="2"/>
  <c r="J60" i="2"/>
  <c r="J70" i="2" s="1"/>
  <c r="AE59" i="2"/>
  <c r="AD59" i="2"/>
  <c r="AC59" i="2"/>
  <c r="AB59" i="2"/>
  <c r="AA59" i="2"/>
  <c r="Z59" i="2"/>
  <c r="O59" i="2"/>
  <c r="N59" i="2"/>
  <c r="M59" i="2"/>
  <c r="L59" i="2"/>
  <c r="K59" i="2"/>
  <c r="J59" i="2"/>
  <c r="AE58" i="2"/>
  <c r="AD58" i="2"/>
  <c r="AC58" i="2"/>
  <c r="AB58" i="2"/>
  <c r="AA58" i="2"/>
  <c r="Z58" i="2"/>
  <c r="O58" i="2"/>
  <c r="N58" i="2"/>
  <c r="M58" i="2"/>
  <c r="L58" i="2"/>
  <c r="K58" i="2"/>
  <c r="K68" i="2" s="1"/>
  <c r="J58" i="2"/>
  <c r="V41" i="2"/>
  <c r="U41" i="2"/>
  <c r="T41" i="2"/>
  <c r="V40" i="2"/>
  <c r="U40" i="2"/>
  <c r="T40" i="2"/>
  <c r="V39" i="2"/>
  <c r="U39" i="2"/>
  <c r="T39" i="2"/>
  <c r="V38" i="2"/>
  <c r="U38" i="2"/>
  <c r="T38" i="2"/>
  <c r="V37" i="2"/>
  <c r="U37" i="2"/>
  <c r="T37" i="2"/>
  <c r="V36" i="2"/>
  <c r="U36" i="2"/>
  <c r="T36" i="2"/>
  <c r="Y41" i="2"/>
  <c r="AE41" i="2" s="1"/>
  <c r="X41" i="2"/>
  <c r="AD41" i="2" s="1"/>
  <c r="W41" i="2"/>
  <c r="AC41" i="2" s="1"/>
  <c r="Y40" i="2"/>
  <c r="AE40" i="2" s="1"/>
  <c r="X40" i="2"/>
  <c r="AD40" i="2"/>
  <c r="W40" i="2"/>
  <c r="AC40" i="2" s="1"/>
  <c r="Y39" i="2"/>
  <c r="AE39" i="2" s="1"/>
  <c r="X39" i="2"/>
  <c r="AD39" i="2" s="1"/>
  <c r="W39" i="2"/>
  <c r="AC39" i="2" s="1"/>
  <c r="Y38" i="2"/>
  <c r="AE38" i="2" s="1"/>
  <c r="X38" i="2"/>
  <c r="AD38" i="2" s="1"/>
  <c r="W38" i="2"/>
  <c r="AC38" i="2" s="1"/>
  <c r="Y37" i="2"/>
  <c r="AE37" i="2" s="1"/>
  <c r="X37" i="2"/>
  <c r="AD37" i="2"/>
  <c r="W37" i="2"/>
  <c r="AC37" i="2" s="1"/>
  <c r="Y36" i="2"/>
  <c r="AE36" i="2" s="1"/>
  <c r="X36" i="2"/>
  <c r="AD36" i="2" s="1"/>
  <c r="W36" i="2"/>
  <c r="AC36" i="2" s="1"/>
  <c r="F41" i="2"/>
  <c r="E41" i="2"/>
  <c r="K41" i="2" s="1"/>
  <c r="K31" i="2"/>
  <c r="AA41" i="2" s="1"/>
  <c r="D41" i="2"/>
  <c r="F40" i="2"/>
  <c r="E40" i="2"/>
  <c r="D40" i="2"/>
  <c r="J30" i="2"/>
  <c r="Z40" i="2" s="1"/>
  <c r="F39" i="2"/>
  <c r="E39" i="2"/>
  <c r="K29" i="2"/>
  <c r="AA39" i="2" s="1"/>
  <c r="D39" i="2"/>
  <c r="F38" i="2"/>
  <c r="L28" i="2"/>
  <c r="AB38" i="2" s="1"/>
  <c r="E38" i="2"/>
  <c r="D38" i="2"/>
  <c r="F37" i="2"/>
  <c r="E37" i="2"/>
  <c r="K27" i="2"/>
  <c r="AA37" i="2" s="1"/>
  <c r="D37" i="2"/>
  <c r="F36" i="2"/>
  <c r="E36" i="2"/>
  <c r="K36" i="2" s="1"/>
  <c r="K26" i="2"/>
  <c r="AA36" i="2" s="1"/>
  <c r="D36" i="2"/>
  <c r="J26" i="2"/>
  <c r="I41" i="2"/>
  <c r="O41" i="2" s="1"/>
  <c r="H41" i="2"/>
  <c r="N41" i="2" s="1"/>
  <c r="G41" i="2"/>
  <c r="M41" i="2" s="1"/>
  <c r="I40" i="2"/>
  <c r="O40" i="2" s="1"/>
  <c r="H40" i="2"/>
  <c r="N40" i="2" s="1"/>
  <c r="G40" i="2"/>
  <c r="M40" i="2" s="1"/>
  <c r="I39" i="2"/>
  <c r="O39" i="2" s="1"/>
  <c r="H39" i="2"/>
  <c r="N39" i="2" s="1"/>
  <c r="G39" i="2"/>
  <c r="I38" i="2"/>
  <c r="H38" i="2"/>
  <c r="G38" i="2"/>
  <c r="M38" i="2" s="1"/>
  <c r="I37" i="2"/>
  <c r="O37" i="2" s="1"/>
  <c r="H37" i="2"/>
  <c r="N37" i="2" s="1"/>
  <c r="G37" i="2"/>
  <c r="M37" i="2" s="1"/>
  <c r="I36" i="2"/>
  <c r="O36" i="2"/>
  <c r="H36" i="2"/>
  <c r="N36" i="2" s="1"/>
  <c r="G36" i="2"/>
  <c r="M36" i="2" s="1"/>
  <c r="AE31" i="2"/>
  <c r="AD31" i="2"/>
  <c r="AC31" i="2"/>
  <c r="AB31" i="2"/>
  <c r="AA31" i="2"/>
  <c r="Z31" i="2"/>
  <c r="O31" i="2"/>
  <c r="N31" i="2"/>
  <c r="M31" i="2"/>
  <c r="L31" i="2"/>
  <c r="AB41" i="2" s="1"/>
  <c r="J31" i="2"/>
  <c r="Z41" i="2" s="1"/>
  <c r="AE30" i="2"/>
  <c r="AD30" i="2"/>
  <c r="AC30" i="2"/>
  <c r="AB30" i="2"/>
  <c r="AA30" i="2"/>
  <c r="Z30" i="2"/>
  <c r="O30" i="2"/>
  <c r="N30" i="2"/>
  <c r="M30" i="2"/>
  <c r="L30" i="2"/>
  <c r="AB40" i="2"/>
  <c r="K30" i="2"/>
  <c r="AA40" i="2"/>
  <c r="AE29" i="2"/>
  <c r="AD29" i="2"/>
  <c r="AC29" i="2"/>
  <c r="AB29" i="2"/>
  <c r="AA29" i="2"/>
  <c r="Z29" i="2"/>
  <c r="O29" i="2"/>
  <c r="N29" i="2"/>
  <c r="M29" i="2"/>
  <c r="L29" i="2"/>
  <c r="AB39" i="2" s="1"/>
  <c r="J29" i="2"/>
  <c r="Z39" i="2" s="1"/>
  <c r="AE28" i="2"/>
  <c r="AD28" i="2"/>
  <c r="AC28" i="2"/>
  <c r="AB28" i="2"/>
  <c r="AA28" i="2"/>
  <c r="Z28" i="2"/>
  <c r="O28" i="2"/>
  <c r="N28" i="2"/>
  <c r="M28" i="2"/>
  <c r="K28" i="2"/>
  <c r="AA38" i="2"/>
  <c r="J28" i="2"/>
  <c r="Z38" i="2" s="1"/>
  <c r="J38" i="2"/>
  <c r="AE27" i="2"/>
  <c r="AD27" i="2"/>
  <c r="AC27" i="2"/>
  <c r="AB27" i="2"/>
  <c r="AA27" i="2"/>
  <c r="Z27" i="2"/>
  <c r="O27" i="2"/>
  <c r="N27" i="2"/>
  <c r="M27" i="2"/>
  <c r="L27" i="2"/>
  <c r="AB37" i="2" s="1"/>
  <c r="J27" i="2"/>
  <c r="Z37" i="2" s="1"/>
  <c r="AE26" i="2"/>
  <c r="AD26" i="2"/>
  <c r="AC26" i="2"/>
  <c r="AB26" i="2"/>
  <c r="AA26" i="2"/>
  <c r="Z26" i="2"/>
  <c r="O26" i="2"/>
  <c r="N26" i="2"/>
  <c r="M26" i="2"/>
  <c r="L26" i="2"/>
  <c r="AB36" i="2" s="1"/>
  <c r="Z36" i="2"/>
  <c r="AE10" i="2"/>
  <c r="AD10" i="2"/>
  <c r="AC10" i="2"/>
  <c r="AB10" i="2"/>
  <c r="AA10" i="2"/>
  <c r="Z10" i="2"/>
  <c r="AE9" i="2"/>
  <c r="AD9" i="2"/>
  <c r="AC9" i="2"/>
  <c r="AB9" i="2"/>
  <c r="AA9" i="2"/>
  <c r="Z9" i="2"/>
  <c r="AE8" i="2"/>
  <c r="AD8" i="2"/>
  <c r="AC8" i="2"/>
  <c r="AB8" i="2"/>
  <c r="AA8" i="2"/>
  <c r="Z8" i="2"/>
  <c r="AE7" i="2"/>
  <c r="AD7" i="2"/>
  <c r="AC7" i="2"/>
  <c r="AB7" i="2"/>
  <c r="AA7" i="2"/>
  <c r="Z7" i="2"/>
  <c r="AE6" i="2"/>
  <c r="AD6" i="2"/>
  <c r="AC6" i="2"/>
  <c r="AB6" i="2"/>
  <c r="AA6" i="2"/>
  <c r="Z6" i="2"/>
  <c r="AE5" i="2"/>
  <c r="AD5" i="2"/>
  <c r="AC5" i="2"/>
  <c r="AB5" i="2"/>
  <c r="AA5" i="2"/>
  <c r="Z5" i="2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O5" i="1"/>
  <c r="N5" i="1"/>
  <c r="M5" i="1"/>
  <c r="L5" i="1"/>
  <c r="K5" i="1"/>
  <c r="J5" i="1"/>
  <c r="I20" i="2"/>
  <c r="O20" i="2" s="1"/>
  <c r="H20" i="2"/>
  <c r="N20" i="2" s="1"/>
  <c r="G20" i="2"/>
  <c r="M20" i="2" s="1"/>
  <c r="F20" i="2"/>
  <c r="E20" i="2"/>
  <c r="K20" i="2" s="1"/>
  <c r="I19" i="2"/>
  <c r="O19" i="2" s="1"/>
  <c r="H19" i="2"/>
  <c r="N19" i="2" s="1"/>
  <c r="G19" i="2"/>
  <c r="M19" i="2" s="1"/>
  <c r="F19" i="2"/>
  <c r="E19" i="2"/>
  <c r="D19" i="2"/>
  <c r="I18" i="2"/>
  <c r="O18" i="2" s="1"/>
  <c r="H18" i="2"/>
  <c r="N18" i="2" s="1"/>
  <c r="G18" i="2"/>
  <c r="M18" i="2" s="1"/>
  <c r="F18" i="2"/>
  <c r="E18" i="2"/>
  <c r="D18" i="2"/>
  <c r="J8" i="2"/>
  <c r="I17" i="2"/>
  <c r="O17" i="2" s="1"/>
  <c r="H17" i="2"/>
  <c r="N17" i="2" s="1"/>
  <c r="G17" i="2"/>
  <c r="M17" i="2" s="1"/>
  <c r="F17" i="2"/>
  <c r="E17" i="2"/>
  <c r="K7" i="2"/>
  <c r="D17" i="2"/>
  <c r="I16" i="2"/>
  <c r="O16" i="2" s="1"/>
  <c r="H16" i="2"/>
  <c r="N16" i="2" s="1"/>
  <c r="G16" i="2"/>
  <c r="M16" i="2" s="1"/>
  <c r="F16" i="2"/>
  <c r="E16" i="2"/>
  <c r="D16" i="2"/>
  <c r="I15" i="2"/>
  <c r="O15" i="2" s="1"/>
  <c r="H15" i="2"/>
  <c r="N15" i="2" s="1"/>
  <c r="G15" i="2"/>
  <c r="M15" i="2" s="1"/>
  <c r="F15" i="2"/>
  <c r="E15" i="2"/>
  <c r="D15" i="2"/>
  <c r="J5" i="2"/>
  <c r="J47" i="2" s="1"/>
  <c r="O10" i="2"/>
  <c r="N10" i="2"/>
  <c r="M10" i="2"/>
  <c r="L10" i="2"/>
  <c r="O9" i="2"/>
  <c r="N9" i="2"/>
  <c r="M9" i="2"/>
  <c r="L9" i="2"/>
  <c r="K9" i="2"/>
  <c r="O8" i="2"/>
  <c r="N8" i="2"/>
  <c r="M8" i="2"/>
  <c r="L8" i="2"/>
  <c r="K8" i="2"/>
  <c r="K18" i="2"/>
  <c r="O7" i="2"/>
  <c r="N7" i="2"/>
  <c r="M7" i="2"/>
  <c r="L7" i="2"/>
  <c r="O6" i="2"/>
  <c r="N6" i="2"/>
  <c r="M6" i="2"/>
  <c r="L6" i="2"/>
  <c r="K6" i="2"/>
  <c r="K48" i="2"/>
  <c r="J6" i="2"/>
  <c r="J16" i="2" s="1"/>
  <c r="J48" i="2"/>
  <c r="O5" i="2"/>
  <c r="N5" i="2"/>
  <c r="M5" i="2"/>
  <c r="K5" i="2"/>
  <c r="N38" i="2"/>
  <c r="M39" i="2"/>
  <c r="O38" i="2"/>
  <c r="L40" i="2"/>
  <c r="J39" i="2"/>
  <c r="L269" i="4"/>
  <c r="K49" i="2"/>
  <c r="K161" i="4"/>
  <c r="K165" i="4"/>
  <c r="N222" i="4"/>
  <c r="H232" i="4"/>
  <c r="N232" i="4" s="1"/>
  <c r="O134" i="4"/>
  <c r="I144" i="4"/>
  <c r="O144" i="4" s="1"/>
  <c r="K139" i="3"/>
  <c r="J30" i="3"/>
  <c r="L198" i="2"/>
  <c r="J102" i="4"/>
  <c r="J106" i="4"/>
  <c r="K44" i="4"/>
  <c r="K26" i="3"/>
  <c r="K96" i="3"/>
  <c r="K73" i="4"/>
  <c r="J47" i="3"/>
  <c r="L194" i="4"/>
  <c r="I203" i="4"/>
  <c r="O203" i="4" s="1"/>
  <c r="G201" i="4"/>
  <c r="M201" i="4" s="1"/>
  <c r="M191" i="4"/>
  <c r="L102" i="4"/>
  <c r="G112" i="4"/>
  <c r="M112" i="4" s="1"/>
  <c r="H116" i="4"/>
  <c r="N116" i="4" s="1"/>
  <c r="N106" i="4"/>
  <c r="J77" i="4"/>
  <c r="L47" i="4"/>
  <c r="K49" i="4"/>
  <c r="K58" i="4"/>
  <c r="N47" i="3"/>
  <c r="L29" i="3"/>
  <c r="J26" i="3"/>
  <c r="K189" i="4"/>
  <c r="K199" i="4" s="1"/>
  <c r="L105" i="4"/>
  <c r="J116" i="3"/>
  <c r="J189" i="4"/>
  <c r="J199" i="4" s="1"/>
  <c r="J20" i="3"/>
  <c r="J27" i="3"/>
  <c r="K191" i="4"/>
  <c r="K201" i="4" s="1"/>
  <c r="K164" i="4"/>
  <c r="N192" i="4"/>
  <c r="H202" i="4"/>
  <c r="N202" i="4" s="1"/>
  <c r="M163" i="4"/>
  <c r="G173" i="4"/>
  <c r="M173" i="4" s="1"/>
  <c r="O104" i="4"/>
  <c r="I114" i="4"/>
  <c r="O114" i="4" s="1"/>
  <c r="N48" i="4"/>
  <c r="K16" i="4"/>
  <c r="K20" i="4"/>
  <c r="K29" i="4"/>
  <c r="J15" i="4"/>
  <c r="N50" i="3"/>
  <c r="O50" i="3"/>
  <c r="J28" i="3"/>
  <c r="K251" i="4"/>
  <c r="K77" i="4"/>
  <c r="K160" i="4"/>
  <c r="K137" i="3"/>
  <c r="J16" i="3"/>
  <c r="J135" i="4"/>
  <c r="J131" i="4"/>
  <c r="J196" i="2"/>
  <c r="J140" i="4"/>
  <c r="J24" i="4"/>
  <c r="L170" i="4"/>
  <c r="K107" i="4"/>
  <c r="O77" i="4"/>
  <c r="H84" i="4"/>
  <c r="N84" i="4" s="1"/>
  <c r="N74" i="4"/>
  <c r="H85" i="4"/>
  <c r="N85" i="4"/>
  <c r="J17" i="4"/>
  <c r="J288" i="4"/>
  <c r="N164" i="4"/>
  <c r="H174" i="4"/>
  <c r="N174" i="4" s="1"/>
  <c r="M131" i="4"/>
  <c r="G141" i="4"/>
  <c r="M141" i="4" s="1"/>
  <c r="I145" i="4"/>
  <c r="O145" i="4" s="1"/>
  <c r="O135" i="4"/>
  <c r="K47" i="4"/>
  <c r="J19" i="4"/>
  <c r="H203" i="4"/>
  <c r="N203" i="4" s="1"/>
  <c r="N193" i="4"/>
  <c r="N73" i="4"/>
  <c r="H83" i="4"/>
  <c r="N83" i="4" s="1"/>
  <c r="M47" i="4"/>
  <c r="G57" i="4"/>
  <c r="M57" i="4" s="1"/>
  <c r="J25" i="4"/>
  <c r="K28" i="4"/>
  <c r="J29" i="4"/>
  <c r="K26" i="4"/>
  <c r="L29" i="4"/>
  <c r="L15" i="4"/>
  <c r="K27" i="4"/>
  <c r="J28" i="4"/>
  <c r="L20" i="4"/>
  <c r="J20" i="4"/>
  <c r="K17" i="4"/>
  <c r="K19" i="4"/>
  <c r="K25" i="4"/>
  <c r="J16" i="4"/>
  <c r="K56" i="4"/>
  <c r="K114" i="4"/>
  <c r="J53" i="4"/>
  <c r="J111" i="4"/>
  <c r="K15" i="2" l="1"/>
  <c r="K16" i="2"/>
  <c r="K19" i="2"/>
  <c r="J36" i="2"/>
  <c r="J49" i="2"/>
  <c r="L73" i="2"/>
  <c r="J93" i="2"/>
  <c r="J92" i="2"/>
  <c r="L93" i="2"/>
  <c r="K112" i="2"/>
  <c r="K155" i="2"/>
  <c r="I55" i="3"/>
  <c r="O55" i="3" s="1"/>
  <c r="I231" i="4"/>
  <c r="O231" i="4" s="1"/>
  <c r="I228" i="4"/>
  <c r="O228" i="4" s="1"/>
  <c r="M219" i="4"/>
  <c r="O219" i="4"/>
  <c r="N160" i="4"/>
  <c r="N131" i="4"/>
  <c r="G114" i="4"/>
  <c r="M114" i="4" s="1"/>
  <c r="I86" i="4"/>
  <c r="O86" i="4" s="1"/>
  <c r="L49" i="4"/>
  <c r="K46" i="4"/>
  <c r="O44" i="4"/>
  <c r="N45" i="4"/>
  <c r="G55" i="4"/>
  <c r="M55" i="4" s="1"/>
  <c r="L46" i="4"/>
  <c r="K24" i="4"/>
  <c r="J142" i="4"/>
  <c r="K122" i="5"/>
  <c r="K40" i="2"/>
  <c r="J41" i="2"/>
  <c r="L114" i="2"/>
  <c r="L155" i="2"/>
  <c r="K157" i="2"/>
  <c r="K102" i="4"/>
  <c r="I452" i="5"/>
  <c r="O452" i="5" s="1"/>
  <c r="M442" i="5"/>
  <c r="N499" i="5"/>
  <c r="M500" i="5"/>
  <c r="N501" i="5"/>
  <c r="O501" i="5"/>
  <c r="J58" i="5"/>
  <c r="K58" i="6"/>
  <c r="K68" i="6" s="1"/>
  <c r="K117" i="3"/>
  <c r="L56" i="3"/>
  <c r="L137" i="3" s="1"/>
  <c r="L133" i="4"/>
  <c r="K119" i="3"/>
  <c r="L76" i="4"/>
  <c r="L120" i="3"/>
  <c r="J121" i="3"/>
  <c r="K85" i="4"/>
  <c r="K76" i="4"/>
  <c r="J18" i="4"/>
  <c r="J20" i="2"/>
  <c r="J52" i="2"/>
  <c r="K131" i="2"/>
  <c r="K152" i="2"/>
  <c r="H367" i="5"/>
  <c r="N367" i="5" s="1"/>
  <c r="N357" i="5"/>
  <c r="L25" i="4"/>
  <c r="L141" i="4"/>
  <c r="G481" i="5"/>
  <c r="M481" i="5" s="1"/>
  <c r="M471" i="5"/>
  <c r="O164" i="4"/>
  <c r="I174" i="4"/>
  <c r="O174" i="4" s="1"/>
  <c r="J45" i="3"/>
  <c r="J194" i="2"/>
  <c r="L27" i="4"/>
  <c r="L18" i="4"/>
  <c r="K131" i="4"/>
  <c r="K111" i="2"/>
  <c r="K194" i="2"/>
  <c r="K45" i="3"/>
  <c r="O105" i="4"/>
  <c r="I115" i="4"/>
  <c r="O115" i="4" s="1"/>
  <c r="O189" i="4"/>
  <c r="I199" i="4"/>
  <c r="O199" i="4" s="1"/>
  <c r="K115" i="4"/>
  <c r="K106" i="4"/>
  <c r="H112" i="4"/>
  <c r="N112" i="4" s="1"/>
  <c r="N102" i="4"/>
  <c r="M328" i="5"/>
  <c r="G338" i="5"/>
  <c r="M338" i="5" s="1"/>
  <c r="N49" i="3"/>
  <c r="H59" i="3"/>
  <c r="N59" i="3" s="1"/>
  <c r="O75" i="4"/>
  <c r="I85" i="4"/>
  <c r="O85" i="4" s="1"/>
  <c r="G56" i="4"/>
  <c r="M56" i="4" s="1"/>
  <c r="M46" i="4"/>
  <c r="J40" i="2"/>
  <c r="K37" i="2"/>
  <c r="J197" i="2"/>
  <c r="J48" i="3"/>
  <c r="L199" i="2"/>
  <c r="L50" i="3"/>
  <c r="I27" i="3"/>
  <c r="O27" i="3" s="1"/>
  <c r="O17" i="3"/>
  <c r="G56" i="3"/>
  <c r="M56" i="3" s="1"/>
  <c r="M46" i="3"/>
  <c r="J219" i="4"/>
  <c r="J229" i="4" s="1"/>
  <c r="N218" i="4"/>
  <c r="H228" i="4"/>
  <c r="N228" i="4" s="1"/>
  <c r="J71" i="2"/>
  <c r="K48" i="3"/>
  <c r="K197" i="2"/>
  <c r="K18" i="3"/>
  <c r="K134" i="4"/>
  <c r="K143" i="4"/>
  <c r="K145" i="4"/>
  <c r="K136" i="4"/>
  <c r="K87" i="4"/>
  <c r="N469" i="5"/>
  <c r="H479" i="5"/>
  <c r="N479" i="5" s="1"/>
  <c r="K50" i="3"/>
  <c r="K199" i="2"/>
  <c r="G423" i="5"/>
  <c r="M423" i="5" s="1"/>
  <c r="M413" i="5"/>
  <c r="K101" i="5"/>
  <c r="L28" i="4"/>
  <c r="I143" i="4"/>
  <c r="O143" i="4" s="1"/>
  <c r="O133" i="4"/>
  <c r="M75" i="4"/>
  <c r="G85" i="4"/>
  <c r="M85" i="4" s="1"/>
  <c r="L68" i="2"/>
  <c r="L19" i="2"/>
  <c r="K17" i="2"/>
  <c r="L94" i="2"/>
  <c r="L110" i="2"/>
  <c r="L112" i="2"/>
  <c r="K153" i="2"/>
  <c r="J173" i="2"/>
  <c r="J220" i="4"/>
  <c r="J230" i="4" s="1"/>
  <c r="J141" i="4"/>
  <c r="L18" i="6"/>
  <c r="G334" i="5"/>
  <c r="M334" i="5" s="1"/>
  <c r="I336" i="5"/>
  <c r="O336" i="5" s="1"/>
  <c r="M473" i="5"/>
  <c r="L133" i="2"/>
  <c r="K52" i="2"/>
  <c r="L91" i="2"/>
  <c r="K173" i="2"/>
  <c r="L17" i="3"/>
  <c r="M19" i="3"/>
  <c r="I232" i="4"/>
  <c r="O232" i="4" s="1"/>
  <c r="J174" i="4"/>
  <c r="N103" i="4"/>
  <c r="K58" i="5"/>
  <c r="I483" i="5"/>
  <c r="O483" i="5" s="1"/>
  <c r="L20" i="8"/>
  <c r="K113" i="2"/>
  <c r="L26" i="4"/>
  <c r="L17" i="2"/>
  <c r="O47" i="3"/>
  <c r="K114" i="2"/>
  <c r="J131" i="2"/>
  <c r="L219" i="4"/>
  <c r="L229" i="4" s="1"/>
  <c r="K83" i="4"/>
  <c r="J287" i="4"/>
  <c r="N133" i="4"/>
  <c r="J87" i="4"/>
  <c r="L44" i="4"/>
  <c r="I481" i="5"/>
  <c r="O481" i="5" s="1"/>
  <c r="G511" i="5"/>
  <c r="M511" i="5" s="1"/>
  <c r="J61" i="8"/>
  <c r="J78" i="8"/>
  <c r="K81" i="8"/>
  <c r="L39" i="2"/>
  <c r="J195" i="2"/>
  <c r="K71" i="2"/>
  <c r="J73" i="2"/>
  <c r="L90" i="2"/>
  <c r="J90" i="2"/>
  <c r="J25" i="3"/>
  <c r="L134" i="4"/>
  <c r="H334" i="5"/>
  <c r="N334" i="5" s="1"/>
  <c r="J59" i="8"/>
  <c r="K79" i="8"/>
  <c r="L113" i="4"/>
  <c r="L101" i="3"/>
  <c r="L81" i="8" s="1"/>
  <c r="K35" i="6"/>
  <c r="L99" i="3"/>
  <c r="L79" i="5" s="1"/>
  <c r="J45" i="4"/>
  <c r="G396" i="5"/>
  <c r="M396" i="5" s="1"/>
  <c r="H421" i="5"/>
  <c r="N421" i="5" s="1"/>
  <c r="K57" i="8"/>
  <c r="K97" i="3"/>
  <c r="J200" i="4"/>
  <c r="K45" i="4"/>
  <c r="H26" i="3"/>
  <c r="N26" i="3" s="1"/>
  <c r="L27" i="3"/>
  <c r="J18" i="2"/>
  <c r="K69" i="2"/>
  <c r="K70" i="2"/>
  <c r="L72" i="2"/>
  <c r="M47" i="3"/>
  <c r="J223" i="4"/>
  <c r="J86" i="4"/>
  <c r="G335" i="5"/>
  <c r="M335" i="5" s="1"/>
  <c r="G336" i="5"/>
  <c r="M336" i="5" s="1"/>
  <c r="I396" i="5"/>
  <c r="O396" i="5" s="1"/>
  <c r="L79" i="3"/>
  <c r="L289" i="4" s="1"/>
  <c r="L80" i="3"/>
  <c r="L290" i="4" s="1"/>
  <c r="K288" i="4"/>
  <c r="K105" i="4"/>
  <c r="J15" i="2"/>
  <c r="L18" i="2"/>
  <c r="H28" i="3"/>
  <c r="N28" i="3" s="1"/>
  <c r="L70" i="2"/>
  <c r="K94" i="2"/>
  <c r="K132" i="2"/>
  <c r="L156" i="2"/>
  <c r="O20" i="3"/>
  <c r="I170" i="4"/>
  <c r="O170" i="4" s="1"/>
  <c r="I173" i="4"/>
  <c r="O173" i="4" s="1"/>
  <c r="L107" i="4"/>
  <c r="O46" i="4"/>
  <c r="G58" i="4"/>
  <c r="M58" i="4" s="1"/>
  <c r="L100" i="5"/>
  <c r="H454" i="5"/>
  <c r="N454" i="5" s="1"/>
  <c r="J19" i="8"/>
  <c r="K51" i="2"/>
  <c r="K136" i="2"/>
  <c r="J37" i="2"/>
  <c r="L36" i="5"/>
  <c r="M59" i="6"/>
  <c r="G69" i="6"/>
  <c r="M69" i="6" s="1"/>
  <c r="L16" i="4"/>
  <c r="L55" i="4"/>
  <c r="K54" i="4"/>
  <c r="G232" i="4"/>
  <c r="M232" i="4" s="1"/>
  <c r="L16" i="2"/>
  <c r="J50" i="2"/>
  <c r="J112" i="2"/>
  <c r="K133" i="2"/>
  <c r="J155" i="2"/>
  <c r="N15" i="3"/>
  <c r="N20" i="3"/>
  <c r="L18" i="3"/>
  <c r="O131" i="4"/>
  <c r="J116" i="4"/>
  <c r="J107" i="4"/>
  <c r="L36" i="6"/>
  <c r="K99" i="8"/>
  <c r="K99" i="5"/>
  <c r="K19" i="8"/>
  <c r="L46" i="3"/>
  <c r="L47" i="3"/>
  <c r="L48" i="2"/>
  <c r="M49" i="3"/>
  <c r="L74" i="4"/>
  <c r="L132" i="2"/>
  <c r="G145" i="4"/>
  <c r="M145" i="4" s="1"/>
  <c r="I334" i="5"/>
  <c r="O334" i="5" s="1"/>
  <c r="O324" i="5"/>
  <c r="G479" i="5"/>
  <c r="M479" i="5" s="1"/>
  <c r="K120" i="3"/>
  <c r="K100" i="5" s="1"/>
  <c r="E60" i="5"/>
  <c r="E165" i="5"/>
  <c r="I65" i="6"/>
  <c r="O65" i="6" s="1"/>
  <c r="O55" i="6"/>
  <c r="M411" i="5"/>
  <c r="G421" i="5"/>
  <c r="M421" i="5" s="1"/>
  <c r="J55" i="3"/>
  <c r="J15" i="6"/>
  <c r="K90" i="2"/>
  <c r="L17" i="4"/>
  <c r="L194" i="2"/>
  <c r="K47" i="2"/>
  <c r="L37" i="2"/>
  <c r="K38" i="2"/>
  <c r="J68" i="2"/>
  <c r="K17" i="3"/>
  <c r="K220" i="4" s="1"/>
  <c r="K230" i="4" s="1"/>
  <c r="K30" i="3"/>
  <c r="L249" i="4"/>
  <c r="K92" i="2"/>
  <c r="J114" i="2"/>
  <c r="L131" i="2"/>
  <c r="J157" i="2"/>
  <c r="H29" i="3"/>
  <c r="N29" i="3" s="1"/>
  <c r="K219" i="4"/>
  <c r="K229" i="4" s="1"/>
  <c r="H200" i="4"/>
  <c r="N200" i="4" s="1"/>
  <c r="N162" i="4"/>
  <c r="K141" i="4"/>
  <c r="N77" i="4"/>
  <c r="M356" i="5"/>
  <c r="G366" i="5"/>
  <c r="M366" i="5" s="1"/>
  <c r="L98" i="3"/>
  <c r="J232" i="4"/>
  <c r="L47" i="2"/>
  <c r="J69" i="2"/>
  <c r="K49" i="3"/>
  <c r="L92" i="2"/>
  <c r="O327" i="5"/>
  <c r="I337" i="5"/>
  <c r="O337" i="5" s="1"/>
  <c r="O353" i="5"/>
  <c r="I363" i="5"/>
  <c r="O363" i="5" s="1"/>
  <c r="M443" i="5"/>
  <c r="G453" i="5"/>
  <c r="M453" i="5" s="1"/>
  <c r="M132" i="4"/>
  <c r="G142" i="4"/>
  <c r="M142" i="4" s="1"/>
  <c r="L57" i="3"/>
  <c r="L17" i="8"/>
  <c r="K115" i="2"/>
  <c r="L16" i="5"/>
  <c r="I338" i="5"/>
  <c r="O338" i="5" s="1"/>
  <c r="O328" i="5"/>
  <c r="N191" i="4"/>
  <c r="L165" i="4"/>
  <c r="O46" i="3"/>
  <c r="K170" i="4"/>
  <c r="J17" i="2"/>
  <c r="L38" i="2"/>
  <c r="L111" i="2"/>
  <c r="L157" i="2"/>
  <c r="J18" i="3"/>
  <c r="J221" i="4" s="1"/>
  <c r="J231" i="4" s="1"/>
  <c r="L222" i="4"/>
  <c r="L232" i="4" s="1"/>
  <c r="J169" i="4"/>
  <c r="J171" i="4"/>
  <c r="I84" i="4"/>
  <c r="O84" i="4" s="1"/>
  <c r="O74" i="4"/>
  <c r="N384" i="5"/>
  <c r="H394" i="5"/>
  <c r="N394" i="5" s="1"/>
  <c r="J135" i="2"/>
  <c r="L132" i="4"/>
  <c r="L190" i="4"/>
  <c r="L200" i="4" s="1"/>
  <c r="K15" i="4"/>
  <c r="O103" i="4"/>
  <c r="H86" i="4"/>
  <c r="N86" i="4" s="1"/>
  <c r="G30" i="3"/>
  <c r="M30" i="3" s="1"/>
  <c r="I25" i="3"/>
  <c r="O25" i="3" s="1"/>
  <c r="L41" i="2"/>
  <c r="L69" i="2"/>
  <c r="J19" i="2"/>
  <c r="J113" i="2"/>
  <c r="K20" i="3"/>
  <c r="K223" i="4" s="1"/>
  <c r="M192" i="4"/>
  <c r="L15" i="8"/>
  <c r="L15" i="6"/>
  <c r="L76" i="3"/>
  <c r="L77" i="3"/>
  <c r="L57" i="5" s="1"/>
  <c r="K19" i="3"/>
  <c r="I423" i="5"/>
  <c r="O423" i="5" s="1"/>
  <c r="O413" i="5"/>
  <c r="L71" i="2"/>
  <c r="K72" i="2"/>
  <c r="N46" i="3"/>
  <c r="J105" i="4"/>
  <c r="K89" i="2"/>
  <c r="M73" i="4"/>
  <c r="L56" i="6"/>
  <c r="L66" i="6" s="1"/>
  <c r="M164" i="4"/>
  <c r="G174" i="4"/>
  <c r="M174" i="4" s="1"/>
  <c r="L15" i="2"/>
  <c r="L115" i="2"/>
  <c r="L220" i="4"/>
  <c r="L230" i="4" s="1"/>
  <c r="L56" i="4"/>
  <c r="N48" i="3"/>
  <c r="J154" i="2"/>
  <c r="K112" i="4"/>
  <c r="K50" i="2"/>
  <c r="L20" i="2"/>
  <c r="L36" i="2"/>
  <c r="K47" i="3"/>
  <c r="L89" i="2"/>
  <c r="J110" i="2"/>
  <c r="J132" i="2"/>
  <c r="K156" i="2"/>
  <c r="J15" i="3"/>
  <c r="J218" i="4" s="1"/>
  <c r="J228" i="4" s="1"/>
  <c r="M18" i="3"/>
  <c r="L28" i="3"/>
  <c r="H173" i="4"/>
  <c r="N173" i="4" s="1"/>
  <c r="H57" i="4"/>
  <c r="N57" i="4" s="1"/>
  <c r="N47" i="4"/>
  <c r="F59" i="5"/>
  <c r="F164" i="5"/>
  <c r="L82" i="4"/>
  <c r="L84" i="4"/>
  <c r="J15" i="5"/>
  <c r="K36" i="5"/>
  <c r="N59" i="6"/>
  <c r="J58" i="6"/>
  <c r="J68" i="6" s="1"/>
  <c r="G454" i="5"/>
  <c r="M454" i="5" s="1"/>
  <c r="H482" i="5"/>
  <c r="N482" i="5" s="1"/>
  <c r="K15" i="8"/>
  <c r="J60" i="3"/>
  <c r="J40" i="5" s="1"/>
  <c r="J19" i="5"/>
  <c r="J35" i="6"/>
  <c r="G480" i="5"/>
  <c r="M480" i="5" s="1"/>
  <c r="K222" i="4"/>
  <c r="K232" i="4" s="1"/>
  <c r="L191" i="4"/>
  <c r="L201" i="4" s="1"/>
  <c r="L160" i="4"/>
  <c r="L171" i="4"/>
  <c r="G86" i="4"/>
  <c r="M86" i="4" s="1"/>
  <c r="H56" i="4"/>
  <c r="N56" i="4" s="1"/>
  <c r="L17" i="5"/>
  <c r="L17" i="6"/>
  <c r="L37" i="6"/>
  <c r="J99" i="3"/>
  <c r="J112" i="4" s="1"/>
  <c r="J117" i="3"/>
  <c r="J97" i="8" s="1"/>
  <c r="J57" i="3"/>
  <c r="J37" i="5" s="1"/>
  <c r="I365" i="5"/>
  <c r="O365" i="5" s="1"/>
  <c r="H424" i="5"/>
  <c r="N424" i="5" s="1"/>
  <c r="I451" i="5"/>
  <c r="O451" i="5" s="1"/>
  <c r="N440" i="5"/>
  <c r="J57" i="8"/>
  <c r="J97" i="3"/>
  <c r="J77" i="8" s="1"/>
  <c r="J100" i="3"/>
  <c r="J118" i="3"/>
  <c r="J98" i="8" s="1"/>
  <c r="K200" i="4"/>
  <c r="L103" i="4"/>
  <c r="L114" i="4"/>
  <c r="K40" i="5"/>
  <c r="H392" i="5"/>
  <c r="N392" i="5" s="1"/>
  <c r="H453" i="5"/>
  <c r="N453" i="5" s="1"/>
  <c r="O472" i="5"/>
  <c r="J59" i="3"/>
  <c r="J39" i="5" s="1"/>
  <c r="J58" i="8"/>
  <c r="J80" i="3"/>
  <c r="K77" i="8"/>
  <c r="J81" i="8"/>
  <c r="L16" i="6"/>
  <c r="L55" i="3"/>
  <c r="L35" i="6" s="1"/>
  <c r="K58" i="8"/>
  <c r="K79" i="5"/>
  <c r="L80" i="5"/>
  <c r="J122" i="5"/>
  <c r="O58" i="6"/>
  <c r="H425" i="5"/>
  <c r="N425" i="5" s="1"/>
  <c r="J58" i="3"/>
  <c r="J139" i="3" s="1"/>
  <c r="K80" i="3"/>
  <c r="K290" i="4" s="1"/>
  <c r="K81" i="3"/>
  <c r="K61" i="5" s="1"/>
  <c r="L97" i="3"/>
  <c r="L77" i="8" s="1"/>
  <c r="J119" i="3"/>
  <c r="J99" i="5" s="1"/>
  <c r="I364" i="5"/>
  <c r="O364" i="5" s="1"/>
  <c r="N58" i="6"/>
  <c r="O498" i="5"/>
  <c r="J15" i="8"/>
  <c r="K38" i="8"/>
  <c r="L81" i="3"/>
  <c r="L61" i="5" s="1"/>
  <c r="L80" i="8"/>
  <c r="L118" i="3"/>
  <c r="L98" i="8" s="1"/>
  <c r="J120" i="3"/>
  <c r="J100" i="8" s="1"/>
  <c r="L78" i="3"/>
  <c r="L58" i="8" s="1"/>
  <c r="L48" i="4"/>
  <c r="L106" i="4"/>
  <c r="J101" i="8"/>
  <c r="J101" i="5"/>
  <c r="K39" i="2"/>
  <c r="G26" i="3"/>
  <c r="M26" i="3" s="1"/>
  <c r="I28" i="3"/>
  <c r="O28" i="3" s="1"/>
  <c r="L153" i="2"/>
  <c r="N17" i="3"/>
  <c r="G228" i="4"/>
  <c r="M228" i="4" s="1"/>
  <c r="G113" i="4"/>
  <c r="M113" i="4" s="1"/>
  <c r="L140" i="3"/>
  <c r="L120" i="5" s="1"/>
  <c r="L85" i="4"/>
  <c r="L172" i="4"/>
  <c r="J91" i="2"/>
  <c r="I230" i="4"/>
  <c r="O230" i="4" s="1"/>
  <c r="I200" i="4"/>
  <c r="O200" i="4" s="1"/>
  <c r="O190" i="4"/>
  <c r="G203" i="4"/>
  <c r="M203" i="4" s="1"/>
  <c r="M193" i="4"/>
  <c r="G364" i="5"/>
  <c r="M364" i="5" s="1"/>
  <c r="M354" i="5"/>
  <c r="G115" i="4"/>
  <c r="M115" i="4" s="1"/>
  <c r="M105" i="4"/>
  <c r="L113" i="2"/>
  <c r="G65" i="6"/>
  <c r="M65" i="6" s="1"/>
  <c r="M55" i="6"/>
  <c r="N470" i="5"/>
  <c r="H480" i="5"/>
  <c r="N480" i="5" s="1"/>
  <c r="L112" i="4"/>
  <c r="L30" i="3"/>
  <c r="K132" i="4"/>
  <c r="K15" i="3"/>
  <c r="K218" i="4" s="1"/>
  <c r="K228" i="4" s="1"/>
  <c r="I59" i="3"/>
  <c r="O59" i="3" s="1"/>
  <c r="J84" i="4"/>
  <c r="K221" i="4"/>
  <c r="K231" i="4" s="1"/>
  <c r="H115" i="4"/>
  <c r="N115" i="4" s="1"/>
  <c r="G27" i="3"/>
  <c r="M27" i="3" s="1"/>
  <c r="L143" i="4"/>
  <c r="O161" i="4"/>
  <c r="L196" i="2"/>
  <c r="N45" i="3"/>
  <c r="L162" i="4"/>
  <c r="M162" i="4"/>
  <c r="J160" i="4"/>
  <c r="J103" i="4"/>
  <c r="L73" i="4"/>
  <c r="G199" i="4"/>
  <c r="M199" i="4" s="1"/>
  <c r="I112" i="4"/>
  <c r="O112" i="4" s="1"/>
  <c r="G87" i="4"/>
  <c r="M87" i="4" s="1"/>
  <c r="M77" i="4"/>
  <c r="M160" i="4"/>
  <c r="L136" i="4"/>
  <c r="L145" i="4"/>
  <c r="L75" i="4"/>
  <c r="L15" i="3"/>
  <c r="L218" i="4" s="1"/>
  <c r="L228" i="4" s="1"/>
  <c r="L20" i="3"/>
  <c r="L223" i="4" s="1"/>
  <c r="J89" i="2"/>
  <c r="J156" i="2"/>
  <c r="M134" i="4"/>
  <c r="H114" i="4"/>
  <c r="N114" i="4" s="1"/>
  <c r="N104" i="4"/>
  <c r="J82" i="4"/>
  <c r="M44" i="4"/>
  <c r="G54" i="4"/>
  <c r="M54" i="4" s="1"/>
  <c r="J36" i="6"/>
  <c r="J36" i="5"/>
  <c r="H337" i="5"/>
  <c r="N337" i="5" s="1"/>
  <c r="N327" i="5"/>
  <c r="J164" i="4"/>
  <c r="J162" i="4"/>
  <c r="O19" i="3"/>
  <c r="H199" i="4"/>
  <c r="N199" i="4" s="1"/>
  <c r="N189" i="4"/>
  <c r="H171" i="4"/>
  <c r="N171" i="4" s="1"/>
  <c r="N161" i="4"/>
  <c r="J143" i="4"/>
  <c r="J134" i="4"/>
  <c r="J145" i="4"/>
  <c r="J136" i="4"/>
  <c r="O47" i="4"/>
  <c r="L152" i="2"/>
  <c r="J26" i="4"/>
  <c r="O59" i="6"/>
  <c r="I69" i="6"/>
  <c r="O69" i="6" s="1"/>
  <c r="J47" i="4"/>
  <c r="H230" i="4"/>
  <c r="N230" i="4" s="1"/>
  <c r="I142" i="4"/>
  <c r="O142" i="4" s="1"/>
  <c r="K59" i="6"/>
  <c r="K69" i="6" s="1"/>
  <c r="K59" i="8"/>
  <c r="I58" i="4"/>
  <c r="O58" i="4" s="1"/>
  <c r="K36" i="6"/>
  <c r="M357" i="5"/>
  <c r="G367" i="5"/>
  <c r="M367" i="5" s="1"/>
  <c r="M441" i="5"/>
  <c r="G451" i="5"/>
  <c r="M451" i="5" s="1"/>
  <c r="K60" i="8"/>
  <c r="K60" i="6"/>
  <c r="O192" i="4"/>
  <c r="O106" i="4"/>
  <c r="O57" i="6"/>
  <c r="I67" i="6"/>
  <c r="O67" i="6" s="1"/>
  <c r="N441" i="5"/>
  <c r="H451" i="5"/>
  <c r="N451" i="5" s="1"/>
  <c r="N498" i="5"/>
  <c r="H508" i="5"/>
  <c r="N508" i="5" s="1"/>
  <c r="K40" i="8"/>
  <c r="K141" i="3"/>
  <c r="K121" i="5" s="1"/>
  <c r="L221" i="4"/>
  <c r="M74" i="4"/>
  <c r="G84" i="4"/>
  <c r="M84" i="4" s="1"/>
  <c r="H54" i="4"/>
  <c r="N54" i="4" s="1"/>
  <c r="N44" i="4"/>
  <c r="I393" i="5"/>
  <c r="O393" i="5" s="1"/>
  <c r="O383" i="5"/>
  <c r="O357" i="5"/>
  <c r="I367" i="5"/>
  <c r="O367" i="5" s="1"/>
  <c r="O502" i="5"/>
  <c r="I512" i="5"/>
  <c r="O512" i="5" s="1"/>
  <c r="H396" i="5"/>
  <c r="N396" i="5" s="1"/>
  <c r="K56" i="6"/>
  <c r="K66" i="6" s="1"/>
  <c r="N413" i="5"/>
  <c r="H423" i="5"/>
  <c r="N423" i="5" s="1"/>
  <c r="O415" i="5"/>
  <c r="I425" i="5"/>
  <c r="O425" i="5" s="1"/>
  <c r="G512" i="5"/>
  <c r="M512" i="5" s="1"/>
  <c r="M502" i="5"/>
  <c r="I395" i="5"/>
  <c r="O395" i="5" s="1"/>
  <c r="O385" i="5"/>
  <c r="H422" i="5"/>
  <c r="N422" i="5" s="1"/>
  <c r="L39" i="8"/>
  <c r="K57" i="3"/>
  <c r="K267" i="4" s="1"/>
  <c r="K118" i="3"/>
  <c r="K17" i="8"/>
  <c r="L57" i="6"/>
  <c r="L67" i="6" s="1"/>
  <c r="O499" i="5"/>
  <c r="I509" i="5"/>
  <c r="O509" i="5" s="1"/>
  <c r="I394" i="5"/>
  <c r="O394" i="5" s="1"/>
  <c r="J76" i="3"/>
  <c r="J56" i="6" s="1"/>
  <c r="J66" i="6" s="1"/>
  <c r="G67" i="6"/>
  <c r="M67" i="6" s="1"/>
  <c r="I422" i="5"/>
  <c r="O422" i="5" s="1"/>
  <c r="O440" i="5"/>
  <c r="I450" i="5"/>
  <c r="O450" i="5" s="1"/>
  <c r="H335" i="5"/>
  <c r="N335" i="5" s="1"/>
  <c r="M353" i="5"/>
  <c r="O414" i="5"/>
  <c r="I424" i="5"/>
  <c r="O424" i="5" s="1"/>
  <c r="M440" i="5"/>
  <c r="G450" i="5"/>
  <c r="M450" i="5" s="1"/>
  <c r="L117" i="3"/>
  <c r="L97" i="8" s="1"/>
  <c r="L16" i="8"/>
  <c r="M415" i="5"/>
  <c r="G425" i="5"/>
  <c r="M425" i="5" s="1"/>
  <c r="O56" i="6"/>
  <c r="H66" i="6"/>
  <c r="N66" i="6" s="1"/>
  <c r="N56" i="6"/>
  <c r="N442" i="5"/>
  <c r="H452" i="5"/>
  <c r="N452" i="5" s="1"/>
  <c r="N500" i="5"/>
  <c r="J59" i="6"/>
  <c r="J69" i="6" s="1"/>
  <c r="G508" i="5"/>
  <c r="M508" i="5" s="1"/>
  <c r="L57" i="8"/>
  <c r="K98" i="3"/>
  <c r="K97" i="8"/>
  <c r="K100" i="8"/>
  <c r="N353" i="5"/>
  <c r="I421" i="5"/>
  <c r="O421" i="5" s="1"/>
  <c r="I479" i="5"/>
  <c r="O479" i="5" s="1"/>
  <c r="K98" i="8"/>
  <c r="L100" i="8"/>
  <c r="L78" i="8"/>
  <c r="K101" i="8"/>
  <c r="L59" i="6"/>
  <c r="L69" i="6" s="1"/>
  <c r="K100" i="3"/>
  <c r="G509" i="5"/>
  <c r="M509" i="5" s="1"/>
  <c r="L59" i="8"/>
  <c r="L60" i="3"/>
  <c r="L141" i="3" s="1"/>
  <c r="L121" i="5" s="1"/>
  <c r="L121" i="3"/>
  <c r="L101" i="8" s="1"/>
  <c r="G424" i="5"/>
  <c r="M424" i="5" s="1"/>
  <c r="I510" i="5"/>
  <c r="O510" i="5" s="1"/>
  <c r="L119" i="3"/>
  <c r="L58" i="3"/>
  <c r="L38" i="5" s="1"/>
  <c r="K59" i="3"/>
  <c r="L40" i="6" l="1"/>
  <c r="L59" i="5"/>
  <c r="J40" i="6"/>
  <c r="L287" i="4"/>
  <c r="L60" i="5"/>
  <c r="L60" i="8"/>
  <c r="J79" i="5"/>
  <c r="L58" i="6"/>
  <c r="L68" i="6" s="1"/>
  <c r="J140" i="3"/>
  <c r="J120" i="5" s="1"/>
  <c r="J39" i="6"/>
  <c r="L81" i="5"/>
  <c r="L79" i="8"/>
  <c r="L54" i="4"/>
  <c r="L101" i="5"/>
  <c r="J37" i="6"/>
  <c r="L60" i="6"/>
  <c r="J60" i="8"/>
  <c r="J290" i="4"/>
  <c r="J60" i="5"/>
  <c r="J60" i="6"/>
  <c r="J100" i="5"/>
  <c r="J79" i="8"/>
  <c r="L37" i="5"/>
  <c r="L267" i="4"/>
  <c r="L138" i="3"/>
  <c r="J39" i="8"/>
  <c r="J269" i="4"/>
  <c r="J99" i="8"/>
  <c r="L61" i="8"/>
  <c r="J40" i="8"/>
  <c r="J270" i="4"/>
  <c r="L78" i="5"/>
  <c r="L111" i="4"/>
  <c r="L53" i="4"/>
  <c r="L37" i="8"/>
  <c r="K291" i="4"/>
  <c r="K61" i="8"/>
  <c r="J54" i="4"/>
  <c r="J38" i="8"/>
  <c r="J38" i="5"/>
  <c r="J38" i="6"/>
  <c r="K60" i="5"/>
  <c r="L288" i="4"/>
  <c r="L58" i="5"/>
  <c r="J268" i="4"/>
  <c r="L231" i="4"/>
  <c r="J80" i="8"/>
  <c r="J80" i="5"/>
  <c r="J55" i="4"/>
  <c r="J113" i="4"/>
  <c r="J141" i="3"/>
  <c r="J121" i="5" s="1"/>
  <c r="J37" i="8"/>
  <c r="J138" i="3"/>
  <c r="J267" i="4"/>
  <c r="L291" i="4"/>
  <c r="K78" i="8"/>
  <c r="K53" i="4"/>
  <c r="K111" i="4"/>
  <c r="L38" i="6"/>
  <c r="L38" i="8"/>
  <c r="L139" i="3"/>
  <c r="K80" i="8"/>
  <c r="K113" i="4"/>
  <c r="K55" i="4"/>
  <c r="K78" i="5"/>
  <c r="K80" i="5"/>
  <c r="K39" i="8"/>
  <c r="K39" i="6"/>
  <c r="K140" i="3"/>
  <c r="K120" i="5" s="1"/>
  <c r="K39" i="5"/>
  <c r="L99" i="8"/>
  <c r="L99" i="5"/>
  <c r="K37" i="8"/>
  <c r="K37" i="6"/>
  <c r="K138" i="3"/>
  <c r="K37" i="5"/>
  <c r="L40" i="8"/>
  <c r="L270" i="4"/>
  <c r="K269" i="4"/>
  <c r="L40" i="5"/>
  <c r="L268" i="4"/>
</calcChain>
</file>

<file path=xl/sharedStrings.xml><?xml version="1.0" encoding="utf-8"?>
<sst xmlns="http://schemas.openxmlformats.org/spreadsheetml/2006/main" count="6237" uniqueCount="248">
  <si>
    <t>LV RT 2013 cRIO Single-Point Benchmark Results (Hz)</t>
  </si>
  <si>
    <t>Test</t>
  </si>
  <si>
    <t>Number of Channels, Rate (Hz)</t>
  </si>
  <si>
    <t>Number of Channels, Period (uS)</t>
  </si>
  <si>
    <t>Acronym</t>
  </si>
  <si>
    <t>Description</t>
  </si>
  <si>
    <t>I/O Mode</t>
  </si>
  <si>
    <t>T1a</t>
  </si>
  <si>
    <t>AI / AO</t>
  </si>
  <si>
    <t>Polling</t>
  </si>
  <si>
    <t>T1b</t>
  </si>
  <si>
    <t>Interrupts</t>
  </si>
  <si>
    <t xml:space="preserve">T2a </t>
  </si>
  <si>
    <t xml:space="preserve">AI/PID/AO </t>
  </si>
  <si>
    <t xml:space="preserve">T2b </t>
  </si>
  <si>
    <t>T3</t>
  </si>
  <si>
    <t xml:space="preserve">AI/AO/Local Logging </t>
  </si>
  <si>
    <t>T4</t>
  </si>
  <si>
    <t>AI/AO/Host Comm.</t>
  </si>
  <si>
    <t>Number of Channels (%)</t>
  </si>
  <si>
    <t>Result Improvement vs. cRIO-9024 (% &amp; uS)</t>
  </si>
  <si>
    <t>Max Numbers</t>
  </si>
  <si>
    <t>Number of Channels, Difference in Period (uS)</t>
  </si>
  <si>
    <t>Result Improvement vs. "red board" (% &amp; uS)</t>
  </si>
  <si>
    <t>Worst of 5</t>
  </si>
  <si>
    <t>T1a: first run was actually 992, not sure why since subsequent runs were not affected by this.</t>
  </si>
  <si>
    <t>Case</t>
  </si>
  <si>
    <r>
      <t>cRIO-9068 (blue board), LV RT 2013b75, NI-RIO 13.0.0d229</t>
    </r>
    <r>
      <rPr>
        <sz val="12"/>
        <color theme="1"/>
        <rFont val="Calibri"/>
        <family val="2"/>
        <scheme val="minor"/>
      </rPr>
      <t xml:space="preserve"> (9205/9264)</t>
    </r>
  </si>
  <si>
    <t>Improvement cause unknown..</t>
  </si>
  <si>
    <t>1ch outlier, next lowest was 39756</t>
  </si>
  <si>
    <r>
      <t>cRIO-9068, LV RT 2013, NI-RIO 13.0</t>
    </r>
    <r>
      <rPr>
        <sz val="12"/>
        <color theme="1"/>
        <rFont val="Calibri"/>
        <family val="2"/>
        <scheme val="minor"/>
      </rPr>
      <t xml:space="preserve"> (9205/9264) - 2min settling time</t>
    </r>
  </si>
  <si>
    <t>LV RT 2014 cRIO Single-Point Benchmark Results (Hz)</t>
  </si>
  <si>
    <r>
      <t>cRIO-9024, LV RT 2013rc35, NI-RIO 13.0.0a14</t>
    </r>
    <r>
      <rPr>
        <sz val="12"/>
        <color theme="1"/>
        <rFont val="Calibri"/>
        <family val="2"/>
        <scheme val="minor"/>
      </rPr>
      <t xml:space="preserve"> (9205/9264) - 2min settling time - Isolated Network, WITH REBOOTs</t>
    </r>
  </si>
  <si>
    <t>Result Improvement vs. 2013 cRIO-9068 (% &amp; uS)</t>
  </si>
  <si>
    <t>Result Improvement vs. 2013 cRIO-9024 (% &amp; uS)</t>
  </si>
  <si>
    <r>
      <t>cRIO-9033 (revA) LV RT 2014a82, NI-RIO 14.0.0d209</t>
    </r>
    <r>
      <rPr>
        <sz val="12"/>
        <color theme="1"/>
        <rFont val="Calibri"/>
        <family val="2"/>
        <scheme val="minor"/>
      </rPr>
      <t xml:space="preserve"> (9205/9264)</t>
    </r>
  </si>
  <si>
    <t xml:space="preserve"> RIO IRQ priority bumped to 96</t>
  </si>
  <si>
    <r>
      <t>cRIO-9033 (revB w/UI), LV RT 14.0b112, NI-RIO 14.0.0d290</t>
    </r>
    <r>
      <rPr>
        <sz val="12"/>
        <color theme="1"/>
        <rFont val="Calibri"/>
        <family val="2"/>
        <scheme val="minor"/>
      </rPr>
      <t xml:space="preserve"> (9205/9264)</t>
    </r>
  </si>
  <si>
    <t>Result Improvement vs. RevA (% &amp; uS)</t>
  </si>
  <si>
    <r>
      <t>cRIO-9033 (revB), LV RT 14.0b112, NI-RIO 14.0.0d290</t>
    </r>
    <r>
      <rPr>
        <sz val="12"/>
        <color theme="1"/>
        <rFont val="Calibri"/>
        <family val="2"/>
        <scheme val="minor"/>
      </rPr>
      <t xml:space="preserve"> (9205/9264)</t>
    </r>
  </si>
  <si>
    <t>\\us-aus-rtweb1\Reports\RT\2014\performance\rtlinux\rtats-smasherB--1\sp_online_poll\2014-04-18_11-51-47_UI</t>
  </si>
  <si>
    <r>
      <t>cRIO-9033 (revB), LV RT 14.0rc11, NI-RIO 14.0.0a4</t>
    </r>
    <r>
      <rPr>
        <sz val="12"/>
        <color theme="1"/>
        <rFont val="Calibri"/>
        <family val="2"/>
        <scheme val="minor"/>
      </rPr>
      <t xml:space="preserve"> (9205/9264)</t>
    </r>
  </si>
  <si>
    <t>file://///us-aus-rtweb1/Reports/RT/2014/performance/rtlinux/rtats-smasherB--1/sp_online_poll/2014-05-29_11-00-22/HTML/2014-05-29_11-01-37__ATS.html</t>
  </si>
  <si>
    <t>Result Improvement vs. cRIO-9068</t>
  </si>
  <si>
    <t>Result Improvement vs. No UI</t>
  </si>
  <si>
    <r>
      <t>cRIO-9033 (revB w/UI), LV RT 14.0rc11, NI-RIO 14.0.0a4</t>
    </r>
    <r>
      <rPr>
        <sz val="12"/>
        <color theme="1"/>
        <rFont val="Calibri"/>
        <family val="2"/>
        <scheme val="minor"/>
      </rPr>
      <t xml:space="preserve"> (9205/9264)</t>
    </r>
  </si>
  <si>
    <r>
      <t xml:space="preserve">cRIO-9033  LV RT 14.0.1d57, NI-RIO 14.5.0.0 </t>
    </r>
    <r>
      <rPr>
        <sz val="12"/>
        <color theme="1"/>
        <rFont val="Calibri"/>
        <family val="2"/>
        <scheme val="minor"/>
      </rPr>
      <t xml:space="preserve"> </t>
    </r>
  </si>
  <si>
    <t>Result Improvement vs. LV RT 14.0rc11</t>
  </si>
  <si>
    <t>http://us-aus-rtweb1.natinst.com/Reports/RT/2014/performance/rtlinux/rtperf-smasher/sp_online_int_reboots/2014-11-13_18-12-06/</t>
  </si>
  <si>
    <t>LV RT 2014 SP1 cRIO Single-Point Benchmark Results (Hz)</t>
  </si>
  <si>
    <r>
      <t>cRIO-9033 (revB UI), LV RT 14.0 rtm, NI-RIO 14.0</t>
    </r>
    <r>
      <rPr>
        <sz val="12"/>
        <color theme="1"/>
        <rFont val="Calibri"/>
        <family val="2"/>
        <scheme val="minor"/>
      </rPr>
      <t xml:space="preserve"> (9205/9264)</t>
    </r>
  </si>
  <si>
    <t>Result Improvement vs. LV RT 14.0 released (with UI)</t>
  </si>
  <si>
    <t>http://us-aus-rtweb1.natinst.com/Reports/RT/2015/performance/rtlinux/rtperf-smasher/sp_online_int_reboots/2015-03-12_10-24-24/HTML/2015-03-12_10-32-35_SinglePointBenchmarks_ATS.html</t>
  </si>
  <si>
    <t>Result Improvement vs. LV RT 14.0 released (with out UI)</t>
  </si>
  <si>
    <r>
      <t xml:space="preserve">cRIO-9033 (without UI) LV RT 14.0.1d57, NI-RIO 14.5.0.0 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</si>
  <si>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cRIO-9033  LV RT 15.0b50, NI-RIO 14.5.0.0 </t>
    </r>
    <r>
      <rPr>
        <sz val="12"/>
        <color theme="1"/>
        <rFont val="Calibri"/>
        <family val="2"/>
        <scheme val="minor"/>
      </rPr>
      <t xml:space="preserve"> </t>
    </r>
  </si>
  <si>
    <t>http://us-aus-rtweb1.natinst.com/Reports/RT/2015/performance/rtlinux/rtperf-smasher/sp_online_int_reboots/2015-06-10_02-50-18/HTML/2015-06-10_02-57-40_SinglePointBenchmarks_ATS.html</t>
  </si>
  <si>
    <t>Comments: T3-4,T3-16 &amp; T4-4 numbers are taken from other report as those tests errored out in the avbove report</t>
  </si>
  <si>
    <t>LV RT 2015 cRIO Single-Point Benchmark Results (Hz)</t>
  </si>
  <si>
    <r>
      <t xml:space="preserve">cRIO-9033  LV RT 15.0rc16, CRIO 15.0.0 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</si>
  <si>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cRIO-9033  LV RT 15.0.1a1, RIO 15.3.0a4 </t>
    </r>
    <r>
      <rPr>
        <sz val="12"/>
        <color theme="1"/>
        <rFont val="Calibri"/>
        <family val="2"/>
        <scheme val="minor"/>
      </rPr>
      <t xml:space="preserve"> </t>
    </r>
  </si>
  <si>
    <t>Result Improvement vs. LV RT 15.0 released (with out UI)</t>
  </si>
  <si>
    <t>9033_sp_online_int_reboots_15.0.1a1</t>
  </si>
  <si>
    <t>cRIO-9033  LV RT 15.0.1b5, RIO 15.3.0a6</t>
  </si>
  <si>
    <t>9033_sp_online_int_reboots_15.0.1b5</t>
  </si>
  <si>
    <t>cRIO-9033  LV RT 15.0.1b6, RIO 15.3.0a6</t>
  </si>
  <si>
    <t>9033_sp_online_int_reboots_15.0.1b6_with_niwifibedd_disabled</t>
  </si>
  <si>
    <t>T4-4ch being outliner, manually run it and numbers was good.</t>
  </si>
  <si>
    <t>9033_sp_online_int_reboots_15.0.1rc0</t>
  </si>
  <si>
    <t>cRIO-9033  LV RT 15.0.1rc0, RIO 15.3.0a13</t>
  </si>
  <si>
    <t>LV RT 2016 cRIO Single-Point Benchmark Results (Hz)</t>
  </si>
  <si>
    <r>
      <t xml:space="preserve">cRIO-9033  LV RT 16.0a12, NI-RIO 14.5.0.0 </t>
    </r>
    <r>
      <rPr>
        <sz val="12"/>
        <color theme="1"/>
        <rFont val="Calibri"/>
        <family val="2"/>
        <scheme val="minor"/>
      </rPr>
      <t xml:space="preserve"> </t>
    </r>
  </si>
  <si>
    <t>9033_sp_online_int_reboots_16.0a12</t>
  </si>
  <si>
    <t>9033_sp_online_int_reboots_16.0b2</t>
  </si>
  <si>
    <t>cRIO-9033  LV RT 16.0b2, NI-RIO 16.0.0d24</t>
  </si>
  <si>
    <t>cRIO-9033  LV RT 16.0b16, NI-RIO 16.0.0d24</t>
  </si>
  <si>
    <t>9033_sp_online_int_reboots_16.0b16</t>
  </si>
  <si>
    <t>Result Improvement vs. LV RT 2015 SP1 released (with out UI)</t>
  </si>
  <si>
    <t>Error</t>
  </si>
  <si>
    <t>cRIO-9033  LV RT 16.0b53, NI-RIO 16.0.0a13</t>
  </si>
  <si>
    <t>9033_sp_online_int_reboots_16.0b53 For T3 and T4 cases the autotest Vis were broken</t>
  </si>
  <si>
    <t>cRIO-9033  LV RT 16.0b56, NI-RIO 16.0.0a13</t>
  </si>
  <si>
    <t>9033_sp_online_int_reboots_16.0b56</t>
  </si>
  <si>
    <t>cRIO-9033  LV RT 16.0b57, NI-RIO 16.0.0a13</t>
  </si>
  <si>
    <t>9033_sp_online_int_reboots_16.0b57 T3 and T4 cases were run again since in first run it error due to autotest VIs broken</t>
  </si>
  <si>
    <t>9033_sp_online_int_reboots_16.0b57</t>
  </si>
  <si>
    <t>9033_sp_online_int_reboots_16.0b57_2016_FPGAbitfiles</t>
  </si>
  <si>
    <t>T3 and T4 cases were run again</t>
  </si>
  <si>
    <t>cRIO-9033  LV RT 16.0b75, NI-RIO 16.0.0a13</t>
  </si>
  <si>
    <t>9033_sp_online_int_reboots_16.0b75</t>
  </si>
  <si>
    <t>9033_sp_online_int_reboots_16.0</t>
  </si>
  <si>
    <t>For 4ch and 16ch tests the numbers from 2015 are wrong and hence the comparison shows a regression above 50%</t>
  </si>
  <si>
    <t>cRIO-9033  LV RT 16.0,  NI-RIO 16.0</t>
  </si>
  <si>
    <t>LV RT 2017 cRIO Single-Point Benchmark Results (Hz)</t>
  </si>
  <si>
    <t>cRIO-9033  LV RT 17.0d41,  NI-RIO 16.0.0f0</t>
  </si>
  <si>
    <t>Result Improvement vs. LV RT 16.0 released (with out UI)</t>
  </si>
  <si>
    <t>9033_sp_online_int_reboots_17.0d41</t>
  </si>
  <si>
    <t>cRIO-9033  LV RT 17.0d65,  NI-RIO 16.0.0f0</t>
  </si>
  <si>
    <t>9033_sp_online_int_reboots_17.0d65</t>
  </si>
  <si>
    <t>Err</t>
  </si>
  <si>
    <t>cRIO-9033  LV RT 17.0d75,  NI-RIO 16.0</t>
  </si>
  <si>
    <t>9033_sp_online_int_reboots_17.0d75</t>
  </si>
  <si>
    <t>cRIO-9033  LV RT 17.0d80,  NI-RIO 16.0</t>
  </si>
  <si>
    <t>9033_sp_online_int_reboots_17.0d80</t>
  </si>
  <si>
    <t>cRIO-9033  LV RT 17.0d65,  NI-RIO 16.0</t>
  </si>
  <si>
    <t>T2 Cases were run again</t>
  </si>
  <si>
    <t>CAR : 607849</t>
  </si>
  <si>
    <t>CAR :607849</t>
  </si>
  <si>
    <t>Worst of 100 iterations 9033_sp_online_int_reboots_17.0d65</t>
  </si>
  <si>
    <t>cRIO-9033  LV RT 17.0d88,  NI-RIO 16.0</t>
  </si>
  <si>
    <t>9033_sp_online_int_reboots_17.0d88</t>
  </si>
  <si>
    <t>cRIO-9033  LV RT 17.0d93,  NI-RIO 16.0</t>
  </si>
  <si>
    <t>cRIO-9033  LV RT 17.0a2,  NI-RIO 16.0</t>
  </si>
  <si>
    <t>Worst of 10 iterations 9033_sp_online_int_reboots_17.0a2</t>
  </si>
  <si>
    <t>Worst of 10 iterations 9033_sp_online_int_reboots_17.0d93</t>
  </si>
  <si>
    <t>Worst of 10 iterations 9033_sp_online_int_reboots_17.0a12</t>
  </si>
  <si>
    <t>cRIO-9033  LV RT 17.0a12,  NI-RIO 17.0d16</t>
  </si>
  <si>
    <t>cRIO-9033  LV RT 17.0a17,  NI-RIO 17.0.0d17</t>
  </si>
  <si>
    <t>Worst of 10 iterations 9033_sp_online_int_reboots_17.0a17</t>
  </si>
  <si>
    <t>cRIO-9033  LV RT 17.0a20,  NI-RIO 17.0.0d18</t>
  </si>
  <si>
    <t>Worst of 10 iterations 9033_sp_online_int_reboots_17.0a20 with nisdmon off</t>
  </si>
  <si>
    <t>cRIO-9033  LV RT 17.0a18,  NI-RIO 17.0d18</t>
  </si>
  <si>
    <t>Worst of 100 iterations 9033_sp_online_int_reboots_17.0a18</t>
  </si>
  <si>
    <t>cRIO-9033  LV RT 17.0a40,  NI-RIO 17.0.0d24</t>
  </si>
  <si>
    <t>Worst of 10 iterations 9033_sp_online_int_reboots_17.0a40</t>
  </si>
  <si>
    <t>cRIO-9033  LV RT 17.0a48,  NI-RIO 17.0.0d24</t>
  </si>
  <si>
    <t>Worst of 10 iterations 9033_sp_online_int_reboots_17.0a48</t>
  </si>
  <si>
    <t>cRIO-9033  LV RT 17.0b3,  NI-RIO 17.0.0d25</t>
  </si>
  <si>
    <t>Worst of 10 iterations 9033_sp_online_int_reboots_17.0b3</t>
  </si>
  <si>
    <t>cRIO-9033  LV RT 17.0b8,  NI-RIO 17.0.0d25</t>
  </si>
  <si>
    <t>Worst of 10 iterations 9033_sp_online_int_reboots_17.0b8</t>
  </si>
  <si>
    <t>cRIO-9033  LV RT 17.0b12,  NI-RIO 17.0.0d29</t>
  </si>
  <si>
    <t>Worst of 10 iterations 9033_sp_online_int_reboots_17.0b19</t>
  </si>
  <si>
    <t>cRIO-9033  LV RT 17.0b19,  NI-RIO 17.0.0a18</t>
  </si>
  <si>
    <t>cRIO-9033  LV RT 16.0 Rerun,  NI-RIO 16.0</t>
  </si>
  <si>
    <t>9033_sp_online_int_reboots_16.0 Rerun</t>
  </si>
  <si>
    <t>Result Improvement vs. LV RT 16.0 Rerun(with out UI)</t>
  </si>
  <si>
    <t>Result Improvement vs. LV RT 16.0 (with out UI)</t>
  </si>
  <si>
    <t>cRIO-9033  LV RT 17.0b23,  NI-RIO 17.0.0a24</t>
  </si>
  <si>
    <t>Worst of 10 iterations 9033_sp_online_int_reboots_17.0b23</t>
  </si>
  <si>
    <t>cRIO-9033  LV RT 17.0b28,  NI-RIO 17.0.0a30</t>
  </si>
  <si>
    <t>Worst of 100 iterations 9033_sp_online_int_reboots_17.0a24</t>
  </si>
  <si>
    <t>T4 and T2 cases were run again</t>
  </si>
  <si>
    <t>cRIO-9033  LV RT 17.0b24,  NI-RIO 17.0a25</t>
  </si>
  <si>
    <t>Result Improvement vs. LV RT 16.0 Rerun (with out UI)</t>
  </si>
  <si>
    <t>cRIO-9033  LV RT 17.0b35,  NI-RIO 17.0.0b3</t>
  </si>
  <si>
    <t>Worst of 10 iterations 9033_sp_online_int_reboots_17.0b35</t>
  </si>
  <si>
    <t>cRIO-9033  LV RT 17.0b40,  NI-RIO 17.0.0b8</t>
  </si>
  <si>
    <t>Worst of 10 iterations 9033_sp_online_int_reboots_17.0b40</t>
  </si>
  <si>
    <t>cRIO-9033  LV RT 17.0rc0,  NI-RIO 17.0.0b16</t>
  </si>
  <si>
    <t>Worst of 10 iterations 9033_sp_online_int_reboots_17.0rc0</t>
  </si>
  <si>
    <t>cRIO-9033  LV RT 17.0,  NI-RIO 17.0.0b23</t>
  </si>
  <si>
    <t>Worst of 10 iterations 9033_sp_online_int_reboots_17.0</t>
  </si>
  <si>
    <t>cRIO-9033 LV 17.0.1b3 LV RT 17.0, NI-RIO 17.6.0d141</t>
  </si>
  <si>
    <t>Result Improvement vs. LV RT 17.0 (with out UI)</t>
  </si>
  <si>
    <t>cRIO-9033 LV 17.0.1b10 LV RT 17.0, NI-RIO 17.6.0a17</t>
  </si>
  <si>
    <t>cRIO-9033 LV 17.0.1 LV RT 17.0, NI-RIO 17.6.0a37</t>
  </si>
  <si>
    <t>Worst of 10 iterations 9033_sp_online_int_reboots_17.0.1</t>
  </si>
  <si>
    <t>Worst of 10 iterations 9033_sp_online_int_reboots_17.0.1b10</t>
  </si>
  <si>
    <t>LV RT 2018 cRIO Single-Point Benchmark Results (Hz)</t>
  </si>
  <si>
    <t>cRIO-9033 LV RT 18.0a2, NI-RIO 18.0.0d32</t>
  </si>
  <si>
    <t>Worst of 10 iterations 9033_sp_online_int_reboots_18.0a2</t>
  </si>
  <si>
    <t>cRIO-9033 LV RT 18.0a11, NI-RIO 18.0.0d47</t>
  </si>
  <si>
    <t>Worst of 10 iterations 9033_sp_online_int_reboots_18.0a11</t>
  </si>
  <si>
    <t>cRIO-9033 LV RT 18.0b0, NI-RIO 18.0.0d60</t>
  </si>
  <si>
    <t>Worst of 10 iterations 9033_sp_online_int_reboots_18.0b0</t>
  </si>
  <si>
    <t>cRIO-9033 LV RT 18.0b7, NI-RIO 18.0.0d76</t>
  </si>
  <si>
    <t>Worst of 10 iterations 9033_sp_online_int_reboots_18.0b7</t>
  </si>
  <si>
    <t>cRIO-9033 LV RT 18.0b13, NI-RIO 18.0.0d97</t>
  </si>
  <si>
    <t>Worst of 10 iterations 9033_sp_online_int_reboots_18.0b13</t>
  </si>
  <si>
    <t>cRIO-9033 LV RT 18.0b22, NI-RIO 18.0.0d106</t>
  </si>
  <si>
    <t>Worst of 10 iterations 9033_sp_online_int_reboots_18.0b22</t>
  </si>
  <si>
    <t>Worst of 10 iterations 9033_sp_online_int_reboots_18.0b30</t>
  </si>
  <si>
    <t>cRIO-9033 LV RT 18.0b30, NI-RIO 18.0.0d120</t>
  </si>
  <si>
    <t>cRIO-9033 LV RT 18.0b34, NI-RIO 18.0.0d122</t>
  </si>
  <si>
    <t>Worst of 10 iterations 9033_sp_online_int_reboots_18.0b34</t>
  </si>
  <si>
    <t>Worst of 10 iterations 9033_sp_online_int_reboots_18.0b40</t>
  </si>
  <si>
    <t>cRIO-9033 LV RT 18.0b40, NI-RIO 18.0.0d135</t>
  </si>
  <si>
    <t>cRIO-9033 LV RT 18.0b46, NI-RIO 18.0.0d142</t>
  </si>
  <si>
    <t>Worst of 10 iterations 9033_sp_online_int_reboots_18.0b46</t>
  </si>
  <si>
    <t>Worst of 10 iterations 9033_sp_online_int_reboots_18.0b54</t>
  </si>
  <si>
    <t>cRIO-9033 LV RT 18.0b54, NI-RIO 18.0.0d148</t>
  </si>
  <si>
    <t>cRIO-9033 LV RT 18.0b67, NI-RIO 18.0.0d166</t>
  </si>
  <si>
    <t>Worst of 10 iterations 9033_sp_online_int_reboots_18.0b67</t>
  </si>
  <si>
    <t>cRIO-9033 LV RT 18.0b72, NI-RIO 18.0.0d173</t>
  </si>
  <si>
    <t>Worst of 10 iterations 9033_sp_online_int_reboots_18.0b72</t>
  </si>
  <si>
    <t>cRIO-9033 LV RT 18.0rc1, NI-RIO 18.0.0516a0</t>
  </si>
  <si>
    <t>Worst of 10 iterations 9033_sp_online_int_reboots_18.0rc1</t>
  </si>
  <si>
    <t>Worst of 10 iterations 9033_sp_online_int_reboots_18.0</t>
  </si>
  <si>
    <t>cRIO-9033 LV RT 18.0, NI-RIO 18.0.01758a7</t>
  </si>
  <si>
    <t>cRIO-9033 LV RT 18.0, NI-RIO 18.0.2216b3</t>
  </si>
  <si>
    <t>cRIO-9033 LV RT 18.0.1b3, NI-RIO 18.5.0.0614d113</t>
  </si>
  <si>
    <t>Worst of 10 iterations 9033_sp_online_int_reboots_18.0.1b3</t>
  </si>
  <si>
    <t>Result Improvement vs. LV RT 18.0 (with out UI)</t>
  </si>
  <si>
    <t>cRIO-9033 LV RT 18.0.1, NI-RIO 18.5.0.0717b4</t>
  </si>
  <si>
    <t>Worst of 10 iterations 9033_sp_online_int_reboots_18.0.1</t>
  </si>
  <si>
    <t>cRIO-9033 LV RT 19.0.a6, NI-RIO 19.0.0.0146d107</t>
  </si>
  <si>
    <t>Worst of 10 iterations 9033_sp_online_int_reboots_19.0a6</t>
  </si>
  <si>
    <t>T3,T4 cases rerun</t>
  </si>
  <si>
    <t>cRIO-9033 LV RT 19.0.a9, NI-RIO 19.0.0.0146d107</t>
  </si>
  <si>
    <t>Worst of 10 iterations 9033_sp_online_int_reboots_19.0a9</t>
  </si>
  <si>
    <t>cRIO-9033 LV RT 19.0.a25, NI-RIO 19.0.0.1650d126</t>
  </si>
  <si>
    <t>Worst of 10 iterations 9033_sp_online_int_reboots_19.0a25</t>
  </si>
  <si>
    <t>cRIO-9033 LV RT 19.0.a28, NI-RIO 19.0.0.1757d128</t>
  </si>
  <si>
    <t>Worst of 10 iterations 9033_sp_online_int_reboots_19.0a28</t>
  </si>
  <si>
    <t>cRIO-9033 LV RT 19.0.b2, NI-RIO 19.0.0.0947d135</t>
  </si>
  <si>
    <t>Worst of 10 iterations 9033_sp_online_int_reboots_19.0b2</t>
  </si>
  <si>
    <t>m,</t>
  </si>
  <si>
    <t>cRIO-9033 LV RT 19.0.b27, NI-RIO 19.0.0.0657d146</t>
  </si>
  <si>
    <t>Worst of 10 iterations 9033_sp_online_int_reboots_19.0b27</t>
  </si>
  <si>
    <t>cRIO-9033 LV RT 19.0.b33, NI-RIO 19.0d156</t>
  </si>
  <si>
    <t>Worst of 10 iterations 9033_sp_online_int_reboots_19.0b33</t>
  </si>
  <si>
    <t>Result Improvement vs. LV RT 18.0.1 (with out UI)</t>
  </si>
  <si>
    <t>LV RT 2019 cRIO Single-Point Benchmark Results (Hz)</t>
  </si>
  <si>
    <t>cRIO-9033 LV RT 19.0.b49, NI-RIO 19.0d156</t>
  </si>
  <si>
    <t>Worst of 10 iterations 9033_sp_online_int_reboots_19.0b49</t>
  </si>
  <si>
    <t>cRIO-9033 LV RT 19.0.b57, NI-RIO 19.0d156</t>
  </si>
  <si>
    <t>cRIO-9033 LV RT 19.0.b63, NI-RIO 19.0d190</t>
  </si>
  <si>
    <t>Worst of 10 iterations 9033_sp_online_int_reboots_19.0b63</t>
  </si>
  <si>
    <t>cRIO-9033 LV RT 19.0.b67, NI-RIO 19.0d193</t>
  </si>
  <si>
    <t>Worst of 10 iterations 9033_sp_online_int_reboots_19.0b67</t>
  </si>
  <si>
    <t>cRIO-9033 LV RT 19.0.b79, NI-RIO 19.0d209</t>
  </si>
  <si>
    <t>Worst of 10 iterations 9033_sp_online_int_reboots_19.0b79</t>
  </si>
  <si>
    <t>cRIO-9033 LV RT 19.0.b83, NI-RIO 19.0d216</t>
  </si>
  <si>
    <t>Worst of 10 iterations 9033_sp_online_int_reboots_19.0b83</t>
  </si>
  <si>
    <t>cRIO-9033 LV RT 19.0.b91, NI-RIO 19.0d216</t>
  </si>
  <si>
    <t>Worst of 10 iterations 9033_sp_online_int_reboots_19.0b91</t>
  </si>
  <si>
    <t>Worst of 10 iterations 9033_sp_online_int_reboots_19.0b101</t>
  </si>
  <si>
    <t>cRIO-9033 LV RT 19.0.b101, NI-RIO 19.0d239</t>
  </si>
  <si>
    <t>Worst of 10 iterations 9033_sp_online_int_reboots_19.0b57</t>
  </si>
  <si>
    <t>Worst of 10 iterations 9033_sp_online_int_reboots_19.0.0</t>
  </si>
  <si>
    <t>cRIO-9033 LV RT 19.0.0, NI-RIO 19.0b14</t>
  </si>
  <si>
    <t>cRIO-9033 LV RT 20.0b14, NI-RIO 20.0d147</t>
  </si>
  <si>
    <t>Result Improvement vs. LV RT 19.0 (with out UI)</t>
  </si>
  <si>
    <t xml:space="preserve">T3 &amp; T4 Cases were run again  </t>
  </si>
  <si>
    <t>cRIO-9033 LV RT 20.0b19, NI-RIO 20.0d162</t>
  </si>
  <si>
    <t>cRIO-9033 LV RT 20.0b21, NI-RIO 20.0d165</t>
  </si>
  <si>
    <t>Worst of 10 iterations 9033_sp_online_int_reboots_20.0b14</t>
  </si>
  <si>
    <t>Worst of 10 iterations 9033_sp_online_int_reboots_20.0b19</t>
  </si>
  <si>
    <t>Worst of 10 iterations 9033_sp_online_int_reboots_20.0b21</t>
  </si>
  <si>
    <t>Worst of 10 iterations 9033_sp_online_int_reboots_20.0b27</t>
  </si>
  <si>
    <t>cRIO-9033 LV RT 20.0b27, NI-RIO 20.0d178</t>
  </si>
  <si>
    <t>Worst of 10 iterations 9033_sp_online_int_reboots_20.0b33</t>
  </si>
  <si>
    <t>cRIO-9033 LV RT 20.0b33, NI-RIO 20.0d187</t>
  </si>
  <si>
    <t>Worst of 10 iterations 9033_sp_online_int_reboots_20.0b38</t>
  </si>
  <si>
    <t>cRIO-9033 LV RT 20.0b38, NI-RIO 20.0d188</t>
  </si>
  <si>
    <t>cRIO-9033 LV RT 20.0b42, NI-RIO 20.0d188</t>
  </si>
  <si>
    <t>Worst of 10 iterations 9033_sp_online_int_reboots_20.0b42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</si>
</sst>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4" borderId="2" xfId="0" applyFont="1" applyFill="1" applyBorder="1"/>
    <xf numFmtId="0" fontId="3" fillId="4" borderId="3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2" fillId="2" borderId="4" xfId="2" applyFont="1" applyBorder="1"/>
    <xf numFmtId="0" fontId="2" fillId="3" borderId="4" xfId="3" applyFont="1" applyBorder="1" applyAlignment="1">
      <alignment horizontal="center" wrapText="1"/>
    </xf>
    <xf numFmtId="0" fontId="0" fillId="2" borderId="4" xfId="2" applyFont="1" applyBorder="1"/>
    <xf numFmtId="0" fontId="1" fillId="2" borderId="4" xfId="2" applyBorder="1"/>
    <xf numFmtId="0" fontId="1" fillId="0" borderId="4" xfId="2" applyFill="1" applyBorder="1"/>
    <xf numFmtId="4" fontId="0" fillId="0" borderId="4" xfId="0" applyNumberFormat="1" applyBorder="1"/>
    <xf numFmtId="164" fontId="0" fillId="0" borderId="4" xfId="1" applyNumberFormat="1" applyFont="1" applyBorder="1"/>
    <xf numFmtId="0" fontId="1" fillId="2" borderId="8" xfId="2" applyBorder="1"/>
    <xf numFmtId="0" fontId="3" fillId="4" borderId="0" xfId="0" applyFont="1" applyFill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6" fillId="0" borderId="0" xfId="4" applyAlignment="1" applyProtection="1"/>
    <xf numFmtId="0" fontId="0" fillId="0" borderId="4" xfId="2" applyFont="1" applyFill="1" applyBorder="1"/>
    <xf numFmtId="0" fontId="1" fillId="5" borderId="4" xfId="2" applyFill="1" applyBorder="1"/>
    <xf numFmtId="0" fontId="0" fillId="5" borderId="0" xfId="0" applyFill="1"/>
    <xf numFmtId="0" fontId="6" fillId="0" borderId="2" xfId="4" applyBorder="1" applyAlignment="1" applyProtection="1"/>
    <xf numFmtId="0" fontId="1" fillId="0" borderId="4" xfId="2" applyFill="1" applyBorder="1" applyAlignment="1">
      <alignment horizontal="left"/>
    </xf>
    <xf numFmtId="0" fontId="0" fillId="0" borderId="4" xfId="2" applyFont="1" applyFill="1" applyBorder="1" applyAlignment="1">
      <alignment horizontal="left"/>
    </xf>
    <xf numFmtId="0" fontId="2" fillId="2" borderId="14" xfId="2" applyFont="1" applyBorder="1"/>
    <xf numFmtId="0" fontId="2" fillId="3" borderId="15" xfId="3" applyFont="1" applyBorder="1" applyAlignment="1">
      <alignment horizontal="center" wrapText="1"/>
    </xf>
    <xf numFmtId="0" fontId="0" fillId="2" borderId="14" xfId="2" applyFont="1" applyBorder="1"/>
    <xf numFmtId="4" fontId="0" fillId="0" borderId="15" xfId="0" applyNumberFormat="1" applyBorder="1"/>
    <xf numFmtId="0" fontId="1" fillId="2" borderId="14" xfId="2" applyBorder="1"/>
    <xf numFmtId="0" fontId="6" fillId="0" borderId="16" xfId="4" applyBorder="1" applyAlignment="1" applyProtection="1"/>
    <xf numFmtId="0" fontId="1" fillId="2" borderId="17" xfId="2" applyBorder="1"/>
    <xf numFmtId="0" fontId="0" fillId="2" borderId="18" xfId="2" applyFont="1" applyBorder="1"/>
    <xf numFmtId="0" fontId="1" fillId="2" borderId="18" xfId="2" applyBorder="1"/>
    <xf numFmtId="164" fontId="0" fillId="0" borderId="18" xfId="1" applyNumberFormat="1" applyFont="1" applyBorder="1"/>
    <xf numFmtId="4" fontId="0" fillId="0" borderId="18" xfId="0" applyNumberFormat="1" applyBorder="1"/>
    <xf numFmtId="4" fontId="0" fillId="0" borderId="19" xfId="0" applyNumberFormat="1" applyBorder="1"/>
    <xf numFmtId="0" fontId="1" fillId="2" borderId="20" xfId="2" applyBorder="1"/>
    <xf numFmtId="0" fontId="0" fillId="2" borderId="21" xfId="2" applyFont="1" applyBorder="1"/>
    <xf numFmtId="0" fontId="1" fillId="2" borderId="21" xfId="2" applyBorder="1"/>
    <xf numFmtId="164" fontId="0" fillId="0" borderId="21" xfId="1" applyNumberFormat="1" applyFont="1" applyBorder="1"/>
    <xf numFmtId="4" fontId="0" fillId="0" borderId="21" xfId="0" applyNumberFormat="1" applyBorder="1"/>
    <xf numFmtId="4" fontId="0" fillId="0" borderId="22" xfId="0" applyNumberFormat="1" applyBorder="1"/>
    <xf numFmtId="0" fontId="6" fillId="0" borderId="4" xfId="4" applyBorder="1" applyAlignment="1" applyProtection="1"/>
    <xf numFmtId="0" fontId="6" fillId="0" borderId="15" xfId="4" applyBorder="1" applyAlignment="1" applyProtection="1"/>
    <xf numFmtId="0" fontId="8" fillId="0" borderId="0" xfId="0" applyFont="1"/>
    <xf numFmtId="0" fontId="10" fillId="2" borderId="14" xfId="2" applyFont="1" applyBorder="1"/>
    <xf numFmtId="0" fontId="10" fillId="2" borderId="4" xfId="2" applyFont="1" applyBorder="1"/>
    <xf numFmtId="0" fontId="10" fillId="3" borderId="4" xfId="3" applyFont="1" applyBorder="1" applyAlignment="1">
      <alignment horizontal="center" wrapText="1"/>
    </xf>
    <xf numFmtId="0" fontId="10" fillId="3" borderId="15" xfId="3" applyFont="1" applyBorder="1" applyAlignment="1">
      <alignment horizontal="center" wrapText="1"/>
    </xf>
    <xf numFmtId="0" fontId="8" fillId="2" borderId="14" xfId="2" applyFont="1" applyBorder="1"/>
    <xf numFmtId="0" fontId="8" fillId="2" borderId="4" xfId="2" applyFont="1" applyBorder="1"/>
    <xf numFmtId="0" fontId="8" fillId="0" borderId="4" xfId="2" applyFont="1" applyFill="1" applyBorder="1" applyAlignment="1">
      <alignment horizontal="left"/>
    </xf>
    <xf numFmtId="0" fontId="8" fillId="0" borderId="4" xfId="2" applyFont="1" applyFill="1" applyBorder="1"/>
    <xf numFmtId="4" fontId="8" fillId="0" borderId="4" xfId="0" applyNumberFormat="1" applyFont="1" applyBorder="1"/>
    <xf numFmtId="4" fontId="8" fillId="0" borderId="15" xfId="0" applyNumberFormat="1" applyFont="1" applyBorder="1"/>
    <xf numFmtId="0" fontId="11" fillId="0" borderId="4" xfId="4" applyFont="1" applyBorder="1" applyAlignment="1" applyProtection="1"/>
    <xf numFmtId="0" fontId="11" fillId="0" borderId="15" xfId="4" applyFont="1" applyBorder="1" applyAlignment="1" applyProtection="1"/>
    <xf numFmtId="164" fontId="8" fillId="0" borderId="4" xfId="1" applyNumberFormat="1" applyFont="1" applyBorder="1"/>
    <xf numFmtId="0" fontId="8" fillId="2" borderId="17" xfId="2" applyFont="1" applyBorder="1"/>
    <xf numFmtId="0" fontId="8" fillId="2" borderId="18" xfId="2" applyFont="1" applyBorder="1"/>
    <xf numFmtId="164" fontId="8" fillId="0" borderId="18" xfId="1" applyNumberFormat="1" applyFont="1" applyBorder="1"/>
    <xf numFmtId="4" fontId="8" fillId="0" borderId="18" xfId="0" applyNumberFormat="1" applyFont="1" applyBorder="1"/>
    <xf numFmtId="4" fontId="8" fillId="0" borderId="19" xfId="0" applyNumberFormat="1" applyFont="1" applyBorder="1"/>
    <xf numFmtId="0" fontId="8" fillId="2" borderId="4" xfId="2" applyFont="1" applyBorder="1" applyAlignment="1">
      <alignment horizontal="right"/>
    </xf>
    <xf numFmtId="0" fontId="11" fillId="0" borderId="4" xfId="4" applyFont="1" applyBorder="1" applyAlignment="1" applyProtection="1"/>
    <xf numFmtId="0" fontId="11" fillId="0" borderId="4" xfId="4" applyFont="1" applyBorder="1" applyAlignment="1" applyProtection="1"/>
    <xf numFmtId="0" fontId="11" fillId="0" borderId="4" xfId="4" applyFont="1" applyBorder="1" applyAlignment="1" applyProtection="1"/>
    <xf numFmtId="0" fontId="11" fillId="0" borderId="4" xfId="4" applyFont="1" applyBorder="1" applyAlignment="1" applyProtection="1"/>
    <xf numFmtId="0" fontId="1" fillId="0" borderId="8" xfId="2" applyFont="1" applyFill="1" applyBorder="1" applyAlignment="1">
      <alignment horizontal="left"/>
    </xf>
    <xf numFmtId="0" fontId="11" fillId="0" borderId="4" xfId="4" applyFont="1" applyBorder="1" applyAlignment="1" applyProtection="1"/>
    <xf numFmtId="0" fontId="2" fillId="2" borderId="4" xfId="2" applyFont="1" applyBorder="1" applyAlignment="1">
      <alignment horizontal="center"/>
    </xf>
    <xf numFmtId="0" fontId="2" fillId="3" borderId="4" xfId="3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1" xfId="2" applyFont="1" applyBorder="1" applyAlignment="1">
      <alignment horizontal="center"/>
    </xf>
    <xf numFmtId="0" fontId="2" fillId="2" borderId="2" xfId="2" applyFont="1" applyBorder="1" applyAlignment="1">
      <alignment horizontal="center"/>
    </xf>
    <xf numFmtId="0" fontId="2" fillId="2" borderId="3" xfId="2" applyFont="1" applyBorder="1" applyAlignment="1">
      <alignment horizontal="center"/>
    </xf>
    <xf numFmtId="0" fontId="2" fillId="3" borderId="6" xfId="3" applyFont="1" applyBorder="1" applyAlignment="1">
      <alignment horizontal="center"/>
    </xf>
    <xf numFmtId="0" fontId="2" fillId="3" borderId="7" xfId="3" applyFont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0" borderId="2" xfId="4" applyBorder="1" applyAlignment="1" applyProtection="1"/>
    <xf numFmtId="0" fontId="0" fillId="0" borderId="0" xfId="0"/>
    <xf numFmtId="0" fontId="6" fillId="0" borderId="2" xfId="4" applyBorder="1" applyAlignment="1" applyProtection="1">
      <alignment horizontal="center"/>
    </xf>
    <xf numFmtId="0" fontId="2" fillId="3" borderId="1" xfId="3" applyFont="1" applyBorder="1" applyAlignment="1">
      <alignment horizontal="center"/>
    </xf>
    <xf numFmtId="0" fontId="2" fillId="3" borderId="2" xfId="3" applyFont="1" applyBorder="1" applyAlignment="1">
      <alignment horizontal="center"/>
    </xf>
    <xf numFmtId="0" fontId="2" fillId="3" borderId="3" xfId="3" applyFont="1" applyBorder="1" applyAlignment="1">
      <alignment horizontal="center"/>
    </xf>
    <xf numFmtId="0" fontId="2" fillId="2" borderId="14" xfId="2" applyFont="1" applyBorder="1" applyAlignment="1">
      <alignment horizontal="center"/>
    </xf>
    <xf numFmtId="0" fontId="2" fillId="3" borderId="15" xfId="3" applyFont="1" applyBorder="1" applyAlignment="1">
      <alignment horizont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6" fillId="0" borderId="14" xfId="4" applyBorder="1" applyAlignment="1" applyProtection="1"/>
    <xf numFmtId="0" fontId="6" fillId="0" borderId="4" xfId="4" applyBorder="1" applyAlignment="1" applyProtection="1"/>
    <xf numFmtId="0" fontId="6" fillId="0" borderId="4" xfId="4" applyBorder="1" applyAlignment="1" applyProtection="1">
      <alignment horizontal="left"/>
    </xf>
    <xf numFmtId="0" fontId="3" fillId="4" borderId="1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2" fillId="2" borderId="12" xfId="2" applyFont="1" applyBorder="1" applyAlignment="1">
      <alignment horizontal="center"/>
    </xf>
    <xf numFmtId="0" fontId="2" fillId="3" borderId="13" xfId="3" applyFon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6" fillId="0" borderId="12" xfId="4" applyBorder="1" applyAlignment="1" applyProtection="1"/>
    <xf numFmtId="0" fontId="6" fillId="0" borderId="2" xfId="4" applyBorder="1" applyAlignment="1" applyProtection="1">
      <alignment horizontal="left"/>
    </xf>
    <xf numFmtId="0" fontId="6" fillId="0" borderId="0" xfId="4" applyAlignment="1" applyProtection="1"/>
    <xf numFmtId="0" fontId="10" fillId="2" borderId="14" xfId="2" applyFont="1" applyBorder="1" applyAlignment="1">
      <alignment horizontal="center"/>
    </xf>
    <xf numFmtId="0" fontId="10" fillId="2" borderId="4" xfId="2" applyFont="1" applyBorder="1" applyAlignment="1">
      <alignment horizontal="center"/>
    </xf>
    <xf numFmtId="0" fontId="10" fillId="3" borderId="4" xfId="3" applyFont="1" applyBorder="1" applyAlignment="1">
      <alignment horizontal="center"/>
    </xf>
    <xf numFmtId="0" fontId="10" fillId="3" borderId="15" xfId="3" applyFont="1" applyBorder="1" applyAlignment="1">
      <alignment horizont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1" fillId="0" borderId="4" xfId="4" applyFont="1" applyBorder="1" applyAlignment="1" applyProtection="1">
      <alignment horizontal="left"/>
    </xf>
    <xf numFmtId="0" fontId="7" fillId="4" borderId="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11" fillId="0" borderId="14" xfId="4" applyFont="1" applyBorder="1" applyAlignment="1" applyProtection="1"/>
    <xf numFmtId="0" fontId="11" fillId="0" borderId="4" xfId="4" applyFont="1" applyBorder="1" applyAlignment="1" applyProtection="1"/>
    <xf numFmtId="0" fontId="9" fillId="4" borderId="14" xfId="0" applyFont="1" applyFill="1" applyBorder="1" applyAlignment="1">
      <alignment horizontal="center" vertical="center"/>
    </xf>
  </cellXfs>
  <cellStyles count="5">
    <cellStyle name="20% - Accent1" xfId="2" builtinId="30"/>
    <cellStyle name="20% - Accent2" xfId="3" builtinId="34"/>
    <cellStyle name="Hyperlink" xfId="4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us-aus-rtweb1.natinst.com/Reports/RT/2014/performance/rtlinux/rtperf-smasher/sp_online_int_reboots/2014-11-13_18-12-06/" TargetMode="External"/><Relationship Id="rId1" Type="http://schemas.openxmlformats.org/officeDocument/2006/relationships/hyperlink" Target="http://us-aus-rtweb1.natinst.com/Reports/RT/2014/performance/rtlinux/rtperf-smasher/sp_online_int_reboots/2014-11-13_18-12-06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us-aus-rtweb1.natinst.com/Reports/RT/2015/performance/rtlinux/rtperf-smasher/sp_online_int_reboots/2015-12-02_04-08-14/HTML/2015-12-02_04-15-03_SinglePointBenchmarks_ATS.htm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://us-aus-rtweb1.natinst.com/Reports/RT/2015/performance/rtlinux/rtperf-smasher/sp_online_int_reboots/2015-06-10_02-50-18/HTML/2015-06-10_02-57-40_SinglePointBenchmarks_ATS.html" TargetMode="External"/><Relationship Id="rId1" Type="http://schemas.openxmlformats.org/officeDocument/2006/relationships/hyperlink" Target="http://us-aus-rtweb1.natinst.com/Reports/RT/2015/performance/rtlinux/rtperf-smasher/sp_online_int_reboots/2015-03-12_10-24-24/HTML/2015-03-12_10-32-35_SinglePointBenchmarks_ATS.html" TargetMode="External"/><Relationship Id="rId6" Type="http://schemas.openxmlformats.org/officeDocument/2006/relationships/hyperlink" Target="http://us-aus-rtweb1.natinst.com/Reports/RT/2015/performance/rtlinux/rtperf-smasher/sp_online_int_reboots/2015-12-22_19-42-56/HTML/2015-12-22_19-50-00_SinglePointBenchmarks_ATS.html" TargetMode="External"/><Relationship Id="rId5" Type="http://schemas.openxmlformats.org/officeDocument/2006/relationships/hyperlink" Target="http://us-aus-rtweb1.natinst.com/Reports/RT/2015/performance/rtlinux/rtperf-smasher/sp_online_int_reboots/2015-12-17_14-28-49/HTML/2015-12-17_14-28-50_SinglePointBenchmarks_ATS.html" TargetMode="External"/><Relationship Id="rId4" Type="http://schemas.openxmlformats.org/officeDocument/2006/relationships/hyperlink" Target="http://us-aus-rtweb1.natinst.com/Reports/RT/2015/performance/rtlinux/rtperf-smasher/sp_online_int_reboots/2015-12-07_01-28-04/HTML/2015-12-07_01-35-05_SinglePointBenchmarks_ATS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rtlinux/rtperf-smasher/sp_online_int_reboots/2016-02-15_03-15-45/HTML/2016-02-15_03-23-10_SinglePointBenchmarks_ATS.html" TargetMode="External"/><Relationship Id="rId1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8" Type="http://schemas.openxmlformats.org/officeDocument/2006/relationships/hyperlink" Target="http://us-aus-rtweb1.natinst.com/Reports/RT/2016/performance/rtlinux/rtperf-smasher/sp_online_int_reboots/2016-04-18_04-39-12/HTML/2016-04-18_04-45-53_SinglePointBenchmarks_ATS.html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1" Type="http://schemas.openxmlformats.org/officeDocument/2006/relationships/hyperlink" Target="http://us-aus-rtweb1.natinst.com/Reports/RT/2016/performance/rtlinux/rtperf-smasher/sp_online_int_reboots/2016-05-21_23-17-12/HTML/2016-05-21_23-24-22_SinglePointBenchmarks_ATS.html" TargetMode="External"/><Relationship Id="rId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2" Type="http://schemas.openxmlformats.org/officeDocument/2006/relationships/hyperlink" Target="http://us-aus-rtweb1.natinst.com/Reports/RT/2016/performance/rtlinux/rtperf-smasher/sp_online_int_reboots/2016-04-11_06-07-58/HTML/2016-04-11_06-14-21_SinglePointBenchmarks_ATS.html" TargetMode="External"/><Relationship Id="rId1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5" Type="http://schemas.openxmlformats.org/officeDocument/2006/relationships/hyperlink" Target="http://us-aus-rtweb1/Reports/RT/2017/performance/rtlinux/rtperf-smasher/sp_online_int_reboots/2017-02-08_03-19-49/HTML/2017-02-08_23-07-22__ATS.html" TargetMode="External"/><Relationship Id="rId2" Type="http://schemas.openxmlformats.org/officeDocument/2006/relationships/hyperlink" Target="http://us-aus-rtweb1.natinst.com/Reports/RT/2016/performance/rtlinux/rtperf-smasher/sp_online_int_reboots/2016-01-12_12-11-36/HTML/2016-01-12_12-18-30_SinglePointBenchmarks_ATS.html" TargetMode="External"/><Relationship Id="rId16" Type="http://schemas.openxmlformats.org/officeDocument/2006/relationships/hyperlink" Target="http://us-aus-rtweb1.natinst.com/Reports/RT/2016/performance/rtlinux/rtperf-smasher/sp_online_int_reboots/2016-04-16_10-14-17/HTML/2016-04-16_10-28-02_SinglePointBenchmarks_ATS.html" TargetMode="External"/><Relationship Id="rId2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.natinst.com/Reports/RT/2016/performance/rtlinux/rtperf-smasher/sp_online_int_reboots/2016-02-13_13-05-16/HTML/2016-02-13_13-12-14_SinglePointBenchmarks_ATS.html" TargetMode="External"/><Relationship Id="rId1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3" Type="http://schemas.openxmlformats.org/officeDocument/2006/relationships/hyperlink" Target="http://us-aus-rtweb1/Reports/RT/2016/performance/rtlinux/rtperf-smasher/sp_online_int_reboots/2016-06-11_22-45-40/HTML/2016-06-11_22-52-04_SinglePointBenchmarks_ATS.html" TargetMode="External"/><Relationship Id="rId10" Type="http://schemas.openxmlformats.org/officeDocument/2006/relationships/hyperlink" Target="http://us-aus-rtweb1.natinst.com/Reports/RT/2016/performance/rtlinux/rtperf-smasher/sp_online_int_reboots/2016-04-07_15-16-37/HTML/2016-04-07_15-23-08_SinglePointBenchmarks_ATS.html" TargetMode="External"/><Relationship Id="rId19" Type="http://schemas.openxmlformats.org/officeDocument/2006/relationships/hyperlink" Target="http://us-aus-rtweb1.natinst.com/Reports/RT/2016/performance/rtlinux/rtperf-smasher/sp_online_int_reboots/2016-04-18_23-49-01/HTML/2016-04-19_03-41-35__ATS.html" TargetMode="External"/><Relationship Id="rId4" Type="http://schemas.openxmlformats.org/officeDocument/2006/relationships/hyperlink" Target="http://us-aus-rtweb1.natinst.com/Reports/RT/2016/performance/rtlinux/rtperf-smasher/sp_online_int_reboots/2016-02-01_00-22-26/HTML/2016-02-01_00-29-40_SinglePointBenchmarks_ATS.html" TargetMode="External"/><Relationship Id="rId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4" Type="http://schemas.openxmlformats.org/officeDocument/2006/relationships/hyperlink" Target="http://us-aus-rtweb1.natinst.com/Reports/RT/2016/performance/rtlinux/rtperf-smasher/sp_online_int_reboots/2016-04-14_13-46-13/HTML/2016-04-14_13-52-44_SinglePointBenchmarks_ATS.html" TargetMode="External"/><Relationship Id="rId2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us-aus-rtweb1/Reports/RT/2017/performance/rtlinux/rtperf-smasher/sp_online_int_reboots/2016-10-25_23-44-19/HTML/2016-10-26_01-03-16__ATS.html" TargetMode="External"/><Relationship Id="rId1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6" Type="http://schemas.openxmlformats.org/officeDocument/2006/relationships/hyperlink" Target="http://us-aus-rtweb1/Reports/RT/2017/performance/rtlinux/rtperf-smasher/sp_online_int_reboots/2016-11-30_04-59-37/HTML/2016-11-30_05-14-00_SinglePointBenchmarks_ATS.html" TargetMode="External"/><Relationship Id="rId39" Type="http://schemas.openxmlformats.org/officeDocument/2006/relationships/hyperlink" Target="http://us-aus-rtweb1/Reports/RT/2017/performance/rtlinux/rtperf-smasher/sp_online_int_reboots/2017-01-21_06-46-09/HTML/2017-01-21_06-52-43_SinglePointBenchmarks_ATS.html" TargetMode="External"/><Relationship Id="rId21" Type="http://schemas.openxmlformats.org/officeDocument/2006/relationships/hyperlink" Target="http://us-aus-rtweb1/Reports/RT/2017/performance/rtlinux/rtperf-smasher/sp_online_int_reboots/2016-11-09_01-15-52/HTML/2016-11-09_01-23-15__ATS.html" TargetMode="External"/><Relationship Id="rId3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7" Type="http://schemas.openxmlformats.org/officeDocument/2006/relationships/hyperlink" Target="http://us-aus-rtweb1/Reports/RT/2017/performance/rtlinux/rtperf-smasher/sp_online_int_reboots/2017-02-17_05-38-17/HTML/2017-02-17_05-44-43_SinglePointBenchmarks_ATS.html" TargetMode="External"/><Relationship Id="rId5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5" Type="http://schemas.openxmlformats.org/officeDocument/2006/relationships/hyperlink" Target="http://us-aus-rtweb1/Reports/RT/2017/performance/rtlinux/rtperf-smasher/sp_online_int_reboots/2017-03-22_01-20-31/HTML/2017-03-22_01-31-05__ATS.html" TargetMode="External"/><Relationship Id="rId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" Type="http://schemas.openxmlformats.org/officeDocument/2006/relationships/hyperlink" Target="http://us-aus-rtweb1/Reports/RT/2017/performance/rtlinux/rtperf-smasher/sp_online_int_reboots/2016-09-25_11-04-41/HTML/2016-09-25_11-11-06_SinglePointBenchmarks_ATS.html" TargetMode="External"/><Relationship Id="rId16" Type="http://schemas.openxmlformats.org/officeDocument/2006/relationships/hyperlink" Target="http://us-aus-rtweb1/Reports/RT/2017/performance/rtlinux/rtperf-smasher/sp_online_int_reboots/2016-10-30_04-48-53/HTML/2016-10-30_04-55-18_SinglePointBenchmarks_ATS.html" TargetMode="External"/><Relationship Id="rId20" Type="http://schemas.openxmlformats.org/officeDocument/2006/relationships/hyperlink" Target="http://nippm.natinst.com/itg/web/knta/crt/RequestDetail.jsp?REQUEST_ID=607849&amp;ID_CACHE_NAME=REQ_SEARCH_0" TargetMode="External"/><Relationship Id="rId2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1" Type="http://schemas.openxmlformats.org/officeDocument/2006/relationships/hyperlink" Target="http://us-aus-rtweb1/Reports/RT/2017/performance/rtlinux/rtperf-smasher/sp_online_int_reboots/2017-01-26_08-50-46/HTML/2017-01-26_08-57-08_SinglePointBenchmarks_ATS.html" TargetMode="External"/><Relationship Id="rId5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2" Type="http://schemas.openxmlformats.org/officeDocument/2006/relationships/printerSettings" Target="../printerSettings/printerSettings4.bin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/Reports/RT/2017/performance/rtlinux/rtperf-smasher/sp_online_int_reboots/2016-10-08_19-03-57/HTML/2016-10-08_19-10-23_SinglePointBenchmarks_ATS.html" TargetMode="External"/><Relationship Id="rId1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4" Type="http://schemas.openxmlformats.org/officeDocument/2006/relationships/hyperlink" Target="http://nippm.natinst.com/itg/web/knta/crt/RequestDetail.jsp?REQUEST_ID=607849&amp;ID_CACHE_NAME=REQ_SEARCH_0" TargetMode="External"/><Relationship Id="rId3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7" Type="http://schemas.openxmlformats.org/officeDocument/2006/relationships/hyperlink" Target="http://us-aus-rtweb1/Reports/RT/2017/performance/rtlinux/rtperf-smasher/sp_online_int_reboots/2017-01-28_04-21-58/HTML/2017-01-28_04-23-28_SinglePointBenchmarks_ATS.html" TargetMode="External"/><Relationship Id="rId4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5" Type="http://schemas.openxmlformats.org/officeDocument/2006/relationships/hyperlink" Target="http://us-aus-rtweb1/Reports/RT/2017/performance/rtlinux/rtperf-smasher/sp_online_int_reboots/2017-02-11_09-14-11/HTML/2017-02-11_09-20-12_SinglePointBenchmarks_ATS.html" TargetMode="External"/><Relationship Id="rId53" Type="http://schemas.openxmlformats.org/officeDocument/2006/relationships/hyperlink" Target="http://us-aus-rtweb1/Reports/RT/2017/performance/rtlinux/rtperf-smasher/sp_online_int_reboots/2017-03-11_09-27-45/HTML/2017-03-11_09-33-56_SinglePointBenchmarks_ATS.html" TargetMode="External"/><Relationship Id="rId5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3" Type="http://schemas.openxmlformats.org/officeDocument/2006/relationships/hyperlink" Target="http://us-aus-rtweb1/Reports/RT/2017/performance/rtlinux/rtperf-smasher/sp_online_int_reboots/2016-11-23_10-24-00/HTML/2016-11-23_10-30-18_SinglePointBenchmarks_ATS.html" TargetMode="External"/><Relationship Id="rId28" Type="http://schemas.openxmlformats.org/officeDocument/2006/relationships/hyperlink" Target="http://us-aus-rtweb1/Reports/RT/2017/performance/rtlinux/rtperf-smasher/sp_online_int_reboots/2016-11-30_23-16-38/HTML/2016-11-30_23-25-02__ATS.html" TargetMode="External"/><Relationship Id="rId3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9" Type="http://schemas.openxmlformats.org/officeDocument/2006/relationships/hyperlink" Target="http://us-aus-rtweb1/Reports/RT/2017/performance/rtlinux/rtperf-smasher/sp_online_int_reboots/2017-02-25_08-47-23/HTML/2017-02-25_08-53-32_SinglePointBenchmarks_ATS.html" TargetMode="External"/><Relationship Id="rId57" Type="http://schemas.openxmlformats.org/officeDocument/2006/relationships/hyperlink" Target="http://us-aus-rtweb1/Reports/RT/2017/performance/rtlinux/rtperf-smasher/sp_online_int_reboots/2017-09-18_04-44-40/HTML/2017-09-18_04-51-34_SinglePointBenchmarks_ATS.html" TargetMode="External"/><Relationship Id="rId61" Type="http://schemas.openxmlformats.org/officeDocument/2006/relationships/hyperlink" Target="http://us-aus-rtweb1/Reports/RT/2017/performance/rtlinux/rtperf-smasher/sp_online_int_reboots/2017-10-17_14-03-29/HTML/2017-10-17_14-09-47_SinglePointBenchmarks_ATS.html" TargetMode="External"/><Relationship Id="rId10" Type="http://schemas.openxmlformats.org/officeDocument/2006/relationships/hyperlink" Target="http://nippm.natinst.com/itg/web/knta/crt/RequestDetail.jsp?REQUEST_ID=607849&amp;ID_CACHE_NAME=REQ_SEARCH_0" TargetMode="External"/><Relationship Id="rId19" Type="http://schemas.openxmlformats.org/officeDocument/2006/relationships/hyperlink" Target="http://us-aus-rtweb1/Reports/RT/2017/performance/rtlinux/rtperf-smasher/sp_online_int_reboots/2016-11-04_02-14-21/HTML/2016-11-04_02-20-43_SinglePointBenchmarks_ATS.html" TargetMode="External"/><Relationship Id="rId31" Type="http://schemas.openxmlformats.org/officeDocument/2006/relationships/hyperlink" Target="http://nippm.natinst.com/itg/web/knta/crt/RequestDetail.jsp?REQUEST_ID=607849&amp;ID_CACHE_NAME=REQ_SEARCH_0" TargetMode="External"/><Relationship Id="rId4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" Type="http://schemas.openxmlformats.org/officeDocument/2006/relationships/hyperlink" Target="http://us-aus-rtweb1/Reports/RT/2017/performance/rtlinux/rtperf-smasher/sp_online_int_reboots/2016-09-29_06-27-31/HTML/2016-09-29_06-34-05_SinglePointBenchmarks_ATS.html" TargetMode="External"/><Relationship Id="rId9" Type="http://schemas.openxmlformats.org/officeDocument/2006/relationships/hyperlink" Target="http://nippm.natinst.com/itg/web/knta/crt/RequestDetail.jsp?REQUEST_ID=607849&amp;ID_CACHE_NAME=REQ_SEARCH_0" TargetMode="External"/><Relationship Id="rId14" Type="http://schemas.openxmlformats.org/officeDocument/2006/relationships/hyperlink" Target="http://nippm.natinst.com/itg/web/knta/crt/RequestDetail.jsp?REQUEST_ID=607849&amp;ID_CACHE_NAME=REQ_SEARCH_0" TargetMode="External"/><Relationship Id="rId2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7" Type="http://schemas.openxmlformats.org/officeDocument/2006/relationships/hyperlink" Target="http://nippm.natinst.com/itg/web/knta/crt/RequestDetail.jsp?REQUEST_ID=607849&amp;ID_CACHE_NAME=REQ_SEARCH_0" TargetMode="External"/><Relationship Id="rId30" Type="http://schemas.openxmlformats.org/officeDocument/2006/relationships/hyperlink" Target="http://us-aus-rtweb1/Reports/RT/2017/performance/rtlinux/rtperf-smasher/sp_online_int_reboots/2016-12-04_23-15-44/HTML/2016-12-05_00-49-15__ATS.html" TargetMode="External"/><Relationship Id="rId35" Type="http://schemas.openxmlformats.org/officeDocument/2006/relationships/hyperlink" Target="http://us-aus-rtweb1/Reports/RT/2017/performance/rtlinux/rtperf-smasher/sp_online_int_reboots/2017-01-09_05-16-41/HTML/2017-01-09_05-23-16_SinglePointBenchmarks_ATS.html" TargetMode="External"/><Relationship Id="rId43" Type="http://schemas.openxmlformats.org/officeDocument/2006/relationships/hyperlink" Target="http://us-aus-rtweb1/Reports/RT/2017/performance/rtlinux/rtperf-smasher/sp_online_int_reboots/2017-02-03_05-17-45/HTML/2017-02-03_05-23-51_SinglePointBenchmarks_ATS.html" TargetMode="External"/><Relationship Id="rId4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8" Type="http://schemas.openxmlformats.org/officeDocument/2006/relationships/hyperlink" Target="http://us-aus-rtweb1/Reports/RT/2017/performance/rtlinux/rtperf-smasher/sp_online_int_reboots/2016-10-18_11-02-36/HTML/2016-10-18_11-09-07_SinglePointBenchmarks_ATS.html" TargetMode="External"/><Relationship Id="rId51" Type="http://schemas.openxmlformats.org/officeDocument/2006/relationships/hyperlink" Target="http://us-aus-rtweb1/Reports/RT/2017/performance/rtlinux/rtperf-smasher/sp_online_int_reboots/2017-03-05_22-42-28/HTML/2017-03-05_22-51-21_SinglePointBenchmarks_ATS.html" TargetMode="External"/><Relationship Id="rId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2" Type="http://schemas.openxmlformats.org/officeDocument/2006/relationships/hyperlink" Target="http://us-aus-rtweb1/Reports/RT/2017/performance/rtlinux/rtperf-smasher/sp_online_int_reboots/2016-10-23_07-52-59/HTML/2016-10-23_07-59-41_SinglePointBenchmarks_ATS.html" TargetMode="External"/><Relationship Id="rId17" Type="http://schemas.openxmlformats.org/officeDocument/2006/relationships/hyperlink" Target="http://nippm.natinst.com/itg/web/knta/crt/RequestDetail.jsp?REQUEST_ID=607849&amp;ID_CACHE_NAME=REQ_SEARCH_0" TargetMode="External"/><Relationship Id="rId2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3" Type="http://schemas.openxmlformats.org/officeDocument/2006/relationships/hyperlink" Target="http://us-aus-rtweb1/Reports/RT/2017/performance/rtlinux/rtperf-smasher/sp_online_int_reboots/2017-01-02_23-42-45/HTML/2017-01-02_23-49-18_SinglePointBenchmarks_ATS.html" TargetMode="External"/><Relationship Id="rId3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9" Type="http://schemas.openxmlformats.org/officeDocument/2006/relationships/hyperlink" Target="http://us-aus-rtweb1/Reports/RT/2017/performance/rtlinux/rtperf-smasher/sp_online_int_reboots/2017-10-09_01-20-37/HTML/2017-10-09_01-27-28_SinglePointBenchmarks_ATS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7/performance/rtlinux/rtperf-smasher/sp_online_int_reboots/2017-02-10_16-14-47/HTML/2017-02-10_17-39-02__ATS.html" TargetMode="External"/><Relationship Id="rId3" Type="http://schemas.openxmlformats.org/officeDocument/2006/relationships/hyperlink" Target="http://nippm.natinst.com/itg/web/knta/crt/RequestDetail.jsp?REQUEST_ID=607849&amp;ID_CACHE_NAME=REQ_SEARCH_0" TargetMode="External"/><Relationship Id="rId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" Type="http://schemas.openxmlformats.org/officeDocument/2006/relationships/hyperlink" Target="http://us-aus-rtweb1/Reports/RT/2017/performance/rtlinux/rtperf-smasher/sp_online_int_reboots/2016-09-30_06-16-30/HTML/2016-09-30_06-24-41_SinglePointBenchmarks_ATS.html" TargetMode="External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/Reports/RT/2017/performance/rtlinux/rtperf-smasher/sp_online_int_reboots/2016-12-13_12-50-53/HTML/2016-12-13_13-53-13__ATS.html" TargetMode="External"/><Relationship Id="rId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://us-aus-rtweb1/Reports/RT/2017/performance/rtlinux/rtperf-smasher/sp_online_int_reboots/2016-10-04_02-41-20/HTML/2016-10-04_08-22-34_InstallPolling_ATS.html" TargetMode="External"/><Relationship Id="rId9" Type="http://schemas.openxmlformats.org/officeDocument/2006/relationships/hyperlink" Target="http://us-aus-rtweb1/Reports/RT/2017/performance/rtlinux/rtperf-smasher/sp_online_int_reboots/2017-02-14_10-21-24/HTML/2017-02-14_10-31-09__ATS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8/performance/rtlinux/rtperf-smasher/sp_online_int_reboots/2017-12-04_01-18-55/HTML/2017-12-04_01-26-37_SinglePointBenchmarks_ATS.html" TargetMode="External"/><Relationship Id="rId1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8" Type="http://schemas.openxmlformats.org/officeDocument/2006/relationships/hyperlink" Target="http://us-aus-rtweb1/Reports/RT/2018/performance/rtlinux/rtperf-smasher/sp_online_int_reboots/2018-01-22_19-17-11/HTML/2018-01-22_19-23-56_SinglePointBenchmarks_ATS.html" TargetMode="External"/><Relationship Id="rId26" Type="http://schemas.openxmlformats.org/officeDocument/2006/relationships/hyperlink" Target="http://us-aus-rtweb1/Reports/RT/2018/performance/rtlinux/rtperf-smasher/sp_online_int_reboots/2018-02-23_18-11-22/HTML/2018-02-23_18-18-07_SinglePointBenchmarks_ATS.html" TargetMode="External"/><Relationship Id="rId39" Type="http://schemas.openxmlformats.org/officeDocument/2006/relationships/printerSettings" Target="../printerSettings/printerSettings6.bin"/><Relationship Id="rId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4" Type="http://schemas.openxmlformats.org/officeDocument/2006/relationships/hyperlink" Target="http://us-aus-rtweb1/Reports/RT/2018SP1/performance/rtlinux/rtperf-smasher/sp_online_int_reboots/2018-08-23_00-39-20/HTML/2018-08-23_00-45-46_SinglePointBenchmarks_ATS.html" TargetMode="External"/><Relationship Id="rId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2" Type="http://schemas.openxmlformats.org/officeDocument/2006/relationships/hyperlink" Target="http://us-aus-rtweb1/Reports/RT/2018/performance/rtlinux/rtperf-smasher/sp_online_int_reboots/2017-12-27_22-34-25/HTML/2017-12-27_22-41-08_SinglePointBenchmarks_ATS.html" TargetMode="External"/><Relationship Id="rId1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8" Type="http://schemas.openxmlformats.org/officeDocument/2006/relationships/hyperlink" Target="http://us-aus-rtweb1/Reports/RT/2018SP1/performance/rtlinux/rtperf-smasher/sp_online_int_reboots/2018-09-24_03-24-38/HTML/2018-09-24_03-31-18_SinglePointBenchmarks_ATS.html" TargetMode="External"/><Relationship Id="rId2" Type="http://schemas.openxmlformats.org/officeDocument/2006/relationships/hyperlink" Target="http://us-aus-rtweb1/Reports/RT/2018/performance/rtlinux/rtperf-smasher/sp_online_int_reboots/2017-11-02_07-07-16/HTML/2017-11-02_07-13-43_SinglePointBenchmarks_ATS.html" TargetMode="External"/><Relationship Id="rId16" Type="http://schemas.openxmlformats.org/officeDocument/2006/relationships/hyperlink" Target="http://us-aus-rtweb1/Reports/RT/2018/performance/rtlinux/rtperf-smasher/sp_online_int_reboots/2018-01-12_19-37-32/HTML/2018-01-12_19-44-19_SinglePointBenchmarks_ATS.html" TargetMode="External"/><Relationship Id="rId20" Type="http://schemas.openxmlformats.org/officeDocument/2006/relationships/hyperlink" Target="http://us-aus-rtweb1/Reports/RT/2018/performance/rtlinux/rtperf-smasher/sp_online_int_reboots/2018-01-28_00-57-31/HTML/2018-01-28_01-05-30_SinglePointBenchmarks_ATS.html" TargetMode="External"/><Relationship Id="rId2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/Reports/RT/2018/performance/rtlinux/rtperf-smasher/sp_online_int_reboots/2017-11-19_22-07-05/HTML/2017-11-19_22-14-56_SinglePointBenchmarks_ATS.html" TargetMode="External"/><Relationship Id="rId1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4" Type="http://schemas.openxmlformats.org/officeDocument/2006/relationships/hyperlink" Target="http://us-aus-rtweb1/Reports/RT/2018/performance/rtlinux/rtperf-smasher/sp_online_int_reboots/2018-02-20_18-30-26/HTML/2018-02-20_18-36-58_SinglePointBenchmarks_ATS.html" TargetMode="External"/><Relationship Id="rId32" Type="http://schemas.openxmlformats.org/officeDocument/2006/relationships/hyperlink" Target="http://us-aus-rtweb1/Reports/RT/2018/performance/rtlinux/rtperf-smasher/sp_online_int_reboots/2018-03-23_23-40-22/HTML/2018-03-23_23-46-57_SinglePointBenchmarks_ATS.html" TargetMode="External"/><Relationship Id="rId3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8" Type="http://schemas.openxmlformats.org/officeDocument/2006/relationships/hyperlink" Target="http://us-aus-rtweb1/Reports/RT/2018/performance/rtlinux/rtperf-smasher/sp_online_int_reboots/2018-03-06_02-22-01/HTML/2018-03-06_02-29-13_SinglePointBenchmarks_ATS.html" TargetMode="External"/><Relationship Id="rId36" Type="http://schemas.openxmlformats.org/officeDocument/2006/relationships/hyperlink" Target="http://us-aus-rtweb1/Reports/RT/2018SP1/performance/rtlinux/rtperf-smasher/sp_online_int_reboots/2018-09-18_22-22-59/HTML/2018-09-18_22-29-31_SinglePointBenchmarks_ATS.html" TargetMode="External"/><Relationship Id="rId10" Type="http://schemas.openxmlformats.org/officeDocument/2006/relationships/hyperlink" Target="http://us-aus-rtweb1/Reports/RT/2018/performance/rtlinux/rtperf-smasher/sp_online_int_reboots/2017-12-17_22-46-21/HTML/2017-12-17_22-54-06_SinglePointBenchmarks_ATS.html" TargetMode="External"/><Relationship Id="rId1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" Type="http://schemas.openxmlformats.org/officeDocument/2006/relationships/hyperlink" Target="http://us-aus-rtweb1/Reports/RT/2018/performance/rtlinux/rtperf-smasher/sp_online_int_reboots/2017-11-13_03-53-09/HTML/2017-11-13_04-00-34_SinglePointBenchmarks_ATS.html" TargetMode="External"/><Relationship Id="rId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4" Type="http://schemas.openxmlformats.org/officeDocument/2006/relationships/hyperlink" Target="http://us-aus-rtweb1/Reports/RT/2018/performance/rtlinux/rtperf-smasher/sp_online_int_reboots/2018-01-05_18-11-04/HTML/2018-01-05_18-18-02_SinglePointBenchmarks_ATS.html" TargetMode="External"/><Relationship Id="rId22" Type="http://schemas.openxmlformats.org/officeDocument/2006/relationships/hyperlink" Target="http://us-aus-rtweb1/Reports/RT/2018/performance/rtlinux/rtperf-smasher/sp_online_int_reboots/2018-02-02_21-10-07/HTML/2018-02-02_21-16-49_SinglePointBenchmarks_ATS.html" TargetMode="External"/><Relationship Id="rId2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0" Type="http://schemas.openxmlformats.org/officeDocument/2006/relationships/hyperlink" Target="http://us-aus-rtweb1/Reports/RT/2018/performance/rtlinux/rtperf-smasher/sp_online_int_reboots/2018-03-09_20-12-19/HTML/2018-03-09_20-18-50_SinglePointBenchmarks_ATS.html" TargetMode="External"/><Relationship Id="rId3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3" Type="http://schemas.openxmlformats.org/officeDocument/2006/relationships/hyperlink" Target="http://us-aus-rtweb1.natinst.com/Reports/RT/2019/Performance/rtlinux/rtperf-smasher/sp_online_int_reboots/2018-11-30_07-35-12/HTML/2018-11-30_07-45-04_SinglePointBenchmarks_ATS.html" TargetMode="External"/><Relationship Id="rId1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" Type="http://schemas.openxmlformats.org/officeDocument/2006/relationships/hyperlink" Target="http://us-aus-rtweb1.natinst.com/Reports/RT/2019/Performance/rtlinux/rtperf-smasher/sp_online_int_reboots/2018-10-10_21-21-56/HTML/2018-10-17_03-14-57_SinglePointBenchmarks_ATS.html" TargetMode="External"/><Relationship Id="rId21" Type="http://schemas.openxmlformats.org/officeDocument/2006/relationships/hyperlink" Target="http://us-aus-rtweb1/Reports/RT/2019/Performance/rtlinux/rtperf-smasher/sp_online_int_reboots/2019-01-11_16-53-34/HTML/2019-01-11_17-01-19_SinglePointBenchmarks_ATS.html" TargetMode="External"/><Relationship Id="rId3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7" Type="http://schemas.openxmlformats.org/officeDocument/2006/relationships/hyperlink" Target="http://us-aus-rtweb1.natinst.com/Reports/RT/2019/Performance/rtlinux/rtperf-smasher/sp_online_int_reboots/2018-11-02_12-58-45/HTML/2018-11-02_13-06-20_SinglePointBenchmarks_ATS.html" TargetMode="External"/><Relationship Id="rId1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7" Type="http://schemas.openxmlformats.org/officeDocument/2006/relationships/hyperlink" Target="http://us-aus-rtweb1/Reports/RT/2019/Performance/rtlinux/rtperf-smasher/sp_online_int_reboots/2018-12-14_17-31-59/HTML/2018-12-14_17-40-17_SinglePointBenchmarks_ATS.html" TargetMode="External"/><Relationship Id="rId25" Type="http://schemas.openxmlformats.org/officeDocument/2006/relationships/hyperlink" Target="http://us-aus-rtweb1/Reports/RT/2019/Performance/rtlinux/rtperf-smasher/sp_online_int_reboots/2019-01-25_19-31-36/HTML/2019-01-25_19-39-23_SinglePointBenchmarks_ATS.html" TargetMode="External"/><Relationship Id="rId33" Type="http://schemas.openxmlformats.org/officeDocument/2006/relationships/hyperlink" Target="http://us-aus-rtweb1/Reports/RT/2019/Performance/rtlinux/rtperf-smasher/sp_online_int_reboots/2019-03-08_17-12-45/HTML/2019-03-08_17-20-28_SinglePointBenchmarks_ATS.html" TargetMode="External"/><Relationship Id="rId2" Type="http://schemas.openxmlformats.org/officeDocument/2006/relationships/hyperlink" Target="http://us-aus-rtweb1.natinst.com/Reports/RT/2019/Performance/rtlinux/rtperf-smasher/sp_online_int_reboots/2018-10-10_21-21-56/HTML/2018-10-10_21-29-38_SinglePointBenchmarks_ATS.html" TargetMode="External"/><Relationship Id="rId1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9" Type="http://schemas.openxmlformats.org/officeDocument/2006/relationships/hyperlink" Target="http://us-aus-rtweb1/Reports/RT/2019/Performance/rtlinux/rtperf-smasher/sp_online_int_reboots/2019-02-15_15-39-28/HTML/2019-02-15_15-47-53_SinglePointBenchmarks_ATS.html" TargetMode="External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1" Type="http://schemas.openxmlformats.org/officeDocument/2006/relationships/hyperlink" Target="http://us-aus-rtweb1.natinst.com/Reports/RT/2019/Performance/rtlinux/rtperf-smasher/sp_online_int_reboots/2018-11-13_04-40-12/HTML/2018-11-13_04-47-46_SinglePointBenchmarks_ATS.html" TargetMode="External"/><Relationship Id="rId2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" Type="http://schemas.openxmlformats.org/officeDocument/2006/relationships/hyperlink" Target="http://us-aus-rtweb1.natinst.com/Reports/RT/2019/Performance/rtlinux/rtperf-smasher/sp_online_int_reboots/2018-10-23_05-17-01/HTML/2018-10-23_05-24-28_SinglePointBenchmarks_ATS.html" TargetMode="External"/><Relationship Id="rId15" Type="http://schemas.openxmlformats.org/officeDocument/2006/relationships/hyperlink" Target="http://us-aus-rtweb1.natinst.com/Reports/RT/2019/Performance/rtlinux/rtperf-smasher/sp_online_int_reboots/2018-12-07_03-11-25/HTML/2018-12-07_03-19-20_SinglePointBenchmarks_ATS.html" TargetMode="External"/><Relationship Id="rId23" Type="http://schemas.openxmlformats.org/officeDocument/2006/relationships/hyperlink" Target="http://us-aus-rtweb1/Reports/RT/2019/Performance/rtlinux/rtperf-smasher/sp_online_int_reboots/2019-01-21_16-04-08/HTML/2019-01-21_16-11-47_SinglePointBenchmarks_ATS.html" TargetMode="External"/><Relationship Id="rId2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6" Type="http://schemas.openxmlformats.org/officeDocument/2006/relationships/printerSettings" Target="../printerSettings/printerSettings7.bin"/><Relationship Id="rId1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9" Type="http://schemas.openxmlformats.org/officeDocument/2006/relationships/hyperlink" Target="http://us-aus-rtweb1/Reports/RT/2019/Performance/rtlinux/rtperf-smasher/sp_online_int_reboots/2019-01-04_16-22-29/HTML/2019-01-04_16-30-25_SinglePointBenchmarks_ATS.html" TargetMode="External"/><Relationship Id="rId31" Type="http://schemas.openxmlformats.org/officeDocument/2006/relationships/hyperlink" Target="http://us-aus-rtweb1/Reports/RT/2019/Performance/rtlinux/rtperf-smasher/sp_online_int_reboots/2019-02-25_22-59-15/HTML/2019-02-25_23-07-01_SinglePointBenchmarks_ATS.html" TargetMode="External"/><Relationship Id="rId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9" Type="http://schemas.openxmlformats.org/officeDocument/2006/relationships/hyperlink" Target="http://us-aus-rtweb1.natinst.com/Reports/RT/2019/Performance/rtlinux/rtperf-smasher/sp_online_int_reboots/2018-11-02_12-58-45/HTML/2018-11-02_13-06-20_SinglePointBenchmarks_ATS.html" TargetMode="External"/><Relationship Id="rId1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7" Type="http://schemas.openxmlformats.org/officeDocument/2006/relationships/hyperlink" Target="http://us-aus-rtweb1/Reports/RT/2019/Performance/rtlinux/rtperf-smasher/sp_online_int_reboots/2019-02-11_12-33-23/HTML/2019-02-11_12-41-02_SinglePointBenchmarks_ATS.html" TargetMode="External"/><Relationship Id="rId3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5" Type="http://schemas.openxmlformats.org/officeDocument/2006/relationships/hyperlink" Target="http://us-aus-rtweb1.natinst.com/Reports/RT/2019/Performance/rtlinux/rtperf-smasher/sp_online_int_reboots/2019-03-22_16-51-51/HTML/2019-03-22_16-59-34_SinglePointBenchmarks_ATS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3" Type="http://schemas.openxmlformats.org/officeDocument/2006/relationships/hyperlink" Target="http://us-aus-rtweb1.natinst.com/Reports/RT/2020/performance/rtlinux/rtperf-smasher/sp_online_int_reboots/2019-12-30_22-14-42/HTML/2019-12-30_22-21-53_SinglePointBenchmarks_ATS.html" TargetMode="External"/><Relationship Id="rId3" Type="http://schemas.openxmlformats.org/officeDocument/2006/relationships/hyperlink" Target="http://us-aus-rtweb1.natinst.com/Reports/RT/2020/performance/rtlinux/rtperf-smasher/sp_online_int_reboots/2019-11-27_13-54-32/HTML/2019-11-29_13-21-46_SinglePointBenchmarks_ATS.html" TargetMode="External"/><Relationship Id="rId7" Type="http://schemas.openxmlformats.org/officeDocument/2006/relationships/hyperlink" Target="http://us-aus-rtweb1.natinst.com/Reports/RT/2020/performance/rtlinux/rtperf-smasher/sp_online_int_reboots/2019-12-09_06-59-47/HTML/2019-12-09_07-07-29_SinglePointBenchmarks_ATS.html" TargetMode="External"/><Relationship Id="rId1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" Type="http://schemas.openxmlformats.org/officeDocument/2006/relationships/hyperlink" Target="http://us-aus-rtweb1.natinst.com/Reports/RT/2020/performance/rtlinux/rtperf-smasher/sp_online_int_reboots/2019-11-27_13-54-32/HTML/2019-11-27_14-04-22_SinglePointBenchmarks_ATS.html" TargetMode="External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1" Type="http://schemas.openxmlformats.org/officeDocument/2006/relationships/hyperlink" Target="http://us-aus-rtweb1.natinst.com/Reports/RT/2020/performance/rtlinux/rtperf-smasher/sp_online_int_reboots/2019-12-21_00-27-09/HTML/2019-12-21_00-34-24_SinglePointBenchmarks_ATS.html" TargetMode="External"/><Relationship Id="rId5" Type="http://schemas.openxmlformats.org/officeDocument/2006/relationships/hyperlink" Target="http://us-aus-rtweb1.natinst.com/Reports/RT/2020/performance/rtlinux/rtperf-smasher/sp_online_int_reboots/2019-11-30_03-50-33/HTML/2019-11-30_03-57-51_SinglePointBenchmarks_ATS.html" TargetMode="External"/><Relationship Id="rId15" Type="http://schemas.openxmlformats.org/officeDocument/2006/relationships/hyperlink" Target="http://us-aus-rtweb1.natinst.com/Reports/RT/2020/performance/rtlinux/rtperf-smasher/sp_online_int_reboots/2020-01-04_04-54-54/HTML/2020-01-04_05-02-14_SinglePointBenchmarks_ATS.html" TargetMode="External"/><Relationship Id="rId1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9" Type="http://schemas.openxmlformats.org/officeDocument/2006/relationships/hyperlink" Target="http://us-aus-rtweb1.natinst.com/Reports/RT/2020/performance/rtlinux/rtperf-smasher/sp_online_int_reboots/2019-12-13_22-02-38/HTML/2019-12-13_22-09-57_SinglePointBenchmarks_ATS.html" TargetMode="External"/><Relationship Id="rId1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selection activeCell="E23" sqref="E23"/>
    </sheetView>
  </sheetViews>
  <sheetFormatPr defaultRowHeight="15" x14ac:dyDescent="0.25"/>
  <sheetData>
    <row r="1" spans="1:15" ht="18.75" x14ac:dyDescent="0.3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1"/>
      <c r="K1" s="1"/>
      <c r="L1" s="1"/>
      <c r="M1" s="1"/>
      <c r="N1" s="1"/>
      <c r="O1" s="2"/>
    </row>
    <row r="2" spans="1:15" ht="15.75" x14ac:dyDescent="0.25">
      <c r="A2" s="3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s="72" t="s">
        <v>1</v>
      </c>
      <c r="B3" s="72"/>
      <c r="C3" s="72"/>
      <c r="D3" s="73" t="s">
        <v>2</v>
      </c>
      <c r="E3" s="73"/>
      <c r="F3" s="73"/>
      <c r="G3" s="73"/>
      <c r="H3" s="73"/>
      <c r="I3" s="73"/>
      <c r="J3" s="73" t="s">
        <v>3</v>
      </c>
      <c r="K3" s="73"/>
      <c r="L3" s="73"/>
      <c r="M3" s="73"/>
      <c r="N3" s="73"/>
      <c r="O3" s="73"/>
    </row>
    <row r="4" spans="1:15" x14ac:dyDescent="0.25">
      <c r="A4" s="6" t="s">
        <v>4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10">
        <v>46662</v>
      </c>
      <c r="E5" s="10">
        <v>20867</v>
      </c>
      <c r="F5" s="10">
        <v>6003</v>
      </c>
      <c r="G5" s="10"/>
      <c r="H5" s="10"/>
      <c r="I5" s="10"/>
      <c r="J5" s="11">
        <f t="shared" ref="J5:O10" si="0">(1/D5)*1000000</f>
        <v>21.430714500021431</v>
      </c>
      <c r="K5" s="11">
        <f t="shared" si="0"/>
        <v>47.9225571476494</v>
      </c>
      <c r="L5" s="11">
        <f t="shared" si="0"/>
        <v>166.58337497917708</v>
      </c>
      <c r="M5" s="11" t="e">
        <f t="shared" si="0"/>
        <v>#DIV/0!</v>
      </c>
      <c r="N5" s="11" t="e">
        <f t="shared" si="0"/>
        <v>#DIV/0!</v>
      </c>
      <c r="O5" s="11" t="e">
        <f t="shared" si="0"/>
        <v>#DIV/0!</v>
      </c>
    </row>
    <row r="6" spans="1:15" x14ac:dyDescent="0.25">
      <c r="A6" s="8" t="s">
        <v>10</v>
      </c>
      <c r="B6" s="9" t="s">
        <v>8</v>
      </c>
      <c r="C6" s="9" t="s">
        <v>11</v>
      </c>
      <c r="D6" s="10">
        <v>10917</v>
      </c>
      <c r="E6" s="10">
        <v>8443</v>
      </c>
      <c r="F6" s="10">
        <v>4375</v>
      </c>
      <c r="G6" s="10"/>
      <c r="H6" s="10"/>
      <c r="I6" s="10"/>
      <c r="J6" s="11">
        <f t="shared" si="0"/>
        <v>91.600256480718144</v>
      </c>
      <c r="K6" s="11">
        <f t="shared" si="0"/>
        <v>118.44131232974061</v>
      </c>
      <c r="L6" s="11">
        <f t="shared" si="0"/>
        <v>228.57142857142856</v>
      </c>
      <c r="M6" s="11" t="e">
        <f t="shared" si="0"/>
        <v>#DIV/0!</v>
      </c>
      <c r="N6" s="11" t="e">
        <f t="shared" si="0"/>
        <v>#DIV/0!</v>
      </c>
      <c r="O6" s="11" t="e">
        <f t="shared" si="0"/>
        <v>#DIV/0!</v>
      </c>
    </row>
    <row r="7" spans="1:15" x14ac:dyDescent="0.25">
      <c r="A7" s="9" t="s">
        <v>12</v>
      </c>
      <c r="B7" s="9" t="s">
        <v>13</v>
      </c>
      <c r="C7" s="9" t="s">
        <v>9</v>
      </c>
      <c r="D7" s="10">
        <v>39956</v>
      </c>
      <c r="E7" s="10">
        <v>16440</v>
      </c>
      <c r="F7" s="10">
        <v>5637</v>
      </c>
      <c r="G7" s="10"/>
      <c r="H7" s="10"/>
      <c r="I7" s="10"/>
      <c r="J7" s="11">
        <f t="shared" si="0"/>
        <v>25.027530283311641</v>
      </c>
      <c r="K7" s="11">
        <f t="shared" si="0"/>
        <v>60.827250608272507</v>
      </c>
      <c r="L7" s="11">
        <f t="shared" si="0"/>
        <v>177.39932588256164</v>
      </c>
      <c r="M7" s="11" t="e">
        <f t="shared" si="0"/>
        <v>#DIV/0!</v>
      </c>
      <c r="N7" s="11" t="e">
        <f t="shared" si="0"/>
        <v>#DIV/0!</v>
      </c>
      <c r="O7" s="11" t="e">
        <f t="shared" si="0"/>
        <v>#DIV/0!</v>
      </c>
    </row>
    <row r="8" spans="1:15" x14ac:dyDescent="0.25">
      <c r="A8" s="9" t="s">
        <v>14</v>
      </c>
      <c r="B8" s="9" t="s">
        <v>13</v>
      </c>
      <c r="C8" s="9" t="s">
        <v>11</v>
      </c>
      <c r="D8" s="10">
        <v>9234</v>
      </c>
      <c r="E8" s="10">
        <v>7537</v>
      </c>
      <c r="F8" s="10">
        <v>3895</v>
      </c>
      <c r="G8" s="10"/>
      <c r="H8" s="10"/>
      <c r="I8" s="10"/>
      <c r="J8" s="11">
        <f t="shared" si="0"/>
        <v>108.29542993285683</v>
      </c>
      <c r="K8" s="11">
        <f t="shared" si="0"/>
        <v>132.67878466233248</v>
      </c>
      <c r="L8" s="11">
        <f t="shared" si="0"/>
        <v>256.73940949935815</v>
      </c>
      <c r="M8" s="11" t="e">
        <f t="shared" si="0"/>
        <v>#DIV/0!</v>
      </c>
      <c r="N8" s="11" t="e">
        <f t="shared" si="0"/>
        <v>#DIV/0!</v>
      </c>
      <c r="O8" s="11" t="e">
        <f t="shared" si="0"/>
        <v>#DIV/0!</v>
      </c>
    </row>
    <row r="9" spans="1:15" x14ac:dyDescent="0.25">
      <c r="A9" s="9" t="s">
        <v>15</v>
      </c>
      <c r="B9" s="9" t="s">
        <v>16</v>
      </c>
      <c r="C9" s="9" t="s">
        <v>11</v>
      </c>
      <c r="D9" s="10">
        <v>4390</v>
      </c>
      <c r="E9" s="10">
        <v>6675</v>
      </c>
      <c r="F9" s="10">
        <v>3502</v>
      </c>
      <c r="G9" s="10"/>
      <c r="H9" s="10"/>
      <c r="I9" s="10"/>
      <c r="J9" s="11">
        <f t="shared" si="0"/>
        <v>227.79043280182233</v>
      </c>
      <c r="K9" s="11">
        <f t="shared" si="0"/>
        <v>149.81273408239701</v>
      </c>
      <c r="L9" s="11">
        <f t="shared" si="0"/>
        <v>285.55111364934322</v>
      </c>
      <c r="M9" s="11" t="e">
        <f t="shared" si="0"/>
        <v>#DIV/0!</v>
      </c>
      <c r="N9" s="11" t="e">
        <f t="shared" si="0"/>
        <v>#DIV/0!</v>
      </c>
      <c r="O9" s="11" t="e">
        <f t="shared" si="0"/>
        <v>#DIV/0!</v>
      </c>
    </row>
    <row r="10" spans="1:15" x14ac:dyDescent="0.25">
      <c r="A10" s="9" t="s">
        <v>17</v>
      </c>
      <c r="B10" s="8" t="s">
        <v>18</v>
      </c>
      <c r="C10" s="9" t="s">
        <v>11</v>
      </c>
      <c r="D10" s="10">
        <v>4427</v>
      </c>
      <c r="E10" s="10">
        <v>5740</v>
      </c>
      <c r="F10" s="10">
        <v>3635</v>
      </c>
      <c r="G10" s="10"/>
      <c r="H10" s="10"/>
      <c r="I10" s="10"/>
      <c r="J10" s="11">
        <f t="shared" si="0"/>
        <v>225.88660492432797</v>
      </c>
      <c r="K10" s="11">
        <f t="shared" si="0"/>
        <v>174.21602787456445</v>
      </c>
      <c r="L10" s="11">
        <f t="shared" si="0"/>
        <v>275.1031636863824</v>
      </c>
      <c r="M10" s="11" t="e">
        <f t="shared" si="0"/>
        <v>#DIV/0!</v>
      </c>
      <c r="N10" s="11" t="e">
        <f t="shared" si="0"/>
        <v>#DIV/0!</v>
      </c>
      <c r="O10" s="11" t="e">
        <f t="shared" si="0"/>
        <v>#DIV/0!</v>
      </c>
    </row>
    <row r="12" spans="1:15" ht="18.75" x14ac:dyDescent="0.3">
      <c r="A12" s="75" t="s">
        <v>0</v>
      </c>
      <c r="B12" s="76"/>
      <c r="C12" s="76"/>
      <c r="D12" s="76"/>
      <c r="E12" s="76"/>
      <c r="F12" s="76"/>
      <c r="G12" s="76"/>
      <c r="H12" s="76"/>
      <c r="I12" s="76"/>
      <c r="J12" s="1"/>
      <c r="K12" s="1"/>
      <c r="L12" s="1"/>
      <c r="M12" s="1"/>
      <c r="N12" s="1"/>
      <c r="O12" s="2"/>
    </row>
    <row r="13" spans="1:15" ht="15.75" x14ac:dyDescent="0.25">
      <c r="A13" s="74" t="s">
        <v>32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</row>
    <row r="14" spans="1:15" x14ac:dyDescent="0.25">
      <c r="A14" s="72" t="s">
        <v>1</v>
      </c>
      <c r="B14" s="72"/>
      <c r="C14" s="72"/>
      <c r="D14" s="73" t="s">
        <v>2</v>
      </c>
      <c r="E14" s="73"/>
      <c r="F14" s="73"/>
      <c r="G14" s="73"/>
      <c r="H14" s="73"/>
      <c r="I14" s="73"/>
      <c r="J14" s="73" t="s">
        <v>3</v>
      </c>
      <c r="K14" s="73"/>
      <c r="L14" s="73"/>
      <c r="M14" s="73"/>
      <c r="N14" s="73"/>
      <c r="O14" s="73"/>
    </row>
    <row r="15" spans="1:15" x14ac:dyDescent="0.25">
      <c r="A15" s="6" t="s">
        <v>4</v>
      </c>
      <c r="B15" s="6" t="s">
        <v>5</v>
      </c>
      <c r="C15" s="6" t="s">
        <v>6</v>
      </c>
      <c r="D15" s="7">
        <v>1</v>
      </c>
      <c r="E15" s="7">
        <v>4</v>
      </c>
      <c r="F15" s="7">
        <v>16</v>
      </c>
      <c r="G15" s="7">
        <v>32</v>
      </c>
      <c r="H15" s="7">
        <v>64</v>
      </c>
      <c r="I15" s="7">
        <v>80</v>
      </c>
      <c r="J15" s="7">
        <v>1</v>
      </c>
      <c r="K15" s="7">
        <v>4</v>
      </c>
      <c r="L15" s="7">
        <v>16</v>
      </c>
      <c r="M15" s="7">
        <v>32</v>
      </c>
      <c r="N15" s="7">
        <v>64</v>
      </c>
      <c r="O15" s="7">
        <v>80</v>
      </c>
    </row>
    <row r="16" spans="1:15" x14ac:dyDescent="0.25">
      <c r="A16" s="8" t="s">
        <v>7</v>
      </c>
      <c r="B16" s="9" t="s">
        <v>8</v>
      </c>
      <c r="C16" s="9" t="s">
        <v>9</v>
      </c>
      <c r="D16" s="10">
        <v>73726</v>
      </c>
      <c r="E16" s="10">
        <v>25908</v>
      </c>
      <c r="F16" s="10">
        <v>7005</v>
      </c>
      <c r="G16" s="10">
        <v>3508</v>
      </c>
      <c r="H16" s="10">
        <v>3156</v>
      </c>
      <c r="I16" s="10">
        <v>2478</v>
      </c>
      <c r="J16" s="11">
        <f t="shared" ref="J16:O21" si="1">IF(D16="","",(1/D16)*1000000)</f>
        <v>13.563735995442585</v>
      </c>
      <c r="K16" s="11">
        <f t="shared" si="1"/>
        <v>38.598116411919101</v>
      </c>
      <c r="L16" s="11">
        <f t="shared" si="1"/>
        <v>142.75517487508924</v>
      </c>
      <c r="M16" s="11">
        <f t="shared" si="1"/>
        <v>285.06271379703537</v>
      </c>
      <c r="N16" s="11">
        <f t="shared" si="1"/>
        <v>316.85678073510769</v>
      </c>
      <c r="O16" s="11">
        <f t="shared" si="1"/>
        <v>403.55125100887813</v>
      </c>
    </row>
    <row r="17" spans="1:15" x14ac:dyDescent="0.25">
      <c r="A17" s="8" t="s">
        <v>10</v>
      </c>
      <c r="B17" s="9" t="s">
        <v>8</v>
      </c>
      <c r="C17" s="9" t="s">
        <v>11</v>
      </c>
      <c r="D17" s="10">
        <v>24523</v>
      </c>
      <c r="E17" s="10">
        <v>14839</v>
      </c>
      <c r="F17" s="10">
        <v>5291</v>
      </c>
      <c r="G17" s="10">
        <v>2876</v>
      </c>
      <c r="H17" s="10">
        <v>2534</v>
      </c>
      <c r="I17" s="10">
        <v>2380</v>
      </c>
      <c r="J17" s="11">
        <f t="shared" si="1"/>
        <v>40.778045100517879</v>
      </c>
      <c r="K17" s="11">
        <f t="shared" si="1"/>
        <v>67.389985848102967</v>
      </c>
      <c r="L17" s="11">
        <f t="shared" si="1"/>
        <v>189.00018900018898</v>
      </c>
      <c r="M17" s="11">
        <f t="shared" si="1"/>
        <v>347.7051460361613</v>
      </c>
      <c r="N17" s="11">
        <f t="shared" si="1"/>
        <v>394.63299131807418</v>
      </c>
      <c r="O17" s="11">
        <f t="shared" si="1"/>
        <v>420.1680672268908</v>
      </c>
    </row>
    <row r="18" spans="1:15" x14ac:dyDescent="0.25">
      <c r="A18" s="9" t="s">
        <v>12</v>
      </c>
      <c r="B18" s="9" t="s">
        <v>13</v>
      </c>
      <c r="C18" s="9" t="s">
        <v>9</v>
      </c>
      <c r="D18" s="10">
        <v>71146</v>
      </c>
      <c r="E18" s="10">
        <v>21887</v>
      </c>
      <c r="F18" s="10"/>
      <c r="G18" s="10"/>
      <c r="H18" s="10"/>
      <c r="I18" s="10"/>
      <c r="J18" s="11">
        <f t="shared" si="1"/>
        <v>14.055603969302561</v>
      </c>
      <c r="K18" s="11">
        <f t="shared" si="1"/>
        <v>45.689221912550828</v>
      </c>
      <c r="L18" s="11" t="str">
        <f t="shared" si="1"/>
        <v/>
      </c>
      <c r="M18" s="11" t="str">
        <f t="shared" si="1"/>
        <v/>
      </c>
      <c r="N18" s="11" t="str">
        <f t="shared" si="1"/>
        <v/>
      </c>
      <c r="O18" s="11" t="str">
        <f t="shared" si="1"/>
        <v/>
      </c>
    </row>
    <row r="19" spans="1:15" x14ac:dyDescent="0.25">
      <c r="A19" s="9" t="s">
        <v>14</v>
      </c>
      <c r="B19" s="9" t="s">
        <v>13</v>
      </c>
      <c r="C19" s="9" t="s">
        <v>11</v>
      </c>
      <c r="D19" s="10">
        <v>19433</v>
      </c>
      <c r="E19" s="10">
        <v>10996</v>
      </c>
      <c r="F19" s="10"/>
      <c r="G19" s="10"/>
      <c r="H19" s="10"/>
      <c r="I19" s="10"/>
      <c r="J19" s="11">
        <f t="shared" si="1"/>
        <v>51.45885864251531</v>
      </c>
      <c r="K19" s="11">
        <f t="shared" si="1"/>
        <v>90.942160785740271</v>
      </c>
      <c r="L19" s="11" t="str">
        <f t="shared" si="1"/>
        <v/>
      </c>
      <c r="M19" s="11" t="str">
        <f t="shared" si="1"/>
        <v/>
      </c>
      <c r="N19" s="11" t="str">
        <f t="shared" si="1"/>
        <v/>
      </c>
      <c r="O19" s="11" t="str">
        <f t="shared" si="1"/>
        <v/>
      </c>
    </row>
    <row r="20" spans="1:15" x14ac:dyDescent="0.25">
      <c r="A20" s="9" t="s">
        <v>15</v>
      </c>
      <c r="B20" s="9" t="s">
        <v>16</v>
      </c>
      <c r="C20" s="9" t="s">
        <v>11</v>
      </c>
      <c r="D20" s="10">
        <v>14820</v>
      </c>
      <c r="E20" s="10">
        <v>9178</v>
      </c>
      <c r="F20" s="10"/>
      <c r="G20" s="10"/>
      <c r="H20" s="10"/>
      <c r="I20" s="10"/>
      <c r="J20" s="11">
        <f t="shared" si="1"/>
        <v>67.476383265856953</v>
      </c>
      <c r="K20" s="11">
        <f t="shared" si="1"/>
        <v>108.95619960775768</v>
      </c>
      <c r="L20" s="11" t="str">
        <f t="shared" si="1"/>
        <v/>
      </c>
      <c r="M20" s="11" t="str">
        <f t="shared" si="1"/>
        <v/>
      </c>
      <c r="N20" s="11" t="str">
        <f t="shared" si="1"/>
        <v/>
      </c>
      <c r="O20" s="11" t="str">
        <f t="shared" si="1"/>
        <v/>
      </c>
    </row>
    <row r="21" spans="1:15" x14ac:dyDescent="0.25">
      <c r="A21" s="9" t="s">
        <v>17</v>
      </c>
      <c r="B21" s="8" t="s">
        <v>18</v>
      </c>
      <c r="C21" s="9" t="s">
        <v>11</v>
      </c>
      <c r="D21" s="20">
        <v>13566</v>
      </c>
      <c r="E21" s="20">
        <v>8901</v>
      </c>
      <c r="F21" s="10"/>
      <c r="G21" s="10"/>
      <c r="H21" s="10"/>
      <c r="I21" s="10"/>
      <c r="J21" s="11">
        <f t="shared" si="1"/>
        <v>73.713696004717676</v>
      </c>
      <c r="K21" s="11">
        <f t="shared" si="1"/>
        <v>112.34692731153804</v>
      </c>
      <c r="L21" s="11" t="str">
        <f t="shared" si="1"/>
        <v/>
      </c>
      <c r="M21" s="11" t="str">
        <f t="shared" si="1"/>
        <v/>
      </c>
      <c r="N21" s="11" t="str">
        <f t="shared" si="1"/>
        <v/>
      </c>
      <c r="O21" s="11" t="str">
        <f t="shared" si="1"/>
        <v/>
      </c>
    </row>
  </sheetData>
  <mergeCells count="9">
    <mergeCell ref="A14:C14"/>
    <mergeCell ref="D14:I14"/>
    <mergeCell ref="J14:O14"/>
    <mergeCell ref="A13:O13"/>
    <mergeCell ref="A1:I1"/>
    <mergeCell ref="A3:C3"/>
    <mergeCell ref="D3:I3"/>
    <mergeCell ref="J3:O3"/>
    <mergeCell ref="A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9"/>
  <sheetViews>
    <sheetView workbookViewId="0">
      <selection activeCell="C207" sqref="C207"/>
    </sheetView>
  </sheetViews>
  <sheetFormatPr defaultRowHeight="15" x14ac:dyDescent="0.25"/>
  <cols>
    <col min="2" max="2" width="19" customWidth="1"/>
    <col min="3" max="3" width="10.5703125" customWidth="1"/>
    <col min="10" max="10" width="9.85546875" bestFit="1" customWidth="1"/>
  </cols>
  <sheetData>
    <row r="1" spans="1:31" ht="18.75" x14ac:dyDescent="0.25">
      <c r="A1" s="77" t="s">
        <v>31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84"/>
      <c r="Q1" s="85" t="s">
        <v>21</v>
      </c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</row>
    <row r="2" spans="1:31" ht="15.75" x14ac:dyDescent="0.25">
      <c r="A2" s="79" t="s">
        <v>35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92"/>
      <c r="Q2" s="85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</row>
    <row r="3" spans="1:31" x14ac:dyDescent="0.25">
      <c r="A3" s="72" t="s">
        <v>1</v>
      </c>
      <c r="B3" s="72"/>
      <c r="C3" s="72"/>
      <c r="D3" s="73" t="s">
        <v>2</v>
      </c>
      <c r="E3" s="73"/>
      <c r="F3" s="73"/>
      <c r="G3" s="73"/>
      <c r="H3" s="73"/>
      <c r="I3" s="73"/>
      <c r="J3" s="73" t="s">
        <v>3</v>
      </c>
      <c r="K3" s="73"/>
      <c r="L3" s="73"/>
      <c r="M3" s="73"/>
      <c r="N3" s="73"/>
      <c r="O3" s="73"/>
      <c r="Q3" s="87" t="s">
        <v>1</v>
      </c>
      <c r="R3" s="88"/>
      <c r="S3" s="89"/>
      <c r="T3" s="90" t="s">
        <v>2</v>
      </c>
      <c r="U3" s="91"/>
      <c r="V3" s="91"/>
      <c r="W3" s="91"/>
      <c r="X3" s="91"/>
      <c r="Y3" s="91"/>
      <c r="Z3" s="90" t="s">
        <v>3</v>
      </c>
      <c r="AA3" s="91"/>
      <c r="AB3" s="91"/>
      <c r="AC3" s="91"/>
      <c r="AD3" s="91"/>
      <c r="AE3" s="91"/>
    </row>
    <row r="4" spans="1:31" x14ac:dyDescent="0.25">
      <c r="A4" s="6" t="s">
        <v>4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  <c r="Q4" s="6" t="s">
        <v>4</v>
      </c>
      <c r="R4" s="6" t="s">
        <v>5</v>
      </c>
      <c r="S4" s="6" t="s">
        <v>6</v>
      </c>
      <c r="T4" s="7">
        <v>1</v>
      </c>
      <c r="U4" s="7">
        <v>4</v>
      </c>
      <c r="V4" s="7">
        <v>16</v>
      </c>
      <c r="W4" s="7">
        <v>32</v>
      </c>
      <c r="X4" s="7">
        <v>64</v>
      </c>
      <c r="Y4" s="7">
        <v>80</v>
      </c>
      <c r="Z4" s="7">
        <v>1</v>
      </c>
      <c r="AA4" s="7">
        <v>4</v>
      </c>
      <c r="AB4" s="7">
        <v>16</v>
      </c>
      <c r="AC4" s="7">
        <v>32</v>
      </c>
      <c r="AD4" s="7">
        <v>64</v>
      </c>
      <c r="AE4" s="7">
        <v>80</v>
      </c>
    </row>
    <row r="5" spans="1:31" x14ac:dyDescent="0.25">
      <c r="A5" s="8" t="s">
        <v>7</v>
      </c>
      <c r="B5" s="9" t="s">
        <v>8</v>
      </c>
      <c r="C5" s="9" t="s">
        <v>9</v>
      </c>
      <c r="D5" s="21">
        <v>42324</v>
      </c>
      <c r="E5" s="10">
        <v>19832</v>
      </c>
      <c r="F5" s="10">
        <v>6019</v>
      </c>
      <c r="G5" s="10"/>
      <c r="H5" s="10"/>
      <c r="I5" s="10"/>
      <c r="J5" s="11">
        <f>IF(D5="","",(1/D5)*1000000)</f>
        <v>23.627256402986486</v>
      </c>
      <c r="K5" s="11">
        <f t="shared" ref="J5:O10" si="0">IF(E5="","",(1/E5)*1000000)</f>
        <v>50.423557886244453</v>
      </c>
      <c r="L5" s="11">
        <f t="shared" si="0"/>
        <v>166.14055490945341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  <c r="Q5" s="8" t="s">
        <v>7</v>
      </c>
      <c r="R5" s="9" t="s">
        <v>8</v>
      </c>
      <c r="S5" s="9" t="s">
        <v>9</v>
      </c>
      <c r="T5" s="21">
        <v>43616</v>
      </c>
      <c r="U5" s="10">
        <v>20094</v>
      </c>
      <c r="V5" s="10">
        <v>6080</v>
      </c>
      <c r="W5" s="10"/>
      <c r="X5" s="10"/>
      <c r="Y5" s="10"/>
      <c r="Z5" s="11">
        <f t="shared" ref="Z5:Z10" si="1">IF(T5="","",(1/T5)*1000000)</f>
        <v>22.927366104181953</v>
      </c>
      <c r="AA5" s="11">
        <f t="shared" ref="AA5:AA10" si="2">IF(U5="","",(1/U5)*1000000)</f>
        <v>49.766099333134271</v>
      </c>
      <c r="AB5" s="11">
        <f t="shared" ref="AB5:AB10" si="3">IF(V5="","",(1/V5)*1000000)</f>
        <v>164.4736842105263</v>
      </c>
      <c r="AC5" s="11" t="str">
        <f t="shared" ref="AC5:AC10" si="4">IF(W5="","",(1/W5)*1000000)</f>
        <v/>
      </c>
      <c r="AD5" s="11" t="str">
        <f t="shared" ref="AD5:AD10" si="5">IF(X5="","",(1/X5)*1000000)</f>
        <v/>
      </c>
      <c r="AE5" s="11" t="str">
        <f t="shared" ref="AE5:AE10" si="6">IF(Y5="","",(1/Y5)*1000000)</f>
        <v/>
      </c>
    </row>
    <row r="6" spans="1:31" x14ac:dyDescent="0.25">
      <c r="A6" s="8" t="s">
        <v>10</v>
      </c>
      <c r="B6" s="9" t="s">
        <v>8</v>
      </c>
      <c r="C6" s="9" t="s">
        <v>11</v>
      </c>
      <c r="D6" s="21">
        <v>13314</v>
      </c>
      <c r="E6" s="21">
        <v>10273</v>
      </c>
      <c r="F6" s="10">
        <v>4200</v>
      </c>
      <c r="G6" s="10"/>
      <c r="H6" s="10"/>
      <c r="I6" s="10"/>
      <c r="J6" s="11">
        <f>IF(D6="","",(1/D6)*1000000)</f>
        <v>75.108907916478898</v>
      </c>
      <c r="K6" s="11">
        <f t="shared" si="0"/>
        <v>97.342548427917848</v>
      </c>
      <c r="L6" s="11">
        <f t="shared" si="0"/>
        <v>238.0952380952381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  <c r="Q6" s="8" t="s">
        <v>10</v>
      </c>
      <c r="R6" s="9" t="s">
        <v>8</v>
      </c>
      <c r="S6" s="9" t="s">
        <v>11</v>
      </c>
      <c r="T6" s="21">
        <v>13974</v>
      </c>
      <c r="U6" s="21">
        <v>10347</v>
      </c>
      <c r="V6" s="10">
        <v>4314</v>
      </c>
      <c r="W6" s="10"/>
      <c r="X6" s="10"/>
      <c r="Y6" s="10"/>
      <c r="Z6" s="11">
        <f t="shared" si="1"/>
        <v>71.561471303850013</v>
      </c>
      <c r="AA6" s="11">
        <f t="shared" si="2"/>
        <v>96.646370928771617</v>
      </c>
      <c r="AB6" s="11">
        <f t="shared" si="3"/>
        <v>231.80343069077421</v>
      </c>
      <c r="AC6" s="11" t="str">
        <f t="shared" si="4"/>
        <v/>
      </c>
      <c r="AD6" s="11" t="str">
        <f t="shared" si="5"/>
        <v/>
      </c>
      <c r="AE6" s="11" t="str">
        <f t="shared" si="6"/>
        <v/>
      </c>
    </row>
    <row r="7" spans="1:31" x14ac:dyDescent="0.25">
      <c r="A7" s="9" t="s">
        <v>12</v>
      </c>
      <c r="B7" s="9" t="s">
        <v>13</v>
      </c>
      <c r="C7" s="9" t="s">
        <v>9</v>
      </c>
      <c r="D7" s="21">
        <v>40668</v>
      </c>
      <c r="E7" s="10">
        <v>17969</v>
      </c>
      <c r="F7" s="10">
        <v>5809</v>
      </c>
      <c r="G7" s="10"/>
      <c r="H7" s="10"/>
      <c r="I7" s="10"/>
      <c r="J7" s="11">
        <f t="shared" si="0"/>
        <v>24.5893577259762</v>
      </c>
      <c r="K7" s="11">
        <f t="shared" si="0"/>
        <v>55.651399632700766</v>
      </c>
      <c r="L7" s="11">
        <f t="shared" si="0"/>
        <v>172.14666896195558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  <c r="Q7" s="9" t="s">
        <v>12</v>
      </c>
      <c r="R7" s="9" t="s">
        <v>13</v>
      </c>
      <c r="S7" s="9" t="s">
        <v>9</v>
      </c>
      <c r="T7" s="21">
        <v>41671</v>
      </c>
      <c r="U7" s="10">
        <v>18202</v>
      </c>
      <c r="V7" s="10">
        <v>5809</v>
      </c>
      <c r="W7" s="10"/>
      <c r="X7" s="10"/>
      <c r="Y7" s="10"/>
      <c r="Z7" s="11">
        <f t="shared" si="1"/>
        <v>23.997504259557008</v>
      </c>
      <c r="AA7" s="11">
        <f t="shared" si="2"/>
        <v>54.939017690363698</v>
      </c>
      <c r="AB7" s="11">
        <f t="shared" si="3"/>
        <v>172.14666896195558</v>
      </c>
      <c r="AC7" s="11" t="str">
        <f t="shared" si="4"/>
        <v/>
      </c>
      <c r="AD7" s="11" t="str">
        <f t="shared" si="5"/>
        <v/>
      </c>
      <c r="AE7" s="11" t="str">
        <f t="shared" si="6"/>
        <v/>
      </c>
    </row>
    <row r="8" spans="1:31" x14ac:dyDescent="0.25">
      <c r="A8" s="9" t="s">
        <v>14</v>
      </c>
      <c r="B8" s="9" t="s">
        <v>13</v>
      </c>
      <c r="C8" s="9" t="s">
        <v>11</v>
      </c>
      <c r="D8" s="21">
        <v>13166</v>
      </c>
      <c r="E8" s="10">
        <v>7373</v>
      </c>
      <c r="F8" s="10">
        <v>4039</v>
      </c>
      <c r="G8" s="10"/>
      <c r="H8" s="10"/>
      <c r="I8" s="10"/>
      <c r="J8" s="11">
        <f t="shared" si="0"/>
        <v>75.953212820902323</v>
      </c>
      <c r="K8" s="11">
        <f t="shared" si="0"/>
        <v>135.6300013563</v>
      </c>
      <c r="L8" s="11">
        <f t="shared" si="0"/>
        <v>247.58603614756129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  <c r="Q8" s="9" t="s">
        <v>14</v>
      </c>
      <c r="R8" s="9" t="s">
        <v>13</v>
      </c>
      <c r="S8" s="9" t="s">
        <v>11</v>
      </c>
      <c r="T8" s="21">
        <v>13248</v>
      </c>
      <c r="U8" s="10">
        <v>8681</v>
      </c>
      <c r="V8" s="10">
        <v>4146</v>
      </c>
      <c r="W8" s="10"/>
      <c r="X8" s="10"/>
      <c r="Y8" s="10"/>
      <c r="Z8" s="11">
        <f t="shared" si="1"/>
        <v>75.483091787439605</v>
      </c>
      <c r="AA8" s="11">
        <f t="shared" si="2"/>
        <v>115.19410206197443</v>
      </c>
      <c r="AB8" s="11">
        <f t="shared" si="3"/>
        <v>241.19633381572601</v>
      </c>
      <c r="AC8" s="11" t="str">
        <f t="shared" si="4"/>
        <v/>
      </c>
      <c r="AD8" s="11" t="str">
        <f t="shared" si="5"/>
        <v/>
      </c>
      <c r="AE8" s="11" t="str">
        <f t="shared" si="6"/>
        <v/>
      </c>
    </row>
    <row r="9" spans="1:31" x14ac:dyDescent="0.25">
      <c r="A9" s="9" t="s">
        <v>15</v>
      </c>
      <c r="B9" s="9" t="s">
        <v>16</v>
      </c>
      <c r="C9" s="9" t="s">
        <v>11</v>
      </c>
      <c r="D9" s="21">
        <v>10528</v>
      </c>
      <c r="E9" s="10">
        <v>7667</v>
      </c>
      <c r="F9" s="10">
        <v>4267</v>
      </c>
      <c r="G9" s="10"/>
      <c r="H9" s="10"/>
      <c r="I9" s="10"/>
      <c r="J9" s="11">
        <f t="shared" si="0"/>
        <v>94.984802431610944</v>
      </c>
      <c r="K9" s="11">
        <f t="shared" si="0"/>
        <v>130.42911177774877</v>
      </c>
      <c r="L9" s="11">
        <f t="shared" si="0"/>
        <v>234.35669088352472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  <c r="Q9" s="9" t="s">
        <v>15</v>
      </c>
      <c r="R9" s="9" t="s">
        <v>16</v>
      </c>
      <c r="S9" s="9" t="s">
        <v>11</v>
      </c>
      <c r="T9" s="21">
        <v>12840</v>
      </c>
      <c r="U9" s="10">
        <v>8768</v>
      </c>
      <c r="V9" s="10">
        <v>4340</v>
      </c>
      <c r="W9" s="10"/>
      <c r="X9" s="10"/>
      <c r="Y9" s="10"/>
      <c r="Z9" s="11">
        <f t="shared" si="1"/>
        <v>77.881619937694708</v>
      </c>
      <c r="AA9" s="11">
        <f t="shared" si="2"/>
        <v>114.05109489051094</v>
      </c>
      <c r="AB9" s="11">
        <f t="shared" si="3"/>
        <v>230.41474654377879</v>
      </c>
      <c r="AC9" s="11" t="str">
        <f t="shared" si="4"/>
        <v/>
      </c>
      <c r="AD9" s="11" t="str">
        <f t="shared" si="5"/>
        <v/>
      </c>
      <c r="AE9" s="11" t="str">
        <f t="shared" si="6"/>
        <v/>
      </c>
    </row>
    <row r="10" spans="1:31" x14ac:dyDescent="0.25">
      <c r="A10" s="9" t="s">
        <v>17</v>
      </c>
      <c r="B10" s="8" t="s">
        <v>18</v>
      </c>
      <c r="C10" s="9" t="s">
        <v>11</v>
      </c>
      <c r="D10" s="21">
        <v>11669</v>
      </c>
      <c r="E10" s="10">
        <v>8415</v>
      </c>
      <c r="F10" s="10">
        <v>4293</v>
      </c>
      <c r="G10" s="10"/>
      <c r="H10" s="10"/>
      <c r="I10" s="10"/>
      <c r="J10" s="11">
        <f t="shared" si="0"/>
        <v>85.697146285028708</v>
      </c>
      <c r="K10" s="11">
        <f t="shared" si="0"/>
        <v>118.83541295306001</v>
      </c>
      <c r="L10" s="11">
        <f t="shared" si="0"/>
        <v>232.93733985557887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  <c r="Q10" s="9" t="s">
        <v>17</v>
      </c>
      <c r="R10" s="8" t="s">
        <v>18</v>
      </c>
      <c r="S10" s="9" t="s">
        <v>11</v>
      </c>
      <c r="T10" s="21">
        <v>12712</v>
      </c>
      <c r="U10" s="10">
        <v>8528</v>
      </c>
      <c r="V10" s="10">
        <v>4362</v>
      </c>
      <c r="W10" s="10"/>
      <c r="X10" s="10"/>
      <c r="Y10" s="10"/>
      <c r="Z10" s="11">
        <f t="shared" si="1"/>
        <v>78.665827564505989</v>
      </c>
      <c r="AA10" s="11">
        <f t="shared" si="2"/>
        <v>117.26078799249531</v>
      </c>
      <c r="AB10" s="11">
        <f t="shared" si="3"/>
        <v>229.25263640531867</v>
      </c>
      <c r="AC10" s="11" t="str">
        <f t="shared" si="4"/>
        <v/>
      </c>
      <c r="AD10" s="11" t="str">
        <f t="shared" si="5"/>
        <v/>
      </c>
      <c r="AE10" s="11" t="str">
        <f t="shared" si="6"/>
        <v/>
      </c>
    </row>
    <row r="11" spans="1:31" x14ac:dyDescent="0.25">
      <c r="A11" s="22" t="s">
        <v>36</v>
      </c>
      <c r="B11" s="22"/>
    </row>
    <row r="12" spans="1:31" ht="18.75" x14ac:dyDescent="0.3">
      <c r="A12" s="75" t="s">
        <v>33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3"/>
    </row>
    <row r="13" spans="1:31" x14ac:dyDescent="0.25">
      <c r="A13" s="72" t="s">
        <v>1</v>
      </c>
      <c r="B13" s="72"/>
      <c r="C13" s="72"/>
      <c r="D13" s="73" t="s">
        <v>19</v>
      </c>
      <c r="E13" s="73"/>
      <c r="F13" s="73"/>
      <c r="G13" s="73"/>
      <c r="H13" s="73"/>
      <c r="I13" s="73"/>
      <c r="J13" s="73" t="s">
        <v>22</v>
      </c>
      <c r="K13" s="73"/>
      <c r="L13" s="73"/>
      <c r="M13" s="73"/>
      <c r="N13" s="73"/>
      <c r="O13" s="73"/>
    </row>
    <row r="14" spans="1:31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31" x14ac:dyDescent="0.25">
      <c r="A15" s="8" t="s">
        <v>7</v>
      </c>
      <c r="B15" s="9" t="s">
        <v>8</v>
      </c>
      <c r="C15" s="9" t="s">
        <v>9</v>
      </c>
      <c r="D15" s="12">
        <f>IF(D5="","",(D5-Comparisons!D5)/Comparisons!D5)</f>
        <v>-9.2966439501092971E-2</v>
      </c>
      <c r="E15" s="12">
        <f>IF(E5="","",(E5-Comparisons!E5)/Comparisons!E5)</f>
        <v>-4.9599846647817129E-2</v>
      </c>
      <c r="F15" s="12">
        <f>IF(F5="","",(F5-Comparisons!F5)/Comparisons!F5)</f>
        <v>2.6653339996668335E-3</v>
      </c>
      <c r="G15" s="12" t="str">
        <f>IF(G5="","",(G5-Comparisons!G5)/Comparisons!G5)</f>
        <v/>
      </c>
      <c r="H15" s="12" t="str">
        <f>IF(H5="","",(H5-Comparisons!H5)/Comparisons!H5)</f>
        <v/>
      </c>
      <c r="I15" s="12" t="str">
        <f>IF(I5="","",(I5-Comparisons!I5)/Comparisons!I5)</f>
        <v/>
      </c>
      <c r="J15" s="11">
        <f>IF(D15="","",J5-((1/Comparisons!D5)*1000000))</f>
        <v>2.1965419029650555</v>
      </c>
      <c r="K15" s="11">
        <f>IF(E15="","",K5-((1/Comparisons!E5)*1000000))</f>
        <v>2.501000738595053</v>
      </c>
      <c r="L15" s="11">
        <f>IF(F15="","",L5-((1/Comparisons!F5)*1000000))</f>
        <v>-0.44282006972366617</v>
      </c>
      <c r="M15" s="11" t="str">
        <f>IF(G15="","",M5-((1/Comparisons!G5)*1000000))</f>
        <v/>
      </c>
      <c r="N15" s="11" t="str">
        <f>IF(H15="","",N5-((1/Comparisons!H5)*1000000))</f>
        <v/>
      </c>
      <c r="O15" s="11" t="str">
        <f>IF(I15="","",O5-((1/Comparisons!I5)*1000000))</f>
        <v/>
      </c>
    </row>
    <row r="16" spans="1:31" x14ac:dyDescent="0.25">
      <c r="A16" s="8" t="s">
        <v>10</v>
      </c>
      <c r="B16" s="9" t="s">
        <v>8</v>
      </c>
      <c r="C16" s="9" t="s">
        <v>11</v>
      </c>
      <c r="D16" s="12">
        <f>IF(D6="","",(D6-Comparisons!D6)/Comparisons!D6)</f>
        <v>0.21956581478428139</v>
      </c>
      <c r="E16" s="12">
        <f>IF(E6="","",(E6-Comparisons!E6)/Comparisons!E6)</f>
        <v>0.21674760156342532</v>
      </c>
      <c r="F16" s="12">
        <f>IF(F6="","",(F6-Comparisons!F6)/Comparisons!F6)</f>
        <v>-0.04</v>
      </c>
      <c r="G16" s="12" t="str">
        <f>IF(G6="","",(G6-Comparisons!G6)/Comparisons!G6)</f>
        <v/>
      </c>
      <c r="H16" s="12" t="str">
        <f>IF(H6="","",(H6-Comparisons!H6)/Comparisons!H6)</f>
        <v/>
      </c>
      <c r="I16" s="12" t="str">
        <f>IF(I6="","",(I6-Comparisons!I6)/Comparisons!I6)</f>
        <v/>
      </c>
      <c r="J16" s="11">
        <f>IF(D16="","",J6-((1/Comparisons!D6)*1000000))</f>
        <v>-16.491348564239246</v>
      </c>
      <c r="K16" s="11">
        <f>IF(E16="","",K6-((1/Comparisons!E6)*1000000))</f>
        <v>-21.098763901822764</v>
      </c>
      <c r="L16" s="11">
        <f>IF(F16="","",L6-((1/Comparisons!F6)*1000000))</f>
        <v>9.5238095238095468</v>
      </c>
      <c r="M16" s="11" t="str">
        <f>IF(G16="","",M6-((1/Comparisons!G6)*1000000))</f>
        <v/>
      </c>
      <c r="N16" s="11" t="str">
        <f>IF(H16="","",N6-((1/Comparisons!H6)*1000000))</f>
        <v/>
      </c>
      <c r="O16" s="11" t="str">
        <f>IF(I16="","",O6-((1/Comparisons!I6)*1000000))</f>
        <v/>
      </c>
    </row>
    <row r="17" spans="1:31" x14ac:dyDescent="0.25">
      <c r="A17" s="9" t="s">
        <v>12</v>
      </c>
      <c r="B17" s="9" t="s">
        <v>13</v>
      </c>
      <c r="C17" s="9" t="s">
        <v>9</v>
      </c>
      <c r="D17" s="12">
        <f>IF(D7="","",(D7-Comparisons!D7)/Comparisons!D7)</f>
        <v>1.7819601561717888E-2</v>
      </c>
      <c r="E17" s="12">
        <f>IF(E7="","",(E7-Comparisons!E7)/Comparisons!E7)</f>
        <v>9.3004866180048662E-2</v>
      </c>
      <c r="F17" s="12">
        <f>IF(F7="","",(F7-Comparisons!F7)/Comparisons!F7)</f>
        <v>3.0512684051800604E-2</v>
      </c>
      <c r="G17" s="12" t="str">
        <f>IF(G7="","",(G7-Comparisons!G7)/Comparisons!G7)</f>
        <v/>
      </c>
      <c r="H17" s="12" t="str">
        <f>IF(H7="","",(H7-Comparisons!H7)/Comparisons!H7)</f>
        <v/>
      </c>
      <c r="I17" s="12" t="str">
        <f>IF(I7="","",(I7-Comparisons!I7)/Comparisons!I7)</f>
        <v/>
      </c>
      <c r="J17" s="11">
        <f>IF(D17="","",J7-((1/Comparisons!D7)*1000000))</f>
        <v>-0.43817255733544158</v>
      </c>
      <c r="K17" s="11">
        <f>IF(E17="","",K7-((1/Comparisons!E7)*1000000))</f>
        <v>-5.1758509755717412</v>
      </c>
      <c r="L17" s="11">
        <f>IF(F17="","",L7-((1/Comparisons!F7)*1000000))</f>
        <v>-5.2526569206060572</v>
      </c>
      <c r="M17" s="11" t="str">
        <f>IF(G17="","",M7-((1/Comparisons!G7)*1000000))</f>
        <v/>
      </c>
      <c r="N17" s="11" t="str">
        <f>IF(H17="","",N7-((1/Comparisons!H7)*1000000))</f>
        <v/>
      </c>
      <c r="O17" s="11" t="str">
        <f>IF(I17="","",O7-((1/Comparisons!I7)*1000000))</f>
        <v/>
      </c>
    </row>
    <row r="18" spans="1:31" x14ac:dyDescent="0.25">
      <c r="A18" s="9" t="s">
        <v>14</v>
      </c>
      <c r="B18" s="9" t="s">
        <v>13</v>
      </c>
      <c r="C18" s="9" t="s">
        <v>11</v>
      </c>
      <c r="D18" s="12">
        <f>IF(D8="","",(D8-Comparisons!D8)/Comparisons!D8)</f>
        <v>0.42581763049599308</v>
      </c>
      <c r="E18" s="12">
        <f>IF(E8="","",(E8-Comparisons!E8)/Comparisons!E8)</f>
        <v>-2.1759320684622527E-2</v>
      </c>
      <c r="F18" s="12">
        <f>IF(F8="","",(F8-Comparisons!F8)/Comparisons!F8)</f>
        <v>3.6970474967907577E-2</v>
      </c>
      <c r="G18" s="12" t="str">
        <f>IF(G8="","",(G8-Comparisons!G8)/Comparisons!G8)</f>
        <v/>
      </c>
      <c r="H18" s="12" t="str">
        <f>IF(H8="","",(H8-Comparisons!H8)/Comparisons!H8)</f>
        <v/>
      </c>
      <c r="I18" s="12" t="str">
        <f>IF(I8="","",(I8-Comparisons!I8)/Comparisons!I8)</f>
        <v/>
      </c>
      <c r="J18" s="11">
        <f>IF(D18="","",J8-((1/Comparisons!D8)*1000000))</f>
        <v>-32.342217111954511</v>
      </c>
      <c r="K18" s="11">
        <f>IF(E18="","",K8-((1/Comparisons!E8)*1000000))</f>
        <v>2.951216693967524</v>
      </c>
      <c r="L18" s="11">
        <f>IF(F18="","",L8-((1/Comparisons!F8)*1000000))</f>
        <v>-9.1533733517968585</v>
      </c>
      <c r="M18" s="11" t="str">
        <f>IF(G18="","",M8-((1/Comparisons!G8)*1000000))</f>
        <v/>
      </c>
      <c r="N18" s="11" t="str">
        <f>IF(H18="","",N8-((1/Comparisons!H8)*1000000))</f>
        <v/>
      </c>
      <c r="O18" s="11" t="str">
        <f>IF(I18="","",O8-((1/Comparisons!I8)*1000000))</f>
        <v/>
      </c>
    </row>
    <row r="19" spans="1:31" x14ac:dyDescent="0.25">
      <c r="A19" s="9" t="s">
        <v>15</v>
      </c>
      <c r="B19" s="9" t="s">
        <v>16</v>
      </c>
      <c r="C19" s="9" t="s">
        <v>11</v>
      </c>
      <c r="D19" s="12">
        <f>IF(D9="","",(D9-Comparisons!D9)/Comparisons!D9)</f>
        <v>1.3981776765375855</v>
      </c>
      <c r="E19" s="12">
        <f>IF(E9="","",(E9-Comparisons!E9)/Comparisons!E9)</f>
        <v>0.14861423220973782</v>
      </c>
      <c r="F19" s="12">
        <f>IF(F9="","",(F9-Comparisons!F9)/Comparisons!F9)</f>
        <v>0.21844660194174756</v>
      </c>
      <c r="G19" s="12" t="str">
        <f>IF(G9="","",(G9-Comparisons!G9)/Comparisons!G9)</f>
        <v/>
      </c>
      <c r="H19" s="12" t="str">
        <f>IF(H9="","",(H9-Comparisons!H9)/Comparisons!H9)</f>
        <v/>
      </c>
      <c r="I19" s="12" t="str">
        <f>IF(I9="","",(I9-Comparisons!I9)/Comparisons!I9)</f>
        <v/>
      </c>
      <c r="J19" s="11">
        <f>IF(D19="","",J9-((1/Comparisons!D9)*1000000))</f>
        <v>-132.80563037021139</v>
      </c>
      <c r="K19" s="11">
        <f>IF(E19="","",K9-((1/Comparisons!E9)*1000000))</f>
        <v>-19.383622304648242</v>
      </c>
      <c r="L19" s="11">
        <f>IF(F19="","",L9-((1/Comparisons!F9)*1000000))</f>
        <v>-51.194422765818501</v>
      </c>
      <c r="M19" s="11" t="str">
        <f>IF(G19="","",M9-((1/Comparisons!G9)*1000000))</f>
        <v/>
      </c>
      <c r="N19" s="11" t="str">
        <f>IF(H19="","",N9-((1/Comparisons!H9)*1000000))</f>
        <v/>
      </c>
      <c r="O19" s="11" t="str">
        <f>IF(I19="","",O9-((1/Comparisons!I9)*1000000))</f>
        <v/>
      </c>
    </row>
    <row r="20" spans="1:31" x14ac:dyDescent="0.25">
      <c r="A20" s="9" t="s">
        <v>17</v>
      </c>
      <c r="B20" s="8" t="s">
        <v>18</v>
      </c>
      <c r="C20" s="9" t="s">
        <v>11</v>
      </c>
      <c r="D20" s="12">
        <f>IF(D10="","",(D10-Comparisons!D10)/Comparisons!D10)</f>
        <v>1.6358707928619833</v>
      </c>
      <c r="E20" s="12">
        <f>IF(E10="","",(E10-Comparisons!E10)/Comparisons!E10)</f>
        <v>0.46602787456445993</v>
      </c>
      <c r="F20" s="12">
        <f>IF(F10="","",(F10-Comparisons!F10)/Comparisons!F10)</f>
        <v>0.18101788170563962</v>
      </c>
      <c r="G20" s="12" t="str">
        <f>IF(G10="","",(G10-Comparisons!G10)/Comparisons!G10)</f>
        <v/>
      </c>
      <c r="H20" s="12" t="str">
        <f>IF(H10="","",(H10-Comparisons!H10)/Comparisons!H10)</f>
        <v/>
      </c>
      <c r="I20" s="12" t="str">
        <f>IF(I10="","",(I10-Comparisons!I10)/Comparisons!I10)</f>
        <v/>
      </c>
      <c r="J20" s="11">
        <f>IF(D20="","",J10-((1/Comparisons!D10)*1000000))</f>
        <v>-140.18945863929926</v>
      </c>
      <c r="K20" s="11">
        <f>IF(E20="","",K10-((1/Comparisons!E10)*1000000))</f>
        <v>-55.380614921504431</v>
      </c>
      <c r="L20" s="11">
        <f>IF(F20="","",L10-((1/Comparisons!F10)*1000000))</f>
        <v>-42.165823830803532</v>
      </c>
      <c r="M20" s="11" t="str">
        <f>IF(G20="","",M10-((1/Comparisons!G10)*1000000))</f>
        <v/>
      </c>
      <c r="N20" s="11" t="str">
        <f>IF(H20="","",N10-((1/Comparisons!H10)*1000000))</f>
        <v/>
      </c>
      <c r="O20" s="11" t="str">
        <f>IF(I20="","",O10-((1/Comparisons!I10)*1000000))</f>
        <v/>
      </c>
    </row>
    <row r="22" spans="1:31" ht="18.75" hidden="1" x14ac:dyDescent="0.25">
      <c r="A22" s="94" t="s">
        <v>0</v>
      </c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6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ht="15.75" hidden="1" customHeight="1" x14ac:dyDescent="0.25">
      <c r="A23" s="97" t="s">
        <v>27</v>
      </c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9"/>
      <c r="Q23" s="85" t="s">
        <v>21</v>
      </c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</row>
    <row r="24" spans="1:31" hidden="1" x14ac:dyDescent="0.25">
      <c r="A24" s="72" t="s">
        <v>1</v>
      </c>
      <c r="B24" s="72"/>
      <c r="C24" s="72"/>
      <c r="D24" s="73" t="s">
        <v>2</v>
      </c>
      <c r="E24" s="73"/>
      <c r="F24" s="73"/>
      <c r="G24" s="73"/>
      <c r="H24" s="73"/>
      <c r="I24" s="73"/>
      <c r="J24" s="73" t="s">
        <v>3</v>
      </c>
      <c r="K24" s="73"/>
      <c r="L24" s="73"/>
      <c r="M24" s="73"/>
      <c r="N24" s="73"/>
      <c r="O24" s="73"/>
      <c r="Q24" s="87" t="s">
        <v>1</v>
      </c>
      <c r="R24" s="88"/>
      <c r="S24" s="89"/>
      <c r="T24" s="90" t="s">
        <v>2</v>
      </c>
      <c r="U24" s="91"/>
      <c r="V24" s="91"/>
      <c r="W24" s="91"/>
      <c r="X24" s="91"/>
      <c r="Y24" s="91"/>
      <c r="Z24" s="90" t="s">
        <v>3</v>
      </c>
      <c r="AA24" s="91"/>
      <c r="AB24" s="91"/>
      <c r="AC24" s="91"/>
      <c r="AD24" s="91"/>
      <c r="AE24" s="91"/>
    </row>
    <row r="25" spans="1:31" hidden="1" x14ac:dyDescent="0.25">
      <c r="A25" s="6" t="s">
        <v>26</v>
      </c>
      <c r="B25" s="6" t="s">
        <v>5</v>
      </c>
      <c r="C25" s="6" t="s">
        <v>6</v>
      </c>
      <c r="D25" s="7">
        <v>1</v>
      </c>
      <c r="E25" s="7">
        <v>4</v>
      </c>
      <c r="F25" s="7">
        <v>16</v>
      </c>
      <c r="G25" s="7">
        <v>32</v>
      </c>
      <c r="H25" s="7">
        <v>64</v>
      </c>
      <c r="I25" s="7">
        <v>80</v>
      </c>
      <c r="J25" s="7">
        <v>1</v>
      </c>
      <c r="K25" s="7">
        <v>4</v>
      </c>
      <c r="L25" s="7">
        <v>16</v>
      </c>
      <c r="M25" s="7">
        <v>32</v>
      </c>
      <c r="N25" s="7">
        <v>64</v>
      </c>
      <c r="O25" s="7">
        <v>80</v>
      </c>
      <c r="Q25" s="6" t="s">
        <v>26</v>
      </c>
      <c r="R25" s="6" t="s">
        <v>5</v>
      </c>
      <c r="S25" s="6" t="s">
        <v>6</v>
      </c>
      <c r="T25" s="7">
        <v>1</v>
      </c>
      <c r="U25" s="7">
        <v>4</v>
      </c>
      <c r="V25" s="7">
        <v>16</v>
      </c>
      <c r="W25" s="7">
        <v>32</v>
      </c>
      <c r="X25" s="7">
        <v>64</v>
      </c>
      <c r="Y25" s="7">
        <v>80</v>
      </c>
      <c r="Z25" s="7">
        <v>1</v>
      </c>
      <c r="AA25" s="7">
        <v>4</v>
      </c>
      <c r="AB25" s="7">
        <v>16</v>
      </c>
      <c r="AC25" s="7">
        <v>32</v>
      </c>
      <c r="AD25" s="7">
        <v>64</v>
      </c>
      <c r="AE25" s="7">
        <v>80</v>
      </c>
    </row>
    <row r="26" spans="1:31" hidden="1" x14ac:dyDescent="0.25">
      <c r="A26" s="8" t="s">
        <v>7</v>
      </c>
      <c r="B26" s="9" t="s">
        <v>8</v>
      </c>
      <c r="C26" s="9" t="s">
        <v>9</v>
      </c>
      <c r="D26" s="10">
        <v>49932</v>
      </c>
      <c r="E26" s="10">
        <v>36058</v>
      </c>
      <c r="F26" s="10">
        <v>15922</v>
      </c>
      <c r="G26" s="10"/>
      <c r="H26" s="10"/>
      <c r="I26" s="10"/>
      <c r="J26" s="11">
        <f t="shared" ref="J26:J31" si="7">IF(D26="","",(1/D26)*1000000)</f>
        <v>20.027237042377632</v>
      </c>
      <c r="K26" s="11">
        <f t="shared" ref="K26:K31" si="8">IF(E26="","",(1/E26)*1000000)</f>
        <v>27.733096677575016</v>
      </c>
      <c r="L26" s="11">
        <f t="shared" ref="L26:L31" si="9">IF(F26="","",(1/F26)*1000000)</f>
        <v>62.806180128124609</v>
      </c>
      <c r="M26" s="11" t="str">
        <f t="shared" ref="M26:M31" si="10">IF(G26="","",(1/G26)*1000000)</f>
        <v/>
      </c>
      <c r="N26" s="11" t="str">
        <f t="shared" ref="N26:N31" si="11">IF(H26="","",(1/H26)*1000000)</f>
        <v/>
      </c>
      <c r="O26" s="11" t="str">
        <f t="shared" ref="O26:O31" si="12">IF(I26="","",(1/I26)*1000000)</f>
        <v/>
      </c>
      <c r="Q26" s="8" t="s">
        <v>7</v>
      </c>
      <c r="R26" s="9" t="s">
        <v>8</v>
      </c>
      <c r="S26" s="9" t="s">
        <v>9</v>
      </c>
      <c r="T26" s="10">
        <v>51861</v>
      </c>
      <c r="U26" s="10">
        <v>36604</v>
      </c>
      <c r="V26" s="10">
        <v>15842</v>
      </c>
      <c r="W26" s="10"/>
      <c r="X26" s="10"/>
      <c r="Y26" s="10"/>
      <c r="Z26" s="11">
        <f t="shared" ref="Z26:Z31" si="13">IF(T26="","",(1/T26)*1000000)</f>
        <v>19.282312334895199</v>
      </c>
      <c r="AA26" s="11">
        <f t="shared" ref="AA26:AA31" si="14">IF(U26="","",(1/U26)*1000000)</f>
        <v>27.319418642771282</v>
      </c>
      <c r="AB26" s="11">
        <f t="shared" ref="AB26:AB31" si="15">IF(V26="","",(1/V26)*1000000)</f>
        <v>63.123343012245925</v>
      </c>
      <c r="AC26" s="11" t="str">
        <f t="shared" ref="AC26:AC31" si="16">IF(W26="","",(1/W26)*1000000)</f>
        <v/>
      </c>
      <c r="AD26" s="11" t="str">
        <f t="shared" ref="AD26:AD31" si="17">IF(X26="","",(1/X26)*1000000)</f>
        <v/>
      </c>
      <c r="AE26" s="11" t="str">
        <f t="shared" ref="AE26:AE31" si="18">IF(Y26="","",(1/Y26)*1000000)</f>
        <v/>
      </c>
    </row>
    <row r="27" spans="1:31" hidden="1" x14ac:dyDescent="0.25">
      <c r="A27" s="8" t="s">
        <v>10</v>
      </c>
      <c r="B27" s="9" t="s">
        <v>8</v>
      </c>
      <c r="C27" s="9" t="s">
        <v>11</v>
      </c>
      <c r="D27" s="10">
        <v>9975</v>
      </c>
      <c r="E27" s="10">
        <v>9118</v>
      </c>
      <c r="F27" s="10">
        <v>6980</v>
      </c>
      <c r="G27" s="10"/>
      <c r="H27" s="10"/>
      <c r="I27" s="10"/>
      <c r="J27" s="11">
        <f t="shared" si="7"/>
        <v>100.25062656641605</v>
      </c>
      <c r="K27" s="11">
        <f t="shared" si="8"/>
        <v>109.67317394165387</v>
      </c>
      <c r="L27" s="11">
        <f t="shared" si="9"/>
        <v>143.26647564469914</v>
      </c>
      <c r="M27" s="11" t="str">
        <f t="shared" si="10"/>
        <v/>
      </c>
      <c r="N27" s="11" t="str">
        <f t="shared" si="11"/>
        <v/>
      </c>
      <c r="O27" s="11" t="str">
        <f t="shared" si="12"/>
        <v/>
      </c>
      <c r="Q27" s="8" t="s">
        <v>10</v>
      </c>
      <c r="R27" s="9" t="s">
        <v>8</v>
      </c>
      <c r="S27" s="9" t="s">
        <v>11</v>
      </c>
      <c r="T27" s="10">
        <v>10257</v>
      </c>
      <c r="U27" s="10">
        <v>9338</v>
      </c>
      <c r="V27" s="10">
        <v>7085</v>
      </c>
      <c r="W27" s="10"/>
      <c r="X27" s="10"/>
      <c r="Y27" s="10"/>
      <c r="Z27" s="11">
        <f t="shared" si="13"/>
        <v>97.494394072340839</v>
      </c>
      <c r="AA27" s="11">
        <f t="shared" si="14"/>
        <v>107.08931248661384</v>
      </c>
      <c r="AB27" s="11">
        <f t="shared" si="15"/>
        <v>141.14326040931547</v>
      </c>
      <c r="AC27" s="11" t="str">
        <f t="shared" si="16"/>
        <v/>
      </c>
      <c r="AD27" s="11" t="str">
        <f t="shared" si="17"/>
        <v/>
      </c>
      <c r="AE27" s="11" t="str">
        <f t="shared" si="18"/>
        <v/>
      </c>
    </row>
    <row r="28" spans="1:31" hidden="1" x14ac:dyDescent="0.25">
      <c r="A28" s="9" t="s">
        <v>12</v>
      </c>
      <c r="B28" s="9" t="s">
        <v>13</v>
      </c>
      <c r="C28" s="9" t="s">
        <v>9</v>
      </c>
      <c r="D28" s="10">
        <v>44933</v>
      </c>
      <c r="E28" s="10">
        <v>19931</v>
      </c>
      <c r="F28" s="10">
        <v>11669</v>
      </c>
      <c r="G28" s="10"/>
      <c r="H28" s="10"/>
      <c r="I28" s="10"/>
      <c r="J28" s="11">
        <f t="shared" si="7"/>
        <v>22.255357977433064</v>
      </c>
      <c r="K28" s="11">
        <f t="shared" si="8"/>
        <v>50.173097185289251</v>
      </c>
      <c r="L28" s="11">
        <f t="shared" si="9"/>
        <v>85.697146285028708</v>
      </c>
      <c r="M28" s="11" t="str">
        <f t="shared" si="10"/>
        <v/>
      </c>
      <c r="N28" s="11" t="str">
        <f t="shared" si="11"/>
        <v/>
      </c>
      <c r="O28" s="11" t="str">
        <f t="shared" si="12"/>
        <v/>
      </c>
      <c r="Q28" s="9" t="s">
        <v>12</v>
      </c>
      <c r="R28" s="9" t="s">
        <v>13</v>
      </c>
      <c r="S28" s="9" t="s">
        <v>9</v>
      </c>
      <c r="T28" s="10">
        <v>46391</v>
      </c>
      <c r="U28" s="10">
        <v>25261</v>
      </c>
      <c r="V28" s="10">
        <v>11826</v>
      </c>
      <c r="W28" s="10"/>
      <c r="X28" s="10"/>
      <c r="Y28" s="10"/>
      <c r="Z28" s="11">
        <f t="shared" si="13"/>
        <v>21.555905240240566</v>
      </c>
      <c r="AA28" s="11">
        <f t="shared" si="14"/>
        <v>39.586714698547169</v>
      </c>
      <c r="AB28" s="11">
        <f t="shared" si="15"/>
        <v>84.559445290038894</v>
      </c>
      <c r="AC28" s="11" t="str">
        <f t="shared" si="16"/>
        <v/>
      </c>
      <c r="AD28" s="11" t="str">
        <f t="shared" si="17"/>
        <v/>
      </c>
      <c r="AE28" s="11" t="str">
        <f t="shared" si="18"/>
        <v/>
      </c>
    </row>
    <row r="29" spans="1:31" hidden="1" x14ac:dyDescent="0.25">
      <c r="A29" s="9" t="s">
        <v>14</v>
      </c>
      <c r="B29" s="9" t="s">
        <v>13</v>
      </c>
      <c r="C29" s="9" t="s">
        <v>11</v>
      </c>
      <c r="D29" s="10">
        <v>9757</v>
      </c>
      <c r="E29" s="10">
        <v>8283</v>
      </c>
      <c r="F29" s="10">
        <v>5975</v>
      </c>
      <c r="G29" s="10"/>
      <c r="H29" s="10"/>
      <c r="I29" s="10"/>
      <c r="J29" s="11">
        <f t="shared" si="7"/>
        <v>102.49051962693451</v>
      </c>
      <c r="K29" s="11">
        <f t="shared" si="8"/>
        <v>120.72920439454305</v>
      </c>
      <c r="L29" s="11">
        <f t="shared" si="9"/>
        <v>167.36401673640168</v>
      </c>
      <c r="M29" s="11" t="str">
        <f t="shared" si="10"/>
        <v/>
      </c>
      <c r="N29" s="11" t="str">
        <f t="shared" si="11"/>
        <v/>
      </c>
      <c r="O29" s="11" t="str">
        <f t="shared" si="12"/>
        <v/>
      </c>
      <c r="Q29" s="9" t="s">
        <v>14</v>
      </c>
      <c r="R29" s="9" t="s">
        <v>13</v>
      </c>
      <c r="S29" s="9" t="s">
        <v>11</v>
      </c>
      <c r="T29" s="10">
        <v>9910</v>
      </c>
      <c r="U29" s="10">
        <v>8847</v>
      </c>
      <c r="V29" s="10">
        <v>6223</v>
      </c>
      <c r="W29" s="10"/>
      <c r="X29" s="10"/>
      <c r="Y29" s="10"/>
      <c r="Z29" s="11">
        <f t="shared" si="13"/>
        <v>100.90817356205852</v>
      </c>
      <c r="AA29" s="11">
        <f t="shared" si="14"/>
        <v>113.03266644060133</v>
      </c>
      <c r="AB29" s="11">
        <f t="shared" si="15"/>
        <v>160.6941989394183</v>
      </c>
      <c r="AC29" s="11" t="str">
        <f t="shared" si="16"/>
        <v/>
      </c>
      <c r="AD29" s="11" t="str">
        <f t="shared" si="17"/>
        <v/>
      </c>
      <c r="AE29" s="11" t="str">
        <f t="shared" si="18"/>
        <v/>
      </c>
    </row>
    <row r="30" spans="1:31" hidden="1" x14ac:dyDescent="0.25">
      <c r="A30" s="9" t="s">
        <v>15</v>
      </c>
      <c r="B30" s="9" t="s">
        <v>16</v>
      </c>
      <c r="C30" s="9" t="s">
        <v>11</v>
      </c>
      <c r="D30" s="10">
        <v>4341</v>
      </c>
      <c r="E30" s="10">
        <v>7315</v>
      </c>
      <c r="F30" s="10">
        <v>5368</v>
      </c>
      <c r="G30" s="10"/>
      <c r="H30" s="10"/>
      <c r="I30" s="10"/>
      <c r="J30" s="11">
        <f t="shared" si="7"/>
        <v>230.36166781847498</v>
      </c>
      <c r="K30" s="11">
        <f t="shared" si="8"/>
        <v>136.70539986329459</v>
      </c>
      <c r="L30" s="11">
        <f t="shared" si="9"/>
        <v>186.28912071535024</v>
      </c>
      <c r="M30" s="11" t="str">
        <f t="shared" si="10"/>
        <v/>
      </c>
      <c r="N30" s="11" t="str">
        <f t="shared" si="11"/>
        <v/>
      </c>
      <c r="O30" s="11" t="str">
        <f t="shared" si="12"/>
        <v/>
      </c>
      <c r="Q30" s="9" t="s">
        <v>15</v>
      </c>
      <c r="R30" s="9" t="s">
        <v>16</v>
      </c>
      <c r="S30" s="9" t="s">
        <v>11</v>
      </c>
      <c r="T30" s="10">
        <v>4508</v>
      </c>
      <c r="U30" s="10">
        <v>7315</v>
      </c>
      <c r="V30" s="10">
        <v>5371</v>
      </c>
      <c r="W30" s="10"/>
      <c r="X30" s="10"/>
      <c r="Y30" s="10"/>
      <c r="Z30" s="11">
        <f t="shared" si="13"/>
        <v>221.82786157941439</v>
      </c>
      <c r="AA30" s="11">
        <f t="shared" si="14"/>
        <v>136.70539986329459</v>
      </c>
      <c r="AB30" s="11">
        <f t="shared" si="15"/>
        <v>186.18506795754982</v>
      </c>
      <c r="AC30" s="11" t="str">
        <f t="shared" si="16"/>
        <v/>
      </c>
      <c r="AD30" s="11" t="str">
        <f t="shared" si="17"/>
        <v/>
      </c>
      <c r="AE30" s="11" t="str">
        <f t="shared" si="18"/>
        <v/>
      </c>
    </row>
    <row r="31" spans="1:31" hidden="1" x14ac:dyDescent="0.25">
      <c r="A31" s="9" t="s">
        <v>17</v>
      </c>
      <c r="B31" s="8" t="s">
        <v>18</v>
      </c>
      <c r="C31" s="9" t="s">
        <v>11</v>
      </c>
      <c r="D31" s="10">
        <v>4306</v>
      </c>
      <c r="E31" s="10">
        <v>7170</v>
      </c>
      <c r="F31" s="10">
        <v>5447</v>
      </c>
      <c r="G31" s="10"/>
      <c r="H31" s="10"/>
      <c r="I31" s="10"/>
      <c r="J31" s="11">
        <f t="shared" si="7"/>
        <v>232.23409196470041</v>
      </c>
      <c r="K31" s="11">
        <f t="shared" si="8"/>
        <v>139.47001394700141</v>
      </c>
      <c r="L31" s="11">
        <f t="shared" si="9"/>
        <v>183.58729575913347</v>
      </c>
      <c r="M31" s="11" t="str">
        <f t="shared" si="10"/>
        <v/>
      </c>
      <c r="N31" s="11" t="str">
        <f t="shared" si="11"/>
        <v/>
      </c>
      <c r="O31" s="11" t="str">
        <f t="shared" si="12"/>
        <v/>
      </c>
      <c r="Q31" s="9" t="s">
        <v>17</v>
      </c>
      <c r="R31" s="8" t="s">
        <v>18</v>
      </c>
      <c r="S31" s="9" t="s">
        <v>11</v>
      </c>
      <c r="T31" s="10">
        <v>4419</v>
      </c>
      <c r="U31" s="10">
        <v>7315</v>
      </c>
      <c r="V31" s="10">
        <v>6187</v>
      </c>
      <c r="W31" s="10"/>
      <c r="X31" s="10"/>
      <c r="Y31" s="10"/>
      <c r="Z31" s="11">
        <f t="shared" si="13"/>
        <v>226.29554197782304</v>
      </c>
      <c r="AA31" s="11">
        <f t="shared" si="14"/>
        <v>136.70539986329459</v>
      </c>
      <c r="AB31" s="11">
        <f t="shared" si="15"/>
        <v>161.62922256343947</v>
      </c>
      <c r="AC31" s="11" t="str">
        <f t="shared" si="16"/>
        <v/>
      </c>
      <c r="AD31" s="11" t="str">
        <f t="shared" si="17"/>
        <v/>
      </c>
      <c r="AE31" s="11" t="str">
        <f t="shared" si="18"/>
        <v/>
      </c>
    </row>
    <row r="32" spans="1:31" hidden="1" x14ac:dyDescent="0.25">
      <c r="D32" t="s">
        <v>25</v>
      </c>
    </row>
    <row r="33" spans="1:31" ht="18.75" hidden="1" x14ac:dyDescent="0.3">
      <c r="A33" s="75" t="s">
        <v>23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93"/>
      <c r="Q33" s="81" t="s">
        <v>20</v>
      </c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3"/>
    </row>
    <row r="34" spans="1:31" hidden="1" x14ac:dyDescent="0.25">
      <c r="A34" s="72" t="s">
        <v>1</v>
      </c>
      <c r="B34" s="72"/>
      <c r="C34" s="72"/>
      <c r="D34" s="73" t="s">
        <v>19</v>
      </c>
      <c r="E34" s="73"/>
      <c r="F34" s="73"/>
      <c r="G34" s="73"/>
      <c r="H34" s="73"/>
      <c r="I34" s="73"/>
      <c r="J34" s="73" t="s">
        <v>22</v>
      </c>
      <c r="K34" s="73"/>
      <c r="L34" s="73"/>
      <c r="M34" s="73"/>
      <c r="N34" s="73"/>
      <c r="O34" s="73"/>
      <c r="Q34" s="72" t="s">
        <v>1</v>
      </c>
      <c r="R34" s="72"/>
      <c r="S34" s="72"/>
      <c r="T34" s="73" t="s">
        <v>19</v>
      </c>
      <c r="U34" s="73"/>
      <c r="V34" s="73"/>
      <c r="W34" s="73"/>
      <c r="X34" s="73"/>
      <c r="Y34" s="73"/>
      <c r="Z34" s="73" t="s">
        <v>22</v>
      </c>
      <c r="AA34" s="73"/>
      <c r="AB34" s="73"/>
      <c r="AC34" s="73"/>
      <c r="AD34" s="73"/>
      <c r="AE34" s="73"/>
    </row>
    <row r="35" spans="1:31" hidden="1" x14ac:dyDescent="0.25">
      <c r="A35" s="6" t="s">
        <v>26</v>
      </c>
      <c r="B35" s="6" t="s">
        <v>5</v>
      </c>
      <c r="C35" s="6" t="s">
        <v>6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7">
        <v>80</v>
      </c>
      <c r="Q35" s="6" t="s">
        <v>26</v>
      </c>
      <c r="R35" s="6" t="s">
        <v>5</v>
      </c>
      <c r="S35" s="6" t="s">
        <v>6</v>
      </c>
      <c r="T35" s="7">
        <v>1</v>
      </c>
      <c r="U35" s="7">
        <v>4</v>
      </c>
      <c r="V35" s="7">
        <v>16</v>
      </c>
      <c r="W35" s="7">
        <v>32</v>
      </c>
      <c r="X35" s="7">
        <v>64</v>
      </c>
      <c r="Y35" s="7">
        <v>80</v>
      </c>
      <c r="Z35" s="7">
        <v>1</v>
      </c>
      <c r="AA35" s="7">
        <v>4</v>
      </c>
      <c r="AB35" s="7">
        <v>16</v>
      </c>
      <c r="AC35" s="7">
        <v>32</v>
      </c>
      <c r="AD35" s="7">
        <v>64</v>
      </c>
      <c r="AE35" s="7">
        <v>80</v>
      </c>
    </row>
    <row r="36" spans="1:31" hidden="1" x14ac:dyDescent="0.25">
      <c r="A36" s="8" t="s">
        <v>7</v>
      </c>
      <c r="B36" s="9" t="s">
        <v>8</v>
      </c>
      <c r="C36" s="9" t="s">
        <v>9</v>
      </c>
      <c r="D36" s="12">
        <f t="shared" ref="D36:F41" si="19">IF(D26="","",(D26-D5)/D5)</f>
        <v>0.17975616671392117</v>
      </c>
      <c r="E36" s="12">
        <f t="shared" si="19"/>
        <v>0.81817265026220254</v>
      </c>
      <c r="F36" s="12">
        <f t="shared" si="19"/>
        <v>1.6452899152683169</v>
      </c>
      <c r="G36" s="12" t="str">
        <f>IF(G26="","",(G26-Comparisons!G36)/Comparisons!G36)</f>
        <v/>
      </c>
      <c r="H36" s="12" t="str">
        <f>IF(H26="","",(H26-Comparisons!H36)/Comparisons!H36)</f>
        <v/>
      </c>
      <c r="I36" s="12" t="str">
        <f>IF(I26="","",(I26-Comparisons!I36)/Comparisons!I36)</f>
        <v/>
      </c>
      <c r="J36" s="11">
        <f t="shared" ref="J36:L41" si="20">IF(D36="","",J26-((1/D5)*1000000))</f>
        <v>-3.6000193606088544</v>
      </c>
      <c r="K36" s="11">
        <f t="shared" si="20"/>
        <v>-22.690461208669436</v>
      </c>
      <c r="L36" s="11">
        <f t="shared" si="20"/>
        <v>-103.3343747813288</v>
      </c>
      <c r="M36" s="11" t="str">
        <f>IF(G36="","",M26-((1/Comparisons!G36)*1000000))</f>
        <v/>
      </c>
      <c r="N36" s="11" t="str">
        <f>IF(H36="","",N26-((1/Comparisons!H36)*1000000))</f>
        <v/>
      </c>
      <c r="O36" s="11" t="str">
        <f>IF(I36="","",O26-((1/Comparisons!I36)*1000000))</f>
        <v/>
      </c>
      <c r="Q36" s="8" t="s">
        <v>7</v>
      </c>
      <c r="R36" s="9" t="s">
        <v>8</v>
      </c>
      <c r="S36" s="9" t="s">
        <v>9</v>
      </c>
      <c r="T36" s="12">
        <f>IF(D26="","",(D26-Comparisons!D5)/Comparisons!D5)</f>
        <v>7.0078436415070083E-2</v>
      </c>
      <c r="U36" s="12">
        <f>IF(E26="","",(E26-Comparisons!E5)/Comparisons!E5)</f>
        <v>0.72799156562994205</v>
      </c>
      <c r="V36" s="12">
        <f>IF(F26="","",(F26-Comparisons!F5)/Comparisons!F5)</f>
        <v>1.6523404964184574</v>
      </c>
      <c r="W36" s="12" t="str">
        <f>IF(W26="","",(W26-Comparisons!W36)/Comparisons!W36)</f>
        <v/>
      </c>
      <c r="X36" s="12" t="str">
        <f>IF(X26="","",(X26-Comparisons!X36)/Comparisons!X36)</f>
        <v/>
      </c>
      <c r="Y36" s="12" t="str">
        <f>IF(Y26="","",(Y26-Comparisons!Y36)/Comparisons!Y36)</f>
        <v/>
      </c>
      <c r="Z36" s="11">
        <f>IF(D26="","",J26-((1/Comparisons!D5)*1000000))</f>
        <v>-1.4034774576437989</v>
      </c>
      <c r="AA36" s="11">
        <f>IF(E26="","",K26-((1/Comparisons!E5)*1000000))</f>
        <v>-20.189460470074383</v>
      </c>
      <c r="AB36" s="11">
        <f>IF(F26="","",L26-((1/Comparisons!F5)*1000000))</f>
        <v>-103.77719485105247</v>
      </c>
      <c r="AC36" s="11" t="str">
        <f>IF(W36="","",AC26-((1/Comparisons!W36)*1000000))</f>
        <v/>
      </c>
      <c r="AD36" s="11" t="str">
        <f>IF(X36="","",AD26-((1/Comparisons!X36)*1000000))</f>
        <v/>
      </c>
      <c r="AE36" s="11" t="str">
        <f>IF(Y36="","",AE26-((1/Comparisons!Y36)*1000000))</f>
        <v/>
      </c>
    </row>
    <row r="37" spans="1:31" hidden="1" x14ac:dyDescent="0.25">
      <c r="A37" s="8" t="s">
        <v>10</v>
      </c>
      <c r="B37" s="9" t="s">
        <v>8</v>
      </c>
      <c r="C37" s="9" t="s">
        <v>11</v>
      </c>
      <c r="D37" s="12">
        <f t="shared" si="19"/>
        <v>-0.25078864353312302</v>
      </c>
      <c r="E37" s="12">
        <f t="shared" si="19"/>
        <v>-0.11243064343424511</v>
      </c>
      <c r="F37" s="12">
        <f t="shared" si="19"/>
        <v>0.66190476190476188</v>
      </c>
      <c r="G37" s="12" t="str">
        <f>IF(G27="","",(G27-Comparisons!G37)/Comparisons!G37)</f>
        <v/>
      </c>
      <c r="H37" s="12" t="str">
        <f>IF(H27="","",(H27-Comparisons!H37)/Comparisons!H37)</f>
        <v/>
      </c>
      <c r="I37" s="12" t="str">
        <f>IF(I27="","",(I27-Comparisons!I37)/Comparisons!I37)</f>
        <v/>
      </c>
      <c r="J37" s="11">
        <f t="shared" si="20"/>
        <v>25.141718649937147</v>
      </c>
      <c r="K37" s="11">
        <f t="shared" si="20"/>
        <v>12.330625513736024</v>
      </c>
      <c r="L37" s="11">
        <f t="shared" si="20"/>
        <v>-94.82876245053896</v>
      </c>
      <c r="M37" s="11" t="str">
        <f>IF(G37="","",M27-((1/Comparisons!G37)*1000000))</f>
        <v/>
      </c>
      <c r="N37" s="11" t="str">
        <f>IF(H37="","",N27-((1/Comparisons!H37)*1000000))</f>
        <v/>
      </c>
      <c r="O37" s="11" t="str">
        <f>IF(I37="","",O27-((1/Comparisons!I37)*1000000))</f>
        <v/>
      </c>
      <c r="Q37" s="8" t="s">
        <v>10</v>
      </c>
      <c r="R37" s="9" t="s">
        <v>8</v>
      </c>
      <c r="S37" s="9" t="s">
        <v>11</v>
      </c>
      <c r="T37" s="12">
        <f>IF(D27="","",(D27-Comparisons!D6)/Comparisons!D6)</f>
        <v>-8.6287441604836493E-2</v>
      </c>
      <c r="U37" s="12">
        <f>IF(E27="","",(E27-Comparisons!E6)/Comparisons!E6)</f>
        <v>7.9947885822574907E-2</v>
      </c>
      <c r="V37" s="12">
        <f>IF(F27="","",(F27-Comparisons!F6)/Comparisons!F6)</f>
        <v>0.59542857142857142</v>
      </c>
      <c r="W37" s="12" t="str">
        <f>IF(W27="","",(W27-Comparisons!W37)/Comparisons!W37)</f>
        <v/>
      </c>
      <c r="X37" s="12" t="str">
        <f>IF(X27="","",(X27-Comparisons!X37)/Comparisons!X37)</f>
        <v/>
      </c>
      <c r="Y37" s="12" t="str">
        <f>IF(Y27="","",(Y27-Comparisons!Y37)/Comparisons!Y37)</f>
        <v/>
      </c>
      <c r="Z37" s="11">
        <f>IF(D27="","",J27-((1/Comparisons!D6)*1000000))</f>
        <v>8.6503700856979009</v>
      </c>
      <c r="AA37" s="11">
        <f>IF(E27="","",K27-((1/Comparisons!E6)*1000000))</f>
        <v>-8.7681383880867401</v>
      </c>
      <c r="AB37" s="11">
        <f>IF(F27="","",L27-((1/Comparisons!F6)*1000000))</f>
        <v>-85.304952926729413</v>
      </c>
      <c r="AC37" s="11" t="str">
        <f>IF(W37="","",AC27-((1/Comparisons!W37)*1000000))</f>
        <v/>
      </c>
      <c r="AD37" s="11" t="str">
        <f>IF(X37="","",AD27-((1/Comparisons!X37)*1000000))</f>
        <v/>
      </c>
      <c r="AE37" s="11" t="str">
        <f>IF(Y37="","",AE27-((1/Comparisons!Y37)*1000000))</f>
        <v/>
      </c>
    </row>
    <row r="38" spans="1:31" hidden="1" x14ac:dyDescent="0.25">
      <c r="A38" s="9" t="s">
        <v>12</v>
      </c>
      <c r="B38" s="9" t="s">
        <v>13</v>
      </c>
      <c r="C38" s="9" t="s">
        <v>9</v>
      </c>
      <c r="D38" s="12">
        <f t="shared" si="19"/>
        <v>0.10487361070128848</v>
      </c>
      <c r="E38" s="12">
        <f t="shared" si="19"/>
        <v>0.10918804607935889</v>
      </c>
      <c r="F38" s="12">
        <f t="shared" si="19"/>
        <v>1.0087794801170598</v>
      </c>
      <c r="G38" s="12" t="str">
        <f>IF(G28="","",(G28-Comparisons!G38)/Comparisons!G38)</f>
        <v/>
      </c>
      <c r="H38" s="12" t="str">
        <f>IF(H28="","",(H28-Comparisons!H38)/Comparisons!H38)</f>
        <v/>
      </c>
      <c r="I38" s="12" t="str">
        <f>IF(I28="","",(I28-Comparisons!I38)/Comparisons!I38)</f>
        <v/>
      </c>
      <c r="J38" s="11">
        <f t="shared" si="20"/>
        <v>-2.3339997485431354</v>
      </c>
      <c r="K38" s="11">
        <f t="shared" si="20"/>
        <v>-5.4783024474115152</v>
      </c>
      <c r="L38" s="11">
        <f t="shared" si="20"/>
        <v>-86.449522676926875</v>
      </c>
      <c r="M38" s="11" t="str">
        <f>IF(G38="","",M28-((1/Comparisons!G38)*1000000))</f>
        <v/>
      </c>
      <c r="N38" s="11" t="str">
        <f>IF(H38="","",N28-((1/Comparisons!H38)*1000000))</f>
        <v/>
      </c>
      <c r="O38" s="11" t="str">
        <f>IF(I38="","",O28-((1/Comparisons!I38)*1000000))</f>
        <v/>
      </c>
      <c r="Q38" s="9" t="s">
        <v>12</v>
      </c>
      <c r="R38" s="9" t="s">
        <v>13</v>
      </c>
      <c r="S38" s="9" t="s">
        <v>9</v>
      </c>
      <c r="T38" s="12">
        <f>IF(D28="","",(D28-Comparisons!D7)/Comparisons!D7)</f>
        <v>0.12456201822004205</v>
      </c>
      <c r="U38" s="12">
        <f>IF(E28="","",(E28-Comparisons!E7)/Comparisons!E7)</f>
        <v>0.21234793187347931</v>
      </c>
      <c r="V38" s="12">
        <f>IF(F28="","",(F28-Comparisons!F7)/Comparisons!F7)</f>
        <v>1.0700727337236118</v>
      </c>
      <c r="W38" s="12" t="str">
        <f>IF(W28="","",(W28-Comparisons!W38)/Comparisons!W38)</f>
        <v/>
      </c>
      <c r="X38" s="12" t="str">
        <f>IF(X28="","",(X28-Comparisons!X38)/Comparisons!X38)</f>
        <v/>
      </c>
      <c r="Y38" s="12" t="str">
        <f>IF(Y28="","",(Y28-Comparisons!Y38)/Comparisons!Y38)</f>
        <v/>
      </c>
      <c r="Z38" s="11">
        <f>IF(D28="","",J28-((1/Comparisons!D7)*1000000))</f>
        <v>-2.772172305878577</v>
      </c>
      <c r="AA38" s="11">
        <f>IF(E28="","",K28-((1/Comparisons!E7)*1000000))</f>
        <v>-10.654153422983256</v>
      </c>
      <c r="AB38" s="11">
        <f>IF(F28="","",L28-((1/Comparisons!F7)*1000000))</f>
        <v>-91.702179597532933</v>
      </c>
      <c r="AC38" s="11" t="str">
        <f>IF(W38="","",AC28-((1/Comparisons!W38)*1000000))</f>
        <v/>
      </c>
      <c r="AD38" s="11" t="str">
        <f>IF(X38="","",AD28-((1/Comparisons!X38)*1000000))</f>
        <v/>
      </c>
      <c r="AE38" s="11" t="str">
        <f>IF(Y38="","",AE28-((1/Comparisons!Y38)*1000000))</f>
        <v/>
      </c>
    </row>
    <row r="39" spans="1:31" hidden="1" x14ac:dyDescent="0.25">
      <c r="A39" s="9" t="s">
        <v>14</v>
      </c>
      <c r="B39" s="9" t="s">
        <v>13</v>
      </c>
      <c r="C39" s="9" t="s">
        <v>11</v>
      </c>
      <c r="D39" s="12">
        <f t="shared" si="19"/>
        <v>-0.25892450250645604</v>
      </c>
      <c r="E39" s="12">
        <f t="shared" si="19"/>
        <v>0.12342330123423301</v>
      </c>
      <c r="F39" s="12">
        <f t="shared" si="19"/>
        <v>0.47932656598167861</v>
      </c>
      <c r="G39" s="12" t="str">
        <f>IF(G29="","",(G29-Comparisons!G39)/Comparisons!G39)</f>
        <v/>
      </c>
      <c r="H39" s="12" t="str">
        <f>IF(H29="","",(H29-Comparisons!H39)/Comparisons!H39)</f>
        <v/>
      </c>
      <c r="I39" s="12" t="str">
        <f>IF(I29="","",(I29-Comparisons!I39)/Comparisons!I39)</f>
        <v/>
      </c>
      <c r="J39" s="11">
        <f t="shared" si="20"/>
        <v>26.537306806032191</v>
      </c>
      <c r="K39" s="11">
        <f t="shared" si="20"/>
        <v>-14.900796961756953</v>
      </c>
      <c r="L39" s="11">
        <f t="shared" si="20"/>
        <v>-80.222019411159607</v>
      </c>
      <c r="M39" s="11" t="str">
        <f>IF(G39="","",M29-((1/Comparisons!G39)*1000000))</f>
        <v/>
      </c>
      <c r="N39" s="11" t="str">
        <f>IF(H39="","",N29-((1/Comparisons!H39)*1000000))</f>
        <v/>
      </c>
      <c r="O39" s="11" t="str">
        <f>IF(I39="","",O29-((1/Comparisons!I39)*1000000))</f>
        <v/>
      </c>
      <c r="Q39" s="9" t="s">
        <v>14</v>
      </c>
      <c r="R39" s="9" t="s">
        <v>13</v>
      </c>
      <c r="S39" s="9" t="s">
        <v>11</v>
      </c>
      <c r="T39" s="12">
        <f>IF(D29="","",(D29-Comparisons!D8)/Comparisons!D8)</f>
        <v>5.6638509854884125E-2</v>
      </c>
      <c r="U39" s="12">
        <f>IF(E29="","",(E29-Comparisons!E8)/Comparisons!E8)</f>
        <v>9.8978373358100044E-2</v>
      </c>
      <c r="V39" s="12">
        <f>IF(F29="","",(F29-Comparisons!F8)/Comparisons!F8)</f>
        <v>0.53401797175866494</v>
      </c>
      <c r="W39" s="12" t="str">
        <f>IF(W29="","",(W29-Comparisons!W39)/Comparisons!W39)</f>
        <v/>
      </c>
      <c r="X39" s="12" t="str">
        <f>IF(X29="","",(X29-Comparisons!X39)/Comparisons!X39)</f>
        <v/>
      </c>
      <c r="Y39" s="12" t="str">
        <f>IF(Y29="","",(Y29-Comparisons!Y39)/Comparisons!Y39)</f>
        <v/>
      </c>
      <c r="Z39" s="11">
        <f>IF(D29="","",J29-((1/Comparisons!D8)*1000000))</f>
        <v>-5.8049103059223199</v>
      </c>
      <c r="AA39" s="11">
        <f>IF(E29="","",K29-((1/Comparisons!E8)*1000000))</f>
        <v>-11.949580267789429</v>
      </c>
      <c r="AB39" s="11">
        <f>IF(F29="","",L29-((1/Comparisons!F8)*1000000))</f>
        <v>-89.375392762956466</v>
      </c>
      <c r="AC39" s="11" t="str">
        <f>IF(W39="","",AC29-((1/Comparisons!W39)*1000000))</f>
        <v/>
      </c>
      <c r="AD39" s="11" t="str">
        <f>IF(X39="","",AD29-((1/Comparisons!X39)*1000000))</f>
        <v/>
      </c>
      <c r="AE39" s="11" t="str">
        <f>IF(Y39="","",AE29-((1/Comparisons!Y39)*1000000))</f>
        <v/>
      </c>
    </row>
    <row r="40" spans="1:31" hidden="1" x14ac:dyDescent="0.25">
      <c r="A40" s="9" t="s">
        <v>15</v>
      </c>
      <c r="B40" s="9" t="s">
        <v>16</v>
      </c>
      <c r="C40" s="9" t="s">
        <v>11</v>
      </c>
      <c r="D40" s="12">
        <f t="shared" si="19"/>
        <v>-0.58767097264437695</v>
      </c>
      <c r="E40" s="12">
        <f t="shared" si="19"/>
        <v>-4.5911047345767578E-2</v>
      </c>
      <c r="F40" s="12">
        <f t="shared" si="19"/>
        <v>0.25802671666276072</v>
      </c>
      <c r="G40" s="12" t="str">
        <f>IF(G30="","",(G30-Comparisons!G40)/Comparisons!G40)</f>
        <v/>
      </c>
      <c r="H40" s="12" t="str">
        <f>IF(H30="","",(H30-Comparisons!H40)/Comparisons!H40)</f>
        <v/>
      </c>
      <c r="I40" s="12" t="str">
        <f>IF(I30="","",(I30-Comparisons!I40)/Comparisons!I40)</f>
        <v/>
      </c>
      <c r="J40" s="11">
        <f t="shared" si="20"/>
        <v>135.37686538686404</v>
      </c>
      <c r="K40" s="11">
        <f t="shared" si="20"/>
        <v>6.276288085545815</v>
      </c>
      <c r="L40" s="11">
        <f t="shared" si="20"/>
        <v>-48.067570168174484</v>
      </c>
      <c r="M40" s="11" t="str">
        <f>IF(G40="","",M30-((1/Comparisons!G40)*1000000))</f>
        <v/>
      </c>
      <c r="N40" s="11" t="str">
        <f>IF(H40="","",N30-((1/Comparisons!H40)*1000000))</f>
        <v/>
      </c>
      <c r="O40" s="11" t="str">
        <f>IF(I40="","",O30-((1/Comparisons!I40)*1000000))</f>
        <v/>
      </c>
      <c r="Q40" s="9" t="s">
        <v>15</v>
      </c>
      <c r="R40" s="9" t="s">
        <v>16</v>
      </c>
      <c r="S40" s="9" t="s">
        <v>11</v>
      </c>
      <c r="T40" s="12">
        <f>IF(D30="","",(D30-Comparisons!D9)/Comparisons!D9)</f>
        <v>-1.1161731207289294E-2</v>
      </c>
      <c r="U40" s="12">
        <f>IF(E30="","",(E30-Comparisons!E9)/Comparisons!E9)</f>
        <v>9.5880149812734086E-2</v>
      </c>
      <c r="V40" s="12">
        <f>IF(F30="","",(F30-Comparisons!F9)/Comparisons!F9)</f>
        <v>0.53283837806967449</v>
      </c>
      <c r="W40" s="12" t="str">
        <f>IF(W30="","",(W30-Comparisons!W40)/Comparisons!W40)</f>
        <v/>
      </c>
      <c r="X40" s="12" t="str">
        <f>IF(X30="","",(X30-Comparisons!X40)/Comparisons!X40)</f>
        <v/>
      </c>
      <c r="Y40" s="12" t="str">
        <f>IF(Y30="","",(Y30-Comparisons!Y40)/Comparisons!Y40)</f>
        <v/>
      </c>
      <c r="Z40" s="11">
        <f>IF(D30="","",J30-((1/Comparisons!D9)*1000000))</f>
        <v>2.5712350166526505</v>
      </c>
      <c r="AA40" s="11">
        <f>IF(E30="","",K30-((1/Comparisons!E9)*1000000))</f>
        <v>-13.107334219102427</v>
      </c>
      <c r="AB40" s="11">
        <f>IF(F30="","",L30-((1/Comparisons!F9)*1000000))</f>
        <v>-99.261992933992985</v>
      </c>
      <c r="AC40" s="11" t="str">
        <f>IF(W40="","",AC30-((1/Comparisons!W40)*1000000))</f>
        <v/>
      </c>
      <c r="AD40" s="11" t="str">
        <f>IF(X40="","",AD30-((1/Comparisons!X40)*1000000))</f>
        <v/>
      </c>
      <c r="AE40" s="11" t="str">
        <f>IF(Y40="","",AE30-((1/Comparisons!Y40)*1000000))</f>
        <v/>
      </c>
    </row>
    <row r="41" spans="1:31" hidden="1" x14ac:dyDescent="0.25">
      <c r="A41" s="9" t="s">
        <v>17</v>
      </c>
      <c r="B41" s="8" t="s">
        <v>18</v>
      </c>
      <c r="C41" s="9" t="s">
        <v>11</v>
      </c>
      <c r="D41" s="12">
        <f t="shared" si="19"/>
        <v>-0.6309880880966664</v>
      </c>
      <c r="E41" s="12">
        <f t="shared" si="19"/>
        <v>-0.14795008912655971</v>
      </c>
      <c r="F41" s="12">
        <f t="shared" si="19"/>
        <v>0.268809690193338</v>
      </c>
      <c r="G41" s="12" t="str">
        <f>IF(G31="","",(G31-Comparisons!G41)/Comparisons!G41)</f>
        <v/>
      </c>
      <c r="H41" s="12" t="str">
        <f>IF(H31="","",(H31-Comparisons!H41)/Comparisons!H41)</f>
        <v/>
      </c>
      <c r="I41" s="12" t="str">
        <f>IF(I31="","",(I31-Comparisons!I41)/Comparisons!I41)</f>
        <v/>
      </c>
      <c r="J41" s="11">
        <f t="shared" si="20"/>
        <v>146.5369456796717</v>
      </c>
      <c r="K41" s="11">
        <f t="shared" si="20"/>
        <v>20.63460099394139</v>
      </c>
      <c r="L41" s="11">
        <f t="shared" si="20"/>
        <v>-49.350044096445401</v>
      </c>
      <c r="M41" s="11" t="str">
        <f>IF(G41="","",M31-((1/Comparisons!G41)*1000000))</f>
        <v/>
      </c>
      <c r="N41" s="11" t="str">
        <f>IF(H41="","",N31-((1/Comparisons!H41)*1000000))</f>
        <v/>
      </c>
      <c r="O41" s="11" t="str">
        <f>IF(I41="","",O31-((1/Comparisons!I41)*1000000))</f>
        <v/>
      </c>
      <c r="Q41" s="9" t="s">
        <v>17</v>
      </c>
      <c r="R41" s="8" t="s">
        <v>18</v>
      </c>
      <c r="S41" s="9" t="s">
        <v>11</v>
      </c>
      <c r="T41" s="12">
        <f>IF(D31="","",(D31-Comparisons!D10)/Comparisons!D10)</f>
        <v>-2.7332279195843686E-2</v>
      </c>
      <c r="U41" s="12">
        <f>IF(E31="","",(E31-Comparisons!E10)/Comparisons!E10)</f>
        <v>0.24912891986062718</v>
      </c>
      <c r="V41" s="12">
        <f>IF(F31="","",(F31-Comparisons!F10)/Comparisons!F10)</f>
        <v>0.49848693259972487</v>
      </c>
      <c r="W41" s="12" t="str">
        <f>IF(W31="","",(W31-Comparisons!W41)/Comparisons!W41)</f>
        <v/>
      </c>
      <c r="X41" s="12" t="str">
        <f>IF(X31="","",(X31-Comparisons!X41)/Comparisons!X41)</f>
        <v/>
      </c>
      <c r="Y41" s="12" t="str">
        <f>IF(Y31="","",(Y31-Comparisons!Y41)/Comparisons!Y41)</f>
        <v/>
      </c>
      <c r="Z41" s="11">
        <f>IF(D31="","",J31-((1/Comparisons!D10)*1000000))</f>
        <v>6.3474870403724424</v>
      </c>
      <c r="AA41" s="11">
        <f>IF(E31="","",K31-((1/Comparisons!E10)*1000000))</f>
        <v>-34.746013927563041</v>
      </c>
      <c r="AB41" s="11">
        <f>IF(F31="","",L31-((1/Comparisons!F10)*1000000))</f>
        <v>-91.515867927248934</v>
      </c>
      <c r="AC41" s="11" t="str">
        <f>IF(W41="","",AC31-((1/Comparisons!W41)*1000000))</f>
        <v/>
      </c>
      <c r="AD41" s="11" t="str">
        <f>IF(X41="","",AD31-((1/Comparisons!X41)*1000000))</f>
        <v/>
      </c>
      <c r="AE41" s="11" t="str">
        <f>IF(Y41="","",AE31-((1/Comparisons!Y41)*1000000))</f>
        <v/>
      </c>
    </row>
    <row r="42" spans="1:31" hidden="1" x14ac:dyDescent="0.25">
      <c r="A42" s="13" t="s">
        <v>24</v>
      </c>
      <c r="D42" s="13" t="s">
        <v>28</v>
      </c>
    </row>
    <row r="44" spans="1:31" ht="18.75" x14ac:dyDescent="0.3">
      <c r="A44" s="75" t="s">
        <v>34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93"/>
    </row>
    <row r="45" spans="1:31" x14ac:dyDescent="0.25">
      <c r="A45" s="72" t="s">
        <v>1</v>
      </c>
      <c r="B45" s="72"/>
      <c r="C45" s="72"/>
      <c r="D45" s="73" t="s">
        <v>19</v>
      </c>
      <c r="E45" s="73"/>
      <c r="F45" s="73"/>
      <c r="G45" s="73"/>
      <c r="H45" s="73"/>
      <c r="I45" s="73"/>
      <c r="J45" s="73" t="s">
        <v>22</v>
      </c>
      <c r="K45" s="73"/>
      <c r="L45" s="73"/>
      <c r="M45" s="73"/>
      <c r="N45" s="73"/>
      <c r="O45" s="73"/>
    </row>
    <row r="46" spans="1:31" x14ac:dyDescent="0.25">
      <c r="A46" s="6" t="s">
        <v>4</v>
      </c>
      <c r="B46" s="6" t="s">
        <v>5</v>
      </c>
      <c r="C46" s="6" t="s">
        <v>6</v>
      </c>
      <c r="D46" s="7">
        <v>1</v>
      </c>
      <c r="E46" s="7">
        <v>4</v>
      </c>
      <c r="F46" s="7">
        <v>16</v>
      </c>
      <c r="G46" s="7">
        <v>32</v>
      </c>
      <c r="H46" s="7">
        <v>64</v>
      </c>
      <c r="I46" s="7">
        <v>80</v>
      </c>
      <c r="J46" s="7">
        <v>1</v>
      </c>
      <c r="K46" s="7">
        <v>4</v>
      </c>
      <c r="L46" s="7">
        <v>16</v>
      </c>
      <c r="M46" s="7">
        <v>32</v>
      </c>
      <c r="N46" s="7">
        <v>64</v>
      </c>
      <c r="O46" s="7">
        <v>80</v>
      </c>
    </row>
    <row r="47" spans="1:31" x14ac:dyDescent="0.25">
      <c r="A47" s="8" t="s">
        <v>7</v>
      </c>
      <c r="B47" s="9" t="s">
        <v>8</v>
      </c>
      <c r="C47" s="9" t="s">
        <v>9</v>
      </c>
      <c r="D47" s="12">
        <f>IF(D5="","",(D5-Comparisons!D16)/Comparisons!D16)</f>
        <v>-0.42592843772888805</v>
      </c>
      <c r="E47" s="12">
        <f>IF(E5="","",(E5-Comparisons!E16)/Comparisons!E16)</f>
        <v>-0.23452215531882045</v>
      </c>
      <c r="F47" s="12">
        <f>IF(F5="","",(F5-Comparisons!F16)/Comparisons!F16)</f>
        <v>-0.14075660242683796</v>
      </c>
      <c r="G47" s="12" t="str">
        <f>IF(G5="","",(G5-Comparisons!G16)/Comparisons!G16)</f>
        <v/>
      </c>
      <c r="H47" s="12" t="str">
        <f>IF(H5="","",(H5-Comparisons!H16)/Comparisons!H16)</f>
        <v/>
      </c>
      <c r="I47" s="12" t="str">
        <f>IF(I5="","",(I5-Comparisons!I16)/Comparisons!I16)</f>
        <v/>
      </c>
      <c r="J47" s="11">
        <f>IF(D47="","",J5-((1/Comparisons!D16)*1000000))</f>
        <v>10.063520407543901</v>
      </c>
      <c r="K47" s="11">
        <f>IF(E47="","",K5-((1/Comparisons!E16)*1000000))</f>
        <v>11.825441474325352</v>
      </c>
      <c r="L47" s="11">
        <f>IF(F47="","",L5-((1/Comparisons!F16)*1000000))</f>
        <v>23.385380034364175</v>
      </c>
      <c r="M47" s="11" t="str">
        <f>IF(G47="","",M5-((1/Comparisons!G16)*1000000))</f>
        <v/>
      </c>
      <c r="N47" s="11" t="str">
        <f>IF(H47="","",N5-((1/Comparisons!H16)*1000000))</f>
        <v/>
      </c>
      <c r="O47" s="11" t="str">
        <f>IF(I47="","",O5-((1/Comparisons!I16)*1000000))</f>
        <v/>
      </c>
    </row>
    <row r="48" spans="1:31" x14ac:dyDescent="0.25">
      <c r="A48" s="8" t="s">
        <v>10</v>
      </c>
      <c r="B48" s="9" t="s">
        <v>8</v>
      </c>
      <c r="C48" s="9" t="s">
        <v>11</v>
      </c>
      <c r="D48" s="12">
        <f>IF(D6="","",(D6-Comparisons!D17)/Comparisons!D17)</f>
        <v>-0.45708110753170494</v>
      </c>
      <c r="E48" s="12">
        <f>IF(E6="","",(E6-Comparisons!E17)/Comparisons!E17)</f>
        <v>-0.30770267538243817</v>
      </c>
      <c r="F48" s="12">
        <f>IF(F6="","",(F6-Comparisons!F17)/Comparisons!F17)</f>
        <v>-0.2061992061992062</v>
      </c>
      <c r="G48" s="12" t="str">
        <f>IF(G6="","",(G6-Comparisons!G17)/Comparisons!G17)</f>
        <v/>
      </c>
      <c r="H48" s="12" t="str">
        <f>IF(H6="","",(H6-Comparisons!H17)/Comparisons!H17)</f>
        <v/>
      </c>
      <c r="I48" s="12" t="str">
        <f>IF(I6="","",(I6-Comparisons!I17)/Comparisons!I17)</f>
        <v/>
      </c>
      <c r="J48" s="11">
        <f>IF(D48="","",J6-((1/Comparisons!D17)*1000000))</f>
        <v>34.330862815961019</v>
      </c>
      <c r="K48" s="11">
        <f>IF(E48="","",K6-((1/Comparisons!E17)*1000000))</f>
        <v>29.952562579814881</v>
      </c>
      <c r="L48" s="11">
        <f>IF(F48="","",L6-((1/Comparisons!F17)*1000000))</f>
        <v>49.09504909504912</v>
      </c>
      <c r="M48" s="11" t="str">
        <f>IF(G48="","",M6-((1/Comparisons!G17)*1000000))</f>
        <v/>
      </c>
      <c r="N48" s="11" t="str">
        <f>IF(H48="","",N6-((1/Comparisons!H17)*1000000))</f>
        <v/>
      </c>
      <c r="O48" s="11" t="str">
        <f>IF(I48="","",O6-((1/Comparisons!I17)*1000000))</f>
        <v/>
      </c>
    </row>
    <row r="49" spans="1:31" x14ac:dyDescent="0.25">
      <c r="A49" s="9" t="s">
        <v>12</v>
      </c>
      <c r="B49" s="9" t="s">
        <v>13</v>
      </c>
      <c r="C49" s="9" t="s">
        <v>9</v>
      </c>
      <c r="D49" s="12">
        <f>IF(D7="","",(D7-Comparisons!D18)/Comparisons!D18)</f>
        <v>-0.42838669777640342</v>
      </c>
      <c r="E49" s="12">
        <f>IF(E7="","",(E7-Comparisons!E18)/Comparisons!E18)</f>
        <v>-0.17901037145337415</v>
      </c>
      <c r="F49" s="12" t="e">
        <f>IF(F7="","",(F7-Comparisons!F18)/Comparisons!F18)</f>
        <v>#DIV/0!</v>
      </c>
      <c r="G49" s="12" t="str">
        <f>IF(G7="","",(G7-Comparisons!G18)/Comparisons!G18)</f>
        <v/>
      </c>
      <c r="H49" s="12" t="str">
        <f>IF(H7="","",(H7-Comparisons!H18)/Comparisons!H18)</f>
        <v/>
      </c>
      <c r="I49" s="12" t="str">
        <f>IF(I7="","",(I7-Comparisons!I18)/Comparisons!I18)</f>
        <v/>
      </c>
      <c r="J49" s="11">
        <f>IF(D49="","",J7-((1/Comparisons!D18)*1000000))</f>
        <v>10.533753756673638</v>
      </c>
      <c r="K49" s="11">
        <f>IF(E49="","",K7-((1/Comparisons!E18)*1000000))</f>
        <v>9.9621777201499384</v>
      </c>
      <c r="L49" s="11" t="e">
        <f>IF(F49="","",L7-((1/Comparisons!F18)*1000000))</f>
        <v>#DIV/0!</v>
      </c>
      <c r="M49" s="11" t="str">
        <f>IF(G49="","",M7-((1/Comparisons!G18)*1000000))</f>
        <v/>
      </c>
      <c r="N49" s="11" t="str">
        <f>IF(H49="","",N7-((1/Comparisons!H18)*1000000))</f>
        <v/>
      </c>
      <c r="O49" s="11" t="str">
        <f>IF(I49="","",O7-((1/Comparisons!I18)*1000000))</f>
        <v/>
      </c>
    </row>
    <row r="50" spans="1:31" x14ac:dyDescent="0.25">
      <c r="A50" s="9" t="s">
        <v>14</v>
      </c>
      <c r="B50" s="9" t="s">
        <v>13</v>
      </c>
      <c r="C50" s="9" t="s">
        <v>11</v>
      </c>
      <c r="D50" s="12">
        <f>IF(D8="","",(D8-Comparisons!D19)/Comparisons!D19)</f>
        <v>-0.32249266711264346</v>
      </c>
      <c r="E50" s="12">
        <f>IF(E8="","",(E8-Comparisons!E19)/Comparisons!E19)</f>
        <v>-0.329483448526737</v>
      </c>
      <c r="F50" s="12" t="e">
        <f>IF(F8="","",(F8-Comparisons!F19)/Comparisons!F19)</f>
        <v>#DIV/0!</v>
      </c>
      <c r="G50" s="12" t="str">
        <f>IF(G8="","",(G8-Comparisons!G19)/Comparisons!G19)</f>
        <v/>
      </c>
      <c r="H50" s="12" t="str">
        <f>IF(H8="","",(H8-Comparisons!H19)/Comparisons!H19)</f>
        <v/>
      </c>
      <c r="I50" s="12" t="str">
        <f>IF(I8="","",(I8-Comparisons!I19)/Comparisons!I19)</f>
        <v/>
      </c>
      <c r="J50" s="11">
        <f>IF(D50="","",J8-((1/Comparisons!D19)*1000000))</f>
        <v>24.494354178387013</v>
      </c>
      <c r="K50" s="11">
        <f>IF(E50="","",K8-((1/Comparisons!E19)*1000000))</f>
        <v>44.687840570559729</v>
      </c>
      <c r="L50" s="11" t="e">
        <f>IF(F50="","",L8-((1/Comparisons!F19)*1000000))</f>
        <v>#DIV/0!</v>
      </c>
      <c r="M50" s="11" t="str">
        <f>IF(G50="","",M8-((1/Comparisons!G19)*1000000))</f>
        <v/>
      </c>
      <c r="N50" s="11" t="str">
        <f>IF(H50="","",N8-((1/Comparisons!H19)*1000000))</f>
        <v/>
      </c>
      <c r="O50" s="11" t="str">
        <f>IF(I50="","",O8-((1/Comparisons!I19)*1000000))</f>
        <v/>
      </c>
    </row>
    <row r="51" spans="1:31" x14ac:dyDescent="0.25">
      <c r="A51" s="9" t="s">
        <v>15</v>
      </c>
      <c r="B51" s="9" t="s">
        <v>16</v>
      </c>
      <c r="C51" s="9" t="s">
        <v>11</v>
      </c>
      <c r="D51" s="12">
        <f>IF(D9="","",(D9-Comparisons!D20)/Comparisons!D20)</f>
        <v>-0.28960863697705802</v>
      </c>
      <c r="E51" s="12">
        <f>IF(E9="","",(E9-Comparisons!E20)/Comparisons!E20)</f>
        <v>-0.16463281760732185</v>
      </c>
      <c r="F51" s="12" t="e">
        <f>IF(F9="","",(F9-Comparisons!F20)/Comparisons!F20)</f>
        <v>#DIV/0!</v>
      </c>
      <c r="G51" s="12" t="str">
        <f>IF(G9="","",(G9-Comparisons!G20)/Comparisons!G20)</f>
        <v/>
      </c>
      <c r="H51" s="12" t="str">
        <f>IF(H9="","",(H9-Comparisons!H20)/Comparisons!H20)</f>
        <v/>
      </c>
      <c r="I51" s="12" t="str">
        <f>IF(I9="","",(I9-Comparisons!I20)/Comparisons!I20)</f>
        <v/>
      </c>
      <c r="J51" s="11">
        <f>IF(D51="","",J9-((1/Comparisons!D20)*1000000))</f>
        <v>27.508419165753992</v>
      </c>
      <c r="K51" s="11">
        <f>IF(E51="","",K9-((1/Comparisons!E20)*1000000))</f>
        <v>21.472912169991091</v>
      </c>
      <c r="L51" s="11" t="e">
        <f>IF(F51="","",L9-((1/Comparisons!F20)*1000000))</f>
        <v>#DIV/0!</v>
      </c>
      <c r="M51" s="11" t="str">
        <f>IF(G51="","",M9-((1/Comparisons!G20)*1000000))</f>
        <v/>
      </c>
      <c r="N51" s="11" t="str">
        <f>IF(H51="","",N9-((1/Comparisons!H20)*1000000))</f>
        <v/>
      </c>
      <c r="O51" s="11" t="str">
        <f>IF(I51="","",O9-((1/Comparisons!I20)*1000000))</f>
        <v/>
      </c>
    </row>
    <row r="52" spans="1:31" x14ac:dyDescent="0.25">
      <c r="A52" s="9" t="s">
        <v>17</v>
      </c>
      <c r="B52" s="8" t="s">
        <v>18</v>
      </c>
      <c r="C52" s="9" t="s">
        <v>11</v>
      </c>
      <c r="D52" s="12">
        <f>IF(D10="","",(D10-Comparisons!D21)/Comparisons!D21)</f>
        <v>-0.13983488132094943</v>
      </c>
      <c r="E52" s="12">
        <f>IF(E10="","",(E10-Comparisons!E21)/Comparisons!E21)</f>
        <v>-5.4600606673407485E-2</v>
      </c>
      <c r="F52" s="12" t="e">
        <f>IF(F10="","",(F10-Comparisons!F21)/Comparisons!F21)</f>
        <v>#DIV/0!</v>
      </c>
      <c r="G52" s="12" t="str">
        <f>IF(G10="","",(G10-Comparisons!G21)/Comparisons!G21)</f>
        <v/>
      </c>
      <c r="H52" s="12" t="str">
        <f>IF(H10="","",(H10-Comparisons!H21)/Comparisons!H21)</f>
        <v/>
      </c>
      <c r="I52" s="12" t="str">
        <f>IF(I10="","",(I10-Comparisons!I21)/Comparisons!I21)</f>
        <v/>
      </c>
      <c r="J52" s="11">
        <f>IF(D52="","",J10-((1/Comparisons!D21)*1000000))</f>
        <v>11.983450280311033</v>
      </c>
      <c r="K52" s="11">
        <f>IF(E52="","",K10-((1/Comparisons!E21)*1000000))</f>
        <v>6.4884856415219758</v>
      </c>
      <c r="L52" s="11" t="e">
        <f>IF(F52="","",L10-((1/Comparisons!F21)*1000000))</f>
        <v>#DIV/0!</v>
      </c>
      <c r="M52" s="11" t="str">
        <f>IF(G52="","",M10-((1/Comparisons!G21)*1000000))</f>
        <v/>
      </c>
      <c r="N52" s="11" t="str">
        <f>IF(H52="","",N10-((1/Comparisons!H21)*1000000))</f>
        <v/>
      </c>
      <c r="O52" s="11" t="str">
        <f>IF(I52="","",O10-((1/Comparisons!I21)*1000000))</f>
        <v/>
      </c>
    </row>
    <row r="54" spans="1:31" ht="18.75" x14ac:dyDescent="0.25">
      <c r="A54" s="77" t="s">
        <v>0</v>
      </c>
      <c r="B54" s="78"/>
      <c r="C54" s="78"/>
      <c r="D54" s="78"/>
      <c r="E54" s="78"/>
      <c r="F54" s="78"/>
      <c r="G54" s="78"/>
      <c r="H54" s="78"/>
      <c r="I54" s="78"/>
      <c r="J54" s="15"/>
      <c r="K54" s="15"/>
      <c r="L54" s="15"/>
      <c r="M54" s="15"/>
      <c r="N54" s="15"/>
      <c r="O54" s="16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ht="18.75" x14ac:dyDescent="0.25">
      <c r="A55" s="79" t="s">
        <v>39</v>
      </c>
      <c r="B55" s="80"/>
      <c r="C55" s="80"/>
      <c r="D55" s="80"/>
      <c r="E55" s="80"/>
      <c r="F55" s="80"/>
      <c r="G55" s="80"/>
      <c r="H55" s="80"/>
      <c r="I55" s="80"/>
      <c r="J55" s="17"/>
      <c r="K55" s="17"/>
      <c r="L55" s="17"/>
      <c r="M55" s="17"/>
      <c r="N55" s="17"/>
      <c r="O55" s="18"/>
      <c r="Q55" s="85" t="s">
        <v>21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</row>
    <row r="56" spans="1:31" x14ac:dyDescent="0.25">
      <c r="A56" s="72" t="s">
        <v>1</v>
      </c>
      <c r="B56" s="72"/>
      <c r="C56" s="72"/>
      <c r="D56" s="73" t="s">
        <v>2</v>
      </c>
      <c r="E56" s="73"/>
      <c r="F56" s="73"/>
      <c r="G56" s="73"/>
      <c r="H56" s="73"/>
      <c r="I56" s="73"/>
      <c r="J56" s="73" t="s">
        <v>3</v>
      </c>
      <c r="K56" s="73"/>
      <c r="L56" s="73"/>
      <c r="M56" s="73"/>
      <c r="N56" s="73"/>
      <c r="O56" s="73"/>
      <c r="Q56" s="87" t="s">
        <v>1</v>
      </c>
      <c r="R56" s="88"/>
      <c r="S56" s="89"/>
      <c r="T56" s="90" t="s">
        <v>2</v>
      </c>
      <c r="U56" s="91"/>
      <c r="V56" s="91"/>
      <c r="W56" s="91"/>
      <c r="X56" s="91"/>
      <c r="Y56" s="91"/>
      <c r="Z56" s="90" t="s">
        <v>3</v>
      </c>
      <c r="AA56" s="91"/>
      <c r="AB56" s="91"/>
      <c r="AC56" s="91"/>
      <c r="AD56" s="91"/>
      <c r="AE56" s="91"/>
    </row>
    <row r="57" spans="1:31" x14ac:dyDescent="0.25">
      <c r="A57" s="6" t="s">
        <v>26</v>
      </c>
      <c r="B57" s="6" t="s">
        <v>5</v>
      </c>
      <c r="C57" s="6" t="s">
        <v>6</v>
      </c>
      <c r="D57" s="7">
        <v>1</v>
      </c>
      <c r="E57" s="7">
        <v>4</v>
      </c>
      <c r="F57" s="7">
        <v>16</v>
      </c>
      <c r="G57" s="7">
        <v>32</v>
      </c>
      <c r="H57" s="7">
        <v>64</v>
      </c>
      <c r="I57" s="7">
        <v>80</v>
      </c>
      <c r="J57" s="7">
        <v>1</v>
      </c>
      <c r="K57" s="7">
        <v>4</v>
      </c>
      <c r="L57" s="7">
        <v>16</v>
      </c>
      <c r="M57" s="7">
        <v>32</v>
      </c>
      <c r="N57" s="7">
        <v>64</v>
      </c>
      <c r="O57" s="7">
        <v>80</v>
      </c>
      <c r="Q57" s="6" t="s">
        <v>26</v>
      </c>
      <c r="R57" s="6" t="s">
        <v>5</v>
      </c>
      <c r="S57" s="6" t="s">
        <v>6</v>
      </c>
      <c r="T57" s="7">
        <v>1</v>
      </c>
      <c r="U57" s="7">
        <v>4</v>
      </c>
      <c r="V57" s="7">
        <v>16</v>
      </c>
      <c r="W57" s="7">
        <v>32</v>
      </c>
      <c r="X57" s="7">
        <v>64</v>
      </c>
      <c r="Y57" s="7">
        <v>80</v>
      </c>
      <c r="Z57" s="7">
        <v>1</v>
      </c>
      <c r="AA57" s="7">
        <v>4</v>
      </c>
      <c r="AB57" s="7">
        <v>16</v>
      </c>
      <c r="AC57" s="7">
        <v>32</v>
      </c>
      <c r="AD57" s="7">
        <v>64</v>
      </c>
      <c r="AE57" s="7">
        <v>80</v>
      </c>
    </row>
    <row r="58" spans="1:31" x14ac:dyDescent="0.25">
      <c r="A58" s="8" t="s">
        <v>7</v>
      </c>
      <c r="B58" s="9" t="s">
        <v>8</v>
      </c>
      <c r="C58" s="9" t="s">
        <v>9</v>
      </c>
      <c r="D58" s="10">
        <v>47550</v>
      </c>
      <c r="E58" s="10">
        <v>41673</v>
      </c>
      <c r="F58" s="10">
        <v>22307</v>
      </c>
      <c r="G58" s="10"/>
      <c r="H58" s="10"/>
      <c r="I58" s="10"/>
      <c r="J58" s="11">
        <f t="shared" ref="J58:J63" si="21">IF(D58="","",(1/D58)*1000000)</f>
        <v>21.030494216614091</v>
      </c>
      <c r="K58" s="11">
        <f t="shared" ref="K58:K63" si="22">IF(E58="","",(1/E58)*1000000)</f>
        <v>23.996352554411729</v>
      </c>
      <c r="L58" s="11">
        <f t="shared" ref="L58:L63" si="23">IF(F58="","",(1/F58)*1000000)</f>
        <v>44.828977451024343</v>
      </c>
      <c r="M58" s="11" t="str">
        <f t="shared" ref="M58:M63" si="24">IF(G58="","",(1/G58)*1000000)</f>
        <v/>
      </c>
      <c r="N58" s="11" t="str">
        <f t="shared" ref="N58:N63" si="25">IF(H58="","",(1/H58)*1000000)</f>
        <v/>
      </c>
      <c r="O58" s="11" t="str">
        <f t="shared" ref="O58:O63" si="26">IF(I58="","",(1/I58)*1000000)</f>
        <v/>
      </c>
      <c r="Q58" s="8" t="s">
        <v>7</v>
      </c>
      <c r="R58" s="9" t="s">
        <v>8</v>
      </c>
      <c r="S58" s="9" t="s">
        <v>9</v>
      </c>
      <c r="T58" s="10"/>
      <c r="U58" s="10"/>
      <c r="V58" s="10"/>
      <c r="W58" s="10"/>
      <c r="X58" s="10"/>
      <c r="Y58" s="10"/>
      <c r="Z58" s="11" t="str">
        <f t="shared" ref="Z58:Z63" si="27">IF(T58="","",(1/T58)*1000000)</f>
        <v/>
      </c>
      <c r="AA58" s="11" t="str">
        <f t="shared" ref="AA58:AA63" si="28">IF(U58="","",(1/U58)*1000000)</f>
        <v/>
      </c>
      <c r="AB58" s="11" t="str">
        <f t="shared" ref="AB58:AB63" si="29">IF(V58="","",(1/V58)*1000000)</f>
        <v/>
      </c>
      <c r="AC58" s="11" t="str">
        <f t="shared" ref="AC58:AC63" si="30">IF(W58="","",(1/W58)*1000000)</f>
        <v/>
      </c>
      <c r="AD58" s="11" t="str">
        <f t="shared" ref="AD58:AD63" si="31">IF(X58="","",(1/X58)*1000000)</f>
        <v/>
      </c>
      <c r="AE58" s="11" t="str">
        <f t="shared" ref="AE58:AE63" si="32">IF(Y58="","",(1/Y58)*1000000)</f>
        <v/>
      </c>
    </row>
    <row r="59" spans="1:31" x14ac:dyDescent="0.25">
      <c r="A59" s="8" t="s">
        <v>10</v>
      </c>
      <c r="B59" s="9" t="s">
        <v>8</v>
      </c>
      <c r="C59" s="9" t="s">
        <v>11</v>
      </c>
      <c r="D59" s="10">
        <v>14355</v>
      </c>
      <c r="E59" s="10">
        <v>13816</v>
      </c>
      <c r="F59" s="10">
        <v>10944</v>
      </c>
      <c r="G59" s="10"/>
      <c r="H59" s="10"/>
      <c r="I59" s="10"/>
      <c r="J59" s="11">
        <f t="shared" si="21"/>
        <v>69.662138627655878</v>
      </c>
      <c r="K59" s="11">
        <f t="shared" si="22"/>
        <v>72.379849449913138</v>
      </c>
      <c r="L59" s="11">
        <f t="shared" si="23"/>
        <v>91.37426900584795</v>
      </c>
      <c r="M59" s="11" t="str">
        <f t="shared" si="24"/>
        <v/>
      </c>
      <c r="N59" s="11" t="str">
        <f t="shared" si="25"/>
        <v/>
      </c>
      <c r="O59" s="11" t="str">
        <f t="shared" si="26"/>
        <v/>
      </c>
      <c r="Q59" s="8" t="s">
        <v>10</v>
      </c>
      <c r="R59" s="9" t="s">
        <v>8</v>
      </c>
      <c r="S59" s="9" t="s">
        <v>11</v>
      </c>
      <c r="T59" s="10"/>
      <c r="U59" s="10"/>
      <c r="V59" s="10"/>
      <c r="W59" s="10"/>
      <c r="X59" s="10"/>
      <c r="Y59" s="10"/>
      <c r="Z59" s="11" t="str">
        <f t="shared" si="27"/>
        <v/>
      </c>
      <c r="AA59" s="11" t="str">
        <f t="shared" si="28"/>
        <v/>
      </c>
      <c r="AB59" s="11" t="str">
        <f t="shared" si="29"/>
        <v/>
      </c>
      <c r="AC59" s="11" t="str">
        <f t="shared" si="30"/>
        <v/>
      </c>
      <c r="AD59" s="11" t="str">
        <f t="shared" si="31"/>
        <v/>
      </c>
      <c r="AE59" s="11" t="str">
        <f t="shared" si="32"/>
        <v/>
      </c>
    </row>
    <row r="60" spans="1:31" x14ac:dyDescent="0.25">
      <c r="A60" s="9" t="s">
        <v>12</v>
      </c>
      <c r="B60" s="9" t="s">
        <v>13</v>
      </c>
      <c r="C60" s="9" t="s">
        <v>9</v>
      </c>
      <c r="D60" s="10">
        <v>45386</v>
      </c>
      <c r="E60" s="10">
        <v>33982</v>
      </c>
      <c r="F60" s="10">
        <v>18981</v>
      </c>
      <c r="G60" s="10"/>
      <c r="H60" s="10"/>
      <c r="I60" s="10"/>
      <c r="J60" s="11">
        <f t="shared" si="21"/>
        <v>22.033226104966289</v>
      </c>
      <c r="K60" s="11">
        <f t="shared" si="22"/>
        <v>29.427343887940673</v>
      </c>
      <c r="L60" s="11">
        <f t="shared" si="23"/>
        <v>52.684263210579005</v>
      </c>
      <c r="M60" s="11" t="str">
        <f t="shared" si="24"/>
        <v/>
      </c>
      <c r="N60" s="11" t="str">
        <f t="shared" si="25"/>
        <v/>
      </c>
      <c r="O60" s="11" t="str">
        <f t="shared" si="26"/>
        <v/>
      </c>
      <c r="Q60" s="9" t="s">
        <v>12</v>
      </c>
      <c r="R60" s="9" t="s">
        <v>13</v>
      </c>
      <c r="S60" s="9" t="s">
        <v>9</v>
      </c>
      <c r="T60" s="10"/>
      <c r="U60" s="10"/>
      <c r="V60" s="10"/>
      <c r="W60" s="10"/>
      <c r="X60" s="10"/>
      <c r="Y60" s="10"/>
      <c r="Z60" s="11" t="str">
        <f t="shared" si="27"/>
        <v/>
      </c>
      <c r="AA60" s="11" t="str">
        <f t="shared" si="28"/>
        <v/>
      </c>
      <c r="AB60" s="11" t="str">
        <f t="shared" si="29"/>
        <v/>
      </c>
      <c r="AC60" s="11" t="str">
        <f t="shared" si="30"/>
        <v/>
      </c>
      <c r="AD60" s="11" t="str">
        <f t="shared" si="31"/>
        <v/>
      </c>
      <c r="AE60" s="11" t="str">
        <f t="shared" si="32"/>
        <v/>
      </c>
    </row>
    <row r="61" spans="1:31" x14ac:dyDescent="0.25">
      <c r="A61" s="9" t="s">
        <v>14</v>
      </c>
      <c r="B61" s="9" t="s">
        <v>13</v>
      </c>
      <c r="C61" s="9" t="s">
        <v>11</v>
      </c>
      <c r="D61" s="10">
        <v>14074</v>
      </c>
      <c r="E61" s="10">
        <v>12840</v>
      </c>
      <c r="F61" s="10">
        <v>10120</v>
      </c>
      <c r="G61" s="10"/>
      <c r="H61" s="10"/>
      <c r="I61" s="10"/>
      <c r="J61" s="11">
        <f t="shared" si="21"/>
        <v>71.053005542134429</v>
      </c>
      <c r="K61" s="11">
        <f t="shared" si="22"/>
        <v>77.881619937694708</v>
      </c>
      <c r="L61" s="11">
        <f t="shared" si="23"/>
        <v>98.814229249011859</v>
      </c>
      <c r="M61" s="11" t="str">
        <f t="shared" si="24"/>
        <v/>
      </c>
      <c r="N61" s="11" t="str">
        <f t="shared" si="25"/>
        <v/>
      </c>
      <c r="O61" s="11" t="str">
        <f t="shared" si="26"/>
        <v/>
      </c>
      <c r="Q61" s="9" t="s">
        <v>14</v>
      </c>
      <c r="R61" s="9" t="s">
        <v>13</v>
      </c>
      <c r="S61" s="9" t="s">
        <v>11</v>
      </c>
      <c r="T61" s="10"/>
      <c r="U61" s="10"/>
      <c r="V61" s="10"/>
      <c r="W61" s="10"/>
      <c r="X61" s="10"/>
      <c r="Y61" s="10"/>
      <c r="Z61" s="11" t="str">
        <f t="shared" si="27"/>
        <v/>
      </c>
      <c r="AA61" s="11" t="str">
        <f t="shared" si="28"/>
        <v/>
      </c>
      <c r="AB61" s="11" t="str">
        <f t="shared" si="29"/>
        <v/>
      </c>
      <c r="AC61" s="11" t="str">
        <f t="shared" si="30"/>
        <v/>
      </c>
      <c r="AD61" s="11" t="str">
        <f t="shared" si="31"/>
        <v/>
      </c>
      <c r="AE61" s="11" t="str">
        <f t="shared" si="32"/>
        <v/>
      </c>
    </row>
    <row r="62" spans="1:31" x14ac:dyDescent="0.25">
      <c r="A62" s="9" t="s">
        <v>15</v>
      </c>
      <c r="B62" s="9" t="s">
        <v>16</v>
      </c>
      <c r="C62" s="9" t="s">
        <v>11</v>
      </c>
      <c r="D62" s="10">
        <v>12304</v>
      </c>
      <c r="E62" s="10">
        <v>13314</v>
      </c>
      <c r="F62" s="10">
        <v>10357</v>
      </c>
      <c r="G62" s="10"/>
      <c r="H62" s="10"/>
      <c r="I62" s="10"/>
      <c r="J62" s="11">
        <f t="shared" si="21"/>
        <v>81.274382314694407</v>
      </c>
      <c r="K62" s="11">
        <f t="shared" si="22"/>
        <v>75.108907916478898</v>
      </c>
      <c r="L62" s="11">
        <f t="shared" si="23"/>
        <v>96.553055904219377</v>
      </c>
      <c r="M62" s="11" t="str">
        <f t="shared" si="24"/>
        <v/>
      </c>
      <c r="N62" s="11" t="str">
        <f t="shared" si="25"/>
        <v/>
      </c>
      <c r="O62" s="11" t="str">
        <f t="shared" si="26"/>
        <v/>
      </c>
      <c r="Q62" s="9" t="s">
        <v>15</v>
      </c>
      <c r="R62" s="9" t="s">
        <v>16</v>
      </c>
      <c r="S62" s="9" t="s">
        <v>11</v>
      </c>
      <c r="T62" s="10"/>
      <c r="U62" s="10"/>
      <c r="V62" s="10"/>
      <c r="W62" s="10"/>
      <c r="X62" s="10"/>
      <c r="Y62" s="10"/>
      <c r="Z62" s="11" t="str">
        <f t="shared" si="27"/>
        <v/>
      </c>
      <c r="AA62" s="11" t="str">
        <f t="shared" si="28"/>
        <v/>
      </c>
      <c r="AB62" s="11" t="str">
        <f t="shared" si="29"/>
        <v/>
      </c>
      <c r="AC62" s="11" t="str">
        <f t="shared" si="30"/>
        <v/>
      </c>
      <c r="AD62" s="11" t="str">
        <f t="shared" si="31"/>
        <v/>
      </c>
      <c r="AE62" s="11" t="str">
        <f t="shared" si="32"/>
        <v/>
      </c>
    </row>
    <row r="63" spans="1:31" x14ac:dyDescent="0.25">
      <c r="A63" s="9" t="s">
        <v>17</v>
      </c>
      <c r="B63" s="8" t="s">
        <v>18</v>
      </c>
      <c r="C63" s="9" t="s">
        <v>11</v>
      </c>
      <c r="D63" s="10">
        <v>10765</v>
      </c>
      <c r="E63" s="10">
        <v>12585</v>
      </c>
      <c r="F63" s="10">
        <v>10972</v>
      </c>
      <c r="G63" s="10"/>
      <c r="H63" s="10"/>
      <c r="I63" s="10"/>
      <c r="J63" s="11">
        <f t="shared" si="21"/>
        <v>92.893636785880162</v>
      </c>
      <c r="K63" s="11">
        <f t="shared" si="22"/>
        <v>79.45967421533571</v>
      </c>
      <c r="L63" s="11">
        <f t="shared" si="23"/>
        <v>91.141086401749902</v>
      </c>
      <c r="M63" s="11" t="str">
        <f t="shared" si="24"/>
        <v/>
      </c>
      <c r="N63" s="11" t="str">
        <f t="shared" si="25"/>
        <v/>
      </c>
      <c r="O63" s="11" t="str">
        <f t="shared" si="26"/>
        <v/>
      </c>
      <c r="Q63" s="9" t="s">
        <v>17</v>
      </c>
      <c r="R63" s="8" t="s">
        <v>18</v>
      </c>
      <c r="S63" s="9" t="s">
        <v>11</v>
      </c>
      <c r="T63" s="10"/>
      <c r="U63" s="10"/>
      <c r="V63" s="10"/>
      <c r="W63" s="10"/>
      <c r="X63" s="10"/>
      <c r="Y63" s="10"/>
      <c r="Z63" s="11" t="str">
        <f t="shared" si="27"/>
        <v/>
      </c>
      <c r="AA63" s="11" t="str">
        <f t="shared" si="28"/>
        <v/>
      </c>
      <c r="AB63" s="11" t="str">
        <f t="shared" si="29"/>
        <v/>
      </c>
      <c r="AC63" s="11" t="str">
        <f t="shared" si="30"/>
        <v/>
      </c>
      <c r="AD63" s="11" t="str">
        <f t="shared" si="31"/>
        <v/>
      </c>
      <c r="AE63" s="11" t="str">
        <f t="shared" si="32"/>
        <v/>
      </c>
    </row>
    <row r="65" spans="1:16" ht="18.75" x14ac:dyDescent="0.3">
      <c r="A65" s="75" t="s">
        <v>38</v>
      </c>
      <c r="B65" s="76"/>
      <c r="C65" s="76"/>
      <c r="D65" s="76"/>
      <c r="E65" s="76"/>
      <c r="F65" s="76"/>
      <c r="G65" s="76"/>
      <c r="H65" s="76"/>
      <c r="I65" s="76"/>
      <c r="J65" s="1"/>
      <c r="K65" s="1"/>
      <c r="L65" s="1"/>
      <c r="M65" s="1"/>
      <c r="N65" s="1"/>
      <c r="O65" s="2"/>
    </row>
    <row r="66" spans="1:16" x14ac:dyDescent="0.25">
      <c r="A66" s="72" t="s">
        <v>1</v>
      </c>
      <c r="B66" s="72"/>
      <c r="C66" s="72"/>
      <c r="D66" s="73" t="s">
        <v>19</v>
      </c>
      <c r="E66" s="73"/>
      <c r="F66" s="73"/>
      <c r="G66" s="73"/>
      <c r="H66" s="73"/>
      <c r="I66" s="73"/>
      <c r="J66" s="73" t="s">
        <v>22</v>
      </c>
      <c r="K66" s="73"/>
      <c r="L66" s="73"/>
      <c r="M66" s="73"/>
      <c r="N66" s="73"/>
      <c r="O66" s="73"/>
    </row>
    <row r="67" spans="1:16" x14ac:dyDescent="0.25">
      <c r="A67" s="6" t="s">
        <v>4</v>
      </c>
      <c r="B67" s="6" t="s">
        <v>5</v>
      </c>
      <c r="C67" s="6" t="s">
        <v>6</v>
      </c>
      <c r="D67" s="7">
        <v>1</v>
      </c>
      <c r="E67" s="7">
        <v>4</v>
      </c>
      <c r="F67" s="7">
        <v>16</v>
      </c>
      <c r="G67" s="7">
        <v>32</v>
      </c>
      <c r="H67" s="7">
        <v>64</v>
      </c>
      <c r="I67" s="7">
        <v>80</v>
      </c>
      <c r="J67" s="7">
        <v>1</v>
      </c>
      <c r="K67" s="7">
        <v>4</v>
      </c>
      <c r="L67" s="7">
        <v>16</v>
      </c>
      <c r="M67" s="7">
        <v>32</v>
      </c>
      <c r="N67" s="7">
        <v>64</v>
      </c>
      <c r="O67" s="7">
        <v>80</v>
      </c>
    </row>
    <row r="68" spans="1:16" x14ac:dyDescent="0.25">
      <c r="A68" s="8" t="s">
        <v>7</v>
      </c>
      <c r="B68" s="9" t="s">
        <v>8</v>
      </c>
      <c r="C68" s="9" t="s">
        <v>9</v>
      </c>
      <c r="D68" s="12">
        <f t="shared" ref="D68:I68" si="33">IF(D58="","",(D58-D5)/D5)</f>
        <v>0.12347604196200737</v>
      </c>
      <c r="E68" s="12">
        <f t="shared" si="33"/>
        <v>1.1013009277934651</v>
      </c>
      <c r="F68" s="12">
        <f t="shared" si="33"/>
        <v>2.7060973583651768</v>
      </c>
      <c r="G68" s="12" t="str">
        <f t="shared" si="33"/>
        <v/>
      </c>
      <c r="H68" s="12" t="str">
        <f t="shared" si="33"/>
        <v/>
      </c>
      <c r="I68" s="12" t="str">
        <f t="shared" si="33"/>
        <v/>
      </c>
      <c r="J68" s="11" t="e">
        <f>IF(D68="","",J58-((1/Comparisons!D58)*1000000))</f>
        <v>#DIV/0!</v>
      </c>
      <c r="K68" s="11" t="e">
        <f>IF(E68="","",K58-((1/Comparisons!E58)*1000000))</f>
        <v>#DIV/0!</v>
      </c>
      <c r="L68" s="11" t="e">
        <f>IF(F68="","",L58-((1/Comparisons!F58)*1000000))</f>
        <v>#DIV/0!</v>
      </c>
      <c r="M68" s="11" t="str">
        <f>IF(G68="","",M58-((1/Comparisons!G58)*1000000))</f>
        <v/>
      </c>
      <c r="N68" s="11" t="str">
        <f>IF(H68="","",N58-((1/Comparisons!H58)*1000000))</f>
        <v/>
      </c>
      <c r="O68" s="11" t="str">
        <f>IF(I68="","",O58-((1/Comparisons!I58)*1000000))</f>
        <v/>
      </c>
    </row>
    <row r="69" spans="1:16" x14ac:dyDescent="0.25">
      <c r="A69" s="8" t="s">
        <v>10</v>
      </c>
      <c r="B69" s="9" t="s">
        <v>8</v>
      </c>
      <c r="C69" s="9" t="s">
        <v>11</v>
      </c>
      <c r="D69" s="12">
        <f t="shared" ref="D69:I69" si="34">IF(D59="","",(D59-D6)/D6)</f>
        <v>7.8188373141054535E-2</v>
      </c>
      <c r="E69" s="12">
        <f t="shared" si="34"/>
        <v>0.3448846490801129</v>
      </c>
      <c r="F69" s="12">
        <f t="shared" si="34"/>
        <v>1.6057142857142856</v>
      </c>
      <c r="G69" s="12" t="str">
        <f t="shared" si="34"/>
        <v/>
      </c>
      <c r="H69" s="12" t="str">
        <f t="shared" si="34"/>
        <v/>
      </c>
      <c r="I69" s="12" t="str">
        <f t="shared" si="34"/>
        <v/>
      </c>
      <c r="J69" s="11" t="e">
        <f>IF(D69="","",J59-((1/Comparisons!D59)*1000000))</f>
        <v>#DIV/0!</v>
      </c>
      <c r="K69" s="11" t="e">
        <f>IF(E69="","",K59-((1/Comparisons!E59)*1000000))</f>
        <v>#DIV/0!</v>
      </c>
      <c r="L69" s="11" t="e">
        <f>IF(F69="","",L59-((1/Comparisons!F59)*1000000))</f>
        <v>#DIV/0!</v>
      </c>
      <c r="M69" s="11" t="str">
        <f>IF(G69="","",M59-((1/Comparisons!G59)*1000000))</f>
        <v/>
      </c>
      <c r="N69" s="11" t="str">
        <f>IF(H69="","",N59-((1/Comparisons!H59)*1000000))</f>
        <v/>
      </c>
      <c r="O69" s="11" t="str">
        <f>IF(I69="","",O59-((1/Comparisons!I59)*1000000))</f>
        <v/>
      </c>
    </row>
    <row r="70" spans="1:16" x14ac:dyDescent="0.25">
      <c r="A70" s="9" t="s">
        <v>12</v>
      </c>
      <c r="B70" s="9" t="s">
        <v>13</v>
      </c>
      <c r="C70" s="9" t="s">
        <v>9</v>
      </c>
      <c r="D70" s="12">
        <f t="shared" ref="D70:I70" si="35">IF(D60="","",(D60-D7)/D7)</f>
        <v>0.11601258975115571</v>
      </c>
      <c r="E70" s="12">
        <f t="shared" si="35"/>
        <v>0.89114586231843729</v>
      </c>
      <c r="F70" s="12">
        <f t="shared" si="35"/>
        <v>2.2675159235668789</v>
      </c>
      <c r="G70" s="12" t="str">
        <f t="shared" si="35"/>
        <v/>
      </c>
      <c r="H70" s="12" t="str">
        <f t="shared" si="35"/>
        <v/>
      </c>
      <c r="I70" s="12" t="str">
        <f t="shared" si="35"/>
        <v/>
      </c>
      <c r="J70" s="11" t="e">
        <f>IF(D70="","",J60-((1/Comparisons!D60)*1000000))</f>
        <v>#DIV/0!</v>
      </c>
      <c r="K70" s="11" t="e">
        <f>IF(E70="","",K60-((1/Comparisons!E60)*1000000))</f>
        <v>#DIV/0!</v>
      </c>
      <c r="L70" s="11" t="e">
        <f>IF(F70="","",L60-((1/Comparisons!F60)*1000000))</f>
        <v>#DIV/0!</v>
      </c>
      <c r="M70" s="11" t="str">
        <f>IF(G70="","",M60-((1/Comparisons!G60)*1000000))</f>
        <v/>
      </c>
      <c r="N70" s="11" t="str">
        <f>IF(H70="","",N60-((1/Comparisons!H60)*1000000))</f>
        <v/>
      </c>
      <c r="O70" s="11" t="str">
        <f>IF(I70="","",O60-((1/Comparisons!I60)*1000000))</f>
        <v/>
      </c>
    </row>
    <row r="71" spans="1:16" x14ac:dyDescent="0.25">
      <c r="A71" s="9" t="s">
        <v>14</v>
      </c>
      <c r="B71" s="9" t="s">
        <v>13</v>
      </c>
      <c r="C71" s="9" t="s">
        <v>11</v>
      </c>
      <c r="D71" s="12">
        <f t="shared" ref="D71:I71" si="36">IF(D61="","",(D61-D8)/D8)</f>
        <v>6.8965517241379309E-2</v>
      </c>
      <c r="E71" s="12">
        <f t="shared" si="36"/>
        <v>0.74148921741489215</v>
      </c>
      <c r="F71" s="12">
        <f t="shared" si="36"/>
        <v>1.5055706858133202</v>
      </c>
      <c r="G71" s="12" t="str">
        <f t="shared" si="36"/>
        <v/>
      </c>
      <c r="H71" s="12" t="str">
        <f t="shared" si="36"/>
        <v/>
      </c>
      <c r="I71" s="12" t="str">
        <f t="shared" si="36"/>
        <v/>
      </c>
      <c r="J71" s="11" t="e">
        <f>IF(D71="","",J61-((1/Comparisons!D61)*1000000))</f>
        <v>#DIV/0!</v>
      </c>
      <c r="K71" s="11" t="e">
        <f>IF(E71="","",K61-((1/Comparisons!E61)*1000000))</f>
        <v>#DIV/0!</v>
      </c>
      <c r="L71" s="11" t="e">
        <f>IF(F71="","",L61-((1/Comparisons!F61)*1000000))</f>
        <v>#DIV/0!</v>
      </c>
      <c r="M71" s="11" t="str">
        <f>IF(G71="","",M61-((1/Comparisons!G61)*1000000))</f>
        <v/>
      </c>
      <c r="N71" s="11" t="str">
        <f>IF(H71="","",N61-((1/Comparisons!H61)*1000000))</f>
        <v/>
      </c>
      <c r="O71" s="11" t="str">
        <f>IF(I71="","",O61-((1/Comparisons!I61)*1000000))</f>
        <v/>
      </c>
      <c r="P71" t="s">
        <v>29</v>
      </c>
    </row>
    <row r="72" spans="1:16" x14ac:dyDescent="0.25">
      <c r="A72" s="9" t="s">
        <v>15</v>
      </c>
      <c r="B72" s="9" t="s">
        <v>16</v>
      </c>
      <c r="C72" s="9" t="s">
        <v>11</v>
      </c>
      <c r="D72" s="12">
        <f t="shared" ref="D72:I72" si="37">IF(D62="","",(D62-D9)/D9)</f>
        <v>0.16869300911854104</v>
      </c>
      <c r="E72" s="12">
        <f t="shared" si="37"/>
        <v>0.73653319420894747</v>
      </c>
      <c r="F72" s="12">
        <f t="shared" si="37"/>
        <v>1.4272322474806656</v>
      </c>
      <c r="G72" s="12" t="str">
        <f t="shared" si="37"/>
        <v/>
      </c>
      <c r="H72" s="12" t="str">
        <f t="shared" si="37"/>
        <v/>
      </c>
      <c r="I72" s="12" t="str">
        <f t="shared" si="37"/>
        <v/>
      </c>
      <c r="J72" s="11" t="e">
        <f>IF(D72="","",J62-((1/Comparisons!D62)*1000000))</f>
        <v>#DIV/0!</v>
      </c>
      <c r="K72" s="11" t="e">
        <f>IF(E72="","",K62-((1/Comparisons!E62)*1000000))</f>
        <v>#DIV/0!</v>
      </c>
      <c r="L72" s="11" t="e">
        <f>IF(F72="","",L62-((1/Comparisons!F62)*1000000))</f>
        <v>#DIV/0!</v>
      </c>
      <c r="M72" s="11" t="str">
        <f>IF(G72="","",M62-((1/Comparisons!G62)*1000000))</f>
        <v/>
      </c>
      <c r="N72" s="11" t="str">
        <f>IF(H72="","",N62-((1/Comparisons!H62)*1000000))</f>
        <v/>
      </c>
      <c r="O72" s="11" t="str">
        <f>IF(I72="","",O62-((1/Comparisons!I62)*1000000))</f>
        <v/>
      </c>
    </row>
    <row r="73" spans="1:16" x14ac:dyDescent="0.25">
      <c r="A73" s="9" t="s">
        <v>17</v>
      </c>
      <c r="B73" s="8" t="s">
        <v>18</v>
      </c>
      <c r="C73" s="9" t="s">
        <v>11</v>
      </c>
      <c r="D73" s="12">
        <f t="shared" ref="D73:I73" si="38">IF(D63="","",(D63-D10)/D10)</f>
        <v>-7.7470220241665957E-2</v>
      </c>
      <c r="E73" s="12">
        <f t="shared" si="38"/>
        <v>0.49554367201426025</v>
      </c>
      <c r="F73" s="12">
        <f t="shared" si="38"/>
        <v>1.5557884928954111</v>
      </c>
      <c r="G73" s="12" t="str">
        <f t="shared" si="38"/>
        <v/>
      </c>
      <c r="H73" s="12" t="str">
        <f t="shared" si="38"/>
        <v/>
      </c>
      <c r="I73" s="12" t="str">
        <f t="shared" si="38"/>
        <v/>
      </c>
      <c r="J73" s="11" t="e">
        <f>IF(D73="","",J63-((1/Comparisons!D63)*1000000))</f>
        <v>#DIV/0!</v>
      </c>
      <c r="K73" s="11" t="e">
        <f>IF(E73="","",K63-((1/Comparisons!E63)*1000000))</f>
        <v>#DIV/0!</v>
      </c>
      <c r="L73" s="11" t="e">
        <f>IF(F73="","",L63-((1/Comparisons!F63)*1000000))</f>
        <v>#DIV/0!</v>
      </c>
      <c r="M73" s="11" t="str">
        <f>IF(G73="","",M63-((1/Comparisons!G63)*1000000))</f>
        <v/>
      </c>
      <c r="N73" s="11" t="str">
        <f>IF(H73="","",N63-((1/Comparisons!H63)*1000000))</f>
        <v/>
      </c>
      <c r="O73" s="11" t="str">
        <f>IF(I73="","",O63-((1/Comparisons!I63)*1000000))</f>
        <v/>
      </c>
    </row>
    <row r="74" spans="1:16" x14ac:dyDescent="0.25">
      <c r="A74" s="19"/>
    </row>
    <row r="75" spans="1:16" ht="18.75" x14ac:dyDescent="0.25">
      <c r="A75" s="77" t="s">
        <v>0</v>
      </c>
      <c r="B75" s="78"/>
      <c r="C75" s="78"/>
      <c r="D75" s="78"/>
      <c r="E75" s="78"/>
      <c r="F75" s="78"/>
      <c r="G75" s="78"/>
      <c r="H75" s="78"/>
      <c r="I75" s="78"/>
      <c r="J75" s="15"/>
      <c r="K75" s="15"/>
      <c r="L75" s="15"/>
      <c r="M75" s="15"/>
      <c r="N75" s="15"/>
      <c r="O75" s="16"/>
    </row>
    <row r="76" spans="1:16" ht="15.75" x14ac:dyDescent="0.25">
      <c r="A76" s="79" t="s">
        <v>37</v>
      </c>
      <c r="B76" s="80"/>
      <c r="C76" s="80"/>
      <c r="D76" s="80"/>
      <c r="E76" s="80"/>
      <c r="F76" s="80"/>
      <c r="G76" s="80"/>
      <c r="H76" s="80"/>
      <c r="I76" s="80"/>
      <c r="J76" s="17"/>
      <c r="K76" s="17"/>
      <c r="L76" s="17"/>
      <c r="M76" s="17"/>
      <c r="N76" s="17"/>
      <c r="O76" s="18"/>
    </row>
    <row r="77" spans="1:16" x14ac:dyDescent="0.25">
      <c r="A77" s="72" t="s">
        <v>1</v>
      </c>
      <c r="B77" s="72"/>
      <c r="C77" s="72"/>
      <c r="D77" s="73" t="s">
        <v>2</v>
      </c>
      <c r="E77" s="73"/>
      <c r="F77" s="73"/>
      <c r="G77" s="73"/>
      <c r="H77" s="73"/>
      <c r="I77" s="73"/>
      <c r="J77" s="73" t="s">
        <v>3</v>
      </c>
      <c r="K77" s="73"/>
      <c r="L77" s="73"/>
      <c r="M77" s="73"/>
      <c r="N77" s="73"/>
      <c r="O77" s="73"/>
    </row>
    <row r="78" spans="1:16" x14ac:dyDescent="0.25">
      <c r="A78" s="6" t="s">
        <v>26</v>
      </c>
      <c r="B78" s="6" t="s">
        <v>5</v>
      </c>
      <c r="C78" s="6" t="s">
        <v>6</v>
      </c>
      <c r="D78" s="7">
        <v>1</v>
      </c>
      <c r="E78" s="7">
        <v>4</v>
      </c>
      <c r="F78" s="7">
        <v>16</v>
      </c>
      <c r="G78" s="7">
        <v>32</v>
      </c>
      <c r="H78" s="7">
        <v>64</v>
      </c>
      <c r="I78" s="7">
        <v>80</v>
      </c>
      <c r="J78" s="7">
        <v>1</v>
      </c>
      <c r="K78" s="7">
        <v>4</v>
      </c>
      <c r="L78" s="7">
        <v>16</v>
      </c>
      <c r="M78" s="7">
        <v>32</v>
      </c>
      <c r="N78" s="7">
        <v>64</v>
      </c>
      <c r="O78" s="7">
        <v>80</v>
      </c>
    </row>
    <row r="79" spans="1:16" x14ac:dyDescent="0.25">
      <c r="A79" s="8" t="s">
        <v>7</v>
      </c>
      <c r="B79" s="9" t="s">
        <v>8</v>
      </c>
      <c r="C79" s="9" t="s">
        <v>9</v>
      </c>
      <c r="D79" s="10">
        <v>47120</v>
      </c>
      <c r="E79" s="10">
        <v>40872</v>
      </c>
      <c r="F79" s="10">
        <v>21975</v>
      </c>
      <c r="G79" s="10"/>
      <c r="H79" s="10"/>
      <c r="I79" s="10"/>
      <c r="J79" s="11">
        <f t="shared" ref="J79:J84" si="39">IF(D79="","",(1/D79)*1000000)</f>
        <v>21.222410865874366</v>
      </c>
      <c r="K79" s="11">
        <f t="shared" ref="K79:K84" si="40">IF(E79="","",(1/E79)*1000000)</f>
        <v>24.466627520062634</v>
      </c>
      <c r="L79" s="11">
        <f t="shared" ref="L79:L84" si="41">IF(F79="","",(1/F79)*1000000)</f>
        <v>45.506257110352678</v>
      </c>
      <c r="M79" s="11" t="str">
        <f t="shared" ref="M79:M84" si="42">IF(G79="","",(1/G79)*1000000)</f>
        <v/>
      </c>
      <c r="N79" s="11" t="str">
        <f t="shared" ref="N79:N84" si="43">IF(H79="","",(1/H79)*1000000)</f>
        <v/>
      </c>
      <c r="O79" s="11" t="str">
        <f t="shared" ref="O79:O84" si="44">IF(I79="","",(1/I79)*1000000)</f>
        <v/>
      </c>
    </row>
    <row r="80" spans="1:16" x14ac:dyDescent="0.25">
      <c r="A80" s="8" t="s">
        <v>10</v>
      </c>
      <c r="B80" s="9" t="s">
        <v>8</v>
      </c>
      <c r="C80" s="9" t="s">
        <v>11</v>
      </c>
      <c r="D80" s="10">
        <v>14666</v>
      </c>
      <c r="E80" s="10">
        <v>12740</v>
      </c>
      <c r="F80" s="10">
        <v>10898</v>
      </c>
      <c r="G80" s="10"/>
      <c r="H80" s="10"/>
      <c r="I80" s="10"/>
      <c r="J80" s="11">
        <f t="shared" si="39"/>
        <v>68.184917496249824</v>
      </c>
      <c r="K80" s="11">
        <f t="shared" si="40"/>
        <v>78.492935635792776</v>
      </c>
      <c r="L80" s="11">
        <f t="shared" si="41"/>
        <v>91.759955955221145</v>
      </c>
      <c r="M80" s="11" t="str">
        <f t="shared" si="42"/>
        <v/>
      </c>
      <c r="N80" s="11" t="str">
        <f t="shared" si="43"/>
        <v/>
      </c>
      <c r="O80" s="11" t="str">
        <f t="shared" si="44"/>
        <v/>
      </c>
    </row>
    <row r="81" spans="1:15" x14ac:dyDescent="0.25">
      <c r="A81" s="9" t="s">
        <v>12</v>
      </c>
      <c r="B81" s="9" t="s">
        <v>13</v>
      </c>
      <c r="C81" s="9" t="s">
        <v>9</v>
      </c>
      <c r="D81" s="10">
        <v>45095</v>
      </c>
      <c r="E81" s="10">
        <v>33720</v>
      </c>
      <c r="F81" s="10">
        <v>18792</v>
      </c>
      <c r="G81" s="10"/>
      <c r="H81" s="10"/>
      <c r="I81" s="10"/>
      <c r="J81" s="11">
        <f t="shared" si="39"/>
        <v>22.175407473112319</v>
      </c>
      <c r="K81" s="11">
        <f t="shared" si="40"/>
        <v>29.655990510083036</v>
      </c>
      <c r="L81" s="11">
        <f t="shared" si="41"/>
        <v>53.214133673903788</v>
      </c>
      <c r="M81" s="11" t="str">
        <f t="shared" si="42"/>
        <v/>
      </c>
      <c r="N81" s="11" t="str">
        <f t="shared" si="43"/>
        <v/>
      </c>
      <c r="O81" s="11" t="str">
        <f t="shared" si="44"/>
        <v/>
      </c>
    </row>
    <row r="82" spans="1:15" x14ac:dyDescent="0.25">
      <c r="A82" s="9" t="s">
        <v>14</v>
      </c>
      <c r="B82" s="9" t="s">
        <v>13</v>
      </c>
      <c r="C82" s="9" t="s">
        <v>11</v>
      </c>
      <c r="D82" s="10">
        <v>13772</v>
      </c>
      <c r="E82" s="10">
        <v>12740</v>
      </c>
      <c r="F82" s="10">
        <v>9990</v>
      </c>
      <c r="G82" s="10"/>
      <c r="H82" s="10"/>
      <c r="I82" s="10"/>
      <c r="J82" s="11">
        <f t="shared" si="39"/>
        <v>72.611094975312227</v>
      </c>
      <c r="K82" s="11">
        <f t="shared" si="40"/>
        <v>78.492935635792776</v>
      </c>
      <c r="L82" s="11">
        <f t="shared" si="41"/>
        <v>100.10010010010011</v>
      </c>
      <c r="M82" s="11" t="str">
        <f t="shared" si="42"/>
        <v/>
      </c>
      <c r="N82" s="11" t="str">
        <f t="shared" si="43"/>
        <v/>
      </c>
      <c r="O82" s="11" t="str">
        <f t="shared" si="44"/>
        <v/>
      </c>
    </row>
    <row r="83" spans="1:15" x14ac:dyDescent="0.25">
      <c r="A83" s="9" t="s">
        <v>15</v>
      </c>
      <c r="B83" s="9" t="s">
        <v>16</v>
      </c>
      <c r="C83" s="9" t="s">
        <v>11</v>
      </c>
      <c r="D83" s="10">
        <v>10754</v>
      </c>
      <c r="E83" s="10">
        <v>13381</v>
      </c>
      <c r="F83" s="10">
        <v>10357</v>
      </c>
      <c r="G83" s="10"/>
      <c r="H83" s="10"/>
      <c r="I83" s="10"/>
      <c r="J83" s="11">
        <f t="shared" si="39"/>
        <v>92.988655384043156</v>
      </c>
      <c r="K83" s="11">
        <f t="shared" si="40"/>
        <v>74.732830132277101</v>
      </c>
      <c r="L83" s="11">
        <f t="shared" si="41"/>
        <v>96.553055904219377</v>
      </c>
      <c r="M83" s="11" t="str">
        <f t="shared" si="42"/>
        <v/>
      </c>
      <c r="N83" s="11" t="str">
        <f t="shared" si="43"/>
        <v/>
      </c>
      <c r="O83" s="11" t="str">
        <f t="shared" si="44"/>
        <v/>
      </c>
    </row>
    <row r="84" spans="1:15" x14ac:dyDescent="0.25">
      <c r="A84" s="9" t="s">
        <v>17</v>
      </c>
      <c r="B84" s="8" t="s">
        <v>18</v>
      </c>
      <c r="C84" s="9" t="s">
        <v>11</v>
      </c>
      <c r="D84" s="10">
        <v>10202</v>
      </c>
      <c r="E84" s="10">
        <v>12740</v>
      </c>
      <c r="F84" s="10">
        <v>10481</v>
      </c>
      <c r="G84" s="10"/>
      <c r="H84" s="10"/>
      <c r="I84" s="10"/>
      <c r="J84" s="11">
        <f t="shared" si="39"/>
        <v>98.019996079200155</v>
      </c>
      <c r="K84" s="11">
        <f t="shared" si="40"/>
        <v>78.492935635792776</v>
      </c>
      <c r="L84" s="11">
        <f t="shared" si="41"/>
        <v>95.410743249689915</v>
      </c>
      <c r="M84" s="11" t="str">
        <f t="shared" si="42"/>
        <v/>
      </c>
      <c r="N84" s="11" t="str">
        <f t="shared" si="43"/>
        <v/>
      </c>
      <c r="O84" s="11" t="str">
        <f t="shared" si="44"/>
        <v/>
      </c>
    </row>
    <row r="85" spans="1:15" x14ac:dyDescent="0.25">
      <c r="A85" t="s">
        <v>40</v>
      </c>
    </row>
    <row r="86" spans="1:15" ht="18.75" x14ac:dyDescent="0.3">
      <c r="A86" s="75" t="s">
        <v>44</v>
      </c>
      <c r="B86" s="76"/>
      <c r="C86" s="76"/>
      <c r="D86" s="76"/>
      <c r="E86" s="76"/>
      <c r="F86" s="76"/>
      <c r="G86" s="76"/>
      <c r="H86" s="76"/>
      <c r="I86" s="76"/>
      <c r="J86" s="1"/>
      <c r="K86" s="1"/>
      <c r="L86" s="1"/>
      <c r="M86" s="1"/>
      <c r="N86" s="1"/>
      <c r="O86" s="2"/>
    </row>
    <row r="87" spans="1:15" x14ac:dyDescent="0.25">
      <c r="A87" s="72" t="s">
        <v>1</v>
      </c>
      <c r="B87" s="72"/>
      <c r="C87" s="72"/>
      <c r="D87" s="73" t="s">
        <v>19</v>
      </c>
      <c r="E87" s="73"/>
      <c r="F87" s="73"/>
      <c r="G87" s="73"/>
      <c r="H87" s="73"/>
      <c r="I87" s="73"/>
      <c r="J87" s="73" t="s">
        <v>22</v>
      </c>
      <c r="K87" s="73"/>
      <c r="L87" s="73"/>
      <c r="M87" s="73"/>
      <c r="N87" s="73"/>
      <c r="O87" s="73"/>
    </row>
    <row r="88" spans="1:15" x14ac:dyDescent="0.25">
      <c r="A88" s="6" t="s">
        <v>4</v>
      </c>
      <c r="B88" s="6" t="s">
        <v>5</v>
      </c>
      <c r="C88" s="6" t="s">
        <v>6</v>
      </c>
      <c r="D88" s="7">
        <v>1</v>
      </c>
      <c r="E88" s="7">
        <v>4</v>
      </c>
      <c r="F88" s="7">
        <v>16</v>
      </c>
      <c r="G88" s="7">
        <v>32</v>
      </c>
      <c r="H88" s="7">
        <v>64</v>
      </c>
      <c r="I88" s="7">
        <v>80</v>
      </c>
      <c r="J88" s="7">
        <v>1</v>
      </c>
      <c r="K88" s="7">
        <v>4</v>
      </c>
      <c r="L88" s="7">
        <v>16</v>
      </c>
      <c r="M88" s="7">
        <v>32</v>
      </c>
      <c r="N88" s="7">
        <v>64</v>
      </c>
      <c r="O88" s="7">
        <v>80</v>
      </c>
    </row>
    <row r="89" spans="1:15" x14ac:dyDescent="0.25">
      <c r="A89" s="8" t="s">
        <v>7</v>
      </c>
      <c r="B89" s="9" t="s">
        <v>8</v>
      </c>
      <c r="C89" s="9" t="s">
        <v>9</v>
      </c>
      <c r="D89" s="12">
        <f t="shared" ref="D89:I89" si="45">IF(D79="","",(D79-D58)/D58)</f>
        <v>-9.0431125131440592E-3</v>
      </c>
      <c r="E89" s="12">
        <f t="shared" si="45"/>
        <v>-1.9221078396083797E-2</v>
      </c>
      <c r="F89" s="12">
        <f t="shared" si="45"/>
        <v>-1.4883220513740081E-2</v>
      </c>
      <c r="G89" s="12" t="str">
        <f t="shared" si="45"/>
        <v/>
      </c>
      <c r="H89" s="12" t="str">
        <f t="shared" si="45"/>
        <v/>
      </c>
      <c r="I89" s="12" t="str">
        <f t="shared" si="45"/>
        <v/>
      </c>
      <c r="J89" s="11" t="e">
        <f>IF(D89="","",J79-((1/Comparisons!D79)*1000000))</f>
        <v>#DIV/0!</v>
      </c>
      <c r="K89" s="11" t="e">
        <f>IF(E89="","",K79-((1/Comparisons!E79)*1000000))</f>
        <v>#DIV/0!</v>
      </c>
      <c r="L89" s="11" t="e">
        <f>IF(F89="","",L79-((1/Comparisons!F79)*1000000))</f>
        <v>#DIV/0!</v>
      </c>
      <c r="M89" s="11" t="str">
        <f>IF(G89="","",M79-((1/Comparisons!G79)*1000000))</f>
        <v/>
      </c>
      <c r="N89" s="11" t="str">
        <f>IF(H89="","",N79-((1/Comparisons!H79)*1000000))</f>
        <v/>
      </c>
      <c r="O89" s="11" t="str">
        <f>IF(I89="","",O79-((1/Comparisons!I79)*1000000))</f>
        <v/>
      </c>
    </row>
    <row r="90" spans="1:15" x14ac:dyDescent="0.25">
      <c r="A90" s="8" t="s">
        <v>10</v>
      </c>
      <c r="B90" s="9" t="s">
        <v>8</v>
      </c>
      <c r="C90" s="9" t="s">
        <v>11</v>
      </c>
      <c r="D90" s="12">
        <f t="shared" ref="D90:I90" si="46">IF(D80="","",(D80-D59)/D59)</f>
        <v>2.1664925113200974E-2</v>
      </c>
      <c r="E90" s="12">
        <f t="shared" si="46"/>
        <v>-7.7880718008106545E-2</v>
      </c>
      <c r="F90" s="12">
        <f t="shared" si="46"/>
        <v>-4.2032163742690056E-3</v>
      </c>
      <c r="G90" s="12" t="str">
        <f t="shared" si="46"/>
        <v/>
      </c>
      <c r="H90" s="12" t="str">
        <f t="shared" si="46"/>
        <v/>
      </c>
      <c r="I90" s="12" t="str">
        <f t="shared" si="46"/>
        <v/>
      </c>
      <c r="J90" s="11" t="e">
        <f>IF(D90="","",J80-((1/Comparisons!D80)*1000000))</f>
        <v>#DIV/0!</v>
      </c>
      <c r="K90" s="11" t="e">
        <f>IF(E90="","",K80-((1/Comparisons!E80)*1000000))</f>
        <v>#DIV/0!</v>
      </c>
      <c r="L90" s="11" t="e">
        <f>IF(F90="","",L80-((1/Comparisons!F80)*1000000))</f>
        <v>#DIV/0!</v>
      </c>
      <c r="M90" s="11" t="str">
        <f>IF(G90="","",M80-((1/Comparisons!G80)*1000000))</f>
        <v/>
      </c>
      <c r="N90" s="11" t="str">
        <f>IF(H90="","",N80-((1/Comparisons!H80)*1000000))</f>
        <v/>
      </c>
      <c r="O90" s="11" t="str">
        <f>IF(I90="","",O80-((1/Comparisons!I80)*1000000))</f>
        <v/>
      </c>
    </row>
    <row r="91" spans="1:15" x14ac:dyDescent="0.25">
      <c r="A91" s="9" t="s">
        <v>12</v>
      </c>
      <c r="B91" s="9" t="s">
        <v>13</v>
      </c>
      <c r="C91" s="9" t="s">
        <v>9</v>
      </c>
      <c r="D91" s="12">
        <f t="shared" ref="D91:I91" si="47">IF(D81="","",(D81-D60)/D60)</f>
        <v>-6.4116687965451898E-3</v>
      </c>
      <c r="E91" s="12">
        <f t="shared" si="47"/>
        <v>-7.7099640986404566E-3</v>
      </c>
      <c r="F91" s="12">
        <f t="shared" si="47"/>
        <v>-9.9573257467994308E-3</v>
      </c>
      <c r="G91" s="12" t="str">
        <f t="shared" si="47"/>
        <v/>
      </c>
      <c r="H91" s="12" t="str">
        <f t="shared" si="47"/>
        <v/>
      </c>
      <c r="I91" s="12" t="str">
        <f t="shared" si="47"/>
        <v/>
      </c>
      <c r="J91" s="11" t="e">
        <f>IF(D91="","",J81-((1/Comparisons!D81)*1000000))</f>
        <v>#DIV/0!</v>
      </c>
      <c r="K91" s="11" t="e">
        <f>IF(E91="","",K81-((1/Comparisons!E81)*1000000))</f>
        <v>#DIV/0!</v>
      </c>
      <c r="L91" s="11" t="e">
        <f>IF(F91="","",L81-((1/Comparisons!F81)*1000000))</f>
        <v>#DIV/0!</v>
      </c>
      <c r="M91" s="11" t="str">
        <f>IF(G91="","",M81-((1/Comparisons!G81)*1000000))</f>
        <v/>
      </c>
      <c r="N91" s="11" t="str">
        <f>IF(H91="","",N81-((1/Comparisons!H81)*1000000))</f>
        <v/>
      </c>
      <c r="O91" s="11" t="str">
        <f>IF(I91="","",O81-((1/Comparisons!I81)*1000000))</f>
        <v/>
      </c>
    </row>
    <row r="92" spans="1:15" x14ac:dyDescent="0.25">
      <c r="A92" s="9" t="s">
        <v>14</v>
      </c>
      <c r="B92" s="9" t="s">
        <v>13</v>
      </c>
      <c r="C92" s="9" t="s">
        <v>11</v>
      </c>
      <c r="D92" s="12">
        <f t="shared" ref="D92:I92" si="48">IF(D82="","",(D82-D61)/D61)</f>
        <v>-2.1458007673724598E-2</v>
      </c>
      <c r="E92" s="12">
        <f t="shared" si="48"/>
        <v>-7.7881619937694704E-3</v>
      </c>
      <c r="F92" s="12">
        <f t="shared" si="48"/>
        <v>-1.2845849802371542E-2</v>
      </c>
      <c r="G92" s="12" t="str">
        <f t="shared" si="48"/>
        <v/>
      </c>
      <c r="H92" s="12" t="str">
        <f t="shared" si="48"/>
        <v/>
      </c>
      <c r="I92" s="12" t="str">
        <f t="shared" si="48"/>
        <v/>
      </c>
      <c r="J92" s="11" t="e">
        <f>IF(D92="","",J82-((1/Comparisons!D82)*1000000))</f>
        <v>#DIV/0!</v>
      </c>
      <c r="K92" s="11" t="e">
        <f>IF(E92="","",K82-((1/Comparisons!E82)*1000000))</f>
        <v>#DIV/0!</v>
      </c>
      <c r="L92" s="11" t="e">
        <f>IF(F92="","",L82-((1/Comparisons!F82)*1000000))</f>
        <v>#DIV/0!</v>
      </c>
      <c r="M92" s="11" t="str">
        <f>IF(G92="","",M82-((1/Comparisons!G82)*1000000))</f>
        <v/>
      </c>
      <c r="N92" s="11" t="str">
        <f>IF(H92="","",N82-((1/Comparisons!H82)*1000000))</f>
        <v/>
      </c>
      <c r="O92" s="11" t="str">
        <f>IF(I92="","",O82-((1/Comparisons!I82)*1000000))</f>
        <v/>
      </c>
    </row>
    <row r="93" spans="1:15" x14ac:dyDescent="0.25">
      <c r="A93" s="9" t="s">
        <v>15</v>
      </c>
      <c r="B93" s="9" t="s">
        <v>16</v>
      </c>
      <c r="C93" s="9" t="s">
        <v>11</v>
      </c>
      <c r="D93" s="12">
        <f t="shared" ref="D93:I93" si="49">IF(D83="","",(D83-D62)/D62)</f>
        <v>-0.12597529258777634</v>
      </c>
      <c r="E93" s="12">
        <f t="shared" si="49"/>
        <v>5.0322968304040861E-3</v>
      </c>
      <c r="F93" s="12">
        <f t="shared" si="49"/>
        <v>0</v>
      </c>
      <c r="G93" s="12" t="str">
        <f t="shared" si="49"/>
        <v/>
      </c>
      <c r="H93" s="12" t="str">
        <f t="shared" si="49"/>
        <v/>
      </c>
      <c r="I93" s="12" t="str">
        <f t="shared" si="49"/>
        <v/>
      </c>
      <c r="J93" s="11" t="e">
        <f>IF(D93="","",J83-((1/Comparisons!D83)*1000000))</f>
        <v>#DIV/0!</v>
      </c>
      <c r="K93" s="11" t="e">
        <f>IF(E93="","",K83-((1/Comparisons!E83)*1000000))</f>
        <v>#DIV/0!</v>
      </c>
      <c r="L93" s="11" t="e">
        <f>IF(F93="","",L83-((1/Comparisons!F83)*1000000))</f>
        <v>#DIV/0!</v>
      </c>
      <c r="M93" s="11" t="str">
        <f>IF(G93="","",M83-((1/Comparisons!G83)*1000000))</f>
        <v/>
      </c>
      <c r="N93" s="11" t="str">
        <f>IF(H93="","",N83-((1/Comparisons!H83)*1000000))</f>
        <v/>
      </c>
      <c r="O93" s="11" t="str">
        <f>IF(I93="","",O83-((1/Comparisons!I83)*1000000))</f>
        <v/>
      </c>
    </row>
    <row r="94" spans="1:15" x14ac:dyDescent="0.25">
      <c r="A94" s="9" t="s">
        <v>17</v>
      </c>
      <c r="B94" s="8" t="s">
        <v>18</v>
      </c>
      <c r="C94" s="9" t="s">
        <v>11</v>
      </c>
      <c r="D94" s="12">
        <f t="shared" ref="D94:I94" si="50">IF(D84="","",(D84-D63)/D63)</f>
        <v>-5.2299117510450535E-2</v>
      </c>
      <c r="E94" s="12">
        <f t="shared" si="50"/>
        <v>1.2316249503377036E-2</v>
      </c>
      <c r="F94" s="12">
        <f t="shared" si="50"/>
        <v>-4.4750273423259206E-2</v>
      </c>
      <c r="G94" s="12" t="str">
        <f t="shared" si="50"/>
        <v/>
      </c>
      <c r="H94" s="12" t="str">
        <f t="shared" si="50"/>
        <v/>
      </c>
      <c r="I94" s="12" t="str">
        <f t="shared" si="50"/>
        <v/>
      </c>
      <c r="J94" s="11" t="e">
        <f>IF(D94="","",J84-((1/Comparisons!D84)*1000000))</f>
        <v>#DIV/0!</v>
      </c>
      <c r="K94" s="11" t="e">
        <f>IF(E94="","",K84-((1/Comparisons!E84)*1000000))</f>
        <v>#DIV/0!</v>
      </c>
      <c r="L94" s="11" t="e">
        <f>IF(F94="","",L84-((1/Comparisons!F84)*1000000))</f>
        <v>#DIV/0!</v>
      </c>
      <c r="M94" s="11" t="str">
        <f>IF(G94="","",M84-((1/Comparisons!G84)*1000000))</f>
        <v/>
      </c>
      <c r="N94" s="11" t="str">
        <f>IF(H94="","",N84-((1/Comparisons!H84)*1000000))</f>
        <v/>
      </c>
      <c r="O94" s="11" t="str">
        <f>IF(I94="","",O84-((1/Comparisons!I84)*1000000))</f>
        <v/>
      </c>
    </row>
    <row r="96" spans="1:15" ht="18.75" x14ac:dyDescent="0.25">
      <c r="A96" s="77" t="s">
        <v>0</v>
      </c>
      <c r="B96" s="78"/>
      <c r="C96" s="78"/>
      <c r="D96" s="78"/>
      <c r="E96" s="78"/>
      <c r="F96" s="78"/>
      <c r="G96" s="78"/>
      <c r="H96" s="78"/>
      <c r="I96" s="78"/>
      <c r="J96" s="15"/>
      <c r="K96" s="15"/>
      <c r="L96" s="15"/>
      <c r="M96" s="15"/>
      <c r="N96" s="15"/>
      <c r="O96" s="16"/>
    </row>
    <row r="97" spans="1:15" ht="15.75" x14ac:dyDescent="0.25">
      <c r="A97" s="79" t="s">
        <v>41</v>
      </c>
      <c r="B97" s="80"/>
      <c r="C97" s="80"/>
      <c r="D97" s="80"/>
      <c r="E97" s="80"/>
      <c r="F97" s="80"/>
      <c r="G97" s="80"/>
      <c r="H97" s="80"/>
      <c r="I97" s="80"/>
      <c r="J97" s="17"/>
      <c r="K97" s="17"/>
      <c r="L97" s="17"/>
      <c r="M97" s="17"/>
      <c r="N97" s="17"/>
      <c r="O97" s="18"/>
    </row>
    <row r="98" spans="1:15" x14ac:dyDescent="0.25">
      <c r="A98" s="72" t="s">
        <v>1</v>
      </c>
      <c r="B98" s="72"/>
      <c r="C98" s="72"/>
      <c r="D98" s="73" t="s">
        <v>2</v>
      </c>
      <c r="E98" s="73"/>
      <c r="F98" s="73"/>
      <c r="G98" s="73"/>
      <c r="H98" s="73"/>
      <c r="I98" s="73"/>
      <c r="J98" s="73" t="s">
        <v>3</v>
      </c>
      <c r="K98" s="73"/>
      <c r="L98" s="73"/>
      <c r="M98" s="73"/>
      <c r="N98" s="73"/>
      <c r="O98" s="73"/>
    </row>
    <row r="99" spans="1:15" x14ac:dyDescent="0.25">
      <c r="A99" s="6" t="s">
        <v>26</v>
      </c>
      <c r="B99" s="6" t="s">
        <v>5</v>
      </c>
      <c r="C99" s="6" t="s">
        <v>6</v>
      </c>
      <c r="D99" s="7">
        <v>1</v>
      </c>
      <c r="E99" s="7">
        <v>4</v>
      </c>
      <c r="F99" s="7">
        <v>16</v>
      </c>
      <c r="G99" s="7">
        <v>32</v>
      </c>
      <c r="H99" s="7">
        <v>64</v>
      </c>
      <c r="I99" s="7">
        <v>80</v>
      </c>
      <c r="J99" s="7">
        <v>1</v>
      </c>
      <c r="K99" s="7">
        <v>4</v>
      </c>
      <c r="L99" s="7">
        <v>16</v>
      </c>
      <c r="M99" s="7">
        <v>32</v>
      </c>
      <c r="N99" s="7">
        <v>64</v>
      </c>
      <c r="O99" s="7">
        <v>80</v>
      </c>
    </row>
    <row r="100" spans="1:15" x14ac:dyDescent="0.25">
      <c r="A100" s="8" t="s">
        <v>7</v>
      </c>
      <c r="B100" s="9" t="s">
        <v>8</v>
      </c>
      <c r="C100" s="9" t="s">
        <v>9</v>
      </c>
      <c r="D100" s="10">
        <v>45204</v>
      </c>
      <c r="E100" s="10">
        <v>39508</v>
      </c>
      <c r="F100" s="10">
        <v>21165</v>
      </c>
      <c r="G100" s="10"/>
      <c r="H100" s="10"/>
      <c r="I100" s="10"/>
      <c r="J100" s="11">
        <f t="shared" ref="J100:J105" si="51">IF(D100="","",(1/D100)*1000000)</f>
        <v>22.121936111848509</v>
      </c>
      <c r="K100" s="11">
        <f t="shared" ref="K100:K105" si="52">IF(E100="","",(1/E100)*1000000)</f>
        <v>25.311329351017516</v>
      </c>
      <c r="L100" s="11">
        <f t="shared" ref="L100:L105" si="53">IF(F100="","",(1/F100)*1000000)</f>
        <v>47.247814788566025</v>
      </c>
      <c r="M100" s="11" t="str">
        <f t="shared" ref="M100:M105" si="54">IF(G100="","",(1/G100)*1000000)</f>
        <v/>
      </c>
      <c r="N100" s="11" t="str">
        <f t="shared" ref="N100:N105" si="55">IF(H100="","",(1/H100)*1000000)</f>
        <v/>
      </c>
      <c r="O100" s="11" t="str">
        <f t="shared" ref="O100:O105" si="56">IF(I100="","",(1/I100)*1000000)</f>
        <v/>
      </c>
    </row>
    <row r="101" spans="1:15" x14ac:dyDescent="0.25">
      <c r="A101" s="8" t="s">
        <v>10</v>
      </c>
      <c r="B101" s="9" t="s">
        <v>8</v>
      </c>
      <c r="C101" s="9" t="s">
        <v>11</v>
      </c>
      <c r="D101" s="10">
        <v>13747</v>
      </c>
      <c r="E101" s="10">
        <v>13207</v>
      </c>
      <c r="F101" s="10">
        <v>10479</v>
      </c>
      <c r="G101" s="10"/>
      <c r="H101" s="10"/>
      <c r="I101" s="10"/>
      <c r="J101" s="11">
        <f t="shared" si="51"/>
        <v>72.743143958681898</v>
      </c>
      <c r="K101" s="11">
        <f t="shared" si="52"/>
        <v>75.717422578935413</v>
      </c>
      <c r="L101" s="11">
        <f t="shared" si="53"/>
        <v>95.42895314438401</v>
      </c>
      <c r="M101" s="11" t="str">
        <f t="shared" si="54"/>
        <v/>
      </c>
      <c r="N101" s="11" t="str">
        <f t="shared" si="55"/>
        <v/>
      </c>
      <c r="O101" s="11" t="str">
        <f t="shared" si="56"/>
        <v/>
      </c>
    </row>
    <row r="102" spans="1:15" x14ac:dyDescent="0.25">
      <c r="A102" s="9" t="s">
        <v>12</v>
      </c>
      <c r="B102" s="9" t="s">
        <v>13</v>
      </c>
      <c r="C102" s="9" t="s">
        <v>9</v>
      </c>
      <c r="D102" s="10">
        <v>43171</v>
      </c>
      <c r="E102" s="10">
        <v>33258</v>
      </c>
      <c r="F102" s="10">
        <v>17465</v>
      </c>
      <c r="G102" s="10"/>
      <c r="H102" s="10"/>
      <c r="I102" s="10"/>
      <c r="J102" s="11">
        <f t="shared" si="51"/>
        <v>23.16369785272521</v>
      </c>
      <c r="K102" s="11">
        <f t="shared" si="52"/>
        <v>30.067953575079681</v>
      </c>
      <c r="L102" s="11">
        <f t="shared" si="53"/>
        <v>57.257371886630402</v>
      </c>
      <c r="M102" s="11" t="str">
        <f t="shared" si="54"/>
        <v/>
      </c>
      <c r="N102" s="11" t="str">
        <f t="shared" si="55"/>
        <v/>
      </c>
      <c r="O102" s="11" t="str">
        <f t="shared" si="56"/>
        <v/>
      </c>
    </row>
    <row r="103" spans="1:15" x14ac:dyDescent="0.25">
      <c r="A103" s="9" t="s">
        <v>14</v>
      </c>
      <c r="B103" s="9" t="s">
        <v>13</v>
      </c>
      <c r="C103" s="9" t="s">
        <v>11</v>
      </c>
      <c r="D103" s="10">
        <v>13381</v>
      </c>
      <c r="E103" s="10">
        <v>12428</v>
      </c>
      <c r="F103" s="10">
        <v>9660</v>
      </c>
      <c r="G103" s="10"/>
      <c r="H103" s="10"/>
      <c r="I103" s="10"/>
      <c r="J103" s="11">
        <f t="shared" si="51"/>
        <v>74.732830132277101</v>
      </c>
      <c r="K103" s="11">
        <f t="shared" si="52"/>
        <v>80.463469584808507</v>
      </c>
      <c r="L103" s="11">
        <f t="shared" si="53"/>
        <v>103.51966873706004</v>
      </c>
      <c r="M103" s="11" t="str">
        <f t="shared" si="54"/>
        <v/>
      </c>
      <c r="N103" s="11" t="str">
        <f t="shared" si="55"/>
        <v/>
      </c>
      <c r="O103" s="11" t="str">
        <f t="shared" si="56"/>
        <v/>
      </c>
    </row>
    <row r="104" spans="1:15" x14ac:dyDescent="0.25">
      <c r="A104" s="9" t="s">
        <v>15</v>
      </c>
      <c r="B104" s="9" t="s">
        <v>16</v>
      </c>
      <c r="C104" s="9" t="s">
        <v>11</v>
      </c>
      <c r="D104" s="10">
        <v>10412</v>
      </c>
      <c r="E104" s="10">
        <v>13294</v>
      </c>
      <c r="F104" s="10">
        <v>10593</v>
      </c>
      <c r="G104" s="10"/>
      <c r="H104" s="10"/>
      <c r="I104" s="10"/>
      <c r="J104" s="11">
        <f t="shared" si="51"/>
        <v>96.043027276219746</v>
      </c>
      <c r="K104" s="11">
        <f t="shared" si="52"/>
        <v>75.221904618624933</v>
      </c>
      <c r="L104" s="11">
        <f t="shared" si="53"/>
        <v>94.401963560842077</v>
      </c>
      <c r="M104" s="11" t="str">
        <f t="shared" si="54"/>
        <v/>
      </c>
      <c r="N104" s="11" t="str">
        <f t="shared" si="55"/>
        <v/>
      </c>
      <c r="O104" s="11" t="str">
        <f t="shared" si="56"/>
        <v/>
      </c>
    </row>
    <row r="105" spans="1:15" x14ac:dyDescent="0.25">
      <c r="A105" s="9" t="s">
        <v>17</v>
      </c>
      <c r="B105" s="8" t="s">
        <v>18</v>
      </c>
      <c r="C105" s="9" t="s">
        <v>11</v>
      </c>
      <c r="D105" s="10">
        <v>10326</v>
      </c>
      <c r="E105" s="10">
        <v>12740</v>
      </c>
      <c r="F105" s="10">
        <v>10040</v>
      </c>
      <c r="G105" s="10"/>
      <c r="H105" s="10"/>
      <c r="I105" s="10"/>
      <c r="J105" s="11">
        <f t="shared" si="51"/>
        <v>96.842920782490808</v>
      </c>
      <c r="K105" s="11">
        <f t="shared" si="52"/>
        <v>78.492935635792776</v>
      </c>
      <c r="L105" s="11">
        <f t="shared" si="53"/>
        <v>99.601593625498012</v>
      </c>
      <c r="M105" s="11" t="str">
        <f t="shared" si="54"/>
        <v/>
      </c>
      <c r="N105" s="11" t="str">
        <f t="shared" si="55"/>
        <v/>
      </c>
      <c r="O105" s="11" t="str">
        <f t="shared" si="56"/>
        <v/>
      </c>
    </row>
    <row r="106" spans="1:15" x14ac:dyDescent="0.25">
      <c r="A106" t="s">
        <v>42</v>
      </c>
    </row>
    <row r="107" spans="1:15" ht="18.75" x14ac:dyDescent="0.3">
      <c r="A107" s="75" t="s">
        <v>43</v>
      </c>
      <c r="B107" s="76"/>
      <c r="C107" s="76"/>
      <c r="D107" s="76"/>
      <c r="E107" s="76"/>
      <c r="F107" s="76"/>
      <c r="G107" s="76"/>
      <c r="H107" s="76"/>
      <c r="I107" s="76"/>
      <c r="J107" s="1"/>
      <c r="K107" s="1"/>
      <c r="L107" s="1"/>
      <c r="M107" s="1"/>
      <c r="N107" s="1"/>
      <c r="O107" s="2"/>
    </row>
    <row r="108" spans="1:15" x14ac:dyDescent="0.25">
      <c r="A108" s="72" t="s">
        <v>1</v>
      </c>
      <c r="B108" s="72"/>
      <c r="C108" s="72"/>
      <c r="D108" s="73" t="s">
        <v>19</v>
      </c>
      <c r="E108" s="73"/>
      <c r="F108" s="73"/>
      <c r="G108" s="73"/>
      <c r="H108" s="73"/>
      <c r="I108" s="73"/>
      <c r="J108" s="73" t="s">
        <v>22</v>
      </c>
      <c r="K108" s="73"/>
      <c r="L108" s="73"/>
      <c r="M108" s="73"/>
      <c r="N108" s="73"/>
      <c r="O108" s="73"/>
    </row>
    <row r="109" spans="1:15" x14ac:dyDescent="0.25">
      <c r="A109" s="6" t="s">
        <v>4</v>
      </c>
      <c r="B109" s="6" t="s">
        <v>5</v>
      </c>
      <c r="C109" s="6" t="s">
        <v>6</v>
      </c>
      <c r="D109" s="7">
        <v>1</v>
      </c>
      <c r="E109" s="7">
        <v>4</v>
      </c>
      <c r="F109" s="7">
        <v>16</v>
      </c>
      <c r="G109" s="7">
        <v>32</v>
      </c>
      <c r="H109" s="7">
        <v>64</v>
      </c>
      <c r="I109" s="7">
        <v>80</v>
      </c>
      <c r="J109" s="7">
        <v>1</v>
      </c>
      <c r="K109" s="7">
        <v>4</v>
      </c>
      <c r="L109" s="7">
        <v>16</v>
      </c>
      <c r="M109" s="7">
        <v>32</v>
      </c>
      <c r="N109" s="7">
        <v>64</v>
      </c>
      <c r="O109" s="7">
        <v>80</v>
      </c>
    </row>
    <row r="110" spans="1:15" x14ac:dyDescent="0.25">
      <c r="A110" s="8" t="s">
        <v>7</v>
      </c>
      <c r="B110" s="9" t="s">
        <v>8</v>
      </c>
      <c r="C110" s="9" t="s">
        <v>9</v>
      </c>
      <c r="D110" s="12">
        <f>IF(D100="","",(D100-Comparisons!D5)/Comparisons!D5)</f>
        <v>-3.1245981741031246E-2</v>
      </c>
      <c r="E110" s="12">
        <f>IF(E100="","",(E100-Comparisons!E5)/Comparisons!E5)</f>
        <v>0.89332438778933243</v>
      </c>
      <c r="F110" s="12">
        <f>IF(F100="","",(F100-Comparisons!F5)/Comparisons!F5)</f>
        <v>2.5257371314342829</v>
      </c>
      <c r="G110" s="12" t="str">
        <f>IF(G100="","",(G100-Comparisons!G5)/Comparisons!G5)</f>
        <v/>
      </c>
      <c r="H110" s="12" t="str">
        <f>IF(H100="","",(H100-Comparisons!H5)/Comparisons!H5)</f>
        <v/>
      </c>
      <c r="I110" s="12" t="str">
        <f>IF(I100="","",(I100-Comparisons!I5)/Comparisons!I5)</f>
        <v/>
      </c>
      <c r="J110" s="11" t="e">
        <f>IF(D110="","",J100-((1/Comparisons!D100)*1000000))</f>
        <v>#DIV/0!</v>
      </c>
      <c r="K110" s="11" t="e">
        <f>IF(E110="","",K100-((1/Comparisons!E100)*1000000))</f>
        <v>#DIV/0!</v>
      </c>
      <c r="L110" s="11" t="e">
        <f>IF(F110="","",L100-((1/Comparisons!F100)*1000000))</f>
        <v>#DIV/0!</v>
      </c>
      <c r="M110" s="11" t="str">
        <f>IF(G110="","",M100-((1/Comparisons!G100)*1000000))</f>
        <v/>
      </c>
      <c r="N110" s="11" t="str">
        <f>IF(H110="","",N100-((1/Comparisons!H100)*1000000))</f>
        <v/>
      </c>
      <c r="O110" s="11" t="str">
        <f>IF(I110="","",O100-((1/Comparisons!I100)*1000000))</f>
        <v/>
      </c>
    </row>
    <row r="111" spans="1:15" x14ac:dyDescent="0.25">
      <c r="A111" s="8" t="s">
        <v>10</v>
      </c>
      <c r="B111" s="9" t="s">
        <v>8</v>
      </c>
      <c r="C111" s="9" t="s">
        <v>11</v>
      </c>
      <c r="D111" s="12">
        <f>IF(D101="","",(D101-Comparisons!D6)/Comparisons!D6)</f>
        <v>0.25922872584043233</v>
      </c>
      <c r="E111" s="12">
        <f>IF(E101="","",(E101-Comparisons!E6)/Comparisons!E6)</f>
        <v>0.56425441193888426</v>
      </c>
      <c r="F111" s="12">
        <f>IF(F101="","",(F101-Comparisons!F6)/Comparisons!F6)</f>
        <v>1.3952</v>
      </c>
      <c r="G111" s="12" t="str">
        <f>IF(G101="","",(G101-Comparisons!G6)/Comparisons!G6)</f>
        <v/>
      </c>
      <c r="H111" s="12" t="str">
        <f>IF(H101="","",(H101-Comparisons!H6)/Comparisons!H6)</f>
        <v/>
      </c>
      <c r="I111" s="12" t="str">
        <f>IF(I101="","",(I101-Comparisons!I6)/Comparisons!I6)</f>
        <v/>
      </c>
      <c r="J111" s="11" t="e">
        <f>IF(D111="","",J101-((1/Comparisons!D101)*1000000))</f>
        <v>#DIV/0!</v>
      </c>
      <c r="K111" s="11" t="e">
        <f>IF(E111="","",K101-((1/Comparisons!E101)*1000000))</f>
        <v>#DIV/0!</v>
      </c>
      <c r="L111" s="11" t="e">
        <f>IF(F111="","",L101-((1/Comparisons!F101)*1000000))</f>
        <v>#DIV/0!</v>
      </c>
      <c r="M111" s="11" t="str">
        <f>IF(G111="","",M101-((1/Comparisons!G101)*1000000))</f>
        <v/>
      </c>
      <c r="N111" s="11" t="str">
        <f>IF(H111="","",N101-((1/Comparisons!H101)*1000000))</f>
        <v/>
      </c>
      <c r="O111" s="11" t="str">
        <f>IF(I111="","",O101-((1/Comparisons!I101)*1000000))</f>
        <v/>
      </c>
    </row>
    <row r="112" spans="1:15" x14ac:dyDescent="0.25">
      <c r="A112" s="9" t="s">
        <v>12</v>
      </c>
      <c r="B112" s="9" t="s">
        <v>13</v>
      </c>
      <c r="C112" s="9" t="s">
        <v>9</v>
      </c>
      <c r="D112" s="12">
        <f>IF(D102="","",(D102-Comparisons!D7)/Comparisons!D7)</f>
        <v>8.0463509860846938E-2</v>
      </c>
      <c r="E112" s="12">
        <f>IF(E102="","",(E102-Comparisons!E7)/Comparisons!E7)</f>
        <v>1.0229927007299271</v>
      </c>
      <c r="F112" s="12">
        <f>IF(F102="","",(F102-Comparisons!F7)/Comparisons!F7)</f>
        <v>2.0982792265389389</v>
      </c>
      <c r="G112" s="12" t="str">
        <f>IF(G102="","",(G102-Comparisons!G7)/Comparisons!G7)</f>
        <v/>
      </c>
      <c r="H112" s="12" t="str">
        <f>IF(H102="","",(H102-Comparisons!H7)/Comparisons!H7)</f>
        <v/>
      </c>
      <c r="I112" s="12" t="str">
        <f>IF(I102="","",(I102-Comparisons!I7)/Comparisons!I7)</f>
        <v/>
      </c>
      <c r="J112" s="11" t="e">
        <f>IF(D112="","",J102-((1/Comparisons!D102)*1000000))</f>
        <v>#DIV/0!</v>
      </c>
      <c r="K112" s="11" t="e">
        <f>IF(E112="","",K102-((1/Comparisons!E102)*1000000))</f>
        <v>#DIV/0!</v>
      </c>
      <c r="L112" s="11" t="e">
        <f>IF(F112="","",L102-((1/Comparisons!F102)*1000000))</f>
        <v>#DIV/0!</v>
      </c>
      <c r="M112" s="11" t="str">
        <f>IF(G112="","",M102-((1/Comparisons!G102)*1000000))</f>
        <v/>
      </c>
      <c r="N112" s="11" t="str">
        <f>IF(H112="","",N102-((1/Comparisons!H102)*1000000))</f>
        <v/>
      </c>
      <c r="O112" s="11" t="str">
        <f>IF(I112="","",O102-((1/Comparisons!I102)*1000000))</f>
        <v/>
      </c>
    </row>
    <row r="113" spans="1:15" x14ac:dyDescent="0.25">
      <c r="A113" s="9" t="s">
        <v>14</v>
      </c>
      <c r="B113" s="9" t="s">
        <v>13</v>
      </c>
      <c r="C113" s="9" t="s">
        <v>11</v>
      </c>
      <c r="D113" s="12">
        <f>IF(D103="","",(D103-Comparisons!D8)/Comparisons!D8)</f>
        <v>0.44910114793155731</v>
      </c>
      <c r="E113" s="12">
        <f>IF(E103="","",(E103-Comparisons!E8)/Comparisons!E8)</f>
        <v>0.64893193578346819</v>
      </c>
      <c r="F113" s="12">
        <f>IF(F103="","",(F103-Comparisons!F8)/Comparisons!F8)</f>
        <v>1.4801026957637997</v>
      </c>
      <c r="G113" s="12" t="str">
        <f>IF(G103="","",(G103-Comparisons!G8)/Comparisons!G8)</f>
        <v/>
      </c>
      <c r="H113" s="12" t="str">
        <f>IF(H103="","",(H103-Comparisons!H8)/Comparisons!H8)</f>
        <v/>
      </c>
      <c r="I113" s="12" t="str">
        <f>IF(I103="","",(I103-Comparisons!I8)/Comparisons!I8)</f>
        <v/>
      </c>
      <c r="J113" s="11" t="e">
        <f>IF(D113="","",J103-((1/Comparisons!D103)*1000000))</f>
        <v>#DIV/0!</v>
      </c>
      <c r="K113" s="11" t="e">
        <f>IF(E113="","",K103-((1/Comparisons!E103)*1000000))</f>
        <v>#DIV/0!</v>
      </c>
      <c r="L113" s="11" t="e">
        <f>IF(F113="","",L103-((1/Comparisons!F103)*1000000))</f>
        <v>#DIV/0!</v>
      </c>
      <c r="M113" s="11" t="str">
        <f>IF(G113="","",M103-((1/Comparisons!G103)*1000000))</f>
        <v/>
      </c>
      <c r="N113" s="11" t="str">
        <f>IF(H113="","",N103-((1/Comparisons!H103)*1000000))</f>
        <v/>
      </c>
      <c r="O113" s="11" t="str">
        <f>IF(I113="","",O103-((1/Comparisons!I103)*1000000))</f>
        <v/>
      </c>
    </row>
    <row r="114" spans="1:15" x14ac:dyDescent="0.25">
      <c r="A114" s="9" t="s">
        <v>15</v>
      </c>
      <c r="B114" s="9" t="s">
        <v>16</v>
      </c>
      <c r="C114" s="9" t="s">
        <v>11</v>
      </c>
      <c r="D114" s="12">
        <f>IF(D104="","",(D104-Comparisons!D9)/Comparisons!D9)</f>
        <v>1.3717539863325741</v>
      </c>
      <c r="E114" s="12">
        <f>IF(E104="","",(E104-Comparisons!E9)/Comparisons!E9)</f>
        <v>0.99161048689138576</v>
      </c>
      <c r="F114" s="12">
        <f>IF(F104="","",(F104-Comparisons!F9)/Comparisons!F9)</f>
        <v>2.0248429468874929</v>
      </c>
      <c r="G114" s="12" t="str">
        <f>IF(G104="","",(G104-Comparisons!G9)/Comparisons!G9)</f>
        <v/>
      </c>
      <c r="H114" s="12" t="str">
        <f>IF(H104="","",(H104-Comparisons!H9)/Comparisons!H9)</f>
        <v/>
      </c>
      <c r="I114" s="12" t="str">
        <f>IF(I104="","",(I104-Comparisons!I9)/Comparisons!I9)</f>
        <v/>
      </c>
      <c r="J114" s="11" t="e">
        <f>IF(D114="","",J104-((1/Comparisons!D104)*1000000))</f>
        <v>#DIV/0!</v>
      </c>
      <c r="K114" s="11" t="e">
        <f>IF(E114="","",K104-((1/Comparisons!E104)*1000000))</f>
        <v>#DIV/0!</v>
      </c>
      <c r="L114" s="11" t="e">
        <f>IF(F114="","",L104-((1/Comparisons!F104)*1000000))</f>
        <v>#DIV/0!</v>
      </c>
      <c r="M114" s="11" t="str">
        <f>IF(G114="","",M104-((1/Comparisons!G104)*1000000))</f>
        <v/>
      </c>
      <c r="N114" s="11" t="str">
        <f>IF(H114="","",N104-((1/Comparisons!H104)*1000000))</f>
        <v/>
      </c>
      <c r="O114" s="11" t="str">
        <f>IF(I114="","",O104-((1/Comparisons!I104)*1000000))</f>
        <v/>
      </c>
    </row>
    <row r="115" spans="1:15" x14ac:dyDescent="0.25">
      <c r="A115" s="9" t="s">
        <v>17</v>
      </c>
      <c r="B115" s="8" t="s">
        <v>18</v>
      </c>
      <c r="C115" s="9" t="s">
        <v>11</v>
      </c>
      <c r="D115" s="12">
        <f>IF(D105="","",(D105-Comparisons!D10)/Comparisons!D10)</f>
        <v>1.3325050824486109</v>
      </c>
      <c r="E115" s="12">
        <f>IF(E105="","",(E105-Comparisons!E10)/Comparisons!E10)</f>
        <v>1.2195121951219512</v>
      </c>
      <c r="F115" s="12">
        <f>IF(F105="","",(F105-Comparisons!F10)/Comparisons!F10)</f>
        <v>1.7620357634112793</v>
      </c>
      <c r="G115" s="12" t="str">
        <f>IF(G105="","",(G105-Comparisons!G10)/Comparisons!G10)</f>
        <v/>
      </c>
      <c r="H115" s="12" t="str">
        <f>IF(H105="","",(H105-Comparisons!H10)/Comparisons!H10)</f>
        <v/>
      </c>
      <c r="I115" s="12" t="str">
        <f>IF(I105="","",(I105-Comparisons!I10)/Comparisons!I10)</f>
        <v/>
      </c>
      <c r="J115" s="11" t="e">
        <f>IF(D115="","",J105-((1/Comparisons!D105)*1000000))</f>
        <v>#DIV/0!</v>
      </c>
      <c r="K115" s="11" t="e">
        <f>IF(E115="","",K105-((1/Comparisons!E105)*1000000))</f>
        <v>#DIV/0!</v>
      </c>
      <c r="L115" s="11" t="e">
        <f>IF(F115="","",L105-((1/Comparisons!F105)*1000000))</f>
        <v>#DIV/0!</v>
      </c>
      <c r="M115" s="11" t="str">
        <f>IF(G115="","",M105-((1/Comparisons!G105)*1000000))</f>
        <v/>
      </c>
      <c r="N115" s="11" t="str">
        <f>IF(H115="","",N105-((1/Comparisons!H105)*1000000))</f>
        <v/>
      </c>
      <c r="O115" s="11" t="str">
        <f>IF(I115="","",O105-((1/Comparisons!I105)*1000000))</f>
        <v/>
      </c>
    </row>
    <row r="117" spans="1:15" ht="18.75" x14ac:dyDescent="0.25">
      <c r="A117" s="77" t="s">
        <v>0</v>
      </c>
      <c r="B117" s="78"/>
      <c r="C117" s="78"/>
      <c r="D117" s="78"/>
      <c r="E117" s="78"/>
      <c r="F117" s="78"/>
      <c r="G117" s="78"/>
      <c r="H117" s="78"/>
      <c r="I117" s="78"/>
      <c r="J117" s="15"/>
      <c r="K117" s="15"/>
      <c r="L117" s="15"/>
      <c r="M117" s="15"/>
      <c r="N117" s="15"/>
      <c r="O117" s="16"/>
    </row>
    <row r="118" spans="1:15" ht="15.75" x14ac:dyDescent="0.25">
      <c r="A118" s="79" t="s">
        <v>45</v>
      </c>
      <c r="B118" s="80"/>
      <c r="C118" s="80"/>
      <c r="D118" s="80"/>
      <c r="E118" s="80"/>
      <c r="F118" s="80"/>
      <c r="G118" s="80"/>
      <c r="H118" s="80"/>
      <c r="I118" s="80"/>
      <c r="J118" s="17"/>
      <c r="K118" s="17"/>
      <c r="L118" s="17"/>
      <c r="M118" s="17"/>
      <c r="N118" s="17"/>
      <c r="O118" s="18"/>
    </row>
    <row r="119" spans="1:15" x14ac:dyDescent="0.25">
      <c r="A119" s="72" t="s">
        <v>1</v>
      </c>
      <c r="B119" s="72"/>
      <c r="C119" s="72"/>
      <c r="D119" s="73" t="s">
        <v>2</v>
      </c>
      <c r="E119" s="73"/>
      <c r="F119" s="73"/>
      <c r="G119" s="73"/>
      <c r="H119" s="73"/>
      <c r="I119" s="73"/>
      <c r="J119" s="73" t="s">
        <v>3</v>
      </c>
      <c r="K119" s="73"/>
      <c r="L119" s="73"/>
      <c r="M119" s="73"/>
      <c r="N119" s="73"/>
      <c r="O119" s="73"/>
    </row>
    <row r="120" spans="1:15" x14ac:dyDescent="0.25">
      <c r="A120" s="6" t="s">
        <v>26</v>
      </c>
      <c r="B120" s="6" t="s">
        <v>5</v>
      </c>
      <c r="C120" s="6" t="s">
        <v>6</v>
      </c>
      <c r="D120" s="7">
        <v>1</v>
      </c>
      <c r="E120" s="7">
        <v>4</v>
      </c>
      <c r="F120" s="7">
        <v>16</v>
      </c>
      <c r="G120" s="7">
        <v>32</v>
      </c>
      <c r="H120" s="7">
        <v>64</v>
      </c>
      <c r="I120" s="7">
        <v>80</v>
      </c>
      <c r="J120" s="7">
        <v>1</v>
      </c>
      <c r="K120" s="7">
        <v>4</v>
      </c>
      <c r="L120" s="7">
        <v>16</v>
      </c>
      <c r="M120" s="7">
        <v>32</v>
      </c>
      <c r="N120" s="7">
        <v>64</v>
      </c>
      <c r="O120" s="7">
        <v>80</v>
      </c>
    </row>
    <row r="121" spans="1:15" x14ac:dyDescent="0.25">
      <c r="A121" s="8" t="s">
        <v>7</v>
      </c>
      <c r="B121" s="9" t="s">
        <v>8</v>
      </c>
      <c r="C121" s="9" t="s">
        <v>9</v>
      </c>
      <c r="D121" s="10">
        <v>44814</v>
      </c>
      <c r="E121" s="10">
        <v>39187</v>
      </c>
      <c r="F121" s="10">
        <v>20727</v>
      </c>
      <c r="G121" s="10"/>
      <c r="H121" s="10"/>
      <c r="I121" s="10"/>
      <c r="J121" s="11">
        <f t="shared" ref="J121:J126" si="57">IF(D121="","",(1/D121)*1000000)</f>
        <v>22.314455304146026</v>
      </c>
      <c r="K121" s="11">
        <f t="shared" ref="K121:K126" si="58">IF(E121="","",(1/E121)*1000000)</f>
        <v>25.518666904840888</v>
      </c>
      <c r="L121" s="11">
        <f t="shared" ref="L121:L126" si="59">IF(F121="","",(1/F121)*1000000)</f>
        <v>48.246248854151595</v>
      </c>
      <c r="M121" s="11" t="str">
        <f t="shared" ref="M121:M126" si="60">IF(G121="","",(1/G121)*1000000)</f>
        <v/>
      </c>
      <c r="N121" s="11" t="str">
        <f t="shared" ref="N121:N126" si="61">IF(H121="","",(1/H121)*1000000)</f>
        <v/>
      </c>
      <c r="O121" s="11" t="str">
        <f t="shared" ref="O121:O126" si="62">IF(I121="","",(1/I121)*1000000)</f>
        <v/>
      </c>
    </row>
    <row r="122" spans="1:15" x14ac:dyDescent="0.25">
      <c r="A122" s="8" t="s">
        <v>10</v>
      </c>
      <c r="B122" s="9" t="s">
        <v>8</v>
      </c>
      <c r="C122" s="9" t="s">
        <v>11</v>
      </c>
      <c r="D122" s="10">
        <v>13947</v>
      </c>
      <c r="E122" s="10">
        <v>12428</v>
      </c>
      <c r="F122" s="10">
        <v>10357</v>
      </c>
      <c r="G122" s="10"/>
      <c r="H122" s="10"/>
      <c r="I122" s="10"/>
      <c r="J122" s="11">
        <f t="shared" si="57"/>
        <v>71.700007170000717</v>
      </c>
      <c r="K122" s="11">
        <f t="shared" si="58"/>
        <v>80.463469584808507</v>
      </c>
      <c r="L122" s="11">
        <f t="shared" si="59"/>
        <v>96.553055904219377</v>
      </c>
      <c r="M122" s="11" t="str">
        <f t="shared" si="60"/>
        <v/>
      </c>
      <c r="N122" s="11" t="str">
        <f t="shared" si="61"/>
        <v/>
      </c>
      <c r="O122" s="11" t="str">
        <f t="shared" si="62"/>
        <v/>
      </c>
    </row>
    <row r="123" spans="1:15" x14ac:dyDescent="0.25">
      <c r="A123" s="9" t="s">
        <v>12</v>
      </c>
      <c r="B123" s="9" t="s">
        <v>13</v>
      </c>
      <c r="C123" s="9" t="s">
        <v>9</v>
      </c>
      <c r="D123" s="10">
        <v>43079</v>
      </c>
      <c r="E123" s="10">
        <v>32704</v>
      </c>
      <c r="F123" s="10">
        <v>17663</v>
      </c>
      <c r="G123" s="10"/>
      <c r="H123" s="10"/>
      <c r="I123" s="10"/>
      <c r="J123" s="11">
        <f t="shared" si="57"/>
        <v>23.213166508043361</v>
      </c>
      <c r="K123" s="11">
        <f t="shared" si="58"/>
        <v>30.577299412915849</v>
      </c>
      <c r="L123" s="11">
        <f t="shared" si="59"/>
        <v>56.615523976674403</v>
      </c>
      <c r="M123" s="11" t="str">
        <f t="shared" si="60"/>
        <v/>
      </c>
      <c r="N123" s="11" t="str">
        <f t="shared" si="61"/>
        <v/>
      </c>
      <c r="O123" s="11" t="str">
        <f t="shared" si="62"/>
        <v/>
      </c>
    </row>
    <row r="124" spans="1:15" x14ac:dyDescent="0.25">
      <c r="A124" s="9" t="s">
        <v>14</v>
      </c>
      <c r="B124" s="9" t="s">
        <v>13</v>
      </c>
      <c r="C124" s="9" t="s">
        <v>11</v>
      </c>
      <c r="D124" s="10">
        <v>12989</v>
      </c>
      <c r="E124" s="10">
        <v>12190</v>
      </c>
      <c r="F124" s="10">
        <v>9595</v>
      </c>
      <c r="G124" s="10"/>
      <c r="H124" s="10"/>
      <c r="I124" s="10"/>
      <c r="J124" s="11">
        <f t="shared" si="57"/>
        <v>76.98822080221727</v>
      </c>
      <c r="K124" s="11">
        <f t="shared" si="58"/>
        <v>82.034454470877762</v>
      </c>
      <c r="L124" s="11">
        <f t="shared" si="59"/>
        <v>104.22094841063054</v>
      </c>
      <c r="M124" s="11" t="str">
        <f t="shared" si="60"/>
        <v/>
      </c>
      <c r="N124" s="11" t="str">
        <f t="shared" si="61"/>
        <v/>
      </c>
      <c r="O124" s="11" t="str">
        <f t="shared" si="62"/>
        <v/>
      </c>
    </row>
    <row r="125" spans="1:15" x14ac:dyDescent="0.25">
      <c r="A125" s="9" t="s">
        <v>15</v>
      </c>
      <c r="B125" s="9" t="s">
        <v>16</v>
      </c>
      <c r="C125" s="9" t="s">
        <v>11</v>
      </c>
      <c r="D125" s="10">
        <v>10765</v>
      </c>
      <c r="E125" s="10">
        <v>13166</v>
      </c>
      <c r="F125" s="10">
        <v>10287</v>
      </c>
      <c r="G125" s="10"/>
      <c r="H125" s="10"/>
      <c r="I125" s="10"/>
      <c r="J125" s="11">
        <f t="shared" si="57"/>
        <v>92.893636785880162</v>
      </c>
      <c r="K125" s="11">
        <f t="shared" si="58"/>
        <v>75.953212820902323</v>
      </c>
      <c r="L125" s="11">
        <f t="shared" si="59"/>
        <v>97.210070963351797</v>
      </c>
      <c r="M125" s="11" t="str">
        <f t="shared" si="60"/>
        <v/>
      </c>
      <c r="N125" s="11" t="str">
        <f t="shared" si="61"/>
        <v/>
      </c>
      <c r="O125" s="11" t="str">
        <f t="shared" si="62"/>
        <v/>
      </c>
    </row>
    <row r="126" spans="1:15" x14ac:dyDescent="0.25">
      <c r="A126" s="9" t="s">
        <v>17</v>
      </c>
      <c r="B126" s="8" t="s">
        <v>18</v>
      </c>
      <c r="C126" s="9" t="s">
        <v>11</v>
      </c>
      <c r="D126" s="10">
        <v>10357</v>
      </c>
      <c r="E126" s="10">
        <v>12638</v>
      </c>
      <c r="F126" s="10">
        <v>9905</v>
      </c>
      <c r="G126" s="10"/>
      <c r="H126" s="10"/>
      <c r="I126" s="10"/>
      <c r="J126" s="11">
        <f t="shared" si="57"/>
        <v>96.553055904219377</v>
      </c>
      <c r="K126" s="11">
        <f t="shared" si="58"/>
        <v>79.126444057604061</v>
      </c>
      <c r="L126" s="11">
        <f t="shared" si="59"/>
        <v>100.95911155981827</v>
      </c>
      <c r="M126" s="11" t="str">
        <f t="shared" si="60"/>
        <v/>
      </c>
      <c r="N126" s="11" t="str">
        <f t="shared" si="61"/>
        <v/>
      </c>
      <c r="O126" s="11" t="str">
        <f t="shared" si="62"/>
        <v/>
      </c>
    </row>
    <row r="128" spans="1:15" ht="18.75" x14ac:dyDescent="0.3">
      <c r="A128" s="75" t="s">
        <v>44</v>
      </c>
      <c r="B128" s="76"/>
      <c r="C128" s="76"/>
      <c r="D128" s="76"/>
      <c r="E128" s="76"/>
      <c r="F128" s="76"/>
      <c r="G128" s="76"/>
      <c r="H128" s="76"/>
      <c r="I128" s="76"/>
      <c r="J128" s="1"/>
      <c r="K128" s="1"/>
      <c r="L128" s="1"/>
      <c r="M128" s="1"/>
      <c r="N128" s="1"/>
      <c r="O128" s="2"/>
    </row>
    <row r="129" spans="1:15" x14ac:dyDescent="0.25">
      <c r="A129" s="72" t="s">
        <v>1</v>
      </c>
      <c r="B129" s="72"/>
      <c r="C129" s="72"/>
      <c r="D129" s="73" t="s">
        <v>19</v>
      </c>
      <c r="E129" s="73"/>
      <c r="F129" s="73"/>
      <c r="G129" s="73"/>
      <c r="H129" s="73"/>
      <c r="I129" s="73"/>
      <c r="J129" s="73" t="s">
        <v>22</v>
      </c>
      <c r="K129" s="73"/>
      <c r="L129" s="73"/>
      <c r="M129" s="73"/>
      <c r="N129" s="73"/>
      <c r="O129" s="73"/>
    </row>
    <row r="130" spans="1:15" x14ac:dyDescent="0.25">
      <c r="A130" s="6" t="s">
        <v>4</v>
      </c>
      <c r="B130" s="6" t="s">
        <v>5</v>
      </c>
      <c r="C130" s="6" t="s">
        <v>6</v>
      </c>
      <c r="D130" s="7">
        <v>1</v>
      </c>
      <c r="E130" s="7">
        <v>4</v>
      </c>
      <c r="F130" s="7">
        <v>16</v>
      </c>
      <c r="G130" s="7">
        <v>32</v>
      </c>
      <c r="H130" s="7">
        <v>64</v>
      </c>
      <c r="I130" s="7">
        <v>80</v>
      </c>
      <c r="J130" s="7">
        <v>1</v>
      </c>
      <c r="K130" s="7">
        <v>4</v>
      </c>
      <c r="L130" s="7">
        <v>16</v>
      </c>
      <c r="M130" s="7">
        <v>32</v>
      </c>
      <c r="N130" s="7">
        <v>64</v>
      </c>
      <c r="O130" s="7">
        <v>80</v>
      </c>
    </row>
    <row r="131" spans="1:15" x14ac:dyDescent="0.25">
      <c r="A131" s="8" t="s">
        <v>7</v>
      </c>
      <c r="B131" s="9" t="s">
        <v>8</v>
      </c>
      <c r="C131" s="9" t="s">
        <v>9</v>
      </c>
      <c r="D131" s="12">
        <f t="shared" ref="D131:I131" si="63">IF(D121="","",(D121-D100)/D100)</f>
        <v>-8.6275550836209178E-3</v>
      </c>
      <c r="E131" s="12">
        <f t="shared" si="63"/>
        <v>-8.1249367216766222E-3</v>
      </c>
      <c r="F131" s="12">
        <f t="shared" si="63"/>
        <v>-2.0694542877391919E-2</v>
      </c>
      <c r="G131" s="12" t="str">
        <f t="shared" si="63"/>
        <v/>
      </c>
      <c r="H131" s="12" t="str">
        <f t="shared" si="63"/>
        <v/>
      </c>
      <c r="I131" s="12" t="str">
        <f t="shared" si="63"/>
        <v/>
      </c>
      <c r="J131" s="11" t="e">
        <f>IF(D131="","",J121-((1/Comparisons!D121)*1000000))</f>
        <v>#DIV/0!</v>
      </c>
      <c r="K131" s="11" t="e">
        <f>IF(E131="","",K121-((1/Comparisons!E121)*1000000))</f>
        <v>#DIV/0!</v>
      </c>
      <c r="L131" s="11" t="e">
        <f>IF(F131="","",L121-((1/Comparisons!F121)*1000000))</f>
        <v>#DIV/0!</v>
      </c>
      <c r="M131" s="11" t="str">
        <f>IF(G131="","",M121-((1/Comparisons!G121)*1000000))</f>
        <v/>
      </c>
      <c r="N131" s="11" t="str">
        <f>IF(H131="","",N121-((1/Comparisons!H121)*1000000))</f>
        <v/>
      </c>
      <c r="O131" s="11" t="str">
        <f>IF(I131="","",O121-((1/Comparisons!I121)*1000000))</f>
        <v/>
      </c>
    </row>
    <row r="132" spans="1:15" x14ac:dyDescent="0.25">
      <c r="A132" s="8" t="s">
        <v>10</v>
      </c>
      <c r="B132" s="9" t="s">
        <v>8</v>
      </c>
      <c r="C132" s="9" t="s">
        <v>11</v>
      </c>
      <c r="D132" s="12">
        <f t="shared" ref="D132:I132" si="64">IF(D122="","",(D122-D101)/D101)</f>
        <v>1.4548628791736379E-2</v>
      </c>
      <c r="E132" s="12">
        <f t="shared" si="64"/>
        <v>-5.8983872188990684E-2</v>
      </c>
      <c r="F132" s="12">
        <f t="shared" si="64"/>
        <v>-1.1642332283614849E-2</v>
      </c>
      <c r="G132" s="12" t="str">
        <f t="shared" si="64"/>
        <v/>
      </c>
      <c r="H132" s="12" t="str">
        <f t="shared" si="64"/>
        <v/>
      </c>
      <c r="I132" s="12" t="str">
        <f t="shared" si="64"/>
        <v/>
      </c>
      <c r="J132" s="11" t="e">
        <f>IF(D132="","",J122-((1/Comparisons!D122)*1000000))</f>
        <v>#DIV/0!</v>
      </c>
      <c r="K132" s="11" t="e">
        <f>IF(E132="","",K122-((1/Comparisons!E122)*1000000))</f>
        <v>#DIV/0!</v>
      </c>
      <c r="L132" s="11" t="e">
        <f>IF(F132="","",L122-((1/Comparisons!F122)*1000000))</f>
        <v>#DIV/0!</v>
      </c>
      <c r="M132" s="11" t="str">
        <f>IF(G132="","",M122-((1/Comparisons!G122)*1000000))</f>
        <v/>
      </c>
      <c r="N132" s="11" t="str">
        <f>IF(H132="","",N122-((1/Comparisons!H122)*1000000))</f>
        <v/>
      </c>
      <c r="O132" s="11" t="str">
        <f>IF(I132="","",O122-((1/Comparisons!I122)*1000000))</f>
        <v/>
      </c>
    </row>
    <row r="133" spans="1:15" x14ac:dyDescent="0.25">
      <c r="A133" s="9" t="s">
        <v>12</v>
      </c>
      <c r="B133" s="9" t="s">
        <v>13</v>
      </c>
      <c r="C133" s="9" t="s">
        <v>9</v>
      </c>
      <c r="D133" s="12">
        <f t="shared" ref="D133:I133" si="65">IF(D123="","",(D123-D102)/D102)</f>
        <v>-2.1310602024507191E-3</v>
      </c>
      <c r="E133" s="12">
        <f t="shared" si="65"/>
        <v>-1.6657646280594143E-2</v>
      </c>
      <c r="F133" s="12">
        <f t="shared" si="65"/>
        <v>1.133695963355282E-2</v>
      </c>
      <c r="G133" s="12" t="str">
        <f t="shared" si="65"/>
        <v/>
      </c>
      <c r="H133" s="12" t="str">
        <f t="shared" si="65"/>
        <v/>
      </c>
      <c r="I133" s="12" t="str">
        <f t="shared" si="65"/>
        <v/>
      </c>
      <c r="J133" s="11" t="e">
        <f>IF(D133="","",J123-((1/Comparisons!D123)*1000000))</f>
        <v>#DIV/0!</v>
      </c>
      <c r="K133" s="11" t="e">
        <f>IF(E133="","",K123-((1/Comparisons!E123)*1000000))</f>
        <v>#DIV/0!</v>
      </c>
      <c r="L133" s="11" t="e">
        <f>IF(F133="","",L123-((1/Comparisons!F123)*1000000))</f>
        <v>#DIV/0!</v>
      </c>
      <c r="M133" s="11" t="str">
        <f>IF(G133="","",M123-((1/Comparisons!G123)*1000000))</f>
        <v/>
      </c>
      <c r="N133" s="11" t="str">
        <f>IF(H133="","",N123-((1/Comparisons!H123)*1000000))</f>
        <v/>
      </c>
      <c r="O133" s="11" t="str">
        <f>IF(I133="","",O123-((1/Comparisons!I123)*1000000))</f>
        <v/>
      </c>
    </row>
    <row r="134" spans="1:15" x14ac:dyDescent="0.25">
      <c r="A134" s="9" t="s">
        <v>14</v>
      </c>
      <c r="B134" s="9" t="s">
        <v>13</v>
      </c>
      <c r="C134" s="9" t="s">
        <v>11</v>
      </c>
      <c r="D134" s="12">
        <f t="shared" ref="D134:I134" si="66">IF(D124="","",(D124-D103)/D103)</f>
        <v>-2.9295269411852627E-2</v>
      </c>
      <c r="E134" s="12">
        <f t="shared" si="66"/>
        <v>-1.9150305761184424E-2</v>
      </c>
      <c r="F134" s="12">
        <f t="shared" si="66"/>
        <v>-6.728778467908903E-3</v>
      </c>
      <c r="G134" s="12" t="str">
        <f t="shared" si="66"/>
        <v/>
      </c>
      <c r="H134" s="12" t="str">
        <f t="shared" si="66"/>
        <v/>
      </c>
      <c r="I134" s="12" t="str">
        <f t="shared" si="66"/>
        <v/>
      </c>
      <c r="J134" s="11" t="e">
        <f>IF(D134="","",J124-((1/Comparisons!D124)*1000000))</f>
        <v>#DIV/0!</v>
      </c>
      <c r="K134" s="11" t="e">
        <f>IF(E134="","",K124-((1/Comparisons!E124)*1000000))</f>
        <v>#DIV/0!</v>
      </c>
      <c r="L134" s="11" t="e">
        <f>IF(F134="","",L124-((1/Comparisons!F124)*1000000))</f>
        <v>#DIV/0!</v>
      </c>
      <c r="M134" s="11" t="str">
        <f>IF(G134="","",M124-((1/Comparisons!G124)*1000000))</f>
        <v/>
      </c>
      <c r="N134" s="11" t="str">
        <f>IF(H134="","",N124-((1/Comparisons!H124)*1000000))</f>
        <v/>
      </c>
      <c r="O134" s="11" t="str">
        <f>IF(I134="","",O124-((1/Comparisons!I124)*1000000))</f>
        <v/>
      </c>
    </row>
    <row r="135" spans="1:15" x14ac:dyDescent="0.25">
      <c r="A135" s="9" t="s">
        <v>15</v>
      </c>
      <c r="B135" s="9" t="s">
        <v>16</v>
      </c>
      <c r="C135" s="9" t="s">
        <v>11</v>
      </c>
      <c r="D135" s="12">
        <f t="shared" ref="D135:I135" si="67">IF(D125="","",(D125-D104)/D104)</f>
        <v>3.3903188628505568E-2</v>
      </c>
      <c r="E135" s="12">
        <f t="shared" si="67"/>
        <v>-9.6284037911839922E-3</v>
      </c>
      <c r="F135" s="12">
        <f t="shared" si="67"/>
        <v>-2.8887000849617671E-2</v>
      </c>
      <c r="G135" s="12" t="str">
        <f t="shared" si="67"/>
        <v/>
      </c>
      <c r="H135" s="12" t="str">
        <f t="shared" si="67"/>
        <v/>
      </c>
      <c r="I135" s="12" t="str">
        <f t="shared" si="67"/>
        <v/>
      </c>
      <c r="J135" s="11" t="e">
        <f>IF(D135="","",J125-((1/Comparisons!D125)*1000000))</f>
        <v>#DIV/0!</v>
      </c>
      <c r="K135" s="11" t="e">
        <f>IF(E135="","",K125-((1/Comparisons!E125)*1000000))</f>
        <v>#DIV/0!</v>
      </c>
      <c r="L135" s="11" t="e">
        <f>IF(F135="","",L125-((1/Comparisons!F125)*1000000))</f>
        <v>#DIV/0!</v>
      </c>
      <c r="M135" s="11" t="str">
        <f>IF(G135="","",M125-((1/Comparisons!G125)*1000000))</f>
        <v/>
      </c>
      <c r="N135" s="11" t="str">
        <f>IF(H135="","",N125-((1/Comparisons!H125)*1000000))</f>
        <v/>
      </c>
      <c r="O135" s="11" t="str">
        <f>IF(I135="","",O125-((1/Comparisons!I125)*1000000))</f>
        <v/>
      </c>
    </row>
    <row r="136" spans="1:15" x14ac:dyDescent="0.25">
      <c r="A136" s="9" t="s">
        <v>17</v>
      </c>
      <c r="B136" s="8" t="s">
        <v>18</v>
      </c>
      <c r="C136" s="9" t="s">
        <v>11</v>
      </c>
      <c r="D136" s="12">
        <f t="shared" ref="D136:I136" si="68">IF(D126="","",(D126-D105)/D105)</f>
        <v>3.0021305442572148E-3</v>
      </c>
      <c r="E136" s="12">
        <f t="shared" si="68"/>
        <v>-8.0062794348508635E-3</v>
      </c>
      <c r="F136" s="12">
        <f t="shared" si="68"/>
        <v>-1.3446215139442231E-2</v>
      </c>
      <c r="G136" s="12" t="str">
        <f t="shared" si="68"/>
        <v/>
      </c>
      <c r="H136" s="12" t="str">
        <f t="shared" si="68"/>
        <v/>
      </c>
      <c r="I136" s="12" t="str">
        <f t="shared" si="68"/>
        <v/>
      </c>
      <c r="J136" s="11" t="e">
        <f>IF(D136="","",J126-((1/Comparisons!D126)*1000000))</f>
        <v>#DIV/0!</v>
      </c>
      <c r="K136" s="11" t="e">
        <f>IF(E136="","",K126-((1/Comparisons!E126)*1000000))</f>
        <v>#DIV/0!</v>
      </c>
      <c r="L136" s="11" t="e">
        <f>IF(F136="","",L126-((1/Comparisons!F126)*1000000))</f>
        <v>#DIV/0!</v>
      </c>
      <c r="M136" s="11" t="str">
        <f>IF(G136="","",M126-((1/Comparisons!G126)*1000000))</f>
        <v/>
      </c>
      <c r="N136" s="11" t="str">
        <f>IF(H136="","",N126-((1/Comparisons!H126)*1000000))</f>
        <v/>
      </c>
      <c r="O136" s="11" t="str">
        <f>IF(I136="","",O126-((1/Comparisons!I126)*1000000))</f>
        <v/>
      </c>
    </row>
    <row r="138" spans="1:15" ht="18.75" x14ac:dyDescent="0.25">
      <c r="A138" s="77" t="s">
        <v>49</v>
      </c>
      <c r="B138" s="78"/>
      <c r="C138" s="78"/>
      <c r="D138" s="78"/>
      <c r="E138" s="78"/>
      <c r="F138" s="78"/>
      <c r="G138" s="78"/>
      <c r="H138" s="78"/>
      <c r="I138" s="78"/>
      <c r="J138" s="15"/>
      <c r="K138" s="15"/>
      <c r="L138" s="15"/>
      <c r="M138" s="15"/>
      <c r="N138" s="15"/>
      <c r="O138" s="16"/>
    </row>
    <row r="139" spans="1:15" ht="15.75" x14ac:dyDescent="0.25">
      <c r="A139" s="79" t="s">
        <v>46</v>
      </c>
      <c r="B139" s="80"/>
      <c r="C139" s="80"/>
      <c r="D139" s="80"/>
      <c r="E139" s="80"/>
      <c r="F139" s="80"/>
      <c r="G139" s="80"/>
      <c r="H139" s="80"/>
      <c r="I139" s="80"/>
      <c r="J139" s="17"/>
      <c r="K139" s="17"/>
      <c r="L139" s="17"/>
      <c r="M139" s="17"/>
      <c r="N139" s="17"/>
      <c r="O139" s="18"/>
    </row>
    <row r="140" spans="1:15" x14ac:dyDescent="0.25">
      <c r="A140" s="72" t="s">
        <v>1</v>
      </c>
      <c r="B140" s="72"/>
      <c r="C140" s="72"/>
      <c r="D140" s="73" t="s">
        <v>2</v>
      </c>
      <c r="E140" s="73"/>
      <c r="F140" s="73"/>
      <c r="G140" s="73"/>
      <c r="H140" s="73"/>
      <c r="I140" s="73"/>
      <c r="J140" s="73" t="s">
        <v>3</v>
      </c>
      <c r="K140" s="73"/>
      <c r="L140" s="73"/>
      <c r="M140" s="73"/>
      <c r="N140" s="73"/>
      <c r="O140" s="73"/>
    </row>
    <row r="141" spans="1:15" x14ac:dyDescent="0.25">
      <c r="A141" s="6" t="s">
        <v>26</v>
      </c>
      <c r="B141" s="6" t="s">
        <v>5</v>
      </c>
      <c r="C141" s="6" t="s">
        <v>6</v>
      </c>
      <c r="D141" s="7">
        <v>1</v>
      </c>
      <c r="E141" s="7">
        <v>4</v>
      </c>
      <c r="F141" s="7">
        <v>16</v>
      </c>
      <c r="G141" s="7">
        <v>32</v>
      </c>
      <c r="H141" s="7">
        <v>64</v>
      </c>
      <c r="I141" s="7">
        <v>80</v>
      </c>
      <c r="J141" s="7">
        <v>1</v>
      </c>
      <c r="K141" s="7">
        <v>4</v>
      </c>
      <c r="L141" s="7">
        <v>16</v>
      </c>
      <c r="M141" s="7">
        <v>32</v>
      </c>
      <c r="N141" s="7">
        <v>64</v>
      </c>
      <c r="O141" s="7">
        <v>80</v>
      </c>
    </row>
    <row r="142" spans="1:15" x14ac:dyDescent="0.25">
      <c r="A142" s="8" t="s">
        <v>7</v>
      </c>
      <c r="B142" s="9" t="s">
        <v>8</v>
      </c>
      <c r="C142" s="9" t="s">
        <v>9</v>
      </c>
      <c r="D142" s="10">
        <v>46178</v>
      </c>
      <c r="E142" s="10">
        <v>39790</v>
      </c>
      <c r="F142" s="10">
        <v>20727</v>
      </c>
      <c r="G142" s="10"/>
      <c r="H142" s="10"/>
      <c r="I142" s="10"/>
      <c r="J142" s="11">
        <f t="shared" ref="J142:J147" si="69">IF(D142="","",(1/D142)*1000000)</f>
        <v>21.655333708692449</v>
      </c>
      <c r="K142" s="11">
        <f t="shared" ref="K142:K147" si="70">IF(E142="","",(1/E142)*1000000)</f>
        <v>25.131942699170644</v>
      </c>
      <c r="L142" s="11">
        <f t="shared" ref="L142:L147" si="71">IF(F142="","",(1/F142)*1000000)</f>
        <v>48.246248854151595</v>
      </c>
      <c r="M142" s="11" t="str">
        <f t="shared" ref="M142:M147" si="72">IF(G142="","",(1/G142)*1000000)</f>
        <v/>
      </c>
      <c r="N142" s="11" t="str">
        <f t="shared" ref="N142:N147" si="73">IF(H142="","",(1/H142)*1000000)</f>
        <v/>
      </c>
      <c r="O142" s="11" t="str">
        <f t="shared" ref="O142:O147" si="74">IF(I142="","",(1/I142)*1000000)</f>
        <v/>
      </c>
    </row>
    <row r="143" spans="1:15" x14ac:dyDescent="0.25">
      <c r="A143" s="8" t="s">
        <v>10</v>
      </c>
      <c r="B143" s="9" t="s">
        <v>8</v>
      </c>
      <c r="C143" s="9" t="s">
        <v>11</v>
      </c>
      <c r="D143" s="10">
        <v>13642</v>
      </c>
      <c r="E143" s="10">
        <v>12190</v>
      </c>
      <c r="F143" s="10">
        <v>10253</v>
      </c>
      <c r="G143" s="10"/>
      <c r="H143" s="10"/>
      <c r="I143" s="10"/>
      <c r="J143" s="11">
        <f t="shared" si="69"/>
        <v>73.30303474563847</v>
      </c>
      <c r="K143" s="11">
        <f t="shared" si="70"/>
        <v>82.034454470877762</v>
      </c>
      <c r="L143" s="11">
        <f t="shared" si="71"/>
        <v>97.532429532819663</v>
      </c>
      <c r="M143" s="11" t="str">
        <f t="shared" si="72"/>
        <v/>
      </c>
      <c r="N143" s="11" t="str">
        <f t="shared" si="73"/>
        <v/>
      </c>
      <c r="O143" s="11" t="str">
        <f t="shared" si="74"/>
        <v/>
      </c>
    </row>
    <row r="144" spans="1:15" x14ac:dyDescent="0.25">
      <c r="A144" s="9" t="s">
        <v>12</v>
      </c>
      <c r="B144" s="9" t="s">
        <v>13</v>
      </c>
      <c r="C144" s="9" t="s">
        <v>9</v>
      </c>
      <c r="D144" s="10">
        <v>44172</v>
      </c>
      <c r="E144" s="10">
        <v>33297</v>
      </c>
      <c r="F144" s="10">
        <v>17361</v>
      </c>
      <c r="G144" s="10"/>
      <c r="H144" s="10"/>
      <c r="I144" s="10"/>
      <c r="J144" s="11">
        <f t="shared" si="69"/>
        <v>22.638775695010413</v>
      </c>
      <c r="K144" s="11">
        <f t="shared" si="70"/>
        <v>30.032735681893264</v>
      </c>
      <c r="L144" s="11">
        <f t="shared" si="71"/>
        <v>57.600368642359314</v>
      </c>
      <c r="M144" s="11" t="str">
        <f t="shared" si="72"/>
        <v/>
      </c>
      <c r="N144" s="11" t="str">
        <f t="shared" si="73"/>
        <v/>
      </c>
      <c r="O144" s="11" t="str">
        <f t="shared" si="74"/>
        <v/>
      </c>
    </row>
    <row r="145" spans="1:15" x14ac:dyDescent="0.25">
      <c r="A145" s="9" t="s">
        <v>14</v>
      </c>
      <c r="B145" s="9" t="s">
        <v>13</v>
      </c>
      <c r="C145" s="9" t="s">
        <v>11</v>
      </c>
      <c r="D145" s="10">
        <v>12905</v>
      </c>
      <c r="E145" s="10">
        <v>11951</v>
      </c>
      <c r="F145" s="10">
        <v>9625</v>
      </c>
      <c r="G145" s="10"/>
      <c r="H145" s="10"/>
      <c r="I145" s="10"/>
      <c r="J145" s="11">
        <f t="shared" si="69"/>
        <v>77.489345215032927</v>
      </c>
      <c r="K145" s="11">
        <f t="shared" si="70"/>
        <v>83.675006275625478</v>
      </c>
      <c r="L145" s="11">
        <f t="shared" si="71"/>
        <v>103.8961038961039</v>
      </c>
      <c r="M145" s="11" t="str">
        <f t="shared" si="72"/>
        <v/>
      </c>
      <c r="N145" s="11" t="str">
        <f t="shared" si="73"/>
        <v/>
      </c>
      <c r="O145" s="11" t="str">
        <f t="shared" si="74"/>
        <v/>
      </c>
    </row>
    <row r="146" spans="1:15" x14ac:dyDescent="0.25">
      <c r="A146" s="9" t="s">
        <v>15</v>
      </c>
      <c r="B146" s="9" t="s">
        <v>16</v>
      </c>
      <c r="C146" s="9" t="s">
        <v>11</v>
      </c>
      <c r="D146" s="10">
        <v>9612</v>
      </c>
      <c r="E146" s="10">
        <v>12247</v>
      </c>
      <c r="F146" s="10">
        <v>10242</v>
      </c>
      <c r="G146" s="10"/>
      <c r="H146" s="10"/>
      <c r="I146" s="10"/>
      <c r="J146" s="11">
        <f t="shared" si="69"/>
        <v>104.03662089055348</v>
      </c>
      <c r="K146" s="11">
        <f t="shared" si="70"/>
        <v>81.652649628480447</v>
      </c>
      <c r="L146" s="11">
        <f t="shared" si="71"/>
        <v>97.63718023823472</v>
      </c>
      <c r="M146" s="11" t="str">
        <f t="shared" si="72"/>
        <v/>
      </c>
      <c r="N146" s="11" t="str">
        <f t="shared" si="73"/>
        <v/>
      </c>
      <c r="O146" s="11" t="str">
        <f t="shared" si="74"/>
        <v/>
      </c>
    </row>
    <row r="147" spans="1:15" x14ac:dyDescent="0.25">
      <c r="A147" s="9" t="s">
        <v>17</v>
      </c>
      <c r="B147" s="8" t="s">
        <v>18</v>
      </c>
      <c r="C147" s="9" t="s">
        <v>11</v>
      </c>
      <c r="D147" s="10">
        <v>8847</v>
      </c>
      <c r="E147" s="10">
        <v>8847</v>
      </c>
      <c r="F147" s="10">
        <v>10265</v>
      </c>
      <c r="G147" s="10"/>
      <c r="H147" s="10"/>
      <c r="I147" s="10"/>
      <c r="J147" s="11">
        <f t="shared" si="69"/>
        <v>113.03266644060133</v>
      </c>
      <c r="K147" s="11">
        <f t="shared" si="70"/>
        <v>113.03266644060133</v>
      </c>
      <c r="L147" s="11">
        <f t="shared" si="71"/>
        <v>97.418412079883097</v>
      </c>
      <c r="M147" s="11" t="str">
        <f t="shared" si="72"/>
        <v/>
      </c>
      <c r="N147" s="11" t="str">
        <f t="shared" si="73"/>
        <v/>
      </c>
      <c r="O147" s="11" t="str">
        <f t="shared" si="74"/>
        <v/>
      </c>
    </row>
    <row r="148" spans="1:15" x14ac:dyDescent="0.25">
      <c r="A148" s="19" t="s">
        <v>48</v>
      </c>
    </row>
    <row r="149" spans="1:15" ht="18.75" x14ac:dyDescent="0.3">
      <c r="A149" s="75" t="s">
        <v>47</v>
      </c>
      <c r="B149" s="76"/>
      <c r="C149" s="76"/>
      <c r="D149" s="76"/>
      <c r="E149" s="76"/>
      <c r="F149" s="76"/>
      <c r="G149" s="76"/>
      <c r="H149" s="76"/>
      <c r="I149" s="76"/>
      <c r="J149" s="1"/>
      <c r="K149" s="1"/>
      <c r="L149" s="1"/>
      <c r="M149" s="1"/>
      <c r="N149" s="1"/>
      <c r="O149" s="2"/>
    </row>
    <row r="150" spans="1:15" x14ac:dyDescent="0.25">
      <c r="A150" s="72" t="s">
        <v>1</v>
      </c>
      <c r="B150" s="72"/>
      <c r="C150" s="72"/>
      <c r="D150" s="73" t="s">
        <v>19</v>
      </c>
      <c r="E150" s="73"/>
      <c r="F150" s="73"/>
      <c r="G150" s="73"/>
      <c r="H150" s="73"/>
      <c r="I150" s="73"/>
      <c r="J150" s="73" t="s">
        <v>22</v>
      </c>
      <c r="K150" s="73"/>
      <c r="L150" s="73"/>
      <c r="M150" s="73"/>
      <c r="N150" s="73"/>
      <c r="O150" s="73"/>
    </row>
    <row r="151" spans="1:15" x14ac:dyDescent="0.25">
      <c r="A151" s="6" t="s">
        <v>4</v>
      </c>
      <c r="B151" s="6" t="s">
        <v>5</v>
      </c>
      <c r="C151" s="6" t="s">
        <v>6</v>
      </c>
      <c r="D151" s="7">
        <v>1</v>
      </c>
      <c r="E151" s="7">
        <v>4</v>
      </c>
      <c r="F151" s="7">
        <v>16</v>
      </c>
      <c r="G151" s="7">
        <v>32</v>
      </c>
      <c r="H151" s="7">
        <v>64</v>
      </c>
      <c r="I151" s="7">
        <v>80</v>
      </c>
      <c r="J151" s="7">
        <v>1</v>
      </c>
      <c r="K151" s="7">
        <v>4</v>
      </c>
      <c r="L151" s="7">
        <v>16</v>
      </c>
      <c r="M151" s="7">
        <v>32</v>
      </c>
      <c r="N151" s="7">
        <v>64</v>
      </c>
      <c r="O151" s="7">
        <v>80</v>
      </c>
    </row>
    <row r="152" spans="1:15" x14ac:dyDescent="0.25">
      <c r="A152" s="8" t="s">
        <v>7</v>
      </c>
      <c r="B152" s="9" t="s">
        <v>8</v>
      </c>
      <c r="C152" s="9" t="s">
        <v>9</v>
      </c>
      <c r="D152" s="12">
        <f t="shared" ref="D152:I152" si="75">IF(D142="","",(D142-D121)/D121)</f>
        <v>3.0436917034855179E-2</v>
      </c>
      <c r="E152" s="12">
        <f t="shared" si="75"/>
        <v>1.5387756143619057E-2</v>
      </c>
      <c r="F152" s="12">
        <f t="shared" si="75"/>
        <v>0</v>
      </c>
      <c r="G152" s="12" t="str">
        <f t="shared" si="75"/>
        <v/>
      </c>
      <c r="H152" s="12" t="str">
        <f t="shared" si="75"/>
        <v/>
      </c>
      <c r="I152" s="12" t="str">
        <f t="shared" si="75"/>
        <v/>
      </c>
      <c r="J152" s="11">
        <f>J142-J121</f>
        <v>-0.65912159545357696</v>
      </c>
      <c r="K152" s="11">
        <f t="shared" ref="K152:L152" si="76">K142-K121</f>
        <v>-0.38672420567024446</v>
      </c>
      <c r="L152" s="11">
        <f t="shared" si="76"/>
        <v>0</v>
      </c>
      <c r="M152" s="11" t="str">
        <f>IF(G152="","",M142-((1/Comparisons!G142)*1000000))</f>
        <v/>
      </c>
      <c r="N152" s="11" t="str">
        <f>IF(H152="","",N142-((1/Comparisons!H142)*1000000))</f>
        <v/>
      </c>
      <c r="O152" s="11" t="str">
        <f>IF(I152="","",O142-((1/Comparisons!I142)*1000000))</f>
        <v/>
      </c>
    </row>
    <row r="153" spans="1:15" x14ac:dyDescent="0.25">
      <c r="A153" s="8" t="s">
        <v>10</v>
      </c>
      <c r="B153" s="9" t="s">
        <v>8</v>
      </c>
      <c r="C153" s="9" t="s">
        <v>11</v>
      </c>
      <c r="D153" s="12">
        <f t="shared" ref="D153:I153" si="77">IF(D143="","",(D143-D122)/D122)</f>
        <v>-2.1868502186850217E-2</v>
      </c>
      <c r="E153" s="12">
        <f t="shared" si="77"/>
        <v>-1.9150305761184424E-2</v>
      </c>
      <c r="F153" s="12">
        <f t="shared" si="77"/>
        <v>-1.0041517814038814E-2</v>
      </c>
      <c r="G153" s="12" t="str">
        <f t="shared" si="77"/>
        <v/>
      </c>
      <c r="H153" s="12" t="str">
        <f t="shared" si="77"/>
        <v/>
      </c>
      <c r="I153" s="12" t="str">
        <f t="shared" si="77"/>
        <v/>
      </c>
      <c r="J153" s="11">
        <f t="shared" ref="J153:L153" si="78">J143-J122</f>
        <v>1.6030275756377534</v>
      </c>
      <c r="K153" s="11">
        <f t="shared" si="78"/>
        <v>1.5709848860692546</v>
      </c>
      <c r="L153" s="11">
        <f t="shared" si="78"/>
        <v>0.97937362860028543</v>
      </c>
      <c r="M153" s="11" t="str">
        <f>IF(G153="","",M143-((1/Comparisons!G143)*1000000))</f>
        <v/>
      </c>
      <c r="N153" s="11" t="str">
        <f>IF(H153="","",N143-((1/Comparisons!H143)*1000000))</f>
        <v/>
      </c>
      <c r="O153" s="11" t="str">
        <f>IF(I153="","",O143-((1/Comparisons!I143)*1000000))</f>
        <v/>
      </c>
    </row>
    <row r="154" spans="1:15" x14ac:dyDescent="0.25">
      <c r="A154" s="9" t="s">
        <v>12</v>
      </c>
      <c r="B154" s="9" t="s">
        <v>13</v>
      </c>
      <c r="C154" s="9" t="s">
        <v>9</v>
      </c>
      <c r="D154" s="12">
        <f t="shared" ref="D154:I154" si="79">IF(D144="","",(D144-D123)/D123)</f>
        <v>2.5371990993291394E-2</v>
      </c>
      <c r="E154" s="12">
        <f t="shared" si="79"/>
        <v>1.8132338551859101E-2</v>
      </c>
      <c r="F154" s="12">
        <f t="shared" si="79"/>
        <v>-1.7097888240955671E-2</v>
      </c>
      <c r="G154" s="12" t="str">
        <f t="shared" si="79"/>
        <v/>
      </c>
      <c r="H154" s="12" t="str">
        <f t="shared" si="79"/>
        <v/>
      </c>
      <c r="I154" s="12" t="str">
        <f t="shared" si="79"/>
        <v/>
      </c>
      <c r="J154" s="11">
        <f t="shared" ref="J154:L154" si="80">J144-J123</f>
        <v>-0.5743908130329487</v>
      </c>
      <c r="K154" s="11">
        <f t="shared" si="80"/>
        <v>-0.54456373102258482</v>
      </c>
      <c r="L154" s="11">
        <f t="shared" si="80"/>
        <v>0.98484466568491058</v>
      </c>
      <c r="M154" s="11" t="str">
        <f>IF(G154="","",M144-((1/Comparisons!G144)*1000000))</f>
        <v/>
      </c>
      <c r="N154" s="11" t="str">
        <f>IF(H154="","",N144-((1/Comparisons!H144)*1000000))</f>
        <v/>
      </c>
      <c r="O154" s="11" t="str">
        <f>IF(I154="","",O144-((1/Comparisons!I144)*1000000))</f>
        <v/>
      </c>
    </row>
    <row r="155" spans="1:15" x14ac:dyDescent="0.25">
      <c r="A155" s="9" t="s">
        <v>14</v>
      </c>
      <c r="B155" s="9" t="s">
        <v>13</v>
      </c>
      <c r="C155" s="9" t="s">
        <v>11</v>
      </c>
      <c r="D155" s="12">
        <f t="shared" ref="D155:I155" si="81">IF(D145="","",(D145-D124)/D124)</f>
        <v>-6.4670105473862496E-3</v>
      </c>
      <c r="E155" s="12">
        <f t="shared" si="81"/>
        <v>-1.9606234618539786E-2</v>
      </c>
      <c r="F155" s="12">
        <f t="shared" si="81"/>
        <v>3.126628452318916E-3</v>
      </c>
      <c r="G155" s="12" t="str">
        <f t="shared" si="81"/>
        <v/>
      </c>
      <c r="H155" s="12" t="str">
        <f t="shared" si="81"/>
        <v/>
      </c>
      <c r="I155" s="12" t="str">
        <f t="shared" si="81"/>
        <v/>
      </c>
      <c r="J155" s="11">
        <f t="shared" ref="J155:L155" si="82">J145-J124</f>
        <v>0.50112441281565623</v>
      </c>
      <c r="K155" s="11">
        <f t="shared" si="82"/>
        <v>1.6405518047477159</v>
      </c>
      <c r="L155" s="11">
        <f t="shared" si="82"/>
        <v>-0.32484451452664587</v>
      </c>
      <c r="M155" s="11" t="str">
        <f>IF(G155="","",M145-((1/Comparisons!G145)*1000000))</f>
        <v/>
      </c>
      <c r="N155" s="11" t="str">
        <f>IF(H155="","",N145-((1/Comparisons!H145)*1000000))</f>
        <v/>
      </c>
      <c r="O155" s="11" t="str">
        <f>IF(I155="","",O145-((1/Comparisons!I145)*1000000))</f>
        <v/>
      </c>
    </row>
    <row r="156" spans="1:15" x14ac:dyDescent="0.25">
      <c r="A156" s="9" t="s">
        <v>15</v>
      </c>
      <c r="B156" s="9" t="s">
        <v>16</v>
      </c>
      <c r="C156" s="9" t="s">
        <v>11</v>
      </c>
      <c r="D156" s="12">
        <f t="shared" ref="D156:I156" si="83">IF(D146="","",(D146-D125)/D125)</f>
        <v>-0.10710636321411983</v>
      </c>
      <c r="E156" s="12">
        <f t="shared" si="83"/>
        <v>-6.9801002582409233E-2</v>
      </c>
      <c r="F156" s="12">
        <f t="shared" si="83"/>
        <v>-4.3744531933508314E-3</v>
      </c>
      <c r="G156" s="12" t="str">
        <f t="shared" si="83"/>
        <v/>
      </c>
      <c r="H156" s="12" t="str">
        <f t="shared" si="83"/>
        <v/>
      </c>
      <c r="I156" s="12" t="str">
        <f t="shared" si="83"/>
        <v/>
      </c>
      <c r="J156" s="11">
        <f t="shared" ref="J156:L156" si="84">J146-J125</f>
        <v>11.142984104673317</v>
      </c>
      <c r="K156" s="11">
        <f t="shared" si="84"/>
        <v>5.6994368075781239</v>
      </c>
      <c r="L156" s="11">
        <f t="shared" si="84"/>
        <v>0.42710927488292327</v>
      </c>
      <c r="M156" s="11" t="str">
        <f>IF(G156="","",M146-((1/Comparisons!G146)*1000000))</f>
        <v/>
      </c>
      <c r="N156" s="11" t="str">
        <f>IF(H156="","",N146-((1/Comparisons!H146)*1000000))</f>
        <v/>
      </c>
      <c r="O156" s="11" t="str">
        <f>IF(I156="","",O146-((1/Comparisons!I146)*1000000))</f>
        <v/>
      </c>
    </row>
    <row r="157" spans="1:15" x14ac:dyDescent="0.25">
      <c r="A157" s="9" t="s">
        <v>17</v>
      </c>
      <c r="B157" s="8" t="s">
        <v>18</v>
      </c>
      <c r="C157" s="9" t="s">
        <v>11</v>
      </c>
      <c r="D157" s="12">
        <f t="shared" ref="D157:I157" si="85">IF(D147="","",(D147-D126)/D126)</f>
        <v>-0.14579511441537124</v>
      </c>
      <c r="E157" s="12">
        <f t="shared" si="85"/>
        <v>-0.29996834942237693</v>
      </c>
      <c r="F157" s="12">
        <f t="shared" si="85"/>
        <v>3.6345280161534578E-2</v>
      </c>
      <c r="G157" s="12" t="str">
        <f t="shared" si="85"/>
        <v/>
      </c>
      <c r="H157" s="12" t="str">
        <f t="shared" si="85"/>
        <v/>
      </c>
      <c r="I157" s="12" t="str">
        <f t="shared" si="85"/>
        <v/>
      </c>
      <c r="J157" s="11">
        <f t="shared" ref="J157:L157" si="86">J147-J126</f>
        <v>16.479610536381955</v>
      </c>
      <c r="K157" s="11">
        <f t="shared" si="86"/>
        <v>33.906222382997271</v>
      </c>
      <c r="L157" s="11">
        <f t="shared" si="86"/>
        <v>-3.5406994799351708</v>
      </c>
      <c r="M157" s="11" t="str">
        <f>IF(G157="","",M147-((1/Comparisons!G147)*1000000))</f>
        <v/>
      </c>
      <c r="N157" s="11" t="str">
        <f>IF(H157="","",N147-((1/Comparisons!H147)*1000000))</f>
        <v/>
      </c>
      <c r="O157" s="11" t="str">
        <f>IF(I157="","",O147-((1/Comparisons!I147)*1000000))</f>
        <v/>
      </c>
    </row>
    <row r="159" spans="1:15" ht="18.75" x14ac:dyDescent="0.25">
      <c r="A159" s="77" t="s">
        <v>0</v>
      </c>
      <c r="B159" s="78"/>
      <c r="C159" s="78"/>
      <c r="D159" s="78"/>
      <c r="E159" s="78"/>
      <c r="F159" s="78"/>
      <c r="G159" s="78"/>
      <c r="H159" s="78"/>
      <c r="I159" s="78"/>
      <c r="J159" s="15"/>
      <c r="K159" s="15"/>
      <c r="L159" s="15"/>
      <c r="M159" s="15"/>
      <c r="N159" s="15"/>
      <c r="O159" s="16"/>
    </row>
    <row r="160" spans="1:15" ht="15.75" x14ac:dyDescent="0.25">
      <c r="A160" s="79" t="s">
        <v>50</v>
      </c>
      <c r="B160" s="80"/>
      <c r="C160" s="80"/>
      <c r="D160" s="80"/>
      <c r="E160" s="80"/>
      <c r="F160" s="80"/>
      <c r="G160" s="80"/>
      <c r="H160" s="80"/>
      <c r="I160" s="80"/>
      <c r="J160" s="17"/>
      <c r="K160" s="17"/>
      <c r="L160" s="17"/>
      <c r="M160" s="17"/>
      <c r="N160" s="17"/>
      <c r="O160" s="18"/>
    </row>
    <row r="161" spans="1:15" x14ac:dyDescent="0.25">
      <c r="A161" s="72" t="s">
        <v>1</v>
      </c>
      <c r="B161" s="72"/>
      <c r="C161" s="72"/>
      <c r="D161" s="73" t="s">
        <v>2</v>
      </c>
      <c r="E161" s="73"/>
      <c r="F161" s="73"/>
      <c r="G161" s="73"/>
      <c r="H161" s="73"/>
      <c r="I161" s="73"/>
      <c r="J161" s="73" t="s">
        <v>3</v>
      </c>
      <c r="K161" s="73"/>
      <c r="L161" s="73"/>
      <c r="M161" s="73"/>
      <c r="N161" s="73"/>
      <c r="O161" s="73"/>
    </row>
    <row r="162" spans="1:15" x14ac:dyDescent="0.25">
      <c r="A162" s="6" t="s">
        <v>26</v>
      </c>
      <c r="B162" s="6" t="s">
        <v>5</v>
      </c>
      <c r="C162" s="6" t="s">
        <v>6</v>
      </c>
      <c r="D162" s="7">
        <v>1</v>
      </c>
      <c r="E162" s="7">
        <v>4</v>
      </c>
      <c r="F162" s="7">
        <v>16</v>
      </c>
      <c r="G162" s="7">
        <v>32</v>
      </c>
      <c r="H162" s="7">
        <v>64</v>
      </c>
      <c r="I162" s="7">
        <v>80</v>
      </c>
      <c r="J162" s="7">
        <v>1</v>
      </c>
      <c r="K162" s="7">
        <v>4</v>
      </c>
      <c r="L162" s="7">
        <v>16</v>
      </c>
      <c r="M162" s="7">
        <v>32</v>
      </c>
      <c r="N162" s="7">
        <v>64</v>
      </c>
      <c r="O162" s="7">
        <v>80</v>
      </c>
    </row>
    <row r="163" spans="1:15" x14ac:dyDescent="0.25">
      <c r="A163" s="8" t="s">
        <v>7</v>
      </c>
      <c r="B163" s="9" t="s">
        <v>8</v>
      </c>
      <c r="C163" s="9" t="s">
        <v>9</v>
      </c>
      <c r="D163" s="10">
        <v>45947</v>
      </c>
      <c r="E163" s="10">
        <v>39723</v>
      </c>
      <c r="F163" s="10">
        <v>20831</v>
      </c>
      <c r="G163" s="10"/>
      <c r="H163" s="10"/>
      <c r="I163" s="10"/>
      <c r="J163" s="11">
        <f t="shared" ref="J163:J168" si="87">IF(D163="","",(1/D163)*1000000)</f>
        <v>21.76420658584891</v>
      </c>
      <c r="K163" s="11">
        <f t="shared" ref="K163:K168" si="88">IF(E163="","",(1/E163)*1000000)</f>
        <v>25.174332250837047</v>
      </c>
      <c r="L163" s="11">
        <f t="shared" ref="L163:L168" si="89">IF(F163="","",(1/F163)*1000000)</f>
        <v>48.005376602179446</v>
      </c>
      <c r="M163" s="11" t="str">
        <f t="shared" ref="M163:M168" si="90">IF(G163="","",(1/G163)*1000000)</f>
        <v/>
      </c>
      <c r="N163" s="11" t="str">
        <f t="shared" ref="N163:N168" si="91">IF(H163="","",(1/H163)*1000000)</f>
        <v/>
      </c>
      <c r="O163" s="11" t="str">
        <f t="shared" ref="O163:O168" si="92">IF(I163="","",(1/I163)*1000000)</f>
        <v/>
      </c>
    </row>
    <row r="164" spans="1:15" x14ac:dyDescent="0.25">
      <c r="A164" s="8" t="s">
        <v>10</v>
      </c>
      <c r="B164" s="9" t="s">
        <v>8</v>
      </c>
      <c r="C164" s="9" t="s">
        <v>11</v>
      </c>
      <c r="D164" s="10">
        <v>13381</v>
      </c>
      <c r="E164" s="10">
        <v>12934</v>
      </c>
      <c r="F164" s="10">
        <v>10435</v>
      </c>
      <c r="G164" s="10"/>
      <c r="H164" s="10"/>
      <c r="I164" s="10"/>
      <c r="J164" s="11">
        <f t="shared" si="87"/>
        <v>74.732830132277101</v>
      </c>
      <c r="K164" s="11">
        <f t="shared" si="88"/>
        <v>77.315602288541825</v>
      </c>
      <c r="L164" s="11">
        <f t="shared" si="89"/>
        <v>95.831336847149018</v>
      </c>
      <c r="M164" s="11" t="str">
        <f t="shared" si="90"/>
        <v/>
      </c>
      <c r="N164" s="11" t="str">
        <f t="shared" si="91"/>
        <v/>
      </c>
      <c r="O164" s="11" t="str">
        <f t="shared" si="92"/>
        <v/>
      </c>
    </row>
    <row r="165" spans="1:15" x14ac:dyDescent="0.25">
      <c r="A165" s="9" t="s">
        <v>12</v>
      </c>
      <c r="B165" s="9" t="s">
        <v>13</v>
      </c>
      <c r="C165" s="9" t="s">
        <v>9</v>
      </c>
      <c r="D165" s="10">
        <v>43825</v>
      </c>
      <c r="E165" s="10">
        <v>33051</v>
      </c>
      <c r="F165" s="10">
        <v>18046</v>
      </c>
      <c r="G165" s="10"/>
      <c r="H165" s="10"/>
      <c r="I165" s="10"/>
      <c r="J165" s="11">
        <f t="shared" si="87"/>
        <v>22.818026240730177</v>
      </c>
      <c r="K165" s="11">
        <f t="shared" si="88"/>
        <v>30.256270612084357</v>
      </c>
      <c r="L165" s="11">
        <f t="shared" si="89"/>
        <v>55.413942147844402</v>
      </c>
      <c r="M165" s="11" t="str">
        <f t="shared" si="90"/>
        <v/>
      </c>
      <c r="N165" s="11" t="str">
        <f t="shared" si="91"/>
        <v/>
      </c>
      <c r="O165" s="11" t="str">
        <f t="shared" si="92"/>
        <v/>
      </c>
    </row>
    <row r="166" spans="1:15" x14ac:dyDescent="0.25">
      <c r="A166" s="9" t="s">
        <v>14</v>
      </c>
      <c r="B166" s="9" t="s">
        <v>13</v>
      </c>
      <c r="C166" s="9" t="s">
        <v>11</v>
      </c>
      <c r="D166" s="10">
        <v>13450</v>
      </c>
      <c r="E166" s="10">
        <v>12247</v>
      </c>
      <c r="F166" s="10">
        <v>9643</v>
      </c>
      <c r="G166" s="10"/>
      <c r="H166" s="10"/>
      <c r="I166" s="10"/>
      <c r="J166" s="11">
        <f t="shared" si="87"/>
        <v>74.349442379182165</v>
      </c>
      <c r="K166" s="11">
        <f t="shared" si="88"/>
        <v>81.652649628480447</v>
      </c>
      <c r="L166" s="11">
        <f t="shared" si="89"/>
        <v>103.70216737529815</v>
      </c>
      <c r="M166" s="11" t="str">
        <f t="shared" si="90"/>
        <v/>
      </c>
      <c r="N166" s="11" t="str">
        <f t="shared" si="91"/>
        <v/>
      </c>
      <c r="O166" s="11" t="str">
        <f t="shared" si="92"/>
        <v/>
      </c>
    </row>
    <row r="167" spans="1:15" x14ac:dyDescent="0.25">
      <c r="A167" s="9" t="s">
        <v>15</v>
      </c>
      <c r="B167" s="9" t="s">
        <v>16</v>
      </c>
      <c r="C167" s="9" t="s">
        <v>11</v>
      </c>
      <c r="D167" s="10">
        <v>10617</v>
      </c>
      <c r="E167" s="10">
        <v>11534</v>
      </c>
      <c r="F167" s="10">
        <v>10192</v>
      </c>
      <c r="G167" s="10"/>
      <c r="H167" s="10"/>
      <c r="I167" s="10"/>
      <c r="J167" s="11">
        <f t="shared" si="87"/>
        <v>94.188565508147306</v>
      </c>
      <c r="K167" s="11">
        <f t="shared" si="88"/>
        <v>86.700190740419629</v>
      </c>
      <c r="L167" s="11">
        <f t="shared" si="89"/>
        <v>98.116169544740984</v>
      </c>
      <c r="M167" s="11" t="str">
        <f t="shared" si="90"/>
        <v/>
      </c>
      <c r="N167" s="11" t="str">
        <f t="shared" si="91"/>
        <v/>
      </c>
      <c r="O167" s="11" t="str">
        <f t="shared" si="92"/>
        <v/>
      </c>
    </row>
    <row r="168" spans="1:15" x14ac:dyDescent="0.25">
      <c r="A168" s="9" t="s">
        <v>17</v>
      </c>
      <c r="B168" s="8" t="s">
        <v>18</v>
      </c>
      <c r="C168" s="9" t="s">
        <v>11</v>
      </c>
      <c r="D168" s="10">
        <v>10915</v>
      </c>
      <c r="E168" s="10">
        <v>9955</v>
      </c>
      <c r="F168" s="10">
        <v>10383</v>
      </c>
      <c r="G168" s="10"/>
      <c r="H168" s="10"/>
      <c r="I168" s="10"/>
      <c r="J168" s="11">
        <f t="shared" si="87"/>
        <v>91.617040769583141</v>
      </c>
      <c r="K168" s="11">
        <f t="shared" si="88"/>
        <v>100.45203415369161</v>
      </c>
      <c r="L168" s="11">
        <f t="shared" si="89"/>
        <v>96.311278050659737</v>
      </c>
      <c r="M168" s="11" t="str">
        <f t="shared" si="90"/>
        <v/>
      </c>
      <c r="N168" s="11" t="str">
        <f t="shared" si="91"/>
        <v/>
      </c>
      <c r="O168" s="11" t="str">
        <f t="shared" si="92"/>
        <v/>
      </c>
    </row>
    <row r="170" spans="1:15" ht="18.75" x14ac:dyDescent="0.3">
      <c r="A170" s="75" t="s">
        <v>44</v>
      </c>
      <c r="B170" s="76"/>
      <c r="C170" s="76"/>
      <c r="D170" s="76"/>
      <c r="E170" s="76"/>
      <c r="F170" s="76"/>
      <c r="G170" s="76"/>
      <c r="H170" s="76"/>
      <c r="I170" s="76"/>
      <c r="J170" s="1"/>
      <c r="K170" s="1"/>
      <c r="L170" s="1"/>
      <c r="M170" s="1"/>
      <c r="N170" s="1"/>
      <c r="O170" s="2"/>
    </row>
    <row r="171" spans="1:15" x14ac:dyDescent="0.25">
      <c r="A171" s="72" t="s">
        <v>1</v>
      </c>
      <c r="B171" s="72"/>
      <c r="C171" s="72"/>
      <c r="D171" s="73" t="s">
        <v>19</v>
      </c>
      <c r="E171" s="73"/>
      <c r="F171" s="73"/>
      <c r="G171" s="73"/>
      <c r="H171" s="73"/>
      <c r="I171" s="73"/>
      <c r="J171" s="73" t="s">
        <v>22</v>
      </c>
      <c r="K171" s="73"/>
      <c r="L171" s="73"/>
      <c r="M171" s="73"/>
      <c r="N171" s="73"/>
      <c r="O171" s="73"/>
    </row>
    <row r="172" spans="1:15" x14ac:dyDescent="0.25">
      <c r="A172" s="6" t="s">
        <v>4</v>
      </c>
      <c r="B172" s="6" t="s">
        <v>5</v>
      </c>
      <c r="C172" s="6" t="s">
        <v>6</v>
      </c>
      <c r="D172" s="7">
        <v>1</v>
      </c>
      <c r="E172" s="7">
        <v>4</v>
      </c>
      <c r="F172" s="7">
        <v>16</v>
      </c>
      <c r="G172" s="7">
        <v>32</v>
      </c>
      <c r="H172" s="7">
        <v>64</v>
      </c>
      <c r="I172" s="7">
        <v>80</v>
      </c>
      <c r="J172" s="7">
        <v>1</v>
      </c>
      <c r="K172" s="7">
        <v>4</v>
      </c>
      <c r="L172" s="7">
        <v>16</v>
      </c>
      <c r="M172" s="7">
        <v>32</v>
      </c>
      <c r="N172" s="7">
        <v>64</v>
      </c>
      <c r="O172" s="7">
        <v>80</v>
      </c>
    </row>
    <row r="173" spans="1:15" x14ac:dyDescent="0.25">
      <c r="A173" s="8" t="s">
        <v>7</v>
      </c>
      <c r="B173" s="9" t="s">
        <v>8</v>
      </c>
      <c r="C173" s="9" t="s">
        <v>9</v>
      </c>
      <c r="D173" s="12">
        <f t="shared" ref="D173:I173" si="93">IF(D163="","",(D163-D142)/D142)</f>
        <v>-5.0023820867079564E-3</v>
      </c>
      <c r="E173" s="12">
        <f t="shared" si="93"/>
        <v>-1.6838401608444333E-3</v>
      </c>
      <c r="F173" s="12">
        <f t="shared" si="93"/>
        <v>5.0176098808317653E-3</v>
      </c>
      <c r="G173" s="12" t="str">
        <f t="shared" si="93"/>
        <v/>
      </c>
      <c r="H173" s="12" t="str">
        <f t="shared" si="93"/>
        <v/>
      </c>
      <c r="I173" s="12" t="str">
        <f t="shared" si="93"/>
        <v/>
      </c>
      <c r="J173" s="11" t="e">
        <f>IF(D173="","",J163-((1/Comparisons!D163)*1000000))</f>
        <v>#DIV/0!</v>
      </c>
      <c r="K173" s="11" t="e">
        <f>IF(E173="","",K163-((1/Comparisons!E163)*1000000))</f>
        <v>#DIV/0!</v>
      </c>
      <c r="L173" s="11" t="e">
        <f>IF(F173="","",L163-((1/Comparisons!F163)*1000000))</f>
        <v>#DIV/0!</v>
      </c>
      <c r="M173" s="11" t="str">
        <f>IF(G173="","",M163-((1/Comparisons!G163)*1000000))</f>
        <v/>
      </c>
      <c r="N173" s="11" t="str">
        <f>IF(H173="","",N163-((1/Comparisons!H163)*1000000))</f>
        <v/>
      </c>
      <c r="O173" s="11" t="str">
        <f>IF(I173="","",O163-((1/Comparisons!I163)*1000000))</f>
        <v/>
      </c>
    </row>
    <row r="174" spans="1:15" x14ac:dyDescent="0.25">
      <c r="A174" s="8" t="s">
        <v>10</v>
      </c>
      <c r="B174" s="9" t="s">
        <v>8</v>
      </c>
      <c r="C174" s="9" t="s">
        <v>11</v>
      </c>
      <c r="D174" s="12">
        <f t="shared" ref="D174:I174" si="94">IF(D164="","",(D164-D143)/D143)</f>
        <v>-1.9132092068611641E-2</v>
      </c>
      <c r="E174" s="12">
        <f t="shared" si="94"/>
        <v>6.1033634126333058E-2</v>
      </c>
      <c r="F174" s="12">
        <f t="shared" si="94"/>
        <v>1.7750902174973177E-2</v>
      </c>
      <c r="G174" s="12" t="str">
        <f t="shared" si="94"/>
        <v/>
      </c>
      <c r="H174" s="12" t="str">
        <f t="shared" si="94"/>
        <v/>
      </c>
      <c r="I174" s="12" t="str">
        <f t="shared" si="94"/>
        <v/>
      </c>
      <c r="J174" s="11" t="e">
        <f>IF(D174="","",J164-((1/Comparisons!D164)*1000000))</f>
        <v>#DIV/0!</v>
      </c>
      <c r="K174" s="11" t="e">
        <f>IF(E174="","",K164-((1/Comparisons!E164)*1000000))</f>
        <v>#DIV/0!</v>
      </c>
      <c r="L174" s="11" t="e">
        <f>IF(F174="","",L164-((1/Comparisons!F164)*1000000))</f>
        <v>#DIV/0!</v>
      </c>
      <c r="M174" s="11" t="str">
        <f>IF(G174="","",M164-((1/Comparisons!G164)*1000000))</f>
        <v/>
      </c>
      <c r="N174" s="11" t="str">
        <f>IF(H174="","",N164-((1/Comparisons!H164)*1000000))</f>
        <v/>
      </c>
      <c r="O174" s="11" t="str">
        <f>IF(I174="","",O164-((1/Comparisons!I164)*1000000))</f>
        <v/>
      </c>
    </row>
    <row r="175" spans="1:15" x14ac:dyDescent="0.25">
      <c r="A175" s="9" t="s">
        <v>12</v>
      </c>
      <c r="B175" s="9" t="s">
        <v>13</v>
      </c>
      <c r="C175" s="9" t="s">
        <v>9</v>
      </c>
      <c r="D175" s="12">
        <f t="shared" ref="D175:I175" si="95">IF(D165="","",(D165-D144)/D144)</f>
        <v>-7.8556551661686132E-3</v>
      </c>
      <c r="E175" s="12">
        <f t="shared" si="95"/>
        <v>-7.3880529777457429E-3</v>
      </c>
      <c r="F175" s="12">
        <f t="shared" si="95"/>
        <v>3.9456252520016132E-2</v>
      </c>
      <c r="G175" s="12" t="str">
        <f t="shared" si="95"/>
        <v/>
      </c>
      <c r="H175" s="12" t="str">
        <f t="shared" si="95"/>
        <v/>
      </c>
      <c r="I175" s="12" t="str">
        <f t="shared" si="95"/>
        <v/>
      </c>
      <c r="J175" s="11" t="e">
        <f>IF(D175="","",J165-((1/Comparisons!D165)*1000000))</f>
        <v>#DIV/0!</v>
      </c>
      <c r="K175" s="11" t="e">
        <f>IF(E175="","",K165-((1/Comparisons!E165)*1000000))</f>
        <v>#DIV/0!</v>
      </c>
      <c r="L175" s="11" t="e">
        <f>IF(F175="","",L165-((1/Comparisons!F165)*1000000))</f>
        <v>#DIV/0!</v>
      </c>
      <c r="M175" s="11" t="str">
        <f>IF(G175="","",M165-((1/Comparisons!G165)*1000000))</f>
        <v/>
      </c>
      <c r="N175" s="11" t="str">
        <f>IF(H175="","",N165-((1/Comparisons!H165)*1000000))</f>
        <v/>
      </c>
      <c r="O175" s="11" t="str">
        <f>IF(I175="","",O165-((1/Comparisons!I165)*1000000))</f>
        <v/>
      </c>
    </row>
    <row r="176" spans="1:15" x14ac:dyDescent="0.25">
      <c r="A176" s="9" t="s">
        <v>14</v>
      </c>
      <c r="B176" s="9" t="s">
        <v>13</v>
      </c>
      <c r="C176" s="9" t="s">
        <v>11</v>
      </c>
      <c r="D176" s="12">
        <f t="shared" ref="D176:I176" si="96">IF(D166="","",(D166-D145)/D145)</f>
        <v>4.2231693142192946E-2</v>
      </c>
      <c r="E176" s="12">
        <f t="shared" si="96"/>
        <v>2.4767801857585141E-2</v>
      </c>
      <c r="F176" s="12">
        <f t="shared" si="96"/>
        <v>1.8701298701298702E-3</v>
      </c>
      <c r="G176" s="12" t="str">
        <f t="shared" si="96"/>
        <v/>
      </c>
      <c r="H176" s="12" t="str">
        <f t="shared" si="96"/>
        <v/>
      </c>
      <c r="I176" s="12" t="str">
        <f t="shared" si="96"/>
        <v/>
      </c>
      <c r="J176" s="11" t="e">
        <f>IF(D176="","",J166-((1/Comparisons!D166)*1000000))</f>
        <v>#DIV/0!</v>
      </c>
      <c r="K176" s="11" t="e">
        <f>IF(E176="","",K166-((1/Comparisons!E166)*1000000))</f>
        <v>#DIV/0!</v>
      </c>
      <c r="L176" s="11" t="e">
        <f>IF(F176="","",L166-((1/Comparisons!F166)*1000000))</f>
        <v>#DIV/0!</v>
      </c>
      <c r="M176" s="11" t="str">
        <f>IF(G176="","",M166-((1/Comparisons!G166)*1000000))</f>
        <v/>
      </c>
      <c r="N176" s="11" t="str">
        <f>IF(H176="","",N166-((1/Comparisons!H166)*1000000))</f>
        <v/>
      </c>
      <c r="O176" s="11" t="str">
        <f>IF(I176="","",O166-((1/Comparisons!I166)*1000000))</f>
        <v/>
      </c>
    </row>
    <row r="177" spans="1:15" x14ac:dyDescent="0.25">
      <c r="A177" s="9" t="s">
        <v>15</v>
      </c>
      <c r="B177" s="9" t="s">
        <v>16</v>
      </c>
      <c r="C177" s="9" t="s">
        <v>11</v>
      </c>
      <c r="D177" s="12">
        <f t="shared" ref="D177:I177" si="97">IF(D167="","",(D167-D146)/D146)</f>
        <v>0.10455680399500625</v>
      </c>
      <c r="E177" s="12">
        <f t="shared" si="97"/>
        <v>-5.8218339185106556E-2</v>
      </c>
      <c r="F177" s="12">
        <f t="shared" si="97"/>
        <v>-4.881859011911736E-3</v>
      </c>
      <c r="G177" s="12" t="str">
        <f t="shared" si="97"/>
        <v/>
      </c>
      <c r="H177" s="12" t="str">
        <f t="shared" si="97"/>
        <v/>
      </c>
      <c r="I177" s="12" t="str">
        <f t="shared" si="97"/>
        <v/>
      </c>
      <c r="J177" s="11" t="e">
        <f>IF(D177="","",J167-((1/Comparisons!D167)*1000000))</f>
        <v>#DIV/0!</v>
      </c>
      <c r="K177" s="11" t="e">
        <f>IF(E177="","",K167-((1/Comparisons!E167)*1000000))</f>
        <v>#DIV/0!</v>
      </c>
      <c r="L177" s="11" t="e">
        <f>IF(F177="","",L167-((1/Comparisons!F167)*1000000))</f>
        <v>#DIV/0!</v>
      </c>
      <c r="M177" s="11" t="str">
        <f>IF(G177="","",M167-((1/Comparisons!G167)*1000000))</f>
        <v/>
      </c>
      <c r="N177" s="11" t="str">
        <f>IF(H177="","",N167-((1/Comparisons!H167)*1000000))</f>
        <v/>
      </c>
      <c r="O177" s="11" t="str">
        <f>IF(I177="","",O167-((1/Comparisons!I167)*1000000))</f>
        <v/>
      </c>
    </row>
    <row r="178" spans="1:15" x14ac:dyDescent="0.25">
      <c r="A178" s="9" t="s">
        <v>17</v>
      </c>
      <c r="B178" s="8" t="s">
        <v>18</v>
      </c>
      <c r="C178" s="9" t="s">
        <v>11</v>
      </c>
      <c r="D178" s="12">
        <f t="shared" ref="D178:I178" si="98">IF(D168="","",(D168-D147)/D147)</f>
        <v>0.23375155419916355</v>
      </c>
      <c r="E178" s="12">
        <f t="shared" si="98"/>
        <v>0.12524019441618628</v>
      </c>
      <c r="F178" s="12">
        <f t="shared" si="98"/>
        <v>1.1495372625426206E-2</v>
      </c>
      <c r="G178" s="12" t="str">
        <f t="shared" si="98"/>
        <v/>
      </c>
      <c r="H178" s="12" t="str">
        <f t="shared" si="98"/>
        <v/>
      </c>
      <c r="I178" s="12" t="str">
        <f t="shared" si="98"/>
        <v/>
      </c>
      <c r="J178" s="11" t="e">
        <f>IF(D178="","",J168-((1/Comparisons!D168)*1000000))</f>
        <v>#DIV/0!</v>
      </c>
      <c r="K178" s="11" t="e">
        <f>IF(E178="","",K168-((1/Comparisons!E168)*1000000))</f>
        <v>#DIV/0!</v>
      </c>
      <c r="L178" s="11" t="e">
        <f>IF(F178="","",L168-((1/Comparisons!F168)*1000000))</f>
        <v>#DIV/0!</v>
      </c>
      <c r="M178" s="11" t="str">
        <f>IF(G178="","",M168-((1/Comparisons!G168)*1000000))</f>
        <v/>
      </c>
      <c r="N178" s="11" t="str">
        <f>IF(H178="","",N168-((1/Comparisons!H168)*1000000))</f>
        <v/>
      </c>
      <c r="O178" s="11" t="str">
        <f>IF(I178="","",O168-((1/Comparisons!I168)*1000000))</f>
        <v/>
      </c>
    </row>
    <row r="180" spans="1:15" ht="18.75" x14ac:dyDescent="0.25">
      <c r="A180" s="77" t="s">
        <v>49</v>
      </c>
      <c r="B180" s="78"/>
      <c r="C180" s="78"/>
      <c r="D180" s="78"/>
      <c r="E180" s="78"/>
      <c r="F180" s="78"/>
      <c r="G180" s="78"/>
      <c r="H180" s="78"/>
      <c r="I180" s="78"/>
      <c r="J180" s="15"/>
      <c r="K180" s="15"/>
      <c r="L180" s="15"/>
      <c r="M180" s="15"/>
      <c r="N180" s="15"/>
      <c r="O180" s="16"/>
    </row>
    <row r="181" spans="1:15" ht="15.75" x14ac:dyDescent="0.25">
      <c r="A181" s="79" t="s">
        <v>54</v>
      </c>
      <c r="B181" s="80"/>
      <c r="C181" s="80"/>
      <c r="D181" s="80"/>
      <c r="E181" s="80"/>
      <c r="F181" s="80"/>
      <c r="G181" s="80"/>
      <c r="H181" s="80"/>
      <c r="I181" s="80"/>
      <c r="J181" s="17"/>
      <c r="K181" s="17"/>
      <c r="L181" s="17"/>
      <c r="M181" s="17"/>
      <c r="N181" s="17"/>
      <c r="O181" s="18"/>
    </row>
    <row r="182" spans="1:15" x14ac:dyDescent="0.25">
      <c r="A182" s="72" t="s">
        <v>1</v>
      </c>
      <c r="B182" s="72"/>
      <c r="C182" s="72"/>
      <c r="D182" s="73" t="s">
        <v>2</v>
      </c>
      <c r="E182" s="73"/>
      <c r="F182" s="73"/>
      <c r="G182" s="73"/>
      <c r="H182" s="73"/>
      <c r="I182" s="73"/>
      <c r="J182" s="73" t="s">
        <v>3</v>
      </c>
      <c r="K182" s="73"/>
      <c r="L182" s="73"/>
      <c r="M182" s="73"/>
      <c r="N182" s="73"/>
      <c r="O182" s="73"/>
    </row>
    <row r="183" spans="1:15" x14ac:dyDescent="0.25">
      <c r="A183" s="6" t="s">
        <v>26</v>
      </c>
      <c r="B183" s="6" t="s">
        <v>5</v>
      </c>
      <c r="C183" s="6" t="s">
        <v>6</v>
      </c>
      <c r="D183" s="7">
        <v>1</v>
      </c>
      <c r="E183" s="7">
        <v>4</v>
      </c>
      <c r="F183" s="7">
        <v>16</v>
      </c>
      <c r="G183" s="7">
        <v>32</v>
      </c>
      <c r="H183" s="7">
        <v>64</v>
      </c>
      <c r="I183" s="7">
        <v>80</v>
      </c>
      <c r="J183" s="7">
        <v>1</v>
      </c>
      <c r="K183" s="7">
        <v>4</v>
      </c>
      <c r="L183" s="7">
        <v>16</v>
      </c>
      <c r="M183" s="7">
        <v>32</v>
      </c>
      <c r="N183" s="7">
        <v>64</v>
      </c>
      <c r="O183" s="7">
        <v>80</v>
      </c>
    </row>
    <row r="184" spans="1:15" x14ac:dyDescent="0.25">
      <c r="A184" s="8" t="s">
        <v>7</v>
      </c>
      <c r="B184" s="9" t="s">
        <v>8</v>
      </c>
      <c r="C184" s="9" t="s">
        <v>9</v>
      </c>
      <c r="D184" s="10">
        <v>46178</v>
      </c>
      <c r="E184" s="10">
        <v>39790</v>
      </c>
      <c r="F184" s="10">
        <v>20727</v>
      </c>
      <c r="G184" s="10"/>
      <c r="H184" s="10"/>
      <c r="I184" s="10"/>
      <c r="J184" s="11">
        <f t="shared" ref="J184:J189" si="99">IF(D184="","",(1/D184)*1000000)</f>
        <v>21.655333708692449</v>
      </c>
      <c r="K184" s="11">
        <f t="shared" ref="K184:K189" si="100">IF(E184="","",(1/E184)*1000000)</f>
        <v>25.131942699170644</v>
      </c>
      <c r="L184" s="11">
        <f t="shared" ref="L184:L189" si="101">IF(F184="","",(1/F184)*1000000)</f>
        <v>48.246248854151595</v>
      </c>
      <c r="M184" s="11" t="str">
        <f t="shared" ref="M184:M189" si="102">IF(G184="","",(1/G184)*1000000)</f>
        <v/>
      </c>
      <c r="N184" s="11" t="str">
        <f t="shared" ref="N184:N189" si="103">IF(H184="","",(1/H184)*1000000)</f>
        <v/>
      </c>
      <c r="O184" s="11" t="str">
        <f t="shared" ref="O184:O189" si="104">IF(I184="","",(1/I184)*1000000)</f>
        <v/>
      </c>
    </row>
    <row r="185" spans="1:15" x14ac:dyDescent="0.25">
      <c r="A185" s="8" t="s">
        <v>10</v>
      </c>
      <c r="B185" s="9" t="s">
        <v>8</v>
      </c>
      <c r="C185" s="9" t="s">
        <v>11</v>
      </c>
      <c r="D185" s="10">
        <v>13642</v>
      </c>
      <c r="E185" s="10">
        <v>12190</v>
      </c>
      <c r="F185" s="10">
        <v>10253</v>
      </c>
      <c r="G185" s="10"/>
      <c r="H185" s="10"/>
      <c r="I185" s="10"/>
      <c r="J185" s="11">
        <f t="shared" si="99"/>
        <v>73.30303474563847</v>
      </c>
      <c r="K185" s="11">
        <f t="shared" si="100"/>
        <v>82.034454470877762</v>
      </c>
      <c r="L185" s="11">
        <f t="shared" si="101"/>
        <v>97.532429532819663</v>
      </c>
      <c r="M185" s="11" t="str">
        <f t="shared" si="102"/>
        <v/>
      </c>
      <c r="N185" s="11" t="str">
        <f t="shared" si="103"/>
        <v/>
      </c>
      <c r="O185" s="11" t="str">
        <f t="shared" si="104"/>
        <v/>
      </c>
    </row>
    <row r="186" spans="1:15" x14ac:dyDescent="0.25">
      <c r="A186" s="9" t="s">
        <v>12</v>
      </c>
      <c r="B186" s="9" t="s">
        <v>13</v>
      </c>
      <c r="C186" s="9" t="s">
        <v>9</v>
      </c>
      <c r="D186" s="10">
        <v>44172</v>
      </c>
      <c r="E186" s="10">
        <v>33297</v>
      </c>
      <c r="F186" s="10">
        <v>17361</v>
      </c>
      <c r="G186" s="10"/>
      <c r="H186" s="10"/>
      <c r="I186" s="10"/>
      <c r="J186" s="11">
        <f t="shared" si="99"/>
        <v>22.638775695010413</v>
      </c>
      <c r="K186" s="11">
        <f t="shared" si="100"/>
        <v>30.032735681893264</v>
      </c>
      <c r="L186" s="11">
        <f t="shared" si="101"/>
        <v>57.600368642359314</v>
      </c>
      <c r="M186" s="11" t="str">
        <f t="shared" si="102"/>
        <v/>
      </c>
      <c r="N186" s="11" t="str">
        <f t="shared" si="103"/>
        <v/>
      </c>
      <c r="O186" s="11" t="str">
        <f t="shared" si="104"/>
        <v/>
      </c>
    </row>
    <row r="187" spans="1:15" x14ac:dyDescent="0.25">
      <c r="A187" s="9" t="s">
        <v>14</v>
      </c>
      <c r="B187" s="9" t="s">
        <v>13</v>
      </c>
      <c r="C187" s="9" t="s">
        <v>11</v>
      </c>
      <c r="D187" s="10">
        <v>12905</v>
      </c>
      <c r="E187" s="10">
        <v>11951</v>
      </c>
      <c r="F187" s="10">
        <v>9625</v>
      </c>
      <c r="G187" s="10"/>
      <c r="H187" s="10"/>
      <c r="I187" s="10"/>
      <c r="J187" s="11">
        <f t="shared" si="99"/>
        <v>77.489345215032927</v>
      </c>
      <c r="K187" s="11">
        <f t="shared" si="100"/>
        <v>83.675006275625478</v>
      </c>
      <c r="L187" s="11">
        <f t="shared" si="101"/>
        <v>103.8961038961039</v>
      </c>
      <c r="M187" s="11" t="str">
        <f t="shared" si="102"/>
        <v/>
      </c>
      <c r="N187" s="11" t="str">
        <f t="shared" si="103"/>
        <v/>
      </c>
      <c r="O187" s="11" t="str">
        <f t="shared" si="104"/>
        <v/>
      </c>
    </row>
    <row r="188" spans="1:15" x14ac:dyDescent="0.25">
      <c r="A188" s="9" t="s">
        <v>15</v>
      </c>
      <c r="B188" s="9" t="s">
        <v>16</v>
      </c>
      <c r="C188" s="9" t="s">
        <v>11</v>
      </c>
      <c r="D188" s="10">
        <v>9612</v>
      </c>
      <c r="E188" s="10">
        <v>12247</v>
      </c>
      <c r="F188" s="10">
        <v>10242</v>
      </c>
      <c r="G188" s="10"/>
      <c r="H188" s="10"/>
      <c r="I188" s="10"/>
      <c r="J188" s="11">
        <f t="shared" si="99"/>
        <v>104.03662089055348</v>
      </c>
      <c r="K188" s="11">
        <f t="shared" si="100"/>
        <v>81.652649628480447</v>
      </c>
      <c r="L188" s="11">
        <f t="shared" si="101"/>
        <v>97.63718023823472</v>
      </c>
      <c r="M188" s="11" t="str">
        <f t="shared" si="102"/>
        <v/>
      </c>
      <c r="N188" s="11" t="str">
        <f t="shared" si="103"/>
        <v/>
      </c>
      <c r="O188" s="11" t="str">
        <f t="shared" si="104"/>
        <v/>
      </c>
    </row>
    <row r="189" spans="1:15" x14ac:dyDescent="0.25">
      <c r="A189" s="9" t="s">
        <v>17</v>
      </c>
      <c r="B189" s="8" t="s">
        <v>18</v>
      </c>
      <c r="C189" s="9" t="s">
        <v>11</v>
      </c>
      <c r="D189" s="10">
        <v>8847</v>
      </c>
      <c r="E189" s="10">
        <v>8847</v>
      </c>
      <c r="F189" s="10">
        <v>10265</v>
      </c>
      <c r="G189" s="10"/>
      <c r="H189" s="10"/>
      <c r="I189" s="10"/>
      <c r="J189" s="11">
        <f t="shared" si="99"/>
        <v>113.03266644060133</v>
      </c>
      <c r="K189" s="11">
        <f t="shared" si="100"/>
        <v>113.03266644060133</v>
      </c>
      <c r="L189" s="11">
        <f t="shared" si="101"/>
        <v>97.418412079883097</v>
      </c>
      <c r="M189" s="11" t="str">
        <f t="shared" si="102"/>
        <v/>
      </c>
      <c r="N189" s="11" t="str">
        <f t="shared" si="103"/>
        <v/>
      </c>
      <c r="O189" s="11" t="str">
        <f t="shared" si="104"/>
        <v/>
      </c>
    </row>
    <row r="190" spans="1:15" x14ac:dyDescent="0.25">
      <c r="A190" s="19" t="s">
        <v>48</v>
      </c>
    </row>
    <row r="191" spans="1:15" ht="18.75" x14ac:dyDescent="0.3">
      <c r="A191" s="75" t="s">
        <v>51</v>
      </c>
      <c r="B191" s="76"/>
      <c r="C191" s="76"/>
      <c r="D191" s="76"/>
      <c r="E191" s="76"/>
      <c r="F191" s="76"/>
      <c r="G191" s="76"/>
      <c r="H191" s="76"/>
      <c r="I191" s="76"/>
      <c r="J191" s="1"/>
      <c r="K191" s="1"/>
      <c r="L191" s="1"/>
      <c r="M191" s="1"/>
      <c r="N191" s="1"/>
      <c r="O191" s="2"/>
    </row>
    <row r="192" spans="1:15" x14ac:dyDescent="0.25">
      <c r="A192" s="72" t="s">
        <v>1</v>
      </c>
      <c r="B192" s="72"/>
      <c r="C192" s="72"/>
      <c r="D192" s="73" t="s">
        <v>19</v>
      </c>
      <c r="E192" s="73"/>
      <c r="F192" s="73"/>
      <c r="G192" s="73"/>
      <c r="H192" s="73"/>
      <c r="I192" s="73"/>
      <c r="J192" s="73" t="s">
        <v>22</v>
      </c>
      <c r="K192" s="73"/>
      <c r="L192" s="73"/>
      <c r="M192" s="73"/>
      <c r="N192" s="73"/>
      <c r="O192" s="73"/>
    </row>
    <row r="193" spans="1:15" x14ac:dyDescent="0.25">
      <c r="A193" s="6" t="s">
        <v>4</v>
      </c>
      <c r="B193" s="6" t="s">
        <v>5</v>
      </c>
      <c r="C193" s="6" t="s">
        <v>6</v>
      </c>
      <c r="D193" s="7">
        <v>1</v>
      </c>
      <c r="E193" s="7">
        <v>4</v>
      </c>
      <c r="F193" s="7">
        <v>16</v>
      </c>
      <c r="G193" s="7">
        <v>32</v>
      </c>
      <c r="H193" s="7">
        <v>64</v>
      </c>
      <c r="I193" s="7">
        <v>80</v>
      </c>
      <c r="J193" s="7">
        <v>1</v>
      </c>
      <c r="K193" s="7">
        <v>4</v>
      </c>
      <c r="L193" s="7">
        <v>16</v>
      </c>
      <c r="M193" s="7">
        <v>32</v>
      </c>
      <c r="N193" s="7">
        <v>64</v>
      </c>
      <c r="O193" s="7">
        <v>80</v>
      </c>
    </row>
    <row r="194" spans="1:15" x14ac:dyDescent="0.25">
      <c r="A194" s="8" t="s">
        <v>7</v>
      </c>
      <c r="B194" s="9" t="s">
        <v>8</v>
      </c>
      <c r="C194" s="9" t="s">
        <v>9</v>
      </c>
      <c r="D194" s="12">
        <f t="shared" ref="D194:I194" si="105">IF(D184="","",(D184-D163)/D163)</f>
        <v>5.027531721331099E-3</v>
      </c>
      <c r="E194" s="12">
        <f t="shared" si="105"/>
        <v>1.6866802608060821E-3</v>
      </c>
      <c r="F194" s="12">
        <f t="shared" si="105"/>
        <v>-4.9925591666266618E-3</v>
      </c>
      <c r="G194" s="12" t="str">
        <f t="shared" si="105"/>
        <v/>
      </c>
      <c r="H194" s="12" t="str">
        <f t="shared" si="105"/>
        <v/>
      </c>
      <c r="I194" s="12" t="str">
        <f t="shared" si="105"/>
        <v/>
      </c>
      <c r="J194" s="11">
        <f>J184-J163</f>
        <v>-0.1088728771564611</v>
      </c>
      <c r="K194" s="11">
        <f t="shared" ref="K194:L194" si="106">K184-K163</f>
        <v>-4.2389551666403236E-2</v>
      </c>
      <c r="L194" s="11">
        <f t="shared" si="106"/>
        <v>0.24087225197214934</v>
      </c>
      <c r="M194" s="11" t="str">
        <f>IF(G194="","",M184-((1/Comparisons!G184)*1000000))</f>
        <v/>
      </c>
      <c r="N194" s="11" t="str">
        <f>IF(H194="","",N184-((1/Comparisons!H184)*1000000))</f>
        <v/>
      </c>
      <c r="O194" s="11" t="str">
        <f>IF(I194="","",O184-((1/Comparisons!I184)*1000000))</f>
        <v/>
      </c>
    </row>
    <row r="195" spans="1:15" x14ac:dyDescent="0.25">
      <c r="A195" s="8" t="s">
        <v>10</v>
      </c>
      <c r="B195" s="9" t="s">
        <v>8</v>
      </c>
      <c r="C195" s="9" t="s">
        <v>11</v>
      </c>
      <c r="D195" s="12">
        <f t="shared" ref="D195:I195" si="107">IF(D185="","",(D185-D164)/D164)</f>
        <v>1.9505268664524327E-2</v>
      </c>
      <c r="E195" s="12">
        <f t="shared" si="107"/>
        <v>-5.752280810267512E-2</v>
      </c>
      <c r="F195" s="12">
        <f t="shared" si="107"/>
        <v>-1.744130330618112E-2</v>
      </c>
      <c r="G195" s="12" t="str">
        <f t="shared" si="107"/>
        <v/>
      </c>
      <c r="H195" s="12" t="str">
        <f t="shared" si="107"/>
        <v/>
      </c>
      <c r="I195" s="12" t="str">
        <f t="shared" si="107"/>
        <v/>
      </c>
      <c r="J195" s="11">
        <f t="shared" ref="J195:L195" si="108">J185-J164</f>
        <v>-1.4297953866386308</v>
      </c>
      <c r="K195" s="11">
        <f t="shared" si="108"/>
        <v>4.7188521823359366</v>
      </c>
      <c r="L195" s="11">
        <f t="shared" si="108"/>
        <v>1.7010926856706448</v>
      </c>
      <c r="M195" s="11" t="str">
        <f>IF(G195="","",M185-((1/Comparisons!G185)*1000000))</f>
        <v/>
      </c>
      <c r="N195" s="11" t="str">
        <f>IF(H195="","",N185-((1/Comparisons!H185)*1000000))</f>
        <v/>
      </c>
      <c r="O195" s="11" t="str">
        <f>IF(I195="","",O185-((1/Comparisons!I185)*1000000))</f>
        <v/>
      </c>
    </row>
    <row r="196" spans="1:15" x14ac:dyDescent="0.25">
      <c r="A196" s="9" t="s">
        <v>12</v>
      </c>
      <c r="B196" s="9" t="s">
        <v>13</v>
      </c>
      <c r="C196" s="9" t="s">
        <v>9</v>
      </c>
      <c r="D196" s="12">
        <f t="shared" ref="D196:I196" si="109">IF(D186="","",(D186-D165)/D165)</f>
        <v>7.9178551055333717E-3</v>
      </c>
      <c r="E196" s="12">
        <f t="shared" si="109"/>
        <v>7.4430425705727509E-3</v>
      </c>
      <c r="F196" s="12">
        <f t="shared" si="109"/>
        <v>-3.7958550371273415E-2</v>
      </c>
      <c r="G196" s="12" t="str">
        <f t="shared" si="109"/>
        <v/>
      </c>
      <c r="H196" s="12" t="str">
        <f t="shared" si="109"/>
        <v/>
      </c>
      <c r="I196" s="12" t="str">
        <f t="shared" si="109"/>
        <v/>
      </c>
      <c r="J196" s="11">
        <f t="shared" ref="J196:L196" si="110">J186-J165</f>
        <v>-0.17925054571976418</v>
      </c>
      <c r="K196" s="11">
        <f t="shared" si="110"/>
        <v>-0.22353493019109294</v>
      </c>
      <c r="L196" s="11">
        <f t="shared" si="110"/>
        <v>2.1864264945149117</v>
      </c>
      <c r="M196" s="11" t="str">
        <f>IF(G196="","",M186-((1/Comparisons!G186)*1000000))</f>
        <v/>
      </c>
      <c r="N196" s="11" t="str">
        <f>IF(H196="","",N186-((1/Comparisons!H186)*1000000))</f>
        <v/>
      </c>
      <c r="O196" s="11" t="str">
        <f>IF(I196="","",O186-((1/Comparisons!I186)*1000000))</f>
        <v/>
      </c>
    </row>
    <row r="197" spans="1:15" x14ac:dyDescent="0.25">
      <c r="A197" s="9" t="s">
        <v>14</v>
      </c>
      <c r="B197" s="9" t="s">
        <v>13</v>
      </c>
      <c r="C197" s="9" t="s">
        <v>11</v>
      </c>
      <c r="D197" s="12">
        <f t="shared" ref="D197:I197" si="111">IF(D187="","",(D187-D166)/D166)</f>
        <v>-4.0520446096654276E-2</v>
      </c>
      <c r="E197" s="12">
        <f t="shared" si="111"/>
        <v>-2.4169184290030211E-2</v>
      </c>
      <c r="F197" s="12">
        <f t="shared" si="111"/>
        <v>-1.8666390127553667E-3</v>
      </c>
      <c r="G197" s="12" t="str">
        <f t="shared" si="111"/>
        <v/>
      </c>
      <c r="H197" s="12" t="str">
        <f t="shared" si="111"/>
        <v/>
      </c>
      <c r="I197" s="12" t="str">
        <f t="shared" si="111"/>
        <v/>
      </c>
      <c r="J197" s="11">
        <f t="shared" ref="J197:L197" si="112">J187-J166</f>
        <v>3.1399028358507621</v>
      </c>
      <c r="K197" s="11">
        <f t="shared" si="112"/>
        <v>2.0223566471450312</v>
      </c>
      <c r="L197" s="11">
        <f t="shared" si="112"/>
        <v>0.19393652080574952</v>
      </c>
      <c r="M197" s="11" t="str">
        <f>IF(G197="","",M187-((1/Comparisons!G187)*1000000))</f>
        <v/>
      </c>
      <c r="N197" s="11" t="str">
        <f>IF(H197="","",N187-((1/Comparisons!H187)*1000000))</f>
        <v/>
      </c>
      <c r="O197" s="11" t="str">
        <f>IF(I197="","",O187-((1/Comparisons!I187)*1000000))</f>
        <v/>
      </c>
    </row>
    <row r="198" spans="1:15" x14ac:dyDescent="0.25">
      <c r="A198" s="9" t="s">
        <v>15</v>
      </c>
      <c r="B198" s="9" t="s">
        <v>16</v>
      </c>
      <c r="C198" s="9" t="s">
        <v>11</v>
      </c>
      <c r="D198" s="12">
        <f t="shared" ref="D198:I198" si="113">IF(D188="","",(D188-D167)/D167)</f>
        <v>-9.465950833568805E-2</v>
      </c>
      <c r="E198" s="12">
        <f t="shared" si="113"/>
        <v>6.1817235997919197E-2</v>
      </c>
      <c r="F198" s="12">
        <f t="shared" si="113"/>
        <v>4.9058084772370487E-3</v>
      </c>
      <c r="G198" s="12" t="str">
        <f t="shared" si="113"/>
        <v/>
      </c>
      <c r="H198" s="12" t="str">
        <f t="shared" si="113"/>
        <v/>
      </c>
      <c r="I198" s="12" t="str">
        <f t="shared" si="113"/>
        <v/>
      </c>
      <c r="J198" s="11">
        <f t="shared" ref="J198:L198" si="114">J188-J167</f>
        <v>9.848055382406173</v>
      </c>
      <c r="K198" s="11">
        <f t="shared" si="114"/>
        <v>-5.0475411119391822</v>
      </c>
      <c r="L198" s="11">
        <f t="shared" si="114"/>
        <v>-0.47898930650626426</v>
      </c>
      <c r="M198" s="11" t="str">
        <f>IF(G198="","",M188-((1/Comparisons!G188)*1000000))</f>
        <v/>
      </c>
      <c r="N198" s="11" t="str">
        <f>IF(H198="","",N188-((1/Comparisons!H188)*1000000))</f>
        <v/>
      </c>
      <c r="O198" s="11" t="str">
        <f>IF(I198="","",O188-((1/Comparisons!I188)*1000000))</f>
        <v/>
      </c>
    </row>
    <row r="199" spans="1:15" x14ac:dyDescent="0.25">
      <c r="A199" s="9" t="s">
        <v>17</v>
      </c>
      <c r="B199" s="8" t="s">
        <v>18</v>
      </c>
      <c r="C199" s="9" t="s">
        <v>11</v>
      </c>
      <c r="D199" s="12">
        <f t="shared" ref="D199:I199" si="115">IF(D189="","",(D189-D168)/D168)</f>
        <v>-0.18946404031149794</v>
      </c>
      <c r="E199" s="12">
        <f t="shared" si="115"/>
        <v>-0.11130085384229031</v>
      </c>
      <c r="F199" s="12">
        <f t="shared" si="115"/>
        <v>-1.1364730809977849E-2</v>
      </c>
      <c r="G199" s="12" t="str">
        <f t="shared" si="115"/>
        <v/>
      </c>
      <c r="H199" s="12" t="str">
        <f t="shared" si="115"/>
        <v/>
      </c>
      <c r="I199" s="12" t="str">
        <f t="shared" si="115"/>
        <v/>
      </c>
      <c r="J199" s="11">
        <f t="shared" ref="J199:L199" si="116">J189-J168</f>
        <v>21.415625671018191</v>
      </c>
      <c r="K199" s="11">
        <f t="shared" si="116"/>
        <v>12.580632286909719</v>
      </c>
      <c r="L199" s="11">
        <f t="shared" si="116"/>
        <v>1.10713402922336</v>
      </c>
      <c r="M199" s="11" t="str">
        <f>IF(G199="","",M189-((1/Comparisons!G189)*1000000))</f>
        <v/>
      </c>
      <c r="N199" s="11" t="str">
        <f>IF(H199="","",N189-((1/Comparisons!H189)*1000000))</f>
        <v/>
      </c>
      <c r="O199" s="11" t="str">
        <f>IF(I199="","",O189-((1/Comparisons!I189)*1000000))</f>
        <v/>
      </c>
    </row>
  </sheetData>
  <mergeCells count="101">
    <mergeCell ref="A192:C192"/>
    <mergeCell ref="D192:I192"/>
    <mergeCell ref="J192:O192"/>
    <mergeCell ref="A181:I181"/>
    <mergeCell ref="A182:C182"/>
    <mergeCell ref="D182:I182"/>
    <mergeCell ref="J182:O182"/>
    <mergeCell ref="A191:I191"/>
    <mergeCell ref="A170:I170"/>
    <mergeCell ref="A171:C171"/>
    <mergeCell ref="D171:I171"/>
    <mergeCell ref="J171:O171"/>
    <mergeCell ref="A180:I180"/>
    <mergeCell ref="A159:I159"/>
    <mergeCell ref="A160:I160"/>
    <mergeCell ref="A161:C161"/>
    <mergeCell ref="D161:I161"/>
    <mergeCell ref="J161:O161"/>
    <mergeCell ref="J98:O98"/>
    <mergeCell ref="J108:O108"/>
    <mergeCell ref="A97:I97"/>
    <mergeCell ref="A98:C98"/>
    <mergeCell ref="D98:I98"/>
    <mergeCell ref="A107:I107"/>
    <mergeCell ref="A108:C108"/>
    <mergeCell ref="D108:I108"/>
    <mergeCell ref="J119:O119"/>
    <mergeCell ref="J129:O129"/>
    <mergeCell ref="A117:I117"/>
    <mergeCell ref="A118:I118"/>
    <mergeCell ref="A119:C119"/>
    <mergeCell ref="D119:I119"/>
    <mergeCell ref="A128:I128"/>
    <mergeCell ref="A150:C150"/>
    <mergeCell ref="D150:I150"/>
    <mergeCell ref="J150:O150"/>
    <mergeCell ref="A139:I139"/>
    <mergeCell ref="Z56:AE56"/>
    <mergeCell ref="A56:C56"/>
    <mergeCell ref="D56:I56"/>
    <mergeCell ref="J56:O56"/>
    <mergeCell ref="Q56:S56"/>
    <mergeCell ref="T56:Y56"/>
    <mergeCell ref="J13:O13"/>
    <mergeCell ref="A12:O12"/>
    <mergeCell ref="Q55:AE55"/>
    <mergeCell ref="Q24:S24"/>
    <mergeCell ref="T24:Y24"/>
    <mergeCell ref="Z24:AE24"/>
    <mergeCell ref="Q23:AE23"/>
    <mergeCell ref="A13:C13"/>
    <mergeCell ref="D13:I13"/>
    <mergeCell ref="A22:O22"/>
    <mergeCell ref="A23:O23"/>
    <mergeCell ref="A24:C24"/>
    <mergeCell ref="D24:I24"/>
    <mergeCell ref="J24:O24"/>
    <mergeCell ref="A33:O33"/>
    <mergeCell ref="A44:O44"/>
    <mergeCell ref="A34:C34"/>
    <mergeCell ref="D34:I34"/>
    <mergeCell ref="Q33:AE33"/>
    <mergeCell ref="Q34:S34"/>
    <mergeCell ref="T34:Y34"/>
    <mergeCell ref="Z34:AE34"/>
    <mergeCell ref="A54:I54"/>
    <mergeCell ref="A45:C45"/>
    <mergeCell ref="D45:I45"/>
    <mergeCell ref="J45:O45"/>
    <mergeCell ref="A1:O1"/>
    <mergeCell ref="Q1:AE2"/>
    <mergeCell ref="A3:C3"/>
    <mergeCell ref="D3:I3"/>
    <mergeCell ref="J3:O3"/>
    <mergeCell ref="Q3:S3"/>
    <mergeCell ref="T3:Y3"/>
    <mergeCell ref="Z3:AE3"/>
    <mergeCell ref="A2:O2"/>
    <mergeCell ref="A129:C129"/>
    <mergeCell ref="D129:I129"/>
    <mergeCell ref="A138:I138"/>
    <mergeCell ref="A140:C140"/>
    <mergeCell ref="D140:I140"/>
    <mergeCell ref="J140:O140"/>
    <mergeCell ref="A149:I149"/>
    <mergeCell ref="J34:O34"/>
    <mergeCell ref="A55:I55"/>
    <mergeCell ref="A65:I65"/>
    <mergeCell ref="A66:C66"/>
    <mergeCell ref="D66:I66"/>
    <mergeCell ref="J66:O66"/>
    <mergeCell ref="A96:I96"/>
    <mergeCell ref="A87:C87"/>
    <mergeCell ref="D87:I87"/>
    <mergeCell ref="J87:O87"/>
    <mergeCell ref="A86:I86"/>
    <mergeCell ref="A75:I75"/>
    <mergeCell ref="A76:I76"/>
    <mergeCell ref="A77:C77"/>
    <mergeCell ref="D77:I77"/>
    <mergeCell ref="J77:O77"/>
  </mergeCells>
  <conditionalFormatting sqref="D15:I20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I41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T36:Y41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7:I52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68:I73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9:I94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0:I115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1:I136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2:I157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3:I178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4:I199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48" r:id="rId1" xr:uid="{00000000-0004-0000-0100-000000000000}"/>
    <hyperlink ref="A190" r:id="rId2" xr:uid="{00000000-0004-0000-0100-000001000000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4"/>
  <sheetViews>
    <sheetView workbookViewId="0">
      <selection activeCell="D35" sqref="D35"/>
    </sheetView>
  </sheetViews>
  <sheetFormatPr defaultRowHeight="15" x14ac:dyDescent="0.25"/>
  <cols>
    <col min="4" max="4" width="10.85546875" customWidth="1"/>
    <col min="5" max="5" width="9.7109375" customWidth="1"/>
    <col min="6" max="6" width="9.85546875" bestFit="1" customWidth="1"/>
  </cols>
  <sheetData>
    <row r="1" spans="1:15" ht="18.75" x14ac:dyDescent="0.25">
      <c r="A1" s="77" t="s">
        <v>58</v>
      </c>
      <c r="B1" s="78"/>
      <c r="C1" s="78"/>
      <c r="D1" s="78"/>
      <c r="E1" s="78"/>
      <c r="F1" s="78"/>
      <c r="G1" s="78"/>
      <c r="H1" s="78"/>
      <c r="I1" s="78"/>
      <c r="J1" s="15"/>
      <c r="K1" s="15"/>
      <c r="L1" s="15"/>
      <c r="M1" s="15"/>
      <c r="N1" s="15"/>
      <c r="O1" s="16"/>
    </row>
    <row r="2" spans="1:15" ht="15.75" x14ac:dyDescent="0.25">
      <c r="A2" s="79" t="s">
        <v>55</v>
      </c>
      <c r="B2" s="80"/>
      <c r="C2" s="80"/>
      <c r="D2" s="80"/>
      <c r="E2" s="80"/>
      <c r="F2" s="80"/>
      <c r="G2" s="80"/>
      <c r="H2" s="80"/>
      <c r="I2" s="80"/>
      <c r="J2" s="17"/>
      <c r="K2" s="17"/>
      <c r="L2" s="17"/>
      <c r="M2" s="17"/>
      <c r="N2" s="17"/>
      <c r="O2" s="18"/>
    </row>
    <row r="3" spans="1:15" x14ac:dyDescent="0.25">
      <c r="A3" s="72" t="s">
        <v>1</v>
      </c>
      <c r="B3" s="72"/>
      <c r="C3" s="72"/>
      <c r="D3" s="73" t="s">
        <v>2</v>
      </c>
      <c r="E3" s="73"/>
      <c r="F3" s="73"/>
      <c r="G3" s="73"/>
      <c r="H3" s="73"/>
      <c r="I3" s="73"/>
      <c r="J3" s="73" t="s">
        <v>3</v>
      </c>
      <c r="K3" s="73"/>
      <c r="L3" s="73"/>
      <c r="M3" s="73"/>
      <c r="N3" s="73"/>
      <c r="O3" s="73"/>
    </row>
    <row r="4" spans="1:15" x14ac:dyDescent="0.25">
      <c r="A4" s="6" t="s">
        <v>26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10">
        <v>42666</v>
      </c>
      <c r="E5" s="10">
        <v>43881</v>
      </c>
      <c r="F5" s="10">
        <v>20623</v>
      </c>
      <c r="G5" s="10"/>
      <c r="H5" s="10"/>
      <c r="I5" s="10"/>
      <c r="J5" s="11">
        <f t="shared" ref="J5:O10" si="0">IF(D5="","",(1/D5)*1000000)</f>
        <v>23.437866216659636</v>
      </c>
      <c r="K5" s="11">
        <f t="shared" si="0"/>
        <v>22.788906360383766</v>
      </c>
      <c r="L5" s="11">
        <f t="shared" si="0"/>
        <v>48.489550501866844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10</v>
      </c>
      <c r="B6" s="9" t="s">
        <v>8</v>
      </c>
      <c r="C6" s="9" t="s">
        <v>11</v>
      </c>
      <c r="D6" s="10">
        <v>16526</v>
      </c>
      <c r="E6" s="10">
        <v>15288</v>
      </c>
      <c r="F6" s="10">
        <v>12487</v>
      </c>
      <c r="G6" s="10"/>
      <c r="H6" s="10"/>
      <c r="I6" s="10"/>
      <c r="J6" s="11">
        <f t="shared" si="0"/>
        <v>60.510710395740041</v>
      </c>
      <c r="K6" s="11">
        <f t="shared" si="0"/>
        <v>65.410779696493989</v>
      </c>
      <c r="L6" s="11">
        <f t="shared" si="0"/>
        <v>80.083286618082809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12</v>
      </c>
      <c r="B7" s="9" t="s">
        <v>13</v>
      </c>
      <c r="C7" s="9" t="s">
        <v>9</v>
      </c>
      <c r="D7" s="10">
        <v>49427</v>
      </c>
      <c r="E7" s="10">
        <v>34310</v>
      </c>
      <c r="F7" s="10">
        <v>17802</v>
      </c>
      <c r="G7" s="10"/>
      <c r="H7" s="10"/>
      <c r="I7" s="10"/>
      <c r="J7" s="11">
        <f t="shared" si="0"/>
        <v>20.231857082161572</v>
      </c>
      <c r="K7" s="11">
        <f t="shared" si="0"/>
        <v>29.146021568055961</v>
      </c>
      <c r="L7" s="11">
        <f t="shared" si="0"/>
        <v>56.173463655769019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14</v>
      </c>
      <c r="B8" s="9" t="s">
        <v>13</v>
      </c>
      <c r="C8" s="9" t="s">
        <v>11</v>
      </c>
      <c r="D8" s="10">
        <v>16609</v>
      </c>
      <c r="E8" s="10">
        <v>13841</v>
      </c>
      <c r="F8" s="10">
        <v>10804</v>
      </c>
      <c r="G8" s="10"/>
      <c r="H8" s="10"/>
      <c r="I8" s="10"/>
      <c r="J8" s="11">
        <f t="shared" si="0"/>
        <v>60.208320789933168</v>
      </c>
      <c r="K8" s="11">
        <f t="shared" si="0"/>
        <v>72.249114948341884</v>
      </c>
      <c r="L8" s="11">
        <f t="shared" si="0"/>
        <v>92.558311736393932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15</v>
      </c>
      <c r="B9" s="9" t="s">
        <v>16</v>
      </c>
      <c r="C9" s="9" t="s">
        <v>11</v>
      </c>
      <c r="D9" s="10">
        <v>13381</v>
      </c>
      <c r="E9" s="10">
        <v>13670</v>
      </c>
      <c r="F9" s="10">
        <v>10843</v>
      </c>
      <c r="G9" s="10"/>
      <c r="H9" s="10"/>
      <c r="I9" s="10"/>
      <c r="J9" s="11">
        <f t="shared" si="0"/>
        <v>74.732830132277101</v>
      </c>
      <c r="K9" s="11">
        <f t="shared" si="0"/>
        <v>73.152889539136808</v>
      </c>
      <c r="L9" s="11">
        <f t="shared" si="0"/>
        <v>92.225398874850129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17</v>
      </c>
      <c r="B10" s="8" t="s">
        <v>18</v>
      </c>
      <c r="C10" s="9" t="s">
        <v>11</v>
      </c>
      <c r="D10" s="10">
        <v>10544</v>
      </c>
      <c r="E10" s="10">
        <v>13157</v>
      </c>
      <c r="F10" s="10">
        <v>8561</v>
      </c>
      <c r="G10" s="10"/>
      <c r="H10" s="10"/>
      <c r="I10" s="10"/>
      <c r="J10" s="11">
        <f t="shared" si="0"/>
        <v>94.840667678300463</v>
      </c>
      <c r="K10" s="11">
        <f t="shared" si="0"/>
        <v>76.005168351447892</v>
      </c>
      <c r="L10" s="11">
        <f t="shared" si="0"/>
        <v>116.80878402055835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19" t="s">
        <v>52</v>
      </c>
    </row>
    <row r="12" spans="1:15" ht="18.75" x14ac:dyDescent="0.3">
      <c r="A12" s="75" t="s">
        <v>53</v>
      </c>
      <c r="B12" s="76"/>
      <c r="C12" s="76"/>
      <c r="D12" s="76"/>
      <c r="E12" s="76"/>
      <c r="F12" s="76"/>
      <c r="G12" s="76"/>
      <c r="H12" s="76"/>
      <c r="I12" s="76"/>
      <c r="J12" s="1"/>
      <c r="K12" s="1"/>
      <c r="L12" s="1"/>
      <c r="M12" s="1"/>
      <c r="N12" s="1"/>
      <c r="O12" s="2"/>
    </row>
    <row r="13" spans="1:15" x14ac:dyDescent="0.25">
      <c r="A13" s="72" t="s">
        <v>1</v>
      </c>
      <c r="B13" s="72"/>
      <c r="C13" s="72"/>
      <c r="D13" s="73" t="s">
        <v>19</v>
      </c>
      <c r="E13" s="73"/>
      <c r="F13" s="73"/>
      <c r="G13" s="73"/>
      <c r="H13" s="73"/>
      <c r="I13" s="73"/>
      <c r="J13" s="73" t="s">
        <v>22</v>
      </c>
      <c r="K13" s="73"/>
      <c r="L13" s="73"/>
      <c r="M13" s="73"/>
      <c r="N13" s="73"/>
      <c r="O13" s="73"/>
    </row>
    <row r="14" spans="1:15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7</v>
      </c>
      <c r="B15" s="9" t="s">
        <v>8</v>
      </c>
      <c r="C15" s="9" t="s">
        <v>9</v>
      </c>
      <c r="D15" s="12">
        <f>IF(D35="","",(D35-'Proto 2014'!D184)/'Proto 2014'!D184)</f>
        <v>-7.6053531984927883E-2</v>
      </c>
      <c r="E15" s="12">
        <f>IF(E5="","",(E5-'Proto 2014'!E184)/'Proto 2014'!E184)</f>
        <v>0.10281477758230712</v>
      </c>
      <c r="F15" s="12">
        <f>IF(F5="","",(F5-'Proto 2014'!F184)/'Proto 2014'!F184)</f>
        <v>-5.0176098808317653E-3</v>
      </c>
      <c r="G15" s="12" t="str">
        <f t="shared" ref="G15:I20" si="1">IF(G5="","",(G5-#REF!)/#REF!)</f>
        <v/>
      </c>
      <c r="H15" s="12" t="str">
        <f t="shared" si="1"/>
        <v/>
      </c>
      <c r="I15" s="12" t="str">
        <f t="shared" si="1"/>
        <v/>
      </c>
      <c r="J15" s="11">
        <f>J5-'Proto 2014'!J184</f>
        <v>1.7825325079671863</v>
      </c>
      <c r="K15" s="11">
        <f>K5-'Proto 2014'!K184</f>
        <v>-2.3430363387868773</v>
      </c>
      <c r="L15" s="11">
        <f>L5-'Proto 2014'!L184</f>
        <v>0.2433016477152492</v>
      </c>
      <c r="M15" s="11" t="str">
        <f>IF(G15="","",M5-((1/Comparisons!G5)*1000000))</f>
        <v/>
      </c>
      <c r="N15" s="11" t="str">
        <f>IF(H15="","",N5-((1/Comparisons!H5)*1000000))</f>
        <v/>
      </c>
      <c r="O15" s="11" t="str">
        <f>IF(I15="","",O5-((1/Comparisons!I5)*1000000))</f>
        <v/>
      </c>
    </row>
    <row r="16" spans="1:15" x14ac:dyDescent="0.25">
      <c r="A16" s="8" t="s">
        <v>10</v>
      </c>
      <c r="B16" s="9" t="s">
        <v>8</v>
      </c>
      <c r="C16" s="9" t="s">
        <v>11</v>
      </c>
      <c r="D16" s="12">
        <f>IF(D6="","",(D6-'Proto 2014'!D185)/'Proto 2014'!D185)</f>
        <v>0.21140595220642133</v>
      </c>
      <c r="E16" s="12">
        <f>IF(E6="","",(E6-'Proto 2014'!E185)/'Proto 2014'!E185)</f>
        <v>0.25414273995077935</v>
      </c>
      <c r="F16" s="12">
        <f>IF(F6="","",(F6-'Proto 2014'!F185)/'Proto 2014'!F185)</f>
        <v>0.21788744757631912</v>
      </c>
      <c r="G16" s="12" t="str">
        <f t="shared" si="1"/>
        <v/>
      </c>
      <c r="H16" s="12" t="str">
        <f t="shared" si="1"/>
        <v/>
      </c>
      <c r="I16" s="12" t="str">
        <f t="shared" si="1"/>
        <v/>
      </c>
      <c r="J16" s="11">
        <f>J6-'Proto 2014'!J185</f>
        <v>-12.792324349898429</v>
      </c>
      <c r="K16" s="11">
        <f>K6-'Proto 2014'!K185</f>
        <v>-16.623674774383773</v>
      </c>
      <c r="L16" s="11">
        <f>L6-'Proto 2014'!L185</f>
        <v>-17.449142914736854</v>
      </c>
      <c r="M16" s="11" t="str">
        <f>IF(G16="","",M6-((1/Comparisons!G6)*1000000))</f>
        <v/>
      </c>
      <c r="N16" s="11" t="str">
        <f>IF(H16="","",N6-((1/Comparisons!H6)*1000000))</f>
        <v/>
      </c>
      <c r="O16" s="11" t="str">
        <f>IF(I16="","",O6-((1/Comparisons!I6)*1000000))</f>
        <v/>
      </c>
    </row>
    <row r="17" spans="1:15" x14ac:dyDescent="0.25">
      <c r="A17" s="9" t="s">
        <v>12</v>
      </c>
      <c r="B17" s="9" t="s">
        <v>13</v>
      </c>
      <c r="C17" s="9" t="s">
        <v>9</v>
      </c>
      <c r="D17" s="12">
        <f>IF(D7="","",(D7-'Proto 2014'!D186)/'Proto 2014'!D186)</f>
        <v>0.11896676627727973</v>
      </c>
      <c r="E17" s="12">
        <f>IF(E7="","",(E7-'Proto 2014'!E186)/'Proto 2014'!E186)</f>
        <v>3.0423161245757877E-2</v>
      </c>
      <c r="F17" s="12">
        <f>IF(F7="","",(F7-'Proto 2014'!F186)/'Proto 2014'!F186)</f>
        <v>2.5401762571280455E-2</v>
      </c>
      <c r="G17" s="12" t="str">
        <f t="shared" si="1"/>
        <v/>
      </c>
      <c r="H17" s="12" t="str">
        <f t="shared" si="1"/>
        <v/>
      </c>
      <c r="I17" s="12" t="str">
        <f t="shared" si="1"/>
        <v/>
      </c>
      <c r="J17" s="11">
        <f>J7-'Proto 2014'!J186</f>
        <v>-2.4069186128488411</v>
      </c>
      <c r="K17" s="11">
        <f>K7-'Proto 2014'!K186</f>
        <v>-0.88671411383730359</v>
      </c>
      <c r="L17" s="11">
        <f>L7-'Proto 2014'!L186</f>
        <v>-1.4269049865902943</v>
      </c>
      <c r="M17" s="11" t="str">
        <f>IF(G17="","",M7-((1/Comparisons!G7)*1000000))</f>
        <v/>
      </c>
      <c r="N17" s="11" t="str">
        <f>IF(H17="","",N7-((1/Comparisons!H7)*1000000))</f>
        <v/>
      </c>
      <c r="O17" s="11" t="str">
        <f>IF(I17="","",O7-((1/Comparisons!I7)*1000000))</f>
        <v/>
      </c>
    </row>
    <row r="18" spans="1:15" x14ac:dyDescent="0.25">
      <c r="A18" s="9" t="s">
        <v>14</v>
      </c>
      <c r="B18" s="9" t="s">
        <v>13</v>
      </c>
      <c r="C18" s="9" t="s">
        <v>11</v>
      </c>
      <c r="D18" s="12">
        <f>IF(D8="","",(D8-'Proto 2014'!D187)/'Proto 2014'!D187)</f>
        <v>0.28702053467648198</v>
      </c>
      <c r="E18" s="12">
        <f>IF(E8="","",(E8-'Proto 2014'!E187)/'Proto 2014'!E187)</f>
        <v>0.15814576186093213</v>
      </c>
      <c r="F18" s="12">
        <f>IF(F8="","",(F8-'Proto 2014'!F187)/'Proto 2014'!F187)</f>
        <v>0.12249350649350649</v>
      </c>
      <c r="G18" s="12" t="str">
        <f t="shared" si="1"/>
        <v/>
      </c>
      <c r="H18" s="12" t="str">
        <f t="shared" si="1"/>
        <v/>
      </c>
      <c r="I18" s="12" t="str">
        <f t="shared" si="1"/>
        <v/>
      </c>
      <c r="J18" s="11">
        <f>J8-'Proto 2014'!J187</f>
        <v>-17.281024425099758</v>
      </c>
      <c r="K18" s="11">
        <f>K8-'Proto 2014'!K187</f>
        <v>-11.425891327283594</v>
      </c>
      <c r="L18" s="11">
        <f>L8-'Proto 2014'!L187</f>
        <v>-11.337792159709963</v>
      </c>
      <c r="M18" s="11" t="str">
        <f>IF(G18="","",M8-((1/Comparisons!G8)*1000000))</f>
        <v/>
      </c>
      <c r="N18" s="11" t="str">
        <f>IF(H18="","",N8-((1/Comparisons!H8)*1000000))</f>
        <v/>
      </c>
      <c r="O18" s="11" t="str">
        <f>IF(I18="","",O8-((1/Comparisons!I8)*1000000))</f>
        <v/>
      </c>
    </row>
    <row r="19" spans="1:15" x14ac:dyDescent="0.25">
      <c r="A19" s="9" t="s">
        <v>15</v>
      </c>
      <c r="B19" s="9" t="s">
        <v>16</v>
      </c>
      <c r="C19" s="9" t="s">
        <v>11</v>
      </c>
      <c r="D19" s="12">
        <f>IF(D9="","",(D9-'Proto 2014'!D188)/'Proto 2014'!D188)</f>
        <v>0.39211402413649604</v>
      </c>
      <c r="E19" s="12">
        <f>IF(E9="","",(E9-'Proto 2014'!E188)/'Proto 2014'!E188)</f>
        <v>0.11619172042132767</v>
      </c>
      <c r="F19" s="12">
        <f>IF(F9="","",(F9-'Proto 2014'!F188)/'Proto 2014'!F188)</f>
        <v>5.8679945323179064E-2</v>
      </c>
      <c r="G19" s="12" t="str">
        <f t="shared" si="1"/>
        <v/>
      </c>
      <c r="H19" s="12" t="str">
        <f t="shared" si="1"/>
        <v/>
      </c>
      <c r="I19" s="12" t="str">
        <f t="shared" si="1"/>
        <v/>
      </c>
      <c r="J19" s="11">
        <f>J9-'Proto 2014'!J188</f>
        <v>-29.303790758276378</v>
      </c>
      <c r="K19" s="11">
        <f>K9-'Proto 2014'!K188</f>
        <v>-8.4997600893436385</v>
      </c>
      <c r="L19" s="11">
        <f>L9-'Proto 2014'!L188</f>
        <v>-5.4117813633845913</v>
      </c>
      <c r="M19" s="11" t="str">
        <f>IF(G19="","",M9-((1/Comparisons!G9)*1000000))</f>
        <v/>
      </c>
      <c r="N19" s="11" t="str">
        <f>IF(H19="","",N9-((1/Comparisons!H9)*1000000))</f>
        <v/>
      </c>
      <c r="O19" s="11" t="str">
        <f>IF(I19="","",O9-((1/Comparisons!I9)*1000000))</f>
        <v/>
      </c>
    </row>
    <row r="20" spans="1:15" x14ac:dyDescent="0.25">
      <c r="A20" s="9" t="s">
        <v>17</v>
      </c>
      <c r="B20" s="8" t="s">
        <v>18</v>
      </c>
      <c r="C20" s="9" t="s">
        <v>11</v>
      </c>
      <c r="D20" s="12">
        <f>IF(D10="","",(D10-'Proto 2014'!D189)/'Proto 2014'!D189)</f>
        <v>0.19181643494970047</v>
      </c>
      <c r="E20" s="12">
        <f>IF(E10="","",(E10-'Proto 2014'!E189)/'Proto 2014'!E189)</f>
        <v>0.48717079235899174</v>
      </c>
      <c r="F20" s="12">
        <f>IF(F10="","",(F10-'Proto 2014'!F189)/'Proto 2014'!F189)</f>
        <v>-0.1660009741841208</v>
      </c>
      <c r="G20" s="12" t="str">
        <f t="shared" si="1"/>
        <v/>
      </c>
      <c r="H20" s="12" t="str">
        <f t="shared" si="1"/>
        <v/>
      </c>
      <c r="I20" s="12" t="str">
        <f t="shared" si="1"/>
        <v/>
      </c>
      <c r="J20" s="11">
        <f>J10-'Proto 2014'!J189</f>
        <v>-18.191998762300869</v>
      </c>
      <c r="K20" s="11">
        <f>K10-'Proto 2014'!K189</f>
        <v>-37.02749808915344</v>
      </c>
      <c r="L20" s="11">
        <f>L10-'Proto 2014'!L189</f>
        <v>19.390371940675251</v>
      </c>
      <c r="M20" s="11" t="str">
        <f>IF(G20="","",M10-((1/Comparisons!G10)*1000000))</f>
        <v/>
      </c>
      <c r="N20" s="11" t="str">
        <f>IF(H20="","",N10-((1/Comparisons!H10)*1000000))</f>
        <v/>
      </c>
      <c r="O20" s="11" t="str">
        <f>IF(I20="","",O10-((1/Comparisons!I10)*1000000))</f>
        <v/>
      </c>
    </row>
    <row r="22" spans="1:15" ht="18.75" x14ac:dyDescent="0.3">
      <c r="A22" s="75" t="s">
        <v>51</v>
      </c>
      <c r="B22" s="76"/>
      <c r="C22" s="76"/>
      <c r="D22" s="76"/>
      <c r="E22" s="76"/>
      <c r="F22" s="76"/>
      <c r="G22" s="76"/>
      <c r="H22" s="76"/>
      <c r="I22" s="76"/>
      <c r="J22" s="1"/>
      <c r="K22" s="1"/>
      <c r="L22" s="1"/>
      <c r="M22" s="1"/>
      <c r="N22" s="1"/>
      <c r="O22" s="2"/>
    </row>
    <row r="23" spans="1:15" x14ac:dyDescent="0.25">
      <c r="A23" s="72" t="s">
        <v>1</v>
      </c>
      <c r="B23" s="72"/>
      <c r="C23" s="72"/>
      <c r="D23" s="73" t="s">
        <v>19</v>
      </c>
      <c r="E23" s="73"/>
      <c r="F23" s="73"/>
      <c r="G23" s="73"/>
      <c r="H23" s="73"/>
      <c r="I23" s="73"/>
      <c r="J23" s="73" t="s">
        <v>22</v>
      </c>
      <c r="K23" s="73"/>
      <c r="L23" s="73"/>
      <c r="M23" s="73"/>
      <c r="N23" s="73"/>
      <c r="O23" s="73"/>
    </row>
    <row r="24" spans="1:15" x14ac:dyDescent="0.25">
      <c r="A24" s="6" t="s">
        <v>4</v>
      </c>
      <c r="B24" s="6" t="s">
        <v>5</v>
      </c>
      <c r="C24" s="6" t="s">
        <v>6</v>
      </c>
      <c r="D24" s="7">
        <v>1</v>
      </c>
      <c r="E24" s="7">
        <v>4</v>
      </c>
      <c r="F24" s="7">
        <v>16</v>
      </c>
      <c r="G24" s="7">
        <v>32</v>
      </c>
      <c r="H24" s="7">
        <v>64</v>
      </c>
      <c r="I24" s="7">
        <v>80</v>
      </c>
      <c r="J24" s="7">
        <v>1</v>
      </c>
      <c r="K24" s="7">
        <v>4</v>
      </c>
      <c r="L24" s="7">
        <v>16</v>
      </c>
      <c r="M24" s="7">
        <v>32</v>
      </c>
      <c r="N24" s="7">
        <v>64</v>
      </c>
      <c r="O24" s="7">
        <v>80</v>
      </c>
    </row>
    <row r="25" spans="1:15" x14ac:dyDescent="0.25">
      <c r="A25" s="8" t="s">
        <v>7</v>
      </c>
      <c r="B25" s="9" t="s">
        <v>8</v>
      </c>
      <c r="C25" s="9" t="s">
        <v>9</v>
      </c>
      <c r="D25" s="12">
        <f>IF(D5="","",(D5-'Proto 2014'!D163)/'Proto 2014'!D163)</f>
        <v>-7.1408361808170284E-2</v>
      </c>
      <c r="E25" s="12">
        <f>IF(E5="","",(E5-'Proto 2014'!E163)/'Proto 2014'!E163)</f>
        <v>0.10467487349898044</v>
      </c>
      <c r="F25" s="12">
        <f>IF(F5="","",(F5-'Proto 2014'!F163)/'Proto 2014'!F163)</f>
        <v>-9.9851183332533237E-3</v>
      </c>
      <c r="G25" s="12" t="str">
        <f t="shared" ref="G25:I25" si="2">IF(G15="","",(G15-#REF!)/#REF!)</f>
        <v/>
      </c>
      <c r="H25" s="12" t="str">
        <f t="shared" si="2"/>
        <v/>
      </c>
      <c r="I25" s="12" t="str">
        <f t="shared" si="2"/>
        <v/>
      </c>
      <c r="J25" s="11">
        <f>J5-'Proto 2014'!J163</f>
        <v>1.6736596308107252</v>
      </c>
      <c r="K25" s="11">
        <f>K5-'Proto 2014'!K163</f>
        <v>-2.3854258904532806</v>
      </c>
      <c r="L25" s="11">
        <f>L5-'Proto 2014'!L163</f>
        <v>0.48417389968739855</v>
      </c>
      <c r="M25" s="11" t="str">
        <f>IF(G25="","",M15-((1/Comparisons!G15)*1000000))</f>
        <v/>
      </c>
      <c r="N25" s="11" t="str">
        <f>IF(H25="","",N15-((1/Comparisons!H15)*1000000))</f>
        <v/>
      </c>
      <c r="O25" s="11" t="str">
        <f>IF(I25="","",O15-((1/Comparisons!I15)*1000000))</f>
        <v/>
      </c>
    </row>
    <row r="26" spans="1:15" x14ac:dyDescent="0.25">
      <c r="A26" s="8" t="s">
        <v>10</v>
      </c>
      <c r="B26" s="9" t="s">
        <v>8</v>
      </c>
      <c r="C26" s="9" t="s">
        <v>11</v>
      </c>
      <c r="D26" s="12">
        <f>IF(D6="","",(D6-'Proto 2014'!D164)/'Proto 2014'!D164)</f>
        <v>0.23503475076601152</v>
      </c>
      <c r="E26" s="12">
        <f>IF(E6="","",(E6-'Proto 2014'!E164)/'Proto 2014'!E164)</f>
        <v>0.18200092778722746</v>
      </c>
      <c r="F26" s="12">
        <f>IF(F6="","",(F6-'Proto 2014'!F164)/'Proto 2014'!F164)</f>
        <v>0.19664590321034978</v>
      </c>
      <c r="G26" s="12" t="str">
        <f t="shared" ref="G26:I26" si="3">IF(G16="","",(G16-#REF!)/#REF!)</f>
        <v/>
      </c>
      <c r="H26" s="12" t="str">
        <f t="shared" si="3"/>
        <v/>
      </c>
      <c r="I26" s="12" t="str">
        <f t="shared" si="3"/>
        <v/>
      </c>
      <c r="J26" s="11">
        <f>J6-'Proto 2014'!J164</f>
        <v>-14.22211973653706</v>
      </c>
      <c r="K26" s="11">
        <f>K6-'Proto 2014'!K164</f>
        <v>-11.904822592047836</v>
      </c>
      <c r="L26" s="11">
        <f>L6-'Proto 2014'!L164</f>
        <v>-15.748050229066209</v>
      </c>
      <c r="M26" s="11" t="str">
        <f>IF(G26="","",M16-((1/Comparisons!G16)*1000000))</f>
        <v/>
      </c>
      <c r="N26" s="11" t="str">
        <f>IF(H26="","",N16-((1/Comparisons!H16)*1000000))</f>
        <v/>
      </c>
      <c r="O26" s="11" t="str">
        <f>IF(I26="","",O16-((1/Comparisons!I16)*1000000))</f>
        <v/>
      </c>
    </row>
    <row r="27" spans="1:15" x14ac:dyDescent="0.25">
      <c r="A27" s="9" t="s">
        <v>12</v>
      </c>
      <c r="B27" s="9" t="s">
        <v>13</v>
      </c>
      <c r="C27" s="9" t="s">
        <v>9</v>
      </c>
      <c r="D27" s="12">
        <f>IF(D7="","",(D7-'Proto 2014'!D165)/'Proto 2014'!D165)</f>
        <v>0.12782658300057045</v>
      </c>
      <c r="E27" s="12">
        <f>IF(E7="","",(E7-'Proto 2014'!E165)/'Proto 2014'!E165)</f>
        <v>3.80926447006142E-2</v>
      </c>
      <c r="F27" s="12">
        <f>IF(F7="","",(F7-'Proto 2014'!F165)/'Proto 2014'!F165)</f>
        <v>-1.3521001884074032E-2</v>
      </c>
      <c r="G27" s="12" t="str">
        <f t="shared" ref="G27:I27" si="4">IF(G17="","",(G17-#REF!)/#REF!)</f>
        <v/>
      </c>
      <c r="H27" s="12" t="str">
        <f t="shared" si="4"/>
        <v/>
      </c>
      <c r="I27" s="12" t="str">
        <f t="shared" si="4"/>
        <v/>
      </c>
      <c r="J27" s="11">
        <f>J7-'Proto 2014'!J165</f>
        <v>-2.5861691585686053</v>
      </c>
      <c r="K27" s="11">
        <f>K7-'Proto 2014'!K165</f>
        <v>-1.1102490440283965</v>
      </c>
      <c r="L27" s="11">
        <f>L7-'Proto 2014'!L165</f>
        <v>0.75952150792461737</v>
      </c>
      <c r="M27" s="11" t="str">
        <f>IF(G27="","",M17-((1/Comparisons!G17)*1000000))</f>
        <v/>
      </c>
      <c r="N27" s="11" t="str">
        <f>IF(H27="","",N17-((1/Comparisons!H17)*1000000))</f>
        <v/>
      </c>
      <c r="O27" s="11" t="str">
        <f>IF(I27="","",O17-((1/Comparisons!I17)*1000000))</f>
        <v/>
      </c>
    </row>
    <row r="28" spans="1:15" x14ac:dyDescent="0.25">
      <c r="A28" s="9" t="s">
        <v>14</v>
      </c>
      <c r="B28" s="9" t="s">
        <v>13</v>
      </c>
      <c r="C28" s="9" t="s">
        <v>11</v>
      </c>
      <c r="D28" s="12">
        <f>IF(D8="","",(D8-'Proto 2014'!D166)/'Proto 2014'!D166)</f>
        <v>0.23486988847583642</v>
      </c>
      <c r="E28" s="12">
        <f>IF(E8="","",(E8-'Proto 2014'!E166)/'Proto 2014'!E166)</f>
        <v>0.13015432350779782</v>
      </c>
      <c r="F28" s="12">
        <f>IF(F8="","",(F8-'Proto 2014'!F166)/'Proto 2014'!F166)</f>
        <v>0.12039821632272114</v>
      </c>
      <c r="G28" s="12" t="str">
        <f t="shared" ref="G28:I28" si="5">IF(G18="","",(G18-#REF!)/#REF!)</f>
        <v/>
      </c>
      <c r="H28" s="12" t="str">
        <f t="shared" si="5"/>
        <v/>
      </c>
      <c r="I28" s="12" t="str">
        <f t="shared" si="5"/>
        <v/>
      </c>
      <c r="J28" s="11">
        <f>J8-'Proto 2014'!J166</f>
        <v>-14.141121589248996</v>
      </c>
      <c r="K28" s="11">
        <f>K8-'Proto 2014'!K166</f>
        <v>-9.4035346801385629</v>
      </c>
      <c r="L28" s="11">
        <f>L8-'Proto 2014'!L166</f>
        <v>-11.143855638904213</v>
      </c>
      <c r="M28" s="11" t="str">
        <f>IF(G28="","",M18-((1/Comparisons!G18)*1000000))</f>
        <v/>
      </c>
      <c r="N28" s="11" t="str">
        <f>IF(H28="","",N18-((1/Comparisons!H18)*1000000))</f>
        <v/>
      </c>
      <c r="O28" s="11" t="str">
        <f>IF(I28="","",O18-((1/Comparisons!I18)*1000000))</f>
        <v/>
      </c>
    </row>
    <row r="29" spans="1:15" x14ac:dyDescent="0.25">
      <c r="A29" s="9" t="s">
        <v>15</v>
      </c>
      <c r="B29" s="9" t="s">
        <v>16</v>
      </c>
      <c r="C29" s="9" t="s">
        <v>11</v>
      </c>
      <c r="D29" s="12">
        <f>IF(D9="","",(D9-'Proto 2014'!D167)/'Proto 2014'!D167)</f>
        <v>0.26033719506451919</v>
      </c>
      <c r="E29" s="12">
        <f>IF(E9="","",(E9-'Proto 2014'!E167)/'Proto 2014'!E167)</f>
        <v>0.18519160742153631</v>
      </c>
      <c r="F29" s="12">
        <f>IF(F9="","",(F9-'Proto 2014'!F167)/'Proto 2014'!F167)</f>
        <v>6.3873626373626369E-2</v>
      </c>
      <c r="G29" s="12" t="str">
        <f t="shared" ref="G29:I29" si="6">IF(G19="","",(G19-#REF!)/#REF!)</f>
        <v/>
      </c>
      <c r="H29" s="12" t="str">
        <f t="shared" si="6"/>
        <v/>
      </c>
      <c r="I29" s="12" t="str">
        <f t="shared" si="6"/>
        <v/>
      </c>
      <c r="J29" s="11">
        <f>J9-'Proto 2014'!J167</f>
        <v>-19.455735375870205</v>
      </c>
      <c r="K29" s="11">
        <f>K9-'Proto 2014'!K167</f>
        <v>-13.547301201282821</v>
      </c>
      <c r="L29" s="11">
        <f>L9-'Proto 2014'!L167</f>
        <v>-5.8907706698908555</v>
      </c>
      <c r="M29" s="11" t="str">
        <f>IF(G29="","",M19-((1/Comparisons!G19)*1000000))</f>
        <v/>
      </c>
      <c r="N29" s="11" t="str">
        <f>IF(H29="","",N19-((1/Comparisons!H19)*1000000))</f>
        <v/>
      </c>
      <c r="O29" s="11" t="str">
        <f>IF(I29="","",O19-((1/Comparisons!I19)*1000000))</f>
        <v/>
      </c>
    </row>
    <row r="30" spans="1:15" x14ac:dyDescent="0.25">
      <c r="A30" s="9" t="s">
        <v>17</v>
      </c>
      <c r="B30" s="8" t="s">
        <v>18</v>
      </c>
      <c r="C30" s="9" t="s">
        <v>11</v>
      </c>
      <c r="D30" s="12">
        <f>IF(D10="","",(D10-'Proto 2014'!D168)/'Proto 2014'!D168)</f>
        <v>-3.3989922125515347E-2</v>
      </c>
      <c r="E30" s="12">
        <f>IF(E10="","",(E10-'Proto 2014'!E168)/'Proto 2014'!E168)</f>
        <v>0.32164741336012054</v>
      </c>
      <c r="F30" s="12">
        <f>IF(F10="","",(F10-'Proto 2014'!F168)/'Proto 2014'!F168)</f>
        <v>-0.17547914860830202</v>
      </c>
      <c r="G30" s="12" t="str">
        <f t="shared" ref="G30:I30" si="7">IF(G20="","",(G20-#REF!)/#REF!)</f>
        <v/>
      </c>
      <c r="H30" s="12" t="str">
        <f t="shared" si="7"/>
        <v/>
      </c>
      <c r="I30" s="12" t="str">
        <f t="shared" si="7"/>
        <v/>
      </c>
      <c r="J30" s="11">
        <f>J10-'Proto 2014'!J168</f>
        <v>3.2236269087173213</v>
      </c>
      <c r="K30" s="11">
        <f>K10-'Proto 2014'!K168</f>
        <v>-24.446865802243721</v>
      </c>
      <c r="L30" s="11">
        <f>L10-'Proto 2014'!L168</f>
        <v>20.497505969898612</v>
      </c>
      <c r="M30" s="11" t="str">
        <f>IF(G30="","",M20-((1/Comparisons!G20)*1000000))</f>
        <v/>
      </c>
      <c r="N30" s="11" t="str">
        <f>IF(H30="","",N20-((1/Comparisons!H20)*1000000))</f>
        <v/>
      </c>
      <c r="O30" s="11" t="str">
        <f>IF(I30="","",O20-((1/Comparisons!I20)*1000000))</f>
        <v/>
      </c>
    </row>
    <row r="32" spans="1:15" ht="15.75" x14ac:dyDescent="0.25">
      <c r="A32" s="79" t="s">
        <v>59</v>
      </c>
      <c r="B32" s="80"/>
      <c r="C32" s="80"/>
      <c r="D32" s="80"/>
      <c r="E32" s="80"/>
      <c r="F32" s="80"/>
      <c r="G32" s="80"/>
      <c r="H32" s="80"/>
      <c r="I32" s="80"/>
    </row>
    <row r="33" spans="1:15" x14ac:dyDescent="0.25">
      <c r="A33" s="72" t="s">
        <v>1</v>
      </c>
      <c r="B33" s="72"/>
      <c r="C33" s="72"/>
      <c r="D33" s="73" t="s">
        <v>2</v>
      </c>
      <c r="E33" s="73"/>
      <c r="F33" s="73"/>
      <c r="G33" s="73"/>
      <c r="H33" s="73"/>
      <c r="I33" s="73"/>
      <c r="J33" s="73" t="s">
        <v>3</v>
      </c>
      <c r="K33" s="73"/>
      <c r="L33" s="73"/>
      <c r="M33" s="73"/>
      <c r="N33" s="73"/>
      <c r="O33" s="73"/>
    </row>
    <row r="34" spans="1:15" x14ac:dyDescent="0.25">
      <c r="A34" s="6" t="s">
        <v>26</v>
      </c>
      <c r="B34" s="6" t="s">
        <v>5</v>
      </c>
      <c r="C34" s="6" t="s">
        <v>6</v>
      </c>
      <c r="D34" s="7">
        <v>1</v>
      </c>
      <c r="E34" s="7">
        <v>4</v>
      </c>
      <c r="F34" s="7">
        <v>16</v>
      </c>
      <c r="G34" s="7">
        <v>32</v>
      </c>
      <c r="H34" s="7">
        <v>64</v>
      </c>
      <c r="I34" s="7">
        <v>80</v>
      </c>
      <c r="J34" s="7">
        <v>1</v>
      </c>
      <c r="K34" s="7">
        <v>4</v>
      </c>
      <c r="L34" s="7">
        <v>16</v>
      </c>
      <c r="M34" s="7">
        <v>32</v>
      </c>
      <c r="N34" s="7">
        <v>64</v>
      </c>
      <c r="O34" s="7">
        <v>80</v>
      </c>
    </row>
    <row r="35" spans="1:15" x14ac:dyDescent="0.25">
      <c r="A35" s="8" t="s">
        <v>7</v>
      </c>
      <c r="B35" s="9" t="s">
        <v>8</v>
      </c>
      <c r="C35" s="9" t="s">
        <v>9</v>
      </c>
      <c r="D35" s="11">
        <v>42666</v>
      </c>
      <c r="E35" s="11">
        <v>43007</v>
      </c>
      <c r="F35" s="11">
        <v>20641</v>
      </c>
      <c r="G35" s="10"/>
      <c r="H35" s="10"/>
      <c r="I35" s="10"/>
      <c r="J35" s="11">
        <f t="shared" ref="J35:J40" si="8">IF(D35="","",(1/D35)*1000000)</f>
        <v>23.437866216659636</v>
      </c>
      <c r="K35" s="11">
        <f t="shared" ref="K35:K40" si="9">IF(E35="","",(1/E35)*1000000)</f>
        <v>23.252028739507523</v>
      </c>
      <c r="L35" s="11">
        <f t="shared" ref="L35:L40" si="10">IF(F35="","",(1/F35)*1000000)</f>
        <v>48.447265151882178</v>
      </c>
      <c r="M35" s="11" t="str">
        <f t="shared" ref="M35:M40" si="11">IF(G35="","",(1/G35)*1000000)</f>
        <v/>
      </c>
      <c r="N35" s="11" t="str">
        <f t="shared" ref="N35:N40" si="12">IF(H35="","",(1/H35)*1000000)</f>
        <v/>
      </c>
      <c r="O35" s="11" t="str">
        <f t="shared" ref="O35:O40" si="13">IF(I35="","",(1/I35)*1000000)</f>
        <v/>
      </c>
    </row>
    <row r="36" spans="1:15" x14ac:dyDescent="0.25">
      <c r="A36" s="8" t="s">
        <v>10</v>
      </c>
      <c r="B36" s="9" t="s">
        <v>8</v>
      </c>
      <c r="C36" s="9" t="s">
        <v>11</v>
      </c>
      <c r="D36" s="11">
        <v>16274</v>
      </c>
      <c r="E36" s="11">
        <v>15288</v>
      </c>
      <c r="F36" s="11">
        <v>12212</v>
      </c>
      <c r="G36" s="10"/>
      <c r="H36" s="10"/>
      <c r="I36" s="10"/>
      <c r="J36" s="11">
        <f t="shared" si="8"/>
        <v>61.447708000491581</v>
      </c>
      <c r="K36" s="11">
        <f t="shared" si="9"/>
        <v>65.410779696493989</v>
      </c>
      <c r="L36" s="11">
        <f t="shared" si="10"/>
        <v>81.886668850311167</v>
      </c>
      <c r="M36" s="11" t="str">
        <f t="shared" si="11"/>
        <v/>
      </c>
      <c r="N36" s="11" t="str">
        <f t="shared" si="12"/>
        <v/>
      </c>
      <c r="O36" s="11" t="str">
        <f t="shared" si="13"/>
        <v/>
      </c>
    </row>
    <row r="37" spans="1:15" x14ac:dyDescent="0.25">
      <c r="A37" s="9" t="s">
        <v>12</v>
      </c>
      <c r="B37" s="9" t="s">
        <v>13</v>
      </c>
      <c r="C37" s="9" t="s">
        <v>9</v>
      </c>
      <c r="D37" s="11">
        <v>49914</v>
      </c>
      <c r="E37" s="11">
        <v>37110</v>
      </c>
      <c r="F37" s="11">
        <v>19031</v>
      </c>
      <c r="G37" s="10"/>
      <c r="H37" s="10"/>
      <c r="I37" s="10"/>
      <c r="J37" s="11">
        <f t="shared" si="8"/>
        <v>20.034459269944303</v>
      </c>
      <c r="K37" s="11">
        <f t="shared" si="9"/>
        <v>26.946914578280786</v>
      </c>
      <c r="L37" s="11">
        <f t="shared" si="10"/>
        <v>52.54584625085387</v>
      </c>
      <c r="M37" s="11" t="str">
        <f t="shared" si="11"/>
        <v/>
      </c>
      <c r="N37" s="11" t="str">
        <f t="shared" si="12"/>
        <v/>
      </c>
      <c r="O37" s="11" t="str">
        <f t="shared" si="13"/>
        <v/>
      </c>
    </row>
    <row r="38" spans="1:15" x14ac:dyDescent="0.25">
      <c r="A38" s="9" t="s">
        <v>14</v>
      </c>
      <c r="B38" s="9" t="s">
        <v>13</v>
      </c>
      <c r="C38" s="9" t="s">
        <v>11</v>
      </c>
      <c r="D38" s="11">
        <v>15236</v>
      </c>
      <c r="E38" s="11">
        <v>14399</v>
      </c>
      <c r="F38" s="11">
        <v>10843</v>
      </c>
      <c r="G38" s="10"/>
      <c r="H38" s="10"/>
      <c r="I38" s="10"/>
      <c r="J38" s="11">
        <f t="shared" si="8"/>
        <v>65.634024678393288</v>
      </c>
      <c r="K38" s="11">
        <f t="shared" si="9"/>
        <v>69.449267310229885</v>
      </c>
      <c r="L38" s="11">
        <f t="shared" si="10"/>
        <v>92.225398874850129</v>
      </c>
      <c r="M38" s="11" t="str">
        <f t="shared" si="11"/>
        <v/>
      </c>
      <c r="N38" s="11" t="str">
        <f t="shared" si="12"/>
        <v/>
      </c>
      <c r="O38" s="11" t="str">
        <f t="shared" si="13"/>
        <v/>
      </c>
    </row>
    <row r="39" spans="1:15" x14ac:dyDescent="0.25">
      <c r="A39" s="9" t="s">
        <v>15</v>
      </c>
      <c r="B39" s="9" t="s">
        <v>16</v>
      </c>
      <c r="C39" s="9" t="s">
        <v>11</v>
      </c>
      <c r="D39" s="11">
        <v>12740</v>
      </c>
      <c r="E39" s="11">
        <v>13670</v>
      </c>
      <c r="F39" s="11">
        <v>10843</v>
      </c>
      <c r="G39" s="10"/>
      <c r="H39" s="10"/>
      <c r="I39" s="10"/>
      <c r="J39" s="11">
        <f t="shared" si="8"/>
        <v>78.492935635792776</v>
      </c>
      <c r="K39" s="11">
        <f t="shared" si="9"/>
        <v>73.152889539136808</v>
      </c>
      <c r="L39" s="11">
        <f t="shared" si="10"/>
        <v>92.225398874850129</v>
      </c>
      <c r="M39" s="11" t="str">
        <f t="shared" si="11"/>
        <v/>
      </c>
      <c r="N39" s="11" t="str">
        <f t="shared" si="12"/>
        <v/>
      </c>
      <c r="O39" s="11" t="str">
        <f t="shared" si="13"/>
        <v/>
      </c>
    </row>
    <row r="40" spans="1:15" x14ac:dyDescent="0.25">
      <c r="A40" s="9" t="s">
        <v>17</v>
      </c>
      <c r="B40" s="8" t="s">
        <v>18</v>
      </c>
      <c r="C40" s="9" t="s">
        <v>11</v>
      </c>
      <c r="D40" s="11">
        <v>10458</v>
      </c>
      <c r="E40" s="11">
        <v>12974</v>
      </c>
      <c r="F40" s="11">
        <v>11041</v>
      </c>
      <c r="G40" s="10"/>
      <c r="H40" s="10"/>
      <c r="I40" s="10"/>
      <c r="J40" s="11">
        <f t="shared" si="8"/>
        <v>95.620577548288395</v>
      </c>
      <c r="K40" s="11">
        <f t="shared" si="9"/>
        <v>77.07723138584862</v>
      </c>
      <c r="L40" s="11">
        <f t="shared" si="10"/>
        <v>90.571506204148179</v>
      </c>
      <c r="M40" s="11" t="str">
        <f t="shared" si="11"/>
        <v/>
      </c>
      <c r="N40" s="11" t="str">
        <f t="shared" si="12"/>
        <v/>
      </c>
      <c r="O40" s="11" t="str">
        <f t="shared" si="13"/>
        <v/>
      </c>
    </row>
    <row r="41" spans="1:15" x14ac:dyDescent="0.25">
      <c r="A41" s="19" t="s">
        <v>56</v>
      </c>
    </row>
    <row r="42" spans="1:15" ht="18.75" x14ac:dyDescent="0.3">
      <c r="A42" s="75" t="s">
        <v>53</v>
      </c>
      <c r="B42" s="76"/>
      <c r="C42" s="76"/>
      <c r="D42" s="76"/>
      <c r="E42" s="76"/>
      <c r="F42" s="76"/>
      <c r="G42" s="76"/>
      <c r="H42" s="76"/>
      <c r="I42" s="76"/>
      <c r="J42" s="1"/>
      <c r="K42" s="1"/>
      <c r="L42" s="1"/>
      <c r="M42" s="1"/>
      <c r="N42" s="1"/>
      <c r="O42" s="2"/>
    </row>
    <row r="43" spans="1:15" x14ac:dyDescent="0.25">
      <c r="A43" s="72" t="s">
        <v>1</v>
      </c>
      <c r="B43" s="72"/>
      <c r="C43" s="72"/>
      <c r="D43" s="73" t="s">
        <v>19</v>
      </c>
      <c r="E43" s="73"/>
      <c r="F43" s="73"/>
      <c r="G43" s="73"/>
      <c r="H43" s="73"/>
      <c r="I43" s="73"/>
      <c r="J43" s="73" t="s">
        <v>22</v>
      </c>
      <c r="K43" s="73"/>
      <c r="L43" s="73"/>
      <c r="M43" s="73"/>
      <c r="N43" s="73"/>
      <c r="O43" s="73"/>
    </row>
    <row r="44" spans="1:15" x14ac:dyDescent="0.25">
      <c r="A44" s="6" t="s">
        <v>4</v>
      </c>
      <c r="B44" s="6" t="s">
        <v>5</v>
      </c>
      <c r="C44" s="6" t="s">
        <v>6</v>
      </c>
      <c r="D44" s="7">
        <v>1</v>
      </c>
      <c r="E44" s="7">
        <v>4</v>
      </c>
      <c r="F44" s="7">
        <v>16</v>
      </c>
      <c r="G44" s="7">
        <v>32</v>
      </c>
      <c r="H44" s="7">
        <v>64</v>
      </c>
      <c r="I44" s="7">
        <v>80</v>
      </c>
      <c r="J44" s="7">
        <v>1</v>
      </c>
      <c r="K44" s="7">
        <v>4</v>
      </c>
      <c r="L44" s="7">
        <v>16</v>
      </c>
      <c r="M44" s="7">
        <v>32</v>
      </c>
      <c r="N44" s="7">
        <v>64</v>
      </c>
      <c r="O44" s="7">
        <v>80</v>
      </c>
    </row>
    <row r="45" spans="1:15" x14ac:dyDescent="0.25">
      <c r="A45" s="8" t="s">
        <v>7</v>
      </c>
      <c r="B45" s="9" t="s">
        <v>8</v>
      </c>
      <c r="C45" s="9" t="s">
        <v>9</v>
      </c>
      <c r="D45" s="12">
        <f>IF(D35="","",(D35-'Proto 2014'!D184)/'Proto 2014'!D184)</f>
        <v>-7.6053531984927883E-2</v>
      </c>
      <c r="E45" s="12">
        <f>IF(E35="","",(E35-'Proto 2014'!E184)/'Proto 2014'!E184)</f>
        <v>8.0849459663231968E-2</v>
      </c>
      <c r="F45" s="12">
        <f>IF(F35="","",(F35-'Proto 2014'!F184)/'Proto 2014'!F184)</f>
        <v>-4.1491774014570364E-3</v>
      </c>
      <c r="G45" s="12" t="str">
        <f t="shared" ref="G45:I45" si="14">IF(G35="","",(G35-#REF!)/#REF!)</f>
        <v/>
      </c>
      <c r="H45" s="12" t="str">
        <f t="shared" si="14"/>
        <v/>
      </c>
      <c r="I45" s="12" t="str">
        <f t="shared" si="14"/>
        <v/>
      </c>
      <c r="J45" s="11">
        <f>J35-'Proto 2014'!J184</f>
        <v>1.7825325079671863</v>
      </c>
      <c r="K45" s="11">
        <f>K35-'Proto 2014'!K184</f>
        <v>-1.8799139596631207</v>
      </c>
      <c r="L45" s="11">
        <f>L35-'Proto 2014'!L184</f>
        <v>0.20101629773058249</v>
      </c>
      <c r="M45" s="11" t="str">
        <f>IF(G45="","",M35-((1/Comparisons!G35)*1000000))</f>
        <v/>
      </c>
      <c r="N45" s="11" t="str">
        <f>IF(H45="","",N35-((1/Comparisons!H35)*1000000))</f>
        <v/>
      </c>
      <c r="O45" s="11" t="str">
        <f>IF(I45="","",O35-((1/Comparisons!I35)*1000000))</f>
        <v/>
      </c>
    </row>
    <row r="46" spans="1:15" x14ac:dyDescent="0.25">
      <c r="A46" s="8" t="s">
        <v>10</v>
      </c>
      <c r="B46" s="9" t="s">
        <v>8</v>
      </c>
      <c r="C46" s="9" t="s">
        <v>11</v>
      </c>
      <c r="D46" s="12">
        <f>IF(D36="","",(D36-'Proto 2014'!D185)/'Proto 2014'!D185)</f>
        <v>0.19293358745052044</v>
      </c>
      <c r="E46" s="12">
        <f>IF(E36="","",(E36-'Proto 2014'!E185)/'Proto 2014'!E185)</f>
        <v>0.25414273995077935</v>
      </c>
      <c r="F46" s="12">
        <f>IF(F36="","",(F36-'Proto 2014'!F185)/'Proto 2014'!F185)</f>
        <v>0.19106602945479373</v>
      </c>
      <c r="G46" s="12" t="str">
        <f t="shared" ref="G46:I46" si="15">IF(G36="","",(G36-#REF!)/#REF!)</f>
        <v/>
      </c>
      <c r="H46" s="12" t="str">
        <f t="shared" si="15"/>
        <v/>
      </c>
      <c r="I46" s="12" t="str">
        <f t="shared" si="15"/>
        <v/>
      </c>
      <c r="J46" s="11">
        <f>J36-'Proto 2014'!J185</f>
        <v>-11.85532674514689</v>
      </c>
      <c r="K46" s="11">
        <f>K36-'Proto 2014'!K185</f>
        <v>-16.623674774383773</v>
      </c>
      <c r="L46" s="11">
        <f>L36-'Proto 2014'!L185</f>
        <v>-15.645760682508495</v>
      </c>
      <c r="M46" s="11" t="str">
        <f>IF(G46="","",M36-((1/Comparisons!G36)*1000000))</f>
        <v/>
      </c>
      <c r="N46" s="11" t="str">
        <f>IF(H46="","",N36-((1/Comparisons!H36)*1000000))</f>
        <v/>
      </c>
      <c r="O46" s="11" t="str">
        <f>IF(I46="","",O36-((1/Comparisons!I36)*1000000))</f>
        <v/>
      </c>
    </row>
    <row r="47" spans="1:15" x14ac:dyDescent="0.25">
      <c r="A47" s="9" t="s">
        <v>12</v>
      </c>
      <c r="B47" s="9" t="s">
        <v>13</v>
      </c>
      <c r="C47" s="9" t="s">
        <v>9</v>
      </c>
      <c r="D47" s="12">
        <f>IF(D37="","",(D37-'Proto 2014'!D186)/'Proto 2014'!D186)</f>
        <v>0.12999185004074978</v>
      </c>
      <c r="E47" s="12">
        <f>IF(E37="","",(E37-'Proto 2014'!E186)/'Proto 2014'!E186)</f>
        <v>0.11451482115505901</v>
      </c>
      <c r="F47" s="12">
        <f>IF(F37="","",(F37-'Proto 2014'!F186)/'Proto 2014'!F186)</f>
        <v>9.619261563274005E-2</v>
      </c>
      <c r="G47" s="12" t="str">
        <f t="shared" ref="G47:I47" si="16">IF(G37="","",(G37-#REF!)/#REF!)</f>
        <v/>
      </c>
      <c r="H47" s="12" t="str">
        <f t="shared" si="16"/>
        <v/>
      </c>
      <c r="I47" s="12" t="str">
        <f t="shared" si="16"/>
        <v/>
      </c>
      <c r="J47" s="11">
        <f>J37-'Proto 2014'!J186</f>
        <v>-2.6043164250661093</v>
      </c>
      <c r="K47" s="11">
        <f>K37-'Proto 2014'!K186</f>
        <v>-3.0858211036124779</v>
      </c>
      <c r="L47" s="11">
        <f>L37-'Proto 2014'!L186</f>
        <v>-5.0545223915054436</v>
      </c>
      <c r="M47" s="11" t="str">
        <f>IF(G47="","",M37-((1/Comparisons!G37)*1000000))</f>
        <v/>
      </c>
      <c r="N47" s="11" t="str">
        <f>IF(H47="","",N37-((1/Comparisons!H37)*1000000))</f>
        <v/>
      </c>
      <c r="O47" s="11" t="str">
        <f>IF(I47="","",O37-((1/Comparisons!I37)*1000000))</f>
        <v/>
      </c>
    </row>
    <row r="48" spans="1:15" x14ac:dyDescent="0.25">
      <c r="A48" s="9" t="s">
        <v>14</v>
      </c>
      <c r="B48" s="9" t="s">
        <v>13</v>
      </c>
      <c r="C48" s="9" t="s">
        <v>11</v>
      </c>
      <c r="D48" s="12">
        <f>IF(D38="","",(D38-'Proto 2014'!D187)/'Proto 2014'!D187)</f>
        <v>0.18062766369624178</v>
      </c>
      <c r="E48" s="12">
        <f>IF(E38="","",(E38-'Proto 2014'!E187)/'Proto 2014'!E187)</f>
        <v>0.20483641536273114</v>
      </c>
      <c r="F48" s="12">
        <f>IF(F38="","",(F38-'Proto 2014'!F187)/'Proto 2014'!F187)</f>
        <v>0.12654545454545454</v>
      </c>
      <c r="G48" s="12" t="str">
        <f t="shared" ref="G48:I48" si="17">IF(G38="","",(G38-#REF!)/#REF!)</f>
        <v/>
      </c>
      <c r="H48" s="12" t="str">
        <f t="shared" si="17"/>
        <v/>
      </c>
      <c r="I48" s="12" t="str">
        <f t="shared" si="17"/>
        <v/>
      </c>
      <c r="J48" s="11">
        <f>J38-'Proto 2014'!J187</f>
        <v>-11.855320536639638</v>
      </c>
      <c r="K48" s="11">
        <f>K38-'Proto 2014'!K187</f>
        <v>-14.225738965395593</v>
      </c>
      <c r="L48" s="11">
        <f>L38-'Proto 2014'!L187</f>
        <v>-11.670705021253767</v>
      </c>
      <c r="M48" s="11" t="str">
        <f>IF(G48="","",M38-((1/Comparisons!G38)*1000000))</f>
        <v/>
      </c>
      <c r="N48" s="11" t="str">
        <f>IF(H48="","",N38-((1/Comparisons!H38)*1000000))</f>
        <v/>
      </c>
      <c r="O48" s="11" t="str">
        <f>IF(I48="","",O38-((1/Comparisons!I38)*1000000))</f>
        <v/>
      </c>
    </row>
    <row r="49" spans="1:15" x14ac:dyDescent="0.25">
      <c r="A49" s="9" t="s">
        <v>15</v>
      </c>
      <c r="B49" s="9" t="s">
        <v>16</v>
      </c>
      <c r="C49" s="9" t="s">
        <v>11</v>
      </c>
      <c r="D49" s="12">
        <f>IF(D39="","",(D39-'Proto 2014'!D188)/'Proto 2014'!D188)</f>
        <v>0.32542655014565125</v>
      </c>
      <c r="E49" s="12">
        <f>IF(E39="","",(E39-'Proto 2014'!E188)/'Proto 2014'!E188)</f>
        <v>0.11619172042132767</v>
      </c>
      <c r="F49" s="12">
        <f>IF(F39="","",(F39-'Proto 2014'!F188)/'Proto 2014'!F188)</f>
        <v>5.8679945323179064E-2</v>
      </c>
      <c r="G49" s="12" t="str">
        <f t="shared" ref="G49:I49" si="18">IF(G39="","",(G39-#REF!)/#REF!)</f>
        <v/>
      </c>
      <c r="H49" s="12" t="str">
        <f t="shared" si="18"/>
        <v/>
      </c>
      <c r="I49" s="12" t="str">
        <f t="shared" si="18"/>
        <v/>
      </c>
      <c r="J49" s="11">
        <f>J39-'Proto 2014'!J188</f>
        <v>-25.543685254760703</v>
      </c>
      <c r="K49" s="11">
        <f>K39-'Proto 2014'!K188</f>
        <v>-8.4997600893436385</v>
      </c>
      <c r="L49" s="11">
        <f>L39-'Proto 2014'!L188</f>
        <v>-5.4117813633845913</v>
      </c>
      <c r="M49" s="11" t="str">
        <f>IF(G49="","",M39-((1/Comparisons!G39)*1000000))</f>
        <v/>
      </c>
      <c r="N49" s="11" t="str">
        <f>IF(H49="","",N39-((1/Comparisons!H39)*1000000))</f>
        <v/>
      </c>
      <c r="O49" s="11" t="str">
        <f>IF(I49="","",O39-((1/Comparisons!I39)*1000000))</f>
        <v/>
      </c>
    </row>
    <row r="50" spans="1:15" x14ac:dyDescent="0.25">
      <c r="A50" s="9" t="s">
        <v>17</v>
      </c>
      <c r="B50" s="8" t="s">
        <v>18</v>
      </c>
      <c r="C50" s="9" t="s">
        <v>11</v>
      </c>
      <c r="D50" s="12">
        <f>IF(D40="","",(D40-'Proto 2014'!D189)/'Proto 2014'!D189)</f>
        <v>0.18209562563580875</v>
      </c>
      <c r="E50" s="12">
        <f>IF(E40="","",(E40-'Proto 2014'!E189)/'Proto 2014'!E189)</f>
        <v>0.46648581440036169</v>
      </c>
      <c r="F50" s="12">
        <f>IF(F40="","",(F40-'Proto 2014'!F189)/'Proto 2014'!F189)</f>
        <v>7.5596687773989285E-2</v>
      </c>
      <c r="G50" s="12" t="str">
        <f t="shared" ref="G50:I50" si="19">IF(G40="","",(G40-#REF!)/#REF!)</f>
        <v/>
      </c>
      <c r="H50" s="12" t="str">
        <f t="shared" si="19"/>
        <v/>
      </c>
      <c r="I50" s="12" t="str">
        <f t="shared" si="19"/>
        <v/>
      </c>
      <c r="J50" s="11">
        <f>J40-'Proto 2014'!J189</f>
        <v>-17.412088892312937</v>
      </c>
      <c r="K50" s="11">
        <f>K40-'Proto 2014'!K189</f>
        <v>-35.955435054752712</v>
      </c>
      <c r="L50" s="11">
        <f>L40-'Proto 2014'!L189</f>
        <v>-6.8469058757349188</v>
      </c>
      <c r="M50" s="11" t="str">
        <f>IF(G50="","",M40-((1/Comparisons!G40)*1000000))</f>
        <v/>
      </c>
      <c r="N50" s="11" t="str">
        <f>IF(H50="","",N40-((1/Comparisons!H40)*1000000))</f>
        <v/>
      </c>
      <c r="O50" s="11" t="str">
        <f>IF(I50="","",O40-((1/Comparisons!I40)*1000000))</f>
        <v/>
      </c>
    </row>
    <row r="52" spans="1:15" ht="18.75" x14ac:dyDescent="0.3">
      <c r="A52" s="75" t="s">
        <v>51</v>
      </c>
      <c r="B52" s="76"/>
      <c r="C52" s="76"/>
      <c r="D52" s="76"/>
      <c r="E52" s="76"/>
      <c r="F52" s="76"/>
      <c r="G52" s="76"/>
      <c r="H52" s="76"/>
      <c r="I52" s="76"/>
      <c r="J52" s="1"/>
      <c r="K52" s="1"/>
      <c r="L52" s="1"/>
      <c r="M52" s="1"/>
      <c r="N52" s="1"/>
      <c r="O52" s="2"/>
    </row>
    <row r="53" spans="1:15" x14ac:dyDescent="0.25">
      <c r="A53" s="72" t="s">
        <v>1</v>
      </c>
      <c r="B53" s="72"/>
      <c r="C53" s="72"/>
      <c r="D53" s="73" t="s">
        <v>19</v>
      </c>
      <c r="E53" s="73"/>
      <c r="F53" s="73"/>
      <c r="G53" s="73"/>
      <c r="H53" s="73"/>
      <c r="I53" s="73"/>
      <c r="J53" s="73" t="s">
        <v>22</v>
      </c>
      <c r="K53" s="73"/>
      <c r="L53" s="73"/>
      <c r="M53" s="73"/>
      <c r="N53" s="73"/>
      <c r="O53" s="73"/>
    </row>
    <row r="54" spans="1:15" x14ac:dyDescent="0.25">
      <c r="A54" s="6" t="s">
        <v>4</v>
      </c>
      <c r="B54" s="6" t="s">
        <v>5</v>
      </c>
      <c r="C54" s="6" t="s">
        <v>6</v>
      </c>
      <c r="D54" s="7">
        <v>1</v>
      </c>
      <c r="E54" s="7">
        <v>4</v>
      </c>
      <c r="F54" s="7">
        <v>16</v>
      </c>
      <c r="G54" s="7">
        <v>32</v>
      </c>
      <c r="H54" s="7">
        <v>64</v>
      </c>
      <c r="I54" s="7">
        <v>80</v>
      </c>
      <c r="J54" s="7">
        <v>1</v>
      </c>
      <c r="K54" s="7">
        <v>4</v>
      </c>
      <c r="L54" s="7">
        <v>16</v>
      </c>
      <c r="M54" s="7">
        <v>32</v>
      </c>
      <c r="N54" s="7">
        <v>64</v>
      </c>
      <c r="O54" s="7">
        <v>80</v>
      </c>
    </row>
    <row r="55" spans="1:15" x14ac:dyDescent="0.25">
      <c r="A55" s="8" t="s">
        <v>7</v>
      </c>
      <c r="B55" s="9" t="s">
        <v>8</v>
      </c>
      <c r="C55" s="9" t="s">
        <v>9</v>
      </c>
      <c r="D55" s="12">
        <f>IF(D35="","",(D35-'Proto 2014'!D163)/'Proto 2014'!D163)</f>
        <v>-7.1408361808170284E-2</v>
      </c>
      <c r="E55" s="12">
        <f>IF(E35="","",(E35-'Proto 2014'!E163)/'Proto 2014'!E163)</f>
        <v>8.2672507111748866E-2</v>
      </c>
      <c r="F55" s="12">
        <f>IF(F35="","",(F35-'Proto 2014'!F163)/'Proto 2014'!F163)</f>
        <v>-9.1210215544140945E-3</v>
      </c>
      <c r="G55" s="12" t="str">
        <f t="shared" ref="G55:I55" si="20">IF(G45="","",(G45-#REF!)/#REF!)</f>
        <v/>
      </c>
      <c r="H55" s="12" t="str">
        <f t="shared" si="20"/>
        <v/>
      </c>
      <c r="I55" s="12" t="str">
        <f t="shared" si="20"/>
        <v/>
      </c>
      <c r="J55" s="11">
        <f>J35-'Proto 2014'!J163</f>
        <v>1.6736596308107252</v>
      </c>
      <c r="K55" s="11">
        <f>K35-'Proto 2014'!K163</f>
        <v>-1.9223035113295239</v>
      </c>
      <c r="L55" s="11">
        <f>L35-'Proto 2014'!L163</f>
        <v>0.44188854970273184</v>
      </c>
      <c r="M55" s="11" t="str">
        <f>IF(G55="","",M45-((1/Comparisons!G45)*1000000))</f>
        <v/>
      </c>
      <c r="N55" s="11" t="str">
        <f>IF(H55="","",N45-((1/Comparisons!H45)*1000000))</f>
        <v/>
      </c>
      <c r="O55" s="11" t="str">
        <f>IF(I55="","",O45-((1/Comparisons!I45)*1000000))</f>
        <v/>
      </c>
    </row>
    <row r="56" spans="1:15" x14ac:dyDescent="0.25">
      <c r="A56" s="8" t="s">
        <v>10</v>
      </c>
      <c r="B56" s="9" t="s">
        <v>8</v>
      </c>
      <c r="C56" s="9" t="s">
        <v>11</v>
      </c>
      <c r="D56" s="12">
        <f>IF(D36="","",(D36-'Proto 2014'!D164)/'Proto 2014'!D164)</f>
        <v>0.21620207757267768</v>
      </c>
      <c r="E56" s="12">
        <f>IF(E36="","",(E36-'Proto 2014'!E164)/'Proto 2014'!E164)</f>
        <v>0.18200092778722746</v>
      </c>
      <c r="F56" s="12">
        <f>IF(F36="","",(F36-'Proto 2014'!F164)/'Proto 2014'!F164)</f>
        <v>0.1702922855773838</v>
      </c>
      <c r="G56" s="12" t="str">
        <f t="shared" ref="G56:I56" si="21">IF(G46="","",(G46-#REF!)/#REF!)</f>
        <v/>
      </c>
      <c r="H56" s="12" t="str">
        <f t="shared" si="21"/>
        <v/>
      </c>
      <c r="I56" s="12" t="str">
        <f t="shared" si="21"/>
        <v/>
      </c>
      <c r="J56" s="11">
        <f>J36-'Proto 2014'!J164</f>
        <v>-13.285122131785521</v>
      </c>
      <c r="K56" s="11">
        <f>K36-'Proto 2014'!K164</f>
        <v>-11.904822592047836</v>
      </c>
      <c r="L56" s="11">
        <f>L36-'Proto 2014'!L164</f>
        <v>-13.94466799683785</v>
      </c>
      <c r="M56" s="11" t="str">
        <f>IF(G56="","",M46-((1/Comparisons!G46)*1000000))</f>
        <v/>
      </c>
      <c r="N56" s="11" t="str">
        <f>IF(H56="","",N46-((1/Comparisons!H46)*1000000))</f>
        <v/>
      </c>
      <c r="O56" s="11" t="str">
        <f>IF(I56="","",O46-((1/Comparisons!I46)*1000000))</f>
        <v/>
      </c>
    </row>
    <row r="57" spans="1:15" x14ac:dyDescent="0.25">
      <c r="A57" s="9" t="s">
        <v>12</v>
      </c>
      <c r="B57" s="9" t="s">
        <v>13</v>
      </c>
      <c r="C57" s="9" t="s">
        <v>9</v>
      </c>
      <c r="D57" s="12">
        <f>IF(D37="","",(D37-'Proto 2014'!D165)/'Proto 2014'!D165)</f>
        <v>0.13893896177980605</v>
      </c>
      <c r="E57" s="12">
        <f>IF(E37="","",(E37-'Proto 2014'!E165)/'Proto 2014'!E165)</f>
        <v>0.1228102024144504</v>
      </c>
      <c r="F57" s="12">
        <f>IF(F37="","",(F37-'Proto 2014'!F165)/'Proto 2014'!F165)</f>
        <v>5.458273301562673E-2</v>
      </c>
      <c r="G57" s="12" t="str">
        <f t="shared" ref="G57:I57" si="22">IF(G47="","",(G47-#REF!)/#REF!)</f>
        <v/>
      </c>
      <c r="H57" s="12" t="str">
        <f t="shared" si="22"/>
        <v/>
      </c>
      <c r="I57" s="12" t="str">
        <f t="shared" si="22"/>
        <v/>
      </c>
      <c r="J57" s="11">
        <f>J37-'Proto 2014'!J165</f>
        <v>-2.7835669707858735</v>
      </c>
      <c r="K57" s="11">
        <f>K37-'Proto 2014'!K165</f>
        <v>-3.3093560338035708</v>
      </c>
      <c r="L57" s="11">
        <f>L37-'Proto 2014'!L165</f>
        <v>-2.8680958969905319</v>
      </c>
      <c r="M57" s="11" t="str">
        <f>IF(G57="","",M47-((1/Comparisons!G47)*1000000))</f>
        <v/>
      </c>
      <c r="N57" s="11" t="str">
        <f>IF(H57="","",N47-((1/Comparisons!H47)*1000000))</f>
        <v/>
      </c>
      <c r="O57" s="11" t="str">
        <f>IF(I57="","",O47-((1/Comparisons!I47)*1000000))</f>
        <v/>
      </c>
    </row>
    <row r="58" spans="1:15" x14ac:dyDescent="0.25">
      <c r="A58" s="9" t="s">
        <v>14</v>
      </c>
      <c r="B58" s="9" t="s">
        <v>13</v>
      </c>
      <c r="C58" s="9" t="s">
        <v>11</v>
      </c>
      <c r="D58" s="12">
        <f>IF(D38="","",(D38-'Proto 2014'!D166)/'Proto 2014'!D166)</f>
        <v>0.13278810408921934</v>
      </c>
      <c r="E58" s="12">
        <f>IF(E38="","",(E38-'Proto 2014'!E166)/'Proto 2014'!E166)</f>
        <v>0.17571650200048991</v>
      </c>
      <c r="F58" s="12">
        <f>IF(F38="","",(F38-'Proto 2014'!F166)/'Proto 2014'!F166)</f>
        <v>0.12444260085035777</v>
      </c>
      <c r="G58" s="12" t="str">
        <f t="shared" ref="G58:I58" si="23">IF(G48="","",(G48-#REF!)/#REF!)</f>
        <v/>
      </c>
      <c r="H58" s="12" t="str">
        <f t="shared" si="23"/>
        <v/>
      </c>
      <c r="I58" s="12" t="str">
        <f t="shared" si="23"/>
        <v/>
      </c>
      <c r="J58" s="11">
        <f>J38-'Proto 2014'!J166</f>
        <v>-8.7154177007888762</v>
      </c>
      <c r="K58" s="11">
        <f>K38-'Proto 2014'!K166</f>
        <v>-12.203382318250561</v>
      </c>
      <c r="L58" s="11">
        <f>L38-'Proto 2014'!L166</f>
        <v>-11.476768500448017</v>
      </c>
      <c r="M58" s="11" t="str">
        <f>IF(G58="","",M48-((1/Comparisons!G48)*1000000))</f>
        <v/>
      </c>
      <c r="N58" s="11" t="str">
        <f>IF(H58="","",N48-((1/Comparisons!H48)*1000000))</f>
        <v/>
      </c>
      <c r="O58" s="11" t="str">
        <f>IF(I58="","",O48-((1/Comparisons!I48)*1000000))</f>
        <v/>
      </c>
    </row>
    <row r="59" spans="1:15" x14ac:dyDescent="0.25">
      <c r="A59" s="9" t="s">
        <v>15</v>
      </c>
      <c r="B59" s="9" t="s">
        <v>16</v>
      </c>
      <c r="C59" s="9" t="s">
        <v>11</v>
      </c>
      <c r="D59" s="12">
        <f>IF(D39="","",(D39-'Proto 2014'!D167)/'Proto 2014'!D167)</f>
        <v>0.19996232457379673</v>
      </c>
      <c r="E59" s="12">
        <f>IF(E39="","",(E39-'Proto 2014'!E167)/'Proto 2014'!E167)</f>
        <v>0.18519160742153631</v>
      </c>
      <c r="F59" s="12">
        <f>IF(F39="","",(F39-'Proto 2014'!F167)/'Proto 2014'!F167)</f>
        <v>6.3873626373626369E-2</v>
      </c>
      <c r="G59" s="12" t="str">
        <f t="shared" ref="G59:I59" si="24">IF(G49="","",(G49-#REF!)/#REF!)</f>
        <v/>
      </c>
      <c r="H59" s="12" t="str">
        <f t="shared" si="24"/>
        <v/>
      </c>
      <c r="I59" s="12" t="str">
        <f t="shared" si="24"/>
        <v/>
      </c>
      <c r="J59" s="11">
        <f>J39-'Proto 2014'!J167</f>
        <v>-15.69562987235453</v>
      </c>
      <c r="K59" s="11">
        <f>K39-'Proto 2014'!K167</f>
        <v>-13.547301201282821</v>
      </c>
      <c r="L59" s="11">
        <f>L39-'Proto 2014'!L167</f>
        <v>-5.8907706698908555</v>
      </c>
      <c r="M59" s="11" t="str">
        <f>IF(G59="","",M49-((1/Comparisons!G49)*1000000))</f>
        <v/>
      </c>
      <c r="N59" s="11" t="str">
        <f>IF(H59="","",N49-((1/Comparisons!H49)*1000000))</f>
        <v/>
      </c>
      <c r="O59" s="11" t="str">
        <f>IF(I59="","",O49-((1/Comparisons!I49)*1000000))</f>
        <v/>
      </c>
    </row>
    <row r="60" spans="1:15" x14ac:dyDescent="0.25">
      <c r="A60" s="9" t="s">
        <v>17</v>
      </c>
      <c r="B60" s="8" t="s">
        <v>18</v>
      </c>
      <c r="C60" s="9" t="s">
        <v>11</v>
      </c>
      <c r="D60" s="12">
        <f>IF(D40="","",(D40-'Proto 2014'!D168)/'Proto 2014'!D168)</f>
        <v>-4.1868987631699495E-2</v>
      </c>
      <c r="E60" s="12">
        <f>IF(E40="","",(E40-'Proto 2014'!E168)/'Proto 2014'!E168)</f>
        <v>0.30326469110999499</v>
      </c>
      <c r="F60" s="12">
        <f>IF(F40="","",(F40-'Proto 2014'!F168)/'Proto 2014'!F168)</f>
        <v>6.3372820957334097E-2</v>
      </c>
      <c r="G60" s="12" t="str">
        <f t="shared" ref="G60:I60" si="25">IF(G50="","",(G50-#REF!)/#REF!)</f>
        <v/>
      </c>
      <c r="H60" s="12" t="str">
        <f t="shared" si="25"/>
        <v/>
      </c>
      <c r="I60" s="12" t="str">
        <f t="shared" si="25"/>
        <v/>
      </c>
      <c r="J60" s="11">
        <f>J40-'Proto 2014'!J168</f>
        <v>4.0035367787052536</v>
      </c>
      <c r="K60" s="11">
        <f>K40-'Proto 2014'!K168</f>
        <v>-23.374802767842993</v>
      </c>
      <c r="L60" s="11">
        <f>L40-'Proto 2014'!L168</f>
        <v>-5.7397718465115588</v>
      </c>
      <c r="M60" s="11" t="str">
        <f>IF(G60="","",M50-((1/Comparisons!G50)*1000000))</f>
        <v/>
      </c>
      <c r="N60" s="11" t="str">
        <f>IF(H60="","",N50-((1/Comparisons!H50)*1000000))</f>
        <v/>
      </c>
      <c r="O60" s="11" t="str">
        <f>IF(I60="","",O50-((1/Comparisons!I50)*1000000))</f>
        <v/>
      </c>
    </row>
    <row r="61" spans="1:15" x14ac:dyDescent="0.25">
      <c r="A61" s="13" t="s">
        <v>57</v>
      </c>
    </row>
    <row r="63" spans="1:15" ht="15.75" x14ac:dyDescent="0.25">
      <c r="A63" s="79" t="s">
        <v>60</v>
      </c>
      <c r="B63" s="80"/>
      <c r="C63" s="80"/>
      <c r="D63" s="80"/>
      <c r="E63" s="80"/>
      <c r="F63" s="80"/>
      <c r="G63" s="80"/>
      <c r="H63" s="80"/>
      <c r="I63" s="80"/>
    </row>
    <row r="64" spans="1:15" x14ac:dyDescent="0.25">
      <c r="A64" s="72" t="s">
        <v>1</v>
      </c>
      <c r="B64" s="72"/>
      <c r="C64" s="72"/>
      <c r="D64" s="73" t="s">
        <v>2</v>
      </c>
      <c r="E64" s="73"/>
      <c r="F64" s="73"/>
      <c r="G64" s="73"/>
      <c r="H64" s="73"/>
      <c r="I64" s="73"/>
      <c r="J64" s="73" t="s">
        <v>3</v>
      </c>
      <c r="K64" s="73"/>
      <c r="L64" s="73"/>
      <c r="M64" s="73"/>
      <c r="N64" s="73"/>
      <c r="O64" s="73"/>
    </row>
    <row r="65" spans="1:15" x14ac:dyDescent="0.25">
      <c r="A65" s="6" t="s">
        <v>26</v>
      </c>
      <c r="B65" s="6" t="s">
        <v>5</v>
      </c>
      <c r="C65" s="6" t="s">
        <v>6</v>
      </c>
      <c r="D65" s="7">
        <v>1</v>
      </c>
      <c r="E65" s="7">
        <v>4</v>
      </c>
      <c r="F65" s="7">
        <v>16</v>
      </c>
      <c r="G65" s="7">
        <v>32</v>
      </c>
      <c r="H65" s="7">
        <v>64</v>
      </c>
      <c r="I65" s="7">
        <v>80</v>
      </c>
      <c r="J65" s="7">
        <v>1</v>
      </c>
      <c r="K65" s="7">
        <v>4</v>
      </c>
      <c r="L65" s="7">
        <v>16</v>
      </c>
      <c r="M65" s="7">
        <v>32</v>
      </c>
      <c r="N65" s="7">
        <v>64</v>
      </c>
      <c r="O65" s="7">
        <v>80</v>
      </c>
    </row>
    <row r="66" spans="1:15" x14ac:dyDescent="0.25">
      <c r="A66" s="8" t="s">
        <v>7</v>
      </c>
      <c r="B66" s="9" t="s">
        <v>8</v>
      </c>
      <c r="C66" s="9" t="s">
        <v>9</v>
      </c>
      <c r="D66" s="11">
        <v>51601</v>
      </c>
      <c r="E66" s="11">
        <v>43881</v>
      </c>
      <c r="F66" s="11">
        <v>20641</v>
      </c>
      <c r="G66" s="10"/>
      <c r="H66" s="10"/>
      <c r="I66" s="10"/>
      <c r="J66" s="11">
        <f t="shared" ref="J66:J71" si="26">IF(D66="","",(1/D66)*1000000)</f>
        <v>19.379469390128097</v>
      </c>
      <c r="K66" s="11">
        <f t="shared" ref="K66:K71" si="27">IF(E66="","",(1/E66)*1000000)</f>
        <v>22.788906360383766</v>
      </c>
      <c r="L66" s="11">
        <f t="shared" ref="L66:L71" si="28">IF(F66="","",(1/F66)*1000000)</f>
        <v>48.447265151882178</v>
      </c>
      <c r="M66" s="11" t="str">
        <f t="shared" ref="M66:M71" si="29">IF(G66="","",(1/G66)*1000000)</f>
        <v/>
      </c>
      <c r="N66" s="11" t="str">
        <f t="shared" ref="N66:N71" si="30">IF(H66="","",(1/H66)*1000000)</f>
        <v/>
      </c>
      <c r="O66" s="11" t="str">
        <f t="shared" ref="O66:O71" si="31">IF(I66="","",(1/I66)*1000000)</f>
        <v/>
      </c>
    </row>
    <row r="67" spans="1:15" x14ac:dyDescent="0.25">
      <c r="A67" s="8" t="s">
        <v>10</v>
      </c>
      <c r="B67" s="9" t="s">
        <v>8</v>
      </c>
      <c r="C67" s="9" t="s">
        <v>11</v>
      </c>
      <c r="D67" s="11">
        <v>14270</v>
      </c>
      <c r="E67" s="11">
        <v>13841</v>
      </c>
      <c r="F67" s="11">
        <v>10898</v>
      </c>
      <c r="G67" s="10"/>
      <c r="H67" s="10"/>
      <c r="I67" s="10"/>
      <c r="J67" s="11">
        <f t="shared" si="26"/>
        <v>70.07708479327259</v>
      </c>
      <c r="K67" s="11">
        <f t="shared" si="27"/>
        <v>72.249114948341884</v>
      </c>
      <c r="L67" s="11">
        <f t="shared" si="28"/>
        <v>91.759955955221145</v>
      </c>
      <c r="M67" s="11" t="str">
        <f t="shared" si="29"/>
        <v/>
      </c>
      <c r="N67" s="11" t="str">
        <f t="shared" si="30"/>
        <v/>
      </c>
      <c r="O67" s="11" t="str">
        <f t="shared" si="31"/>
        <v/>
      </c>
    </row>
    <row r="68" spans="1:15" x14ac:dyDescent="0.25">
      <c r="A68" s="9" t="s">
        <v>12</v>
      </c>
      <c r="B68" s="9" t="s">
        <v>13</v>
      </c>
      <c r="C68" s="9" t="s">
        <v>9</v>
      </c>
      <c r="D68" s="11">
        <v>49258</v>
      </c>
      <c r="E68" s="11">
        <v>37110</v>
      </c>
      <c r="F68" s="11">
        <v>18981</v>
      </c>
      <c r="G68" s="10"/>
      <c r="H68" s="10"/>
      <c r="I68" s="10"/>
      <c r="J68" s="11">
        <f t="shared" si="26"/>
        <v>20.301270859555807</v>
      </c>
      <c r="K68" s="11">
        <f t="shared" si="27"/>
        <v>26.946914578280786</v>
      </c>
      <c r="L68" s="11">
        <f t="shared" si="28"/>
        <v>52.684263210579005</v>
      </c>
      <c r="M68" s="11" t="str">
        <f t="shared" si="29"/>
        <v/>
      </c>
      <c r="N68" s="11" t="str">
        <f t="shared" si="30"/>
        <v/>
      </c>
      <c r="O68" s="11" t="str">
        <f t="shared" si="31"/>
        <v/>
      </c>
    </row>
    <row r="69" spans="1:15" x14ac:dyDescent="0.25">
      <c r="A69" s="9" t="s">
        <v>14</v>
      </c>
      <c r="B69" s="9" t="s">
        <v>13</v>
      </c>
      <c r="C69" s="9" t="s">
        <v>11</v>
      </c>
      <c r="D69" s="11">
        <v>14221</v>
      </c>
      <c r="E69" s="11">
        <v>12613</v>
      </c>
      <c r="F69" s="11">
        <v>9956</v>
      </c>
      <c r="G69" s="10"/>
      <c r="H69" s="10"/>
      <c r="I69" s="10"/>
      <c r="J69" s="11">
        <f t="shared" si="26"/>
        <v>70.318542999789045</v>
      </c>
      <c r="K69" s="11">
        <f t="shared" si="27"/>
        <v>79.28327915642592</v>
      </c>
      <c r="L69" s="11">
        <f t="shared" si="28"/>
        <v>100.44194455604661</v>
      </c>
      <c r="M69" s="11" t="str">
        <f t="shared" si="29"/>
        <v/>
      </c>
      <c r="N69" s="11" t="str">
        <f t="shared" si="30"/>
        <v/>
      </c>
      <c r="O69" s="11" t="str">
        <f t="shared" si="31"/>
        <v/>
      </c>
    </row>
    <row r="70" spans="1:15" x14ac:dyDescent="0.25">
      <c r="A70" s="9" t="s">
        <v>15</v>
      </c>
      <c r="B70" s="9" t="s">
        <v>16</v>
      </c>
      <c r="C70" s="9" t="s">
        <v>11</v>
      </c>
      <c r="D70" s="11">
        <v>13841</v>
      </c>
      <c r="E70" s="11">
        <v>14323</v>
      </c>
      <c r="F70" s="11">
        <v>11058</v>
      </c>
      <c r="G70" s="10"/>
      <c r="H70" s="10"/>
      <c r="I70" s="10"/>
      <c r="J70" s="11">
        <f t="shared" si="26"/>
        <v>72.249114948341884</v>
      </c>
      <c r="K70" s="11">
        <f t="shared" si="27"/>
        <v>69.817775605669212</v>
      </c>
      <c r="L70" s="11">
        <f t="shared" si="28"/>
        <v>90.432266232591786</v>
      </c>
      <c r="M70" s="11" t="str">
        <f t="shared" si="29"/>
        <v/>
      </c>
      <c r="N70" s="11" t="str">
        <f t="shared" si="30"/>
        <v/>
      </c>
      <c r="O70" s="11" t="str">
        <f t="shared" si="31"/>
        <v/>
      </c>
    </row>
    <row r="71" spans="1:15" x14ac:dyDescent="0.25">
      <c r="A71" s="9" t="s">
        <v>17</v>
      </c>
      <c r="B71" s="8" t="s">
        <v>18</v>
      </c>
      <c r="C71" s="9" t="s">
        <v>11</v>
      </c>
      <c r="D71" s="11">
        <v>10879</v>
      </c>
      <c r="E71" s="11">
        <v>13594</v>
      </c>
      <c r="F71" s="11">
        <v>11151</v>
      </c>
      <c r="G71" s="10"/>
      <c r="H71" s="10"/>
      <c r="I71" s="10"/>
      <c r="J71" s="11">
        <f t="shared" si="26"/>
        <v>91.920213254894762</v>
      </c>
      <c r="K71" s="11">
        <f t="shared" si="27"/>
        <v>73.561865528909806</v>
      </c>
      <c r="L71" s="11">
        <f t="shared" si="28"/>
        <v>89.678055779750693</v>
      </c>
      <c r="M71" s="11" t="str">
        <f t="shared" si="29"/>
        <v/>
      </c>
      <c r="N71" s="11" t="str">
        <f t="shared" si="30"/>
        <v/>
      </c>
      <c r="O71" s="11" t="str">
        <f t="shared" si="31"/>
        <v/>
      </c>
    </row>
    <row r="72" spans="1:15" x14ac:dyDescent="0.25">
      <c r="A72" s="102" t="s">
        <v>62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</row>
    <row r="73" spans="1:15" ht="18.75" x14ac:dyDescent="0.3">
      <c r="A73" s="75" t="s">
        <v>61</v>
      </c>
      <c r="B73" s="76"/>
      <c r="C73" s="76"/>
      <c r="D73" s="76"/>
      <c r="E73" s="76"/>
      <c r="F73" s="76"/>
      <c r="G73" s="76"/>
      <c r="H73" s="76"/>
      <c r="I73" s="76"/>
      <c r="J73" s="1"/>
      <c r="K73" s="1"/>
      <c r="L73" s="1"/>
      <c r="M73" s="1"/>
      <c r="N73" s="1"/>
      <c r="O73" s="2"/>
    </row>
    <row r="74" spans="1:15" x14ac:dyDescent="0.25">
      <c r="A74" s="72" t="s">
        <v>1</v>
      </c>
      <c r="B74" s="72"/>
      <c r="C74" s="72"/>
      <c r="D74" s="73" t="s">
        <v>19</v>
      </c>
      <c r="E74" s="73"/>
      <c r="F74" s="73"/>
      <c r="G74" s="73"/>
      <c r="H74" s="73"/>
      <c r="I74" s="73"/>
      <c r="J74" s="73" t="s">
        <v>22</v>
      </c>
      <c r="K74" s="73"/>
      <c r="L74" s="73"/>
      <c r="M74" s="73"/>
      <c r="N74" s="73"/>
      <c r="O74" s="73"/>
    </row>
    <row r="75" spans="1:15" x14ac:dyDescent="0.25">
      <c r="A75" s="6" t="s">
        <v>4</v>
      </c>
      <c r="B75" s="6" t="s">
        <v>5</v>
      </c>
      <c r="C75" s="6" t="s">
        <v>6</v>
      </c>
      <c r="D75" s="7">
        <v>1</v>
      </c>
      <c r="E75" s="7">
        <v>4</v>
      </c>
      <c r="F75" s="7">
        <v>16</v>
      </c>
      <c r="G75" s="7">
        <v>32</v>
      </c>
      <c r="H75" s="7">
        <v>64</v>
      </c>
      <c r="I75" s="7">
        <v>80</v>
      </c>
      <c r="J75" s="7">
        <v>1</v>
      </c>
      <c r="K75" s="7">
        <v>4</v>
      </c>
      <c r="L75" s="7">
        <v>16</v>
      </c>
      <c r="M75" s="7">
        <v>32</v>
      </c>
      <c r="N75" s="7">
        <v>64</v>
      </c>
      <c r="O75" s="7">
        <v>80</v>
      </c>
    </row>
    <row r="76" spans="1:15" x14ac:dyDescent="0.25">
      <c r="A76" s="8" t="s">
        <v>7</v>
      </c>
      <c r="B76" s="9" t="s">
        <v>8</v>
      </c>
      <c r="C76" s="9" t="s">
        <v>9</v>
      </c>
      <c r="D76" s="12">
        <f>IF(D66="","",(D66-'2015'!D35)/'2015'!D35)</f>
        <v>0.20941733464585385</v>
      </c>
      <c r="E76" s="12">
        <f>IF(E66="","",(E66-'2015'!E35)/'2015'!E35)</f>
        <v>2.0322273118329574E-2</v>
      </c>
      <c r="F76" s="12">
        <f>IF(F66="","",(F66-'2015'!F35)/'2015'!F35)</f>
        <v>0</v>
      </c>
      <c r="G76" s="12" t="str">
        <f t="shared" ref="G76:I76" si="32">IF(G66="","",(G66-#REF!)/#REF!)</f>
        <v/>
      </c>
      <c r="H76" s="12" t="str">
        <f t="shared" si="32"/>
        <v/>
      </c>
      <c r="I76" s="12" t="str">
        <f t="shared" si="32"/>
        <v/>
      </c>
      <c r="J76" s="11">
        <f>J66-'2015'!J35</f>
        <v>-4.0583968265315384</v>
      </c>
      <c r="K76" s="11">
        <f>K66-'2015'!K35</f>
        <v>-0.46312237912375664</v>
      </c>
      <c r="L76" s="11">
        <f>L66-'2015'!L35</f>
        <v>0</v>
      </c>
      <c r="M76" s="11" t="str">
        <f>IF(G76="","",M66-((1/Comparisons!G66)*1000000))</f>
        <v/>
      </c>
      <c r="N76" s="11" t="str">
        <f>IF(H76="","",N66-((1/Comparisons!H66)*1000000))</f>
        <v/>
      </c>
      <c r="O76" s="11" t="str">
        <f>IF(I76="","",O66-((1/Comparisons!I66)*1000000))</f>
        <v/>
      </c>
    </row>
    <row r="77" spans="1:15" x14ac:dyDescent="0.25">
      <c r="A77" s="8" t="s">
        <v>10</v>
      </c>
      <c r="B77" s="9" t="s">
        <v>8</v>
      </c>
      <c r="C77" s="9" t="s">
        <v>11</v>
      </c>
      <c r="D77" s="12">
        <f>IF(D67="","",(D67-'2015'!D36)/'2015'!D36)</f>
        <v>-0.12314120683298513</v>
      </c>
      <c r="E77" s="12">
        <f>IF(E67="","",(E67-'2015'!E36)/'2015'!E36)</f>
        <v>-9.4649398220826797E-2</v>
      </c>
      <c r="F77" s="12">
        <f>IF(F67="","",(F67-'2015'!F36)/'2015'!F36)</f>
        <v>-0.10759908286930887</v>
      </c>
      <c r="G77" s="12" t="str">
        <f t="shared" ref="G77:I77" si="33">IF(G67="","",(G67-#REF!)/#REF!)</f>
        <v/>
      </c>
      <c r="H77" s="12" t="str">
        <f t="shared" si="33"/>
        <v/>
      </c>
      <c r="I77" s="12" t="str">
        <f t="shared" si="33"/>
        <v/>
      </c>
      <c r="J77" s="11">
        <f>J67-'2015'!J36</f>
        <v>8.6293767927810094</v>
      </c>
      <c r="K77" s="11">
        <f>K67-'2015'!K36</f>
        <v>6.8383352518478944</v>
      </c>
      <c r="L77" s="11">
        <f>L67-'2015'!L36</f>
        <v>9.8732871049099771</v>
      </c>
      <c r="M77" s="11" t="str">
        <f>IF(G77="","",M67-((1/Comparisons!G67)*1000000))</f>
        <v/>
      </c>
      <c r="N77" s="11" t="str">
        <f>IF(H77="","",N67-((1/Comparisons!H67)*1000000))</f>
        <v/>
      </c>
      <c r="O77" s="11" t="str">
        <f>IF(I77="","",O67-((1/Comparisons!I67)*1000000))</f>
        <v/>
      </c>
    </row>
    <row r="78" spans="1:15" x14ac:dyDescent="0.25">
      <c r="A78" s="9" t="s">
        <v>12</v>
      </c>
      <c r="B78" s="9" t="s">
        <v>13</v>
      </c>
      <c r="C78" s="9" t="s">
        <v>9</v>
      </c>
      <c r="D78" s="12">
        <f>IF(D68="","",(D68-'2015'!D37)/'2015'!D37)</f>
        <v>-1.3142605281083464E-2</v>
      </c>
      <c r="E78" s="12">
        <f>IF(E68="","",(E68-'2015'!E37)/'2015'!E37)</f>
        <v>0</v>
      </c>
      <c r="F78" s="12">
        <f>IF(F68="","",(F68-'2015'!F37)/'2015'!F37)</f>
        <v>-2.6272923125426934E-3</v>
      </c>
      <c r="G78" s="12" t="str">
        <f t="shared" ref="G78:I78" si="34">IF(G68="","",(G68-#REF!)/#REF!)</f>
        <v/>
      </c>
      <c r="H78" s="12" t="str">
        <f t="shared" si="34"/>
        <v/>
      </c>
      <c r="I78" s="12" t="str">
        <f t="shared" si="34"/>
        <v/>
      </c>
      <c r="J78" s="11">
        <f>J68-'2015'!J37</f>
        <v>0.26681158961150331</v>
      </c>
      <c r="K78" s="11">
        <f>K68-'2015'!K37</f>
        <v>0</v>
      </c>
      <c r="L78" s="11">
        <f>L68-'2015'!L37</f>
        <v>0.13841695972513435</v>
      </c>
      <c r="M78" s="11" t="str">
        <f>IF(G78="","",M68-((1/Comparisons!G68)*1000000))</f>
        <v/>
      </c>
      <c r="N78" s="11" t="str">
        <f>IF(H78="","",N68-((1/Comparisons!H68)*1000000))</f>
        <v/>
      </c>
      <c r="O78" s="11" t="str">
        <f>IF(I78="","",O68-((1/Comparisons!I68)*1000000))</f>
        <v/>
      </c>
    </row>
    <row r="79" spans="1:15" x14ac:dyDescent="0.25">
      <c r="A79" s="9" t="s">
        <v>14</v>
      </c>
      <c r="B79" s="9" t="s">
        <v>13</v>
      </c>
      <c r="C79" s="9" t="s">
        <v>11</v>
      </c>
      <c r="D79" s="12">
        <f>IF(D69="","",(D69-'2015'!D38)/'2015'!D38)</f>
        <v>-6.6618535048569183E-2</v>
      </c>
      <c r="E79" s="12">
        <f>IF(E69="","",(E69-'2015'!E38)/'2015'!E38)</f>
        <v>-0.12403639141607056</v>
      </c>
      <c r="F79" s="12">
        <f>IF(F69="","",(F69-'2015'!F38)/'2015'!F38)</f>
        <v>-8.1803928801992068E-2</v>
      </c>
      <c r="G79" s="12" t="str">
        <f t="shared" ref="G79:I79" si="35">IF(G69="","",(G69-#REF!)/#REF!)</f>
        <v/>
      </c>
      <c r="H79" s="12" t="str">
        <f t="shared" si="35"/>
        <v/>
      </c>
      <c r="I79" s="12" t="str">
        <f t="shared" si="35"/>
        <v/>
      </c>
      <c r="J79" s="11">
        <f>J69-'2015'!J38</f>
        <v>4.6845183213957569</v>
      </c>
      <c r="K79" s="11">
        <f>K69-'2015'!K38</f>
        <v>9.8340118461960344</v>
      </c>
      <c r="L79" s="11">
        <f>L69-'2015'!L38</f>
        <v>8.2165456811964788</v>
      </c>
      <c r="M79" s="11" t="str">
        <f>IF(G79="","",M69-((1/Comparisons!G69)*1000000))</f>
        <v/>
      </c>
      <c r="N79" s="11" t="str">
        <f>IF(H79="","",N69-((1/Comparisons!H69)*1000000))</f>
        <v/>
      </c>
      <c r="O79" s="11" t="str">
        <f>IF(I79="","",O69-((1/Comparisons!I69)*1000000))</f>
        <v/>
      </c>
    </row>
    <row r="80" spans="1:15" x14ac:dyDescent="0.25">
      <c r="A80" s="9" t="s">
        <v>15</v>
      </c>
      <c r="B80" s="9" t="s">
        <v>16</v>
      </c>
      <c r="C80" s="9" t="s">
        <v>11</v>
      </c>
      <c r="D80" s="12">
        <f>IF(D70="","",(D70-'2015'!D39)/'2015'!D39)</f>
        <v>8.6420722135007844E-2</v>
      </c>
      <c r="E80" s="12">
        <f>IF(E70="","",(E70-'2015'!E39)/'2015'!E39)</f>
        <v>4.7768836869056329E-2</v>
      </c>
      <c r="F80" s="12">
        <f>IF(F70="","",(F70-'2015'!F39)/'2015'!F39)</f>
        <v>1.9828460758092779E-2</v>
      </c>
      <c r="G80" s="12" t="str">
        <f t="shared" ref="G80:I80" si="36">IF(G70="","",(G70-#REF!)/#REF!)</f>
        <v/>
      </c>
      <c r="H80" s="12" t="str">
        <f t="shared" si="36"/>
        <v/>
      </c>
      <c r="I80" s="12" t="str">
        <f t="shared" si="36"/>
        <v/>
      </c>
      <c r="J80" s="11">
        <f>J70-'2015'!J39</f>
        <v>-6.2438206874508921</v>
      </c>
      <c r="K80" s="11">
        <f>K70-'2015'!K39</f>
        <v>-3.3351139334675963</v>
      </c>
      <c r="L80" s="11">
        <f>L70-'2015'!L39</f>
        <v>-1.7931326422583425</v>
      </c>
      <c r="M80" s="11" t="str">
        <f>IF(G80="","",M70-((1/Comparisons!G70)*1000000))</f>
        <v/>
      </c>
      <c r="N80" s="11" t="str">
        <f>IF(H80="","",N70-((1/Comparisons!H70)*1000000))</f>
        <v/>
      </c>
      <c r="O80" s="11" t="str">
        <f>IF(I80="","",O70-((1/Comparisons!I70)*1000000))</f>
        <v/>
      </c>
    </row>
    <row r="81" spans="1:15" x14ac:dyDescent="0.25">
      <c r="A81" s="9" t="s">
        <v>17</v>
      </c>
      <c r="B81" s="8" t="s">
        <v>18</v>
      </c>
      <c r="C81" s="9" t="s">
        <v>11</v>
      </c>
      <c r="D81" s="12">
        <f>IF(D71="","",(D71-'2015'!D40)/'2015'!D40)</f>
        <v>4.0256263147829416E-2</v>
      </c>
      <c r="E81" s="12">
        <f>IF(E71="","",(E71-'2015'!E40)/'2015'!E40)</f>
        <v>4.7787883459226146E-2</v>
      </c>
      <c r="F81" s="12">
        <f>IF(F71="","",(F71-'2015'!F40)/'2015'!F40)</f>
        <v>9.9628656824562994E-3</v>
      </c>
      <c r="G81" s="12" t="str">
        <f t="shared" ref="G81:I81" si="37">IF(G71="","",(G71-#REF!)/#REF!)</f>
        <v/>
      </c>
      <c r="H81" s="12" t="str">
        <f t="shared" si="37"/>
        <v/>
      </c>
      <c r="I81" s="12" t="str">
        <f t="shared" si="37"/>
        <v/>
      </c>
      <c r="J81" s="11">
        <f>J71-'2015'!J40</f>
        <v>-3.7003642933936334</v>
      </c>
      <c r="K81" s="11">
        <f>K71-'2015'!K40</f>
        <v>-3.5153658569388142</v>
      </c>
      <c r="L81" s="11">
        <f>L71-'2015'!L40</f>
        <v>-0.89345042439748568</v>
      </c>
      <c r="M81" s="11" t="str">
        <f>IF(G81="","",M71-((1/Comparisons!G71)*1000000))</f>
        <v/>
      </c>
      <c r="N81" s="11" t="str">
        <f>IF(H81="","",N71-((1/Comparisons!H71)*1000000))</f>
        <v/>
      </c>
      <c r="O81" s="11" t="str">
        <f>IF(I81="","",O71-((1/Comparisons!I71)*1000000))</f>
        <v/>
      </c>
    </row>
    <row r="83" spans="1:15" ht="15.75" x14ac:dyDescent="0.25">
      <c r="A83" s="100" t="s">
        <v>63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</row>
    <row r="84" spans="1:15" x14ac:dyDescent="0.25">
      <c r="A84" s="72" t="s">
        <v>1</v>
      </c>
      <c r="B84" s="72"/>
      <c r="C84" s="72"/>
      <c r="D84" s="73" t="s">
        <v>2</v>
      </c>
      <c r="E84" s="73"/>
      <c r="F84" s="73"/>
      <c r="G84" s="73"/>
      <c r="H84" s="73"/>
      <c r="I84" s="73"/>
      <c r="J84" s="73" t="s">
        <v>3</v>
      </c>
      <c r="K84" s="73"/>
      <c r="L84" s="73"/>
      <c r="M84" s="73"/>
      <c r="N84" s="73"/>
      <c r="O84" s="73"/>
    </row>
    <row r="85" spans="1:15" x14ac:dyDescent="0.25">
      <c r="A85" s="6" t="s">
        <v>26</v>
      </c>
      <c r="B85" s="6" t="s">
        <v>5</v>
      </c>
      <c r="C85" s="6" t="s">
        <v>6</v>
      </c>
      <c r="D85" s="7">
        <v>1</v>
      </c>
      <c r="E85" s="7">
        <v>4</v>
      </c>
      <c r="F85" s="7">
        <v>16</v>
      </c>
      <c r="G85" s="7">
        <v>32</v>
      </c>
      <c r="H85" s="7">
        <v>64</v>
      </c>
      <c r="I85" s="7">
        <v>80</v>
      </c>
      <c r="J85" s="7">
        <v>1</v>
      </c>
      <c r="K85" s="7">
        <v>4</v>
      </c>
      <c r="L85" s="7">
        <v>16</v>
      </c>
      <c r="M85" s="7">
        <v>32</v>
      </c>
      <c r="N85" s="7">
        <v>64</v>
      </c>
      <c r="O85" s="7">
        <v>80</v>
      </c>
    </row>
    <row r="86" spans="1:15" x14ac:dyDescent="0.25">
      <c r="A86" s="8" t="s">
        <v>7</v>
      </c>
      <c r="B86" s="9" t="s">
        <v>8</v>
      </c>
      <c r="C86" s="9" t="s">
        <v>9</v>
      </c>
      <c r="D86" s="11">
        <v>51601</v>
      </c>
      <c r="E86" s="11">
        <v>43881</v>
      </c>
      <c r="F86" s="11">
        <v>20641</v>
      </c>
      <c r="G86" s="10"/>
      <c r="H86" s="10"/>
      <c r="I86" s="10"/>
      <c r="J86" s="11">
        <f t="shared" ref="J86:J91" si="38">IF(D86="","",(1/D86)*1000000)</f>
        <v>19.379469390128097</v>
      </c>
      <c r="K86" s="11">
        <f t="shared" ref="K86:K91" si="39">IF(E86="","",(1/E86)*1000000)</f>
        <v>22.788906360383766</v>
      </c>
      <c r="L86" s="11">
        <f t="shared" ref="L86:L91" si="40">IF(F86="","",(1/F86)*1000000)</f>
        <v>48.447265151882178</v>
      </c>
      <c r="M86" s="11" t="str">
        <f t="shared" ref="M86:M91" si="41">IF(G86="","",(1/G86)*1000000)</f>
        <v/>
      </c>
      <c r="N86" s="11" t="str">
        <f t="shared" ref="N86:N91" si="42">IF(H86="","",(1/H86)*1000000)</f>
        <v/>
      </c>
      <c r="O86" s="11" t="str">
        <f t="shared" ref="O86:O91" si="43">IF(I86="","",(1/I86)*1000000)</f>
        <v/>
      </c>
    </row>
    <row r="87" spans="1:15" x14ac:dyDescent="0.25">
      <c r="A87" s="8" t="s">
        <v>10</v>
      </c>
      <c r="B87" s="9" t="s">
        <v>8</v>
      </c>
      <c r="C87" s="9" t="s">
        <v>11</v>
      </c>
      <c r="D87" s="11">
        <v>14270</v>
      </c>
      <c r="E87" s="11">
        <v>13841</v>
      </c>
      <c r="F87" s="11">
        <v>10898</v>
      </c>
      <c r="G87" s="10"/>
      <c r="H87" s="10"/>
      <c r="I87" s="10"/>
      <c r="J87" s="11">
        <f t="shared" si="38"/>
        <v>70.07708479327259</v>
      </c>
      <c r="K87" s="11">
        <f t="shared" si="39"/>
        <v>72.249114948341884</v>
      </c>
      <c r="L87" s="11">
        <f t="shared" si="40"/>
        <v>91.759955955221145</v>
      </c>
      <c r="M87" s="11" t="str">
        <f t="shared" si="41"/>
        <v/>
      </c>
      <c r="N87" s="11" t="str">
        <f t="shared" si="42"/>
        <v/>
      </c>
      <c r="O87" s="11" t="str">
        <f t="shared" si="43"/>
        <v/>
      </c>
    </row>
    <row r="88" spans="1:15" x14ac:dyDescent="0.25">
      <c r="A88" s="9" t="s">
        <v>12</v>
      </c>
      <c r="B88" s="9" t="s">
        <v>13</v>
      </c>
      <c r="C88" s="9" t="s">
        <v>9</v>
      </c>
      <c r="D88" s="11">
        <v>49592</v>
      </c>
      <c r="E88" s="11">
        <v>38149</v>
      </c>
      <c r="F88" s="11">
        <v>18907</v>
      </c>
      <c r="G88" s="10"/>
      <c r="H88" s="10"/>
      <c r="I88" s="10"/>
      <c r="J88" s="11">
        <f t="shared" si="38"/>
        <v>20.164542668172285</v>
      </c>
      <c r="K88" s="11">
        <f t="shared" si="39"/>
        <v>26.213006894020815</v>
      </c>
      <c r="L88" s="11">
        <f t="shared" si="40"/>
        <v>52.890463849367954</v>
      </c>
      <c r="M88" s="11" t="str">
        <f t="shared" si="41"/>
        <v/>
      </c>
      <c r="N88" s="11" t="str">
        <f t="shared" si="42"/>
        <v/>
      </c>
      <c r="O88" s="11" t="str">
        <f t="shared" si="43"/>
        <v/>
      </c>
    </row>
    <row r="89" spans="1:15" x14ac:dyDescent="0.25">
      <c r="A89" s="9" t="s">
        <v>14</v>
      </c>
      <c r="B89" s="9" t="s">
        <v>13</v>
      </c>
      <c r="C89" s="9" t="s">
        <v>11</v>
      </c>
      <c r="D89" s="11">
        <v>13772</v>
      </c>
      <c r="E89" s="11">
        <v>13141</v>
      </c>
      <c r="F89" s="11">
        <v>9612</v>
      </c>
      <c r="G89" s="10"/>
      <c r="H89" s="10"/>
      <c r="I89" s="10"/>
      <c r="J89" s="11">
        <f t="shared" si="38"/>
        <v>72.611094975312227</v>
      </c>
      <c r="K89" s="11">
        <f t="shared" si="39"/>
        <v>76.097709458945289</v>
      </c>
      <c r="L89" s="11">
        <f t="shared" si="40"/>
        <v>104.03662089055348</v>
      </c>
      <c r="M89" s="11" t="str">
        <f t="shared" si="41"/>
        <v/>
      </c>
      <c r="N89" s="11" t="str">
        <f t="shared" si="42"/>
        <v/>
      </c>
      <c r="O89" s="11" t="str">
        <f t="shared" si="43"/>
        <v/>
      </c>
    </row>
    <row r="90" spans="1:15" x14ac:dyDescent="0.25">
      <c r="A90" s="9" t="s">
        <v>15</v>
      </c>
      <c r="B90" s="9" t="s">
        <v>16</v>
      </c>
      <c r="C90" s="9" t="s">
        <v>11</v>
      </c>
      <c r="D90" s="11">
        <v>13381</v>
      </c>
      <c r="E90" s="11">
        <v>14762</v>
      </c>
      <c r="F90" s="11">
        <v>11151</v>
      </c>
      <c r="G90" s="10"/>
      <c r="H90" s="10"/>
      <c r="I90" s="10"/>
      <c r="J90" s="11">
        <f t="shared" si="38"/>
        <v>74.732830132277101</v>
      </c>
      <c r="K90" s="11">
        <f t="shared" si="39"/>
        <v>67.741498441945538</v>
      </c>
      <c r="L90" s="11">
        <f t="shared" si="40"/>
        <v>89.678055779750693</v>
      </c>
      <c r="M90" s="11" t="str">
        <f t="shared" si="41"/>
        <v/>
      </c>
      <c r="N90" s="11" t="str">
        <f t="shared" si="42"/>
        <v/>
      </c>
      <c r="O90" s="11" t="str">
        <f t="shared" si="43"/>
        <v/>
      </c>
    </row>
    <row r="91" spans="1:15" x14ac:dyDescent="0.25">
      <c r="A91" s="9" t="s">
        <v>17</v>
      </c>
      <c r="B91" s="8" t="s">
        <v>18</v>
      </c>
      <c r="C91" s="9" t="s">
        <v>11</v>
      </c>
      <c r="D91" s="11">
        <v>11151</v>
      </c>
      <c r="E91" s="11">
        <v>14070</v>
      </c>
      <c r="F91" s="11">
        <v>11151</v>
      </c>
      <c r="G91" s="10"/>
      <c r="H91" s="10"/>
      <c r="I91" s="10"/>
      <c r="J91" s="11">
        <f t="shared" si="38"/>
        <v>89.678055779750693</v>
      </c>
      <c r="K91" s="11">
        <f t="shared" si="39"/>
        <v>71.073205401563612</v>
      </c>
      <c r="L91" s="11">
        <f t="shared" si="40"/>
        <v>89.678055779750693</v>
      </c>
      <c r="M91" s="11" t="str">
        <f t="shared" si="41"/>
        <v/>
      </c>
      <c r="N91" s="11" t="str">
        <f t="shared" si="42"/>
        <v/>
      </c>
      <c r="O91" s="11" t="str">
        <f t="shared" si="43"/>
        <v/>
      </c>
    </row>
    <row r="92" spans="1:15" x14ac:dyDescent="0.25">
      <c r="A92" s="102" t="s">
        <v>64</v>
      </c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</row>
    <row r="93" spans="1:15" ht="18.75" x14ac:dyDescent="0.3">
      <c r="A93" s="75" t="s">
        <v>61</v>
      </c>
      <c r="B93" s="76"/>
      <c r="C93" s="76"/>
      <c r="D93" s="76"/>
      <c r="E93" s="76"/>
      <c r="F93" s="76"/>
      <c r="G93" s="76"/>
      <c r="H93" s="76"/>
      <c r="I93" s="76"/>
      <c r="J93" s="1"/>
      <c r="K93" s="1"/>
      <c r="L93" s="1"/>
      <c r="M93" s="1"/>
      <c r="N93" s="1"/>
      <c r="O93" s="2"/>
    </row>
    <row r="94" spans="1:15" x14ac:dyDescent="0.25">
      <c r="A94" s="72" t="s">
        <v>1</v>
      </c>
      <c r="B94" s="72"/>
      <c r="C94" s="72"/>
      <c r="D94" s="73" t="s">
        <v>19</v>
      </c>
      <c r="E94" s="73"/>
      <c r="F94" s="73"/>
      <c r="G94" s="73"/>
      <c r="H94" s="73"/>
      <c r="I94" s="73"/>
      <c r="J94" s="73" t="s">
        <v>22</v>
      </c>
      <c r="K94" s="73"/>
      <c r="L94" s="73"/>
      <c r="M94" s="73"/>
      <c r="N94" s="73"/>
      <c r="O94" s="73"/>
    </row>
    <row r="95" spans="1:15" x14ac:dyDescent="0.25">
      <c r="A95" s="6" t="s">
        <v>4</v>
      </c>
      <c r="B95" s="6" t="s">
        <v>5</v>
      </c>
      <c r="C95" s="6" t="s">
        <v>6</v>
      </c>
      <c r="D95" s="7">
        <v>1</v>
      </c>
      <c r="E95" s="7">
        <v>4</v>
      </c>
      <c r="F95" s="7">
        <v>16</v>
      </c>
      <c r="G95" s="7">
        <v>32</v>
      </c>
      <c r="H95" s="7">
        <v>64</v>
      </c>
      <c r="I95" s="7">
        <v>80</v>
      </c>
      <c r="J95" s="7">
        <v>1</v>
      </c>
      <c r="K95" s="7">
        <v>4</v>
      </c>
      <c r="L95" s="7">
        <v>16</v>
      </c>
      <c r="M95" s="7">
        <v>32</v>
      </c>
      <c r="N95" s="7">
        <v>64</v>
      </c>
      <c r="O95" s="7">
        <v>80</v>
      </c>
    </row>
    <row r="96" spans="1:15" x14ac:dyDescent="0.25">
      <c r="A96" s="8" t="s">
        <v>7</v>
      </c>
      <c r="B96" s="9" t="s">
        <v>8</v>
      </c>
      <c r="C96" s="9" t="s">
        <v>9</v>
      </c>
      <c r="D96" s="12">
        <f>IF(D86="","",(D86-'2015'!D35)/'2015'!D35)</f>
        <v>0.20941733464585385</v>
      </c>
      <c r="E96" s="12">
        <f>IF(E86="","",(E86-'2015'!E35)/'2015'!E35)</f>
        <v>2.0322273118329574E-2</v>
      </c>
      <c r="F96" s="12">
        <f>IF(F86="","",(F86-'2015'!F35)/'2015'!F35)</f>
        <v>0</v>
      </c>
      <c r="G96" s="12" t="str">
        <f t="shared" ref="G96:I96" si="44">IF(G86="","",(G86-#REF!)/#REF!)</f>
        <v/>
      </c>
      <c r="H96" s="12" t="str">
        <f t="shared" si="44"/>
        <v/>
      </c>
      <c r="I96" s="12" t="str">
        <f t="shared" si="44"/>
        <v/>
      </c>
      <c r="J96" s="11">
        <f>J86-'2015'!J35</f>
        <v>-4.0583968265315384</v>
      </c>
      <c r="K96" s="11">
        <f>K86-'2015'!K35</f>
        <v>-0.46312237912375664</v>
      </c>
      <c r="L96" s="11">
        <f>L86-'2015'!L35</f>
        <v>0</v>
      </c>
      <c r="M96" s="11" t="str">
        <f>IF(G96="","",M86-((1/Comparisons!G86)*1000000))</f>
        <v/>
      </c>
      <c r="N96" s="11" t="str">
        <f>IF(H96="","",N86-((1/Comparisons!H86)*1000000))</f>
        <v/>
      </c>
      <c r="O96" s="11" t="str">
        <f>IF(I96="","",O86-((1/Comparisons!I86)*1000000))</f>
        <v/>
      </c>
    </row>
    <row r="97" spans="1:15" x14ac:dyDescent="0.25">
      <c r="A97" s="8" t="s">
        <v>10</v>
      </c>
      <c r="B97" s="9" t="s">
        <v>8</v>
      </c>
      <c r="C97" s="9" t="s">
        <v>11</v>
      </c>
      <c r="D97" s="12">
        <f>IF(D87="","",(D87-'2015'!D36)/'2015'!D36)</f>
        <v>-0.12314120683298513</v>
      </c>
      <c r="E97" s="12">
        <f>IF(E87="","",(E87-'2015'!E36)/'2015'!E36)</f>
        <v>-9.4649398220826797E-2</v>
      </c>
      <c r="F97" s="12">
        <f>IF(F87="","",(F87-'2015'!F36)/'2015'!F36)</f>
        <v>-0.10759908286930887</v>
      </c>
      <c r="G97" s="12" t="str">
        <f t="shared" ref="G97:I97" si="45">IF(G87="","",(G87-#REF!)/#REF!)</f>
        <v/>
      </c>
      <c r="H97" s="12" t="str">
        <f t="shared" si="45"/>
        <v/>
      </c>
      <c r="I97" s="12" t="str">
        <f t="shared" si="45"/>
        <v/>
      </c>
      <c r="J97" s="11">
        <f>J87-'2015'!J36</f>
        <v>8.6293767927810094</v>
      </c>
      <c r="K97" s="11">
        <f>K87-'2015'!K36</f>
        <v>6.8383352518478944</v>
      </c>
      <c r="L97" s="11">
        <f>L87-'2015'!L36</f>
        <v>9.8732871049099771</v>
      </c>
      <c r="M97" s="11" t="str">
        <f>IF(G97="","",M87-((1/Comparisons!G87)*1000000))</f>
        <v/>
      </c>
      <c r="N97" s="11" t="str">
        <f>IF(H97="","",N87-((1/Comparisons!H87)*1000000))</f>
        <v/>
      </c>
      <c r="O97" s="11" t="str">
        <f>IF(I97="","",O87-((1/Comparisons!I87)*1000000))</f>
        <v/>
      </c>
    </row>
    <row r="98" spans="1:15" x14ac:dyDescent="0.25">
      <c r="A98" s="9" t="s">
        <v>12</v>
      </c>
      <c r="B98" s="9" t="s">
        <v>13</v>
      </c>
      <c r="C98" s="9" t="s">
        <v>9</v>
      </c>
      <c r="D98" s="12">
        <f>IF(D88="","",(D88-'2015'!D37)/'2015'!D37)</f>
        <v>-6.4510958849220658E-3</v>
      </c>
      <c r="E98" s="12">
        <f>IF(E88="","",(E88-'2015'!E37)/'2015'!E37)</f>
        <v>2.7997844246833738E-2</v>
      </c>
      <c r="F98" s="12">
        <f>IF(F88="","",(F88-'2015'!F37)/'2015'!F37)</f>
        <v>-6.5156849351058798E-3</v>
      </c>
      <c r="G98" s="12" t="str">
        <f t="shared" ref="G98:I98" si="46">IF(G88="","",(G88-#REF!)/#REF!)</f>
        <v/>
      </c>
      <c r="H98" s="12" t="str">
        <f t="shared" si="46"/>
        <v/>
      </c>
      <c r="I98" s="12" t="str">
        <f t="shared" si="46"/>
        <v/>
      </c>
      <c r="J98" s="11">
        <f>J88-'2015'!J37</f>
        <v>0.13008339822798121</v>
      </c>
      <c r="K98" s="11">
        <f>K88-'2015'!K37</f>
        <v>-0.73390768425997166</v>
      </c>
      <c r="L98" s="11">
        <f>L88-'2015'!L37</f>
        <v>0.34461759851408402</v>
      </c>
      <c r="M98" s="11" t="str">
        <f>IF(G98="","",M88-((1/Comparisons!G88)*1000000))</f>
        <v/>
      </c>
      <c r="N98" s="11" t="str">
        <f>IF(H98="","",N88-((1/Comparisons!H88)*1000000))</f>
        <v/>
      </c>
      <c r="O98" s="11" t="str">
        <f>IF(I98="","",O88-((1/Comparisons!I88)*1000000))</f>
        <v/>
      </c>
    </row>
    <row r="99" spans="1:15" x14ac:dyDescent="0.25">
      <c r="A99" s="9" t="s">
        <v>14</v>
      </c>
      <c r="B99" s="9" t="s">
        <v>13</v>
      </c>
      <c r="C99" s="9" t="s">
        <v>11</v>
      </c>
      <c r="D99" s="12">
        <f>IF(D89="","",(D89-'2015'!D38)/'2015'!D38)</f>
        <v>-9.6088212129167766E-2</v>
      </c>
      <c r="E99" s="12">
        <f>IF(E89="","",(E89-'2015'!E38)/'2015'!E38)</f>
        <v>-8.7367178276269192E-2</v>
      </c>
      <c r="F99" s="12">
        <f>IF(F89="","",(F89-'2015'!F38)/'2015'!F38)</f>
        <v>-0.11352946601494052</v>
      </c>
      <c r="G99" s="12" t="str">
        <f t="shared" ref="G99:I99" si="47">IF(G89="","",(G89-#REF!)/#REF!)</f>
        <v/>
      </c>
      <c r="H99" s="12" t="str">
        <f t="shared" si="47"/>
        <v/>
      </c>
      <c r="I99" s="12" t="str">
        <f t="shared" si="47"/>
        <v/>
      </c>
      <c r="J99" s="11">
        <f>J89-'2015'!J38</f>
        <v>6.9770702969189387</v>
      </c>
      <c r="K99" s="11">
        <f>K89-'2015'!K38</f>
        <v>6.6484421487154037</v>
      </c>
      <c r="L99" s="11">
        <f>L89-'2015'!L38</f>
        <v>11.811222015703351</v>
      </c>
      <c r="M99" s="11" t="str">
        <f>IF(G99="","",M89-((1/Comparisons!G89)*1000000))</f>
        <v/>
      </c>
      <c r="N99" s="11" t="str">
        <f>IF(H99="","",N89-((1/Comparisons!H89)*1000000))</f>
        <v/>
      </c>
      <c r="O99" s="11" t="str">
        <f>IF(I99="","",O89-((1/Comparisons!I89)*1000000))</f>
        <v/>
      </c>
    </row>
    <row r="100" spans="1:15" x14ac:dyDescent="0.25">
      <c r="A100" s="9" t="s">
        <v>15</v>
      </c>
      <c r="B100" s="9" t="s">
        <v>16</v>
      </c>
      <c r="C100" s="9" t="s">
        <v>11</v>
      </c>
      <c r="D100" s="12">
        <f>IF(D90="","",(D90-'2015'!D39)/'2015'!D39)</f>
        <v>5.0313971742543172E-2</v>
      </c>
      <c r="E100" s="12">
        <f>IF(E90="","",(E90-'2015'!E39)/'2015'!E39)</f>
        <v>7.9882955376737383E-2</v>
      </c>
      <c r="F100" s="12">
        <f>IF(F90="","",(F90-'2015'!F39)/'2015'!F39)</f>
        <v>2.8405422853453842E-2</v>
      </c>
      <c r="G100" s="12" t="str">
        <f t="shared" ref="G100:I100" si="48">IF(G90="","",(G90-#REF!)/#REF!)</f>
        <v/>
      </c>
      <c r="H100" s="12" t="str">
        <f t="shared" si="48"/>
        <v/>
      </c>
      <c r="I100" s="12" t="str">
        <f t="shared" si="48"/>
        <v/>
      </c>
      <c r="J100" s="11">
        <f>J90-'2015'!J39</f>
        <v>-3.7601055035156747</v>
      </c>
      <c r="K100" s="11">
        <f>K90-'2015'!K39</f>
        <v>-5.4113910971912702</v>
      </c>
      <c r="L100" s="11">
        <f>L90-'2015'!L39</f>
        <v>-2.5473430950994356</v>
      </c>
      <c r="M100" s="11" t="str">
        <f>IF(G100="","",M90-((1/Comparisons!G90)*1000000))</f>
        <v/>
      </c>
      <c r="N100" s="11" t="str">
        <f>IF(H100="","",N90-((1/Comparisons!H90)*1000000))</f>
        <v/>
      </c>
      <c r="O100" s="11" t="str">
        <f>IF(I100="","",O90-((1/Comparisons!I90)*1000000))</f>
        <v/>
      </c>
    </row>
    <row r="101" spans="1:15" x14ac:dyDescent="0.25">
      <c r="A101" s="9" t="s">
        <v>17</v>
      </c>
      <c r="B101" s="8" t="s">
        <v>18</v>
      </c>
      <c r="C101" s="9" t="s">
        <v>11</v>
      </c>
      <c r="D101" s="12">
        <f>IF(D91="","",(D91-'2015'!D40)/'2015'!D40)</f>
        <v>6.6265060240963861E-2</v>
      </c>
      <c r="E101" s="12">
        <f>IF(E91="","",(E91-'2015'!E40)/'2015'!E40)</f>
        <v>8.4476645598890093E-2</v>
      </c>
      <c r="F101" s="12">
        <f>IF(F91="","",(F91-'2015'!F40)/'2015'!F40)</f>
        <v>9.9628656824562994E-3</v>
      </c>
      <c r="G101" s="12" t="str">
        <f t="shared" ref="G101:I101" si="49">IF(G91="","",(G91-#REF!)/#REF!)</f>
        <v/>
      </c>
      <c r="H101" s="12" t="str">
        <f t="shared" si="49"/>
        <v/>
      </c>
      <c r="I101" s="12" t="str">
        <f t="shared" si="49"/>
        <v/>
      </c>
      <c r="J101" s="11">
        <f>J91-'2015'!J40</f>
        <v>-5.9425217685377021</v>
      </c>
      <c r="K101" s="11">
        <f>K91-'2015'!K40</f>
        <v>-6.0040259842850077</v>
      </c>
      <c r="L101" s="11">
        <f>L91-'2015'!L40</f>
        <v>-0.89345042439748568</v>
      </c>
      <c r="M101" s="11" t="str">
        <f>IF(G101="","",M91-((1/Comparisons!G91)*1000000))</f>
        <v/>
      </c>
      <c r="N101" s="11" t="str">
        <f>IF(H101="","",N91-((1/Comparisons!H91)*1000000))</f>
        <v/>
      </c>
      <c r="O101" s="11" t="str">
        <f>IF(I101="","",O91-((1/Comparisons!I91)*1000000))</f>
        <v/>
      </c>
    </row>
    <row r="103" spans="1:15" ht="15.75" x14ac:dyDescent="0.25">
      <c r="A103" s="100" t="s">
        <v>65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</row>
    <row r="104" spans="1:15" x14ac:dyDescent="0.25">
      <c r="A104" s="72" t="s">
        <v>1</v>
      </c>
      <c r="B104" s="72"/>
      <c r="C104" s="72"/>
      <c r="D104" s="73" t="s">
        <v>2</v>
      </c>
      <c r="E104" s="73"/>
      <c r="F104" s="73"/>
      <c r="G104" s="73"/>
      <c r="H104" s="73"/>
      <c r="I104" s="73"/>
      <c r="J104" s="73" t="s">
        <v>3</v>
      </c>
      <c r="K104" s="73"/>
      <c r="L104" s="73"/>
      <c r="M104" s="73"/>
      <c r="N104" s="73"/>
      <c r="O104" s="73"/>
    </row>
    <row r="105" spans="1:15" x14ac:dyDescent="0.25">
      <c r="A105" s="6" t="s">
        <v>26</v>
      </c>
      <c r="B105" s="6" t="s">
        <v>5</v>
      </c>
      <c r="C105" s="6" t="s">
        <v>6</v>
      </c>
      <c r="D105" s="7">
        <v>1</v>
      </c>
      <c r="E105" s="7">
        <v>4</v>
      </c>
      <c r="F105" s="7">
        <v>16</v>
      </c>
      <c r="G105" s="7">
        <v>32</v>
      </c>
      <c r="H105" s="7">
        <v>64</v>
      </c>
      <c r="I105" s="7">
        <v>80</v>
      </c>
      <c r="J105" s="7">
        <v>1</v>
      </c>
      <c r="K105" s="7">
        <v>4</v>
      </c>
      <c r="L105" s="7">
        <v>16</v>
      </c>
      <c r="M105" s="7">
        <v>32</v>
      </c>
      <c r="N105" s="7">
        <v>64</v>
      </c>
      <c r="O105" s="7">
        <v>80</v>
      </c>
    </row>
    <row r="106" spans="1:15" x14ac:dyDescent="0.25">
      <c r="A106" s="8" t="s">
        <v>7</v>
      </c>
      <c r="B106" s="9" t="s">
        <v>8</v>
      </c>
      <c r="C106" s="9" t="s">
        <v>9</v>
      </c>
      <c r="D106" s="11">
        <v>42666</v>
      </c>
      <c r="E106" s="11">
        <v>44367</v>
      </c>
      <c r="F106" s="11">
        <v>20623</v>
      </c>
      <c r="G106" s="10"/>
      <c r="H106" s="10"/>
      <c r="I106" s="10"/>
      <c r="J106" s="11">
        <f t="shared" ref="J106:J111" si="50">IF(D106="","",(1/D106)*1000000)</f>
        <v>23.437866216659636</v>
      </c>
      <c r="K106" s="11">
        <f t="shared" ref="K106:K111" si="51">IF(E106="","",(1/E106)*1000000)</f>
        <v>22.539274686140597</v>
      </c>
      <c r="L106" s="11">
        <f t="shared" ref="L106:L111" si="52">IF(F106="","",(1/F106)*1000000)</f>
        <v>48.489550501866844</v>
      </c>
      <c r="M106" s="11" t="str">
        <f t="shared" ref="M106:M111" si="53">IF(G106="","",(1/G106)*1000000)</f>
        <v/>
      </c>
      <c r="N106" s="11" t="str">
        <f t="shared" ref="N106:N111" si="54">IF(H106="","",(1/H106)*1000000)</f>
        <v/>
      </c>
      <c r="O106" s="11" t="str">
        <f t="shared" ref="O106:O111" si="55">IF(I106="","",(1/I106)*1000000)</f>
        <v/>
      </c>
    </row>
    <row r="107" spans="1:15" x14ac:dyDescent="0.25">
      <c r="A107" s="8" t="s">
        <v>10</v>
      </c>
      <c r="B107" s="9" t="s">
        <v>8</v>
      </c>
      <c r="C107" s="9" t="s">
        <v>11</v>
      </c>
      <c r="D107" s="11">
        <v>16609</v>
      </c>
      <c r="E107" s="11">
        <v>16546</v>
      </c>
      <c r="F107" s="11">
        <v>12335</v>
      </c>
      <c r="G107" s="10"/>
      <c r="H107" s="10"/>
      <c r="I107" s="10"/>
      <c r="J107" s="11">
        <f t="shared" si="50"/>
        <v>60.208320789933168</v>
      </c>
      <c r="K107" s="11">
        <f t="shared" si="51"/>
        <v>60.437567992263993</v>
      </c>
      <c r="L107" s="11">
        <f t="shared" si="52"/>
        <v>81.070125658694778</v>
      </c>
      <c r="M107" s="11" t="str">
        <f t="shared" si="53"/>
        <v/>
      </c>
      <c r="N107" s="11" t="str">
        <f t="shared" si="54"/>
        <v/>
      </c>
      <c r="O107" s="11" t="str">
        <f t="shared" si="55"/>
        <v/>
      </c>
    </row>
    <row r="108" spans="1:15" x14ac:dyDescent="0.25">
      <c r="A108" s="9" t="s">
        <v>12</v>
      </c>
      <c r="B108" s="9" t="s">
        <v>13</v>
      </c>
      <c r="C108" s="9" t="s">
        <v>9</v>
      </c>
      <c r="D108" s="11">
        <v>50176</v>
      </c>
      <c r="E108" s="11">
        <v>38044</v>
      </c>
      <c r="F108" s="11">
        <v>18926</v>
      </c>
      <c r="G108" s="10"/>
      <c r="H108" s="10"/>
      <c r="I108" s="10"/>
      <c r="J108" s="11">
        <f t="shared" si="50"/>
        <v>19.929846938775508</v>
      </c>
      <c r="K108" s="11">
        <f t="shared" si="51"/>
        <v>26.285353800862158</v>
      </c>
      <c r="L108" s="11">
        <f t="shared" si="52"/>
        <v>52.83736658564937</v>
      </c>
      <c r="M108" s="11" t="str">
        <f t="shared" si="53"/>
        <v/>
      </c>
      <c r="N108" s="11" t="str">
        <f t="shared" si="54"/>
        <v/>
      </c>
      <c r="O108" s="11" t="str">
        <f t="shared" si="55"/>
        <v/>
      </c>
    </row>
    <row r="109" spans="1:15" x14ac:dyDescent="0.25">
      <c r="A109" s="9" t="s">
        <v>14</v>
      </c>
      <c r="B109" s="9" t="s">
        <v>13</v>
      </c>
      <c r="C109" s="9" t="s">
        <v>11</v>
      </c>
      <c r="D109" s="11">
        <v>15977</v>
      </c>
      <c r="E109" s="11">
        <v>14790</v>
      </c>
      <c r="F109" s="11">
        <v>11206</v>
      </c>
      <c r="G109" s="10"/>
      <c r="H109" s="10"/>
      <c r="I109" s="10"/>
      <c r="J109" s="11">
        <f t="shared" si="50"/>
        <v>62.589973086311566</v>
      </c>
      <c r="K109" s="11">
        <f t="shared" si="51"/>
        <v>67.613252197430697</v>
      </c>
      <c r="L109" s="11">
        <f t="shared" si="52"/>
        <v>89.237908263430299</v>
      </c>
      <c r="M109" s="11" t="str">
        <f t="shared" si="53"/>
        <v/>
      </c>
      <c r="N109" s="11" t="str">
        <f t="shared" si="54"/>
        <v/>
      </c>
      <c r="O109" s="11" t="str">
        <f t="shared" si="55"/>
        <v/>
      </c>
    </row>
    <row r="110" spans="1:15" x14ac:dyDescent="0.25">
      <c r="A110" s="9" t="s">
        <v>15</v>
      </c>
      <c r="B110" s="9" t="s">
        <v>16</v>
      </c>
      <c r="C110" s="9" t="s">
        <v>11</v>
      </c>
      <c r="D110" s="11">
        <v>13841</v>
      </c>
      <c r="E110" s="11">
        <v>14663</v>
      </c>
      <c r="F110" s="11">
        <v>11151</v>
      </c>
      <c r="G110" s="10"/>
      <c r="H110" s="10"/>
      <c r="I110" s="10"/>
      <c r="J110" s="11">
        <f t="shared" si="50"/>
        <v>72.249114948341884</v>
      </c>
      <c r="K110" s="11">
        <f t="shared" si="51"/>
        <v>68.198867898792884</v>
      </c>
      <c r="L110" s="11">
        <f t="shared" si="52"/>
        <v>89.678055779750693</v>
      </c>
      <c r="M110" s="11" t="str">
        <f t="shared" si="53"/>
        <v/>
      </c>
      <c r="N110" s="11" t="str">
        <f t="shared" si="54"/>
        <v/>
      </c>
      <c r="O110" s="11" t="str">
        <f t="shared" si="55"/>
        <v/>
      </c>
    </row>
    <row r="111" spans="1:15" x14ac:dyDescent="0.25">
      <c r="A111" s="9" t="s">
        <v>17</v>
      </c>
      <c r="B111" s="8" t="s">
        <v>18</v>
      </c>
      <c r="C111" s="9" t="s">
        <v>11</v>
      </c>
      <c r="D111" s="11">
        <v>10617</v>
      </c>
      <c r="E111" s="11">
        <v>10617</v>
      </c>
      <c r="F111" s="11">
        <v>11572</v>
      </c>
      <c r="G111" s="10"/>
      <c r="H111" s="10"/>
      <c r="I111" s="10"/>
      <c r="J111" s="11">
        <f t="shared" si="50"/>
        <v>94.188565508147306</v>
      </c>
      <c r="K111" s="11">
        <f t="shared" si="51"/>
        <v>94.188565508147306</v>
      </c>
      <c r="L111" s="11">
        <f t="shared" si="52"/>
        <v>86.415485655029386</v>
      </c>
      <c r="M111" s="11" t="str">
        <f t="shared" si="53"/>
        <v/>
      </c>
      <c r="N111" s="11" t="str">
        <f t="shared" si="54"/>
        <v/>
      </c>
      <c r="O111" s="11" t="str">
        <f t="shared" si="55"/>
        <v/>
      </c>
    </row>
    <row r="112" spans="1:15" x14ac:dyDescent="0.25">
      <c r="A112" s="102" t="s">
        <v>66</v>
      </c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</row>
    <row r="113" spans="1:15" ht="18.75" x14ac:dyDescent="0.3">
      <c r="A113" s="75" t="s">
        <v>61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93"/>
    </row>
    <row r="114" spans="1:15" x14ac:dyDescent="0.25">
      <c r="A114" s="72" t="s">
        <v>1</v>
      </c>
      <c r="B114" s="72"/>
      <c r="C114" s="72"/>
      <c r="D114" s="73" t="s">
        <v>19</v>
      </c>
      <c r="E114" s="73"/>
      <c r="F114" s="73"/>
      <c r="G114" s="73"/>
      <c r="H114" s="73"/>
      <c r="I114" s="73"/>
      <c r="J114" s="73" t="s">
        <v>22</v>
      </c>
      <c r="K114" s="73"/>
      <c r="L114" s="73"/>
      <c r="M114" s="73"/>
      <c r="N114" s="73"/>
      <c r="O114" s="73"/>
    </row>
    <row r="115" spans="1:15" x14ac:dyDescent="0.25">
      <c r="A115" s="6" t="s">
        <v>4</v>
      </c>
      <c r="B115" s="6" t="s">
        <v>5</v>
      </c>
      <c r="C115" s="6" t="s">
        <v>6</v>
      </c>
      <c r="D115" s="7">
        <v>1</v>
      </c>
      <c r="E115" s="7">
        <v>4</v>
      </c>
      <c r="F115" s="7">
        <v>16</v>
      </c>
      <c r="G115" s="7">
        <v>32</v>
      </c>
      <c r="H115" s="7">
        <v>64</v>
      </c>
      <c r="I115" s="7">
        <v>80</v>
      </c>
      <c r="J115" s="7">
        <v>1</v>
      </c>
      <c r="K115" s="7">
        <v>4</v>
      </c>
      <c r="L115" s="7">
        <v>16</v>
      </c>
      <c r="M115" s="7">
        <v>32</v>
      </c>
      <c r="N115" s="7">
        <v>64</v>
      </c>
      <c r="O115" s="7">
        <v>80</v>
      </c>
    </row>
    <row r="116" spans="1:15" x14ac:dyDescent="0.25">
      <c r="A116" s="8" t="s">
        <v>7</v>
      </c>
      <c r="B116" s="9" t="s">
        <v>8</v>
      </c>
      <c r="C116" s="9" t="s">
        <v>9</v>
      </c>
      <c r="D116" s="12">
        <f>IF(D106="","",(D106-'2015'!D35)/'2015'!D35)</f>
        <v>0</v>
      </c>
      <c r="E116" s="12">
        <f>IF(E106="","",(E106-'2015'!E35)/'2015'!E35)</f>
        <v>3.1622759085730229E-2</v>
      </c>
      <c r="F116" s="12">
        <f>IF(F106="","",(F106-'2015'!F35)/'2015'!F35)</f>
        <v>-8.7205077273387914E-4</v>
      </c>
      <c r="G116" s="12" t="str">
        <f t="shared" ref="G116:I116" si="56">IF(G106="","",(G106-#REF!)/#REF!)</f>
        <v/>
      </c>
      <c r="H116" s="12" t="str">
        <f t="shared" si="56"/>
        <v/>
      </c>
      <c r="I116" s="12" t="str">
        <f t="shared" si="56"/>
        <v/>
      </c>
      <c r="J116" s="11">
        <f>J106-'2015'!J35</f>
        <v>0</v>
      </c>
      <c r="K116" s="11">
        <f>K106-'2015'!K35</f>
        <v>-0.71275405336692543</v>
      </c>
      <c r="L116" s="11">
        <f>L106-'2015'!L35</f>
        <v>4.2285349984666709E-2</v>
      </c>
      <c r="M116" s="11" t="str">
        <f>IF(G116="","",M106-((1/Comparisons!G106)*1000000))</f>
        <v/>
      </c>
      <c r="N116" s="11" t="str">
        <f>IF(H116="","",N106-((1/Comparisons!H106)*1000000))</f>
        <v/>
      </c>
      <c r="O116" s="11" t="str">
        <f>IF(I116="","",O106-((1/Comparisons!I106)*1000000))</f>
        <v/>
      </c>
    </row>
    <row r="117" spans="1:15" x14ac:dyDescent="0.25">
      <c r="A117" s="8" t="s">
        <v>10</v>
      </c>
      <c r="B117" s="9" t="s">
        <v>8</v>
      </c>
      <c r="C117" s="9" t="s">
        <v>11</v>
      </c>
      <c r="D117" s="12">
        <f>IF(D107="","",(D107-'2015'!D36)/'2015'!D36)</f>
        <v>2.058498218016468E-2</v>
      </c>
      <c r="E117" s="12">
        <f>IF(E107="","",(E107-'2015'!E36)/'2015'!E36)</f>
        <v>8.2286760858189423E-2</v>
      </c>
      <c r="F117" s="12">
        <f>IF(F107="","",(F107-'2015'!F36)/'2015'!F36)</f>
        <v>1.0072060268588274E-2</v>
      </c>
      <c r="G117" s="12" t="str">
        <f t="shared" ref="G117:I117" si="57">IF(G107="","",(G107-#REF!)/#REF!)</f>
        <v/>
      </c>
      <c r="H117" s="12" t="str">
        <f t="shared" si="57"/>
        <v/>
      </c>
      <c r="I117" s="12" t="str">
        <f t="shared" si="57"/>
        <v/>
      </c>
      <c r="J117" s="11">
        <f>J107-'2015'!J36</f>
        <v>-1.2393872105584123</v>
      </c>
      <c r="K117" s="11">
        <f>K107-'2015'!K36</f>
        <v>-4.9732117042299961</v>
      </c>
      <c r="L117" s="11">
        <f>L107-'2015'!L36</f>
        <v>-0.81654319161638966</v>
      </c>
      <c r="M117" s="11" t="str">
        <f>IF(G117="","",M107-((1/Comparisons!G107)*1000000))</f>
        <v/>
      </c>
      <c r="N117" s="11" t="str">
        <f>IF(H117="","",N107-((1/Comparisons!H107)*1000000))</f>
        <v/>
      </c>
      <c r="O117" s="11" t="str">
        <f>IF(I117="","",O107-((1/Comparisons!I107)*1000000))</f>
        <v/>
      </c>
    </row>
    <row r="118" spans="1:15" x14ac:dyDescent="0.25">
      <c r="A118" s="9" t="s">
        <v>12</v>
      </c>
      <c r="B118" s="9" t="s">
        <v>13</v>
      </c>
      <c r="C118" s="9" t="s">
        <v>9</v>
      </c>
      <c r="D118" s="12">
        <f>IF(D108="","",(D108-'2015'!D37)/'2015'!D37)</f>
        <v>5.2490283287254073E-3</v>
      </c>
      <c r="E118" s="12">
        <f>IF(E108="","",(E108-'2015'!E37)/'2015'!E37)</f>
        <v>2.5168418216114256E-2</v>
      </c>
      <c r="F118" s="12">
        <f>IF(F108="","",(F108-'2015'!F37)/'2015'!F37)</f>
        <v>-5.5173138563396566E-3</v>
      </c>
      <c r="G118" s="12" t="str">
        <f t="shared" ref="G118:I118" si="58">IF(G108="","",(G108-#REF!)/#REF!)</f>
        <v/>
      </c>
      <c r="H118" s="12" t="str">
        <f t="shared" si="58"/>
        <v/>
      </c>
      <c r="I118" s="12" t="str">
        <f t="shared" si="58"/>
        <v/>
      </c>
      <c r="J118" s="11">
        <f>J108-'2015'!J37</f>
        <v>-0.10461233116879498</v>
      </c>
      <c r="K118" s="11">
        <f>K108-'2015'!K37</f>
        <v>-0.66156077741862873</v>
      </c>
      <c r="L118" s="11">
        <f>L108-'2015'!L37</f>
        <v>0.29152033479549999</v>
      </c>
      <c r="M118" s="11" t="str">
        <f>IF(G118="","",M108-((1/Comparisons!G108)*1000000))</f>
        <v/>
      </c>
      <c r="N118" s="11" t="str">
        <f>IF(H118="","",N108-((1/Comparisons!H108)*1000000))</f>
        <v/>
      </c>
      <c r="O118" s="11" t="str">
        <f>IF(I118="","",O108-((1/Comparisons!I108)*1000000))</f>
        <v/>
      </c>
    </row>
    <row r="119" spans="1:15" x14ac:dyDescent="0.25">
      <c r="A119" s="9" t="s">
        <v>14</v>
      </c>
      <c r="B119" s="9" t="s">
        <v>13</v>
      </c>
      <c r="C119" s="9" t="s">
        <v>11</v>
      </c>
      <c r="D119" s="12">
        <f>IF(D109="","",(D109-'2015'!D38)/'2015'!D38)</f>
        <v>4.8634812286689422E-2</v>
      </c>
      <c r="E119" s="12">
        <f>IF(E109="","",(E109-'2015'!E38)/'2015'!E38)</f>
        <v>2.7154663518299881E-2</v>
      </c>
      <c r="F119" s="12">
        <f>IF(F109="","",(F109-'2015'!F38)/'2015'!F38)</f>
        <v>3.34778197915706E-2</v>
      </c>
      <c r="G119" s="12" t="str">
        <f t="shared" ref="G119:I119" si="59">IF(G109="","",(G109-#REF!)/#REF!)</f>
        <v/>
      </c>
      <c r="H119" s="12" t="str">
        <f t="shared" si="59"/>
        <v/>
      </c>
      <c r="I119" s="12" t="str">
        <f t="shared" si="59"/>
        <v/>
      </c>
      <c r="J119" s="11">
        <f>J109-'2015'!J38</f>
        <v>-3.0440515920817219</v>
      </c>
      <c r="K119" s="11">
        <f>K109-'2015'!K38</f>
        <v>-1.8360151127991884</v>
      </c>
      <c r="L119" s="11">
        <f>L109-'2015'!L38</f>
        <v>-2.9874906114198296</v>
      </c>
      <c r="M119" s="11" t="str">
        <f>IF(G119="","",M109-((1/Comparisons!G109)*1000000))</f>
        <v/>
      </c>
      <c r="N119" s="11" t="str">
        <f>IF(H119="","",N109-((1/Comparisons!H109)*1000000))</f>
        <v/>
      </c>
      <c r="O119" s="11" t="str">
        <f>IF(I119="","",O109-((1/Comparisons!I109)*1000000))</f>
        <v/>
      </c>
    </row>
    <row r="120" spans="1:15" x14ac:dyDescent="0.25">
      <c r="A120" s="9" t="s">
        <v>15</v>
      </c>
      <c r="B120" s="9" t="s">
        <v>16</v>
      </c>
      <c r="C120" s="9" t="s">
        <v>11</v>
      </c>
      <c r="D120" s="12">
        <f>IF(D110="","",(D110-'2015'!D39)/'2015'!D39)</f>
        <v>8.6420722135007844E-2</v>
      </c>
      <c r="E120" s="12">
        <f>IF(E110="","",(E110-'2015'!E39)/'2015'!E39)</f>
        <v>7.2640819312362839E-2</v>
      </c>
      <c r="F120" s="12">
        <f>IF(F110="","",(F110-'2015'!F39)/'2015'!F39)</f>
        <v>2.8405422853453842E-2</v>
      </c>
      <c r="G120" s="12" t="str">
        <f t="shared" ref="G120:I120" si="60">IF(G110="","",(G110-#REF!)/#REF!)</f>
        <v/>
      </c>
      <c r="H120" s="12" t="str">
        <f t="shared" si="60"/>
        <v/>
      </c>
      <c r="I120" s="12" t="str">
        <f t="shared" si="60"/>
        <v/>
      </c>
      <c r="J120" s="11">
        <f>J110-'2015'!J39</f>
        <v>-6.2438206874508921</v>
      </c>
      <c r="K120" s="11">
        <f>K110-'2015'!K39</f>
        <v>-4.9540216403439246</v>
      </c>
      <c r="L120" s="11">
        <f>L110-'2015'!L39</f>
        <v>-2.5473430950994356</v>
      </c>
      <c r="M120" s="11" t="str">
        <f>IF(G120="","",M110-((1/Comparisons!G110)*1000000))</f>
        <v/>
      </c>
      <c r="N120" s="11" t="str">
        <f>IF(H120="","",N110-((1/Comparisons!H110)*1000000))</f>
        <v/>
      </c>
      <c r="O120" s="11" t="str">
        <f>IF(I120="","",O110-((1/Comparisons!I110)*1000000))</f>
        <v/>
      </c>
    </row>
    <row r="121" spans="1:15" x14ac:dyDescent="0.25">
      <c r="A121" s="9" t="s">
        <v>17</v>
      </c>
      <c r="B121" s="8" t="s">
        <v>18</v>
      </c>
      <c r="C121" s="9" t="s">
        <v>11</v>
      </c>
      <c r="D121" s="12">
        <f>IF(D111="","",(D111-'2015'!D40)/'2015'!D40)</f>
        <v>1.5203671830177854E-2</v>
      </c>
      <c r="E121" s="12">
        <f>IF(E111="","",(E111-'2015'!E40)/'2015'!E40)</f>
        <v>-0.18167103437644519</v>
      </c>
      <c r="F121" s="12">
        <f>IF(F111="","",(F111-'2015'!F40)/'2015'!F40)</f>
        <v>4.8093469794402682E-2</v>
      </c>
      <c r="G121" s="12" t="str">
        <f t="shared" ref="G121:I121" si="61">IF(G111="","",(G111-#REF!)/#REF!)</f>
        <v/>
      </c>
      <c r="H121" s="12" t="str">
        <f t="shared" si="61"/>
        <v/>
      </c>
      <c r="I121" s="12" t="str">
        <f t="shared" si="61"/>
        <v/>
      </c>
      <c r="J121" s="11">
        <f>J111-'2015'!J40</f>
        <v>-1.432012040141089</v>
      </c>
      <c r="K121" s="11">
        <f>K111-'2015'!K40</f>
        <v>17.111334122298686</v>
      </c>
      <c r="L121" s="11">
        <f>L111-'2015'!L40</f>
        <v>-4.1560205491187929</v>
      </c>
      <c r="M121" s="11" t="str">
        <f>IF(G121="","",M111-((1/Comparisons!G111)*1000000))</f>
        <v/>
      </c>
      <c r="N121" s="11" t="str">
        <f>IF(H121="","",N111-((1/Comparisons!H111)*1000000))</f>
        <v/>
      </c>
      <c r="O121" s="11" t="str">
        <f>IF(I121="","",O111-((1/Comparisons!I111)*1000000))</f>
        <v/>
      </c>
    </row>
    <row r="122" spans="1:15" x14ac:dyDescent="0.25">
      <c r="A122" s="13" t="s">
        <v>67</v>
      </c>
    </row>
    <row r="124" spans="1:15" ht="15.75" x14ac:dyDescent="0.25">
      <c r="A124" s="100" t="s">
        <v>69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</row>
    <row r="125" spans="1:15" x14ac:dyDescent="0.25">
      <c r="A125" s="72" t="s">
        <v>1</v>
      </c>
      <c r="B125" s="72"/>
      <c r="C125" s="72"/>
      <c r="D125" s="73" t="s">
        <v>2</v>
      </c>
      <c r="E125" s="73"/>
      <c r="F125" s="73"/>
      <c r="G125" s="73"/>
      <c r="H125" s="73"/>
      <c r="I125" s="73"/>
      <c r="J125" s="73" t="s">
        <v>3</v>
      </c>
      <c r="K125" s="73"/>
      <c r="L125" s="73"/>
      <c r="M125" s="73"/>
      <c r="N125" s="73"/>
      <c r="O125" s="73"/>
    </row>
    <row r="126" spans="1:15" x14ac:dyDescent="0.25">
      <c r="A126" s="6" t="s">
        <v>26</v>
      </c>
      <c r="B126" s="6" t="s">
        <v>5</v>
      </c>
      <c r="C126" s="6" t="s">
        <v>6</v>
      </c>
      <c r="D126" s="7">
        <v>1</v>
      </c>
      <c r="E126" s="7">
        <v>4</v>
      </c>
      <c r="F126" s="7">
        <v>16</v>
      </c>
      <c r="G126" s="7">
        <v>32</v>
      </c>
      <c r="H126" s="7">
        <v>64</v>
      </c>
      <c r="I126" s="7">
        <v>80</v>
      </c>
      <c r="J126" s="7">
        <v>1</v>
      </c>
      <c r="K126" s="7">
        <v>4</v>
      </c>
      <c r="L126" s="7">
        <v>16</v>
      </c>
      <c r="M126" s="7">
        <v>32</v>
      </c>
      <c r="N126" s="7">
        <v>64</v>
      </c>
      <c r="O126" s="7">
        <v>80</v>
      </c>
    </row>
    <row r="127" spans="1:15" x14ac:dyDescent="0.25">
      <c r="A127" s="8" t="s">
        <v>7</v>
      </c>
      <c r="B127" s="9" t="s">
        <v>8</v>
      </c>
      <c r="C127" s="9" t="s">
        <v>9</v>
      </c>
      <c r="D127" s="11">
        <v>42666</v>
      </c>
      <c r="E127" s="11">
        <v>44839</v>
      </c>
      <c r="F127" s="11">
        <v>20641</v>
      </c>
      <c r="G127" s="10"/>
      <c r="H127" s="10"/>
      <c r="I127" s="10"/>
      <c r="J127" s="11">
        <f t="shared" ref="J127:J132" si="62">IF(D127="","",(1/D127)*1000000)</f>
        <v>23.437866216659636</v>
      </c>
      <c r="K127" s="11">
        <f t="shared" ref="K127:K132" si="63">IF(E127="","",(1/E127)*1000000)</f>
        <v>22.30201387185263</v>
      </c>
      <c r="L127" s="11">
        <f t="shared" ref="L127:L132" si="64">IF(F127="","",(1/F127)*1000000)</f>
        <v>48.447265151882178</v>
      </c>
      <c r="M127" s="11" t="str">
        <f t="shared" ref="M127:M132" si="65">IF(G127="","",(1/G127)*1000000)</f>
        <v/>
      </c>
      <c r="N127" s="11" t="str">
        <f t="shared" ref="N127:N132" si="66">IF(H127="","",(1/H127)*1000000)</f>
        <v/>
      </c>
      <c r="O127" s="11" t="str">
        <f t="shared" ref="O127:O132" si="67">IF(I127="","",(1/I127)*1000000)</f>
        <v/>
      </c>
    </row>
    <row r="128" spans="1:15" x14ac:dyDescent="0.25">
      <c r="A128" s="8" t="s">
        <v>10</v>
      </c>
      <c r="B128" s="9" t="s">
        <v>8</v>
      </c>
      <c r="C128" s="9" t="s">
        <v>11</v>
      </c>
      <c r="D128" s="11">
        <v>16609</v>
      </c>
      <c r="E128" s="11">
        <v>16266</v>
      </c>
      <c r="F128" s="11">
        <v>12178</v>
      </c>
      <c r="G128" s="10"/>
      <c r="H128" s="10"/>
      <c r="I128" s="10"/>
      <c r="J128" s="11">
        <f t="shared" si="62"/>
        <v>60.208320789933168</v>
      </c>
      <c r="K128" s="11">
        <f t="shared" si="63"/>
        <v>61.477929423337024</v>
      </c>
      <c r="L128" s="11">
        <f t="shared" si="64"/>
        <v>82.115289866973228</v>
      </c>
      <c r="M128" s="11" t="str">
        <f t="shared" si="65"/>
        <v/>
      </c>
      <c r="N128" s="11" t="str">
        <f t="shared" si="66"/>
        <v/>
      </c>
      <c r="O128" s="11" t="str">
        <f t="shared" si="67"/>
        <v/>
      </c>
    </row>
    <row r="129" spans="1:15" x14ac:dyDescent="0.25">
      <c r="A129" s="9" t="s">
        <v>12</v>
      </c>
      <c r="B129" s="9" t="s">
        <v>13</v>
      </c>
      <c r="C129" s="9" t="s">
        <v>9</v>
      </c>
      <c r="D129" s="11">
        <v>50165</v>
      </c>
      <c r="E129" s="11">
        <v>38427</v>
      </c>
      <c r="F129" s="11">
        <v>18812</v>
      </c>
      <c r="G129" s="10"/>
      <c r="H129" s="10"/>
      <c r="I129" s="10"/>
      <c r="J129" s="11">
        <f t="shared" si="62"/>
        <v>19.934217083624041</v>
      </c>
      <c r="K129" s="11">
        <f t="shared" si="63"/>
        <v>26.023368985348846</v>
      </c>
      <c r="L129" s="11">
        <f t="shared" si="64"/>
        <v>53.157559004890494</v>
      </c>
      <c r="M129" s="11" t="str">
        <f t="shared" si="65"/>
        <v/>
      </c>
      <c r="N129" s="11" t="str">
        <f t="shared" si="66"/>
        <v/>
      </c>
      <c r="O129" s="11" t="str">
        <f t="shared" si="67"/>
        <v/>
      </c>
    </row>
    <row r="130" spans="1:15" x14ac:dyDescent="0.25">
      <c r="A130" s="9" t="s">
        <v>14</v>
      </c>
      <c r="B130" s="9" t="s">
        <v>13</v>
      </c>
      <c r="C130" s="9" t="s">
        <v>11</v>
      </c>
      <c r="D130" s="11">
        <v>17103</v>
      </c>
      <c r="E130" s="11">
        <v>15135</v>
      </c>
      <c r="F130" s="11">
        <v>10754</v>
      </c>
      <c r="G130" s="10"/>
      <c r="H130" s="10"/>
      <c r="I130" s="10"/>
      <c r="J130" s="11">
        <f t="shared" si="62"/>
        <v>58.469274396304741</v>
      </c>
      <c r="K130" s="11">
        <f t="shared" si="63"/>
        <v>66.072018500165186</v>
      </c>
      <c r="L130" s="11">
        <f t="shared" si="64"/>
        <v>92.988655384043156</v>
      </c>
      <c r="M130" s="11" t="str">
        <f t="shared" si="65"/>
        <v/>
      </c>
      <c r="N130" s="11" t="str">
        <f t="shared" si="66"/>
        <v/>
      </c>
      <c r="O130" s="11" t="str">
        <f t="shared" si="67"/>
        <v/>
      </c>
    </row>
    <row r="131" spans="1:15" x14ac:dyDescent="0.25">
      <c r="A131" s="9" t="s">
        <v>15</v>
      </c>
      <c r="B131" s="9" t="s">
        <v>16</v>
      </c>
      <c r="C131" s="9" t="s">
        <v>11</v>
      </c>
      <c r="D131" s="11">
        <v>13841</v>
      </c>
      <c r="E131" s="11">
        <v>14503</v>
      </c>
      <c r="F131" s="11">
        <v>11249</v>
      </c>
      <c r="G131" s="10"/>
      <c r="H131" s="10"/>
      <c r="I131" s="10"/>
      <c r="J131" s="11">
        <f t="shared" si="62"/>
        <v>72.249114948341884</v>
      </c>
      <c r="K131" s="11">
        <f t="shared" si="63"/>
        <v>68.951251465214085</v>
      </c>
      <c r="L131" s="11">
        <f t="shared" si="64"/>
        <v>88.896790825851184</v>
      </c>
      <c r="M131" s="11" t="str">
        <f t="shared" si="65"/>
        <v/>
      </c>
      <c r="N131" s="11" t="str">
        <f t="shared" si="66"/>
        <v/>
      </c>
      <c r="O131" s="11" t="str">
        <f t="shared" si="67"/>
        <v/>
      </c>
    </row>
    <row r="132" spans="1:15" x14ac:dyDescent="0.25">
      <c r="A132" s="9" t="s">
        <v>17</v>
      </c>
      <c r="B132" s="8" t="s">
        <v>18</v>
      </c>
      <c r="C132" s="9" t="s">
        <v>11</v>
      </c>
      <c r="D132" s="11">
        <v>10451</v>
      </c>
      <c r="E132" s="11">
        <v>13610</v>
      </c>
      <c r="F132" s="11">
        <v>11151</v>
      </c>
      <c r="G132" s="10"/>
      <c r="H132" s="10"/>
      <c r="I132" s="10"/>
      <c r="J132" s="11">
        <f t="shared" si="62"/>
        <v>95.684623481006597</v>
      </c>
      <c r="K132" s="11">
        <f t="shared" si="63"/>
        <v>73.475385745775156</v>
      </c>
      <c r="L132" s="11">
        <f t="shared" si="64"/>
        <v>89.678055779750693</v>
      </c>
      <c r="M132" s="11" t="str">
        <f t="shared" si="65"/>
        <v/>
      </c>
      <c r="N132" s="11" t="str">
        <f t="shared" si="66"/>
        <v/>
      </c>
      <c r="O132" s="11" t="str">
        <f t="shared" si="67"/>
        <v/>
      </c>
    </row>
    <row r="133" spans="1:15" x14ac:dyDescent="0.25">
      <c r="A133" s="102" t="s">
        <v>68</v>
      </c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</row>
    <row r="134" spans="1:15" ht="18.75" x14ac:dyDescent="0.3">
      <c r="A134" s="75" t="s">
        <v>61</v>
      </c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93"/>
    </row>
    <row r="135" spans="1:15" x14ac:dyDescent="0.25">
      <c r="A135" s="72" t="s">
        <v>1</v>
      </c>
      <c r="B135" s="72"/>
      <c r="C135" s="72"/>
      <c r="D135" s="73" t="s">
        <v>19</v>
      </c>
      <c r="E135" s="73"/>
      <c r="F135" s="73"/>
      <c r="G135" s="73"/>
      <c r="H135" s="73"/>
      <c r="I135" s="73"/>
      <c r="J135" s="73" t="s">
        <v>22</v>
      </c>
      <c r="K135" s="73"/>
      <c r="L135" s="73"/>
      <c r="M135" s="73"/>
      <c r="N135" s="73"/>
      <c r="O135" s="73"/>
    </row>
    <row r="136" spans="1:15" x14ac:dyDescent="0.25">
      <c r="A136" s="6" t="s">
        <v>4</v>
      </c>
      <c r="B136" s="6" t="s">
        <v>5</v>
      </c>
      <c r="C136" s="6" t="s">
        <v>6</v>
      </c>
      <c r="D136" s="7">
        <v>1</v>
      </c>
      <c r="E136" s="7">
        <v>4</v>
      </c>
      <c r="F136" s="7">
        <v>16</v>
      </c>
      <c r="G136" s="7">
        <v>32</v>
      </c>
      <c r="H136" s="7">
        <v>64</v>
      </c>
      <c r="I136" s="7">
        <v>80</v>
      </c>
      <c r="J136" s="7">
        <v>1</v>
      </c>
      <c r="K136" s="7">
        <v>4</v>
      </c>
      <c r="L136" s="7">
        <v>16</v>
      </c>
      <c r="M136" s="7">
        <v>32</v>
      </c>
      <c r="N136" s="7">
        <v>64</v>
      </c>
      <c r="O136" s="7">
        <v>80</v>
      </c>
    </row>
    <row r="137" spans="1:15" x14ac:dyDescent="0.25">
      <c r="A137" s="8" t="s">
        <v>7</v>
      </c>
      <c r="B137" s="9" t="s">
        <v>8</v>
      </c>
      <c r="C137" s="9" t="s">
        <v>9</v>
      </c>
      <c r="D137" s="12">
        <f>IF(D127="","",(D127-'2015'!D35)/'2015'!D35)</f>
        <v>0</v>
      </c>
      <c r="E137" s="12">
        <f>IF(E127="","",(E127-'2015'!E35)/'2015'!E35)</f>
        <v>4.259771665077778E-2</v>
      </c>
      <c r="F137" s="12">
        <f>IF(F127="","",(F127-'2015'!F35)/'2015'!F35)</f>
        <v>0</v>
      </c>
      <c r="G137" s="12" t="str">
        <f t="shared" ref="G137:I137" si="68">IF(G127="","",(G127-#REF!)/#REF!)</f>
        <v/>
      </c>
      <c r="H137" s="12" t="str">
        <f t="shared" si="68"/>
        <v/>
      </c>
      <c r="I137" s="12" t="str">
        <f t="shared" si="68"/>
        <v/>
      </c>
      <c r="J137" s="11">
        <f>J127-'2015'!J56</f>
        <v>36.722988348445156</v>
      </c>
      <c r="K137" s="11">
        <f>K127-'2015'!K56</f>
        <v>34.206836463900466</v>
      </c>
      <c r="L137" s="11">
        <f>L127-'2015'!L56</f>
        <v>62.391933148720028</v>
      </c>
      <c r="M137" s="11" t="str">
        <f>IF(G137="","",M127-((1/Comparisons!G127)*1000000))</f>
        <v/>
      </c>
      <c r="N137" s="11" t="str">
        <f>IF(H137="","",N127-((1/Comparisons!H127)*1000000))</f>
        <v/>
      </c>
      <c r="O137" s="11" t="str">
        <f>IF(I137="","",O127-((1/Comparisons!I127)*1000000))</f>
        <v/>
      </c>
    </row>
    <row r="138" spans="1:15" x14ac:dyDescent="0.25">
      <c r="A138" s="8" t="s">
        <v>10</v>
      </c>
      <c r="B138" s="9" t="s">
        <v>8</v>
      </c>
      <c r="C138" s="9" t="s">
        <v>11</v>
      </c>
      <c r="D138" s="12">
        <f>IF(D128="","",(D128-'2015'!D36)/'2015'!D36)</f>
        <v>2.058498218016468E-2</v>
      </c>
      <c r="E138" s="12">
        <f>IF(E128="","",(E128-'2015'!E36)/'2015'!E36)</f>
        <v>6.3971742543171117E-2</v>
      </c>
      <c r="F138" s="12">
        <f>IF(F128="","",(F128-'2015'!F36)/'2015'!F36)</f>
        <v>-2.7841467409105798E-3</v>
      </c>
      <c r="G138" s="12" t="str">
        <f t="shared" ref="G138:I138" si="69">IF(G128="","",(G128-#REF!)/#REF!)</f>
        <v/>
      </c>
      <c r="H138" s="12" t="str">
        <f t="shared" si="69"/>
        <v/>
      </c>
      <c r="I138" s="12" t="str">
        <f t="shared" si="69"/>
        <v/>
      </c>
      <c r="J138" s="11">
        <f>J128-'2015'!J57</f>
        <v>62.991887760719038</v>
      </c>
      <c r="K138" s="11">
        <f>K128-'2015'!K57</f>
        <v>64.787285457140598</v>
      </c>
      <c r="L138" s="11">
        <f>L128-'2015'!L57</f>
        <v>84.983385763963753</v>
      </c>
      <c r="M138" s="11" t="str">
        <f>IF(G138="","",M128-((1/Comparisons!G128)*1000000))</f>
        <v/>
      </c>
      <c r="N138" s="11" t="str">
        <f>IF(H138="","",N128-((1/Comparisons!H128)*1000000))</f>
        <v/>
      </c>
      <c r="O138" s="11" t="str">
        <f>IF(I138="","",O128-((1/Comparisons!I128)*1000000))</f>
        <v/>
      </c>
    </row>
    <row r="139" spans="1:15" x14ac:dyDescent="0.25">
      <c r="A139" s="9" t="s">
        <v>12</v>
      </c>
      <c r="B139" s="9" t="s">
        <v>13</v>
      </c>
      <c r="C139" s="9" t="s">
        <v>9</v>
      </c>
      <c r="D139" s="12">
        <f>IF(D129="","",(D129-'2015'!D37)/'2015'!D37)</f>
        <v>5.0286492767560205E-3</v>
      </c>
      <c r="E139" s="12">
        <f>IF(E129="","",(E129-'2015'!E37)/'2015'!E37)</f>
        <v>3.5489086499595798E-2</v>
      </c>
      <c r="F139" s="12">
        <f>IF(F129="","",(F129-'2015'!F37)/'2015'!F37)</f>
        <v>-1.1507540328936998E-2</v>
      </c>
      <c r="G139" s="12" t="str">
        <f t="shared" ref="G139:I139" si="70">IF(G129="","",(G129-#REF!)/#REF!)</f>
        <v/>
      </c>
      <c r="H139" s="12" t="str">
        <f t="shared" si="70"/>
        <v/>
      </c>
      <c r="I139" s="12" t="str">
        <f t="shared" si="70"/>
        <v/>
      </c>
      <c r="J139" s="11">
        <f>J129-'2015'!J58</f>
        <v>28.649634784412918</v>
      </c>
      <c r="K139" s="11">
        <f>K129-'2015'!K58</f>
        <v>38.226751303599407</v>
      </c>
      <c r="L139" s="11">
        <f>L129-'2015'!L58</f>
        <v>64.634327505338518</v>
      </c>
      <c r="M139" s="11" t="str">
        <f>IF(G139="","",M129-((1/Comparisons!G129)*1000000))</f>
        <v/>
      </c>
      <c r="N139" s="11" t="str">
        <f>IF(H139="","",N129-((1/Comparisons!H129)*1000000))</f>
        <v/>
      </c>
      <c r="O139" s="11" t="str">
        <f>IF(I139="","",O129-((1/Comparisons!I129)*1000000))</f>
        <v/>
      </c>
    </row>
    <row r="140" spans="1:15" x14ac:dyDescent="0.25">
      <c r="A140" s="9" t="s">
        <v>14</v>
      </c>
      <c r="B140" s="9" t="s">
        <v>13</v>
      </c>
      <c r="C140" s="9" t="s">
        <v>11</v>
      </c>
      <c r="D140" s="12">
        <f>IF(D130="","",(D130-'2015'!D38)/'2015'!D38)</f>
        <v>0.12253872407456025</v>
      </c>
      <c r="E140" s="12">
        <f>IF(E130="","",(E130-'2015'!E38)/'2015'!E38)</f>
        <v>5.1114660740329186E-2</v>
      </c>
      <c r="F140" s="12">
        <f>IF(F130="","",(F130-'2015'!F38)/'2015'!F38)</f>
        <v>-8.2080604998616621E-3</v>
      </c>
      <c r="G140" s="12" t="str">
        <f t="shared" ref="G140:I140" si="71">IF(G130="","",(G130-#REF!)/#REF!)</f>
        <v/>
      </c>
      <c r="H140" s="12" t="str">
        <f t="shared" si="71"/>
        <v/>
      </c>
      <c r="I140" s="12" t="str">
        <f t="shared" si="71"/>
        <v/>
      </c>
      <c r="J140" s="11">
        <f>J130-'2015'!J59</f>
        <v>74.164904268659271</v>
      </c>
      <c r="K140" s="11">
        <f>K130-'2015'!K59</f>
        <v>79.619319701448006</v>
      </c>
      <c r="L140" s="11">
        <f>L130-'2015'!L59</f>
        <v>98.879426053934012</v>
      </c>
      <c r="M140" s="11" t="str">
        <f>IF(G140="","",M130-((1/Comparisons!G130)*1000000))</f>
        <v/>
      </c>
      <c r="N140" s="11" t="str">
        <f>IF(H140="","",N130-((1/Comparisons!H130)*1000000))</f>
        <v/>
      </c>
      <c r="O140" s="11" t="str">
        <f>IF(I140="","",O130-((1/Comparisons!I130)*1000000))</f>
        <v/>
      </c>
    </row>
    <row r="141" spans="1:15" x14ac:dyDescent="0.25">
      <c r="A141" s="9" t="s">
        <v>15</v>
      </c>
      <c r="B141" s="9" t="s">
        <v>16</v>
      </c>
      <c r="C141" s="9" t="s">
        <v>11</v>
      </c>
      <c r="D141" s="12">
        <f>IF(D131="","",(D131-'2015'!D39)/'2015'!D39)</f>
        <v>8.6420722135007844E-2</v>
      </c>
      <c r="E141" s="12">
        <f>IF(E131="","",(E131-'2015'!E39)/'2015'!E39)</f>
        <v>6.0936356986100948E-2</v>
      </c>
      <c r="F141" s="12">
        <f>IF(F131="","",(F131-'2015'!F39)/'2015'!F39)</f>
        <v>3.7443511943189157E-2</v>
      </c>
      <c r="G141" s="12" t="str">
        <f t="shared" ref="G141:I141" si="72">IF(G131="","",(G131-#REF!)/#REF!)</f>
        <v/>
      </c>
      <c r="H141" s="12" t="str">
        <f t="shared" si="72"/>
        <v/>
      </c>
      <c r="I141" s="12" t="str">
        <f t="shared" si="72"/>
        <v/>
      </c>
      <c r="J141" s="11">
        <f>J131-'2015'!J60</f>
        <v>68.24557816963663</v>
      </c>
      <c r="K141" s="11">
        <f>K131-'2015'!K60</f>
        <v>92.326054233057079</v>
      </c>
      <c r="L141" s="11">
        <f>L131-'2015'!L60</f>
        <v>94.636562672362743</v>
      </c>
      <c r="M141" s="11" t="str">
        <f>IF(G141="","",M131-((1/Comparisons!G131)*1000000))</f>
        <v/>
      </c>
      <c r="N141" s="11" t="str">
        <f>IF(H141="","",N131-((1/Comparisons!H131)*1000000))</f>
        <v/>
      </c>
      <c r="O141" s="11" t="str">
        <f>IF(I141="","",O131-((1/Comparisons!I131)*1000000))</f>
        <v/>
      </c>
    </row>
    <row r="142" spans="1:15" x14ac:dyDescent="0.25">
      <c r="A142" s="9" t="s">
        <v>17</v>
      </c>
      <c r="B142" s="8" t="s">
        <v>18</v>
      </c>
      <c r="C142" s="9" t="s">
        <v>11</v>
      </c>
      <c r="D142" s="12">
        <f>IF(D132="","",(D132-'2015'!D40)/'2015'!D40)</f>
        <v>-6.6934404283801872E-4</v>
      </c>
      <c r="E142" s="12">
        <f>IF(E132="","",(E132-'2015'!E40)/'2015'!E40)</f>
        <v>4.9021119161399722E-2</v>
      </c>
      <c r="F142" s="12">
        <f>IF(F132="","",(F132-'2015'!F40)/'2015'!F40)</f>
        <v>9.9628656824562994E-3</v>
      </c>
      <c r="G142" s="12" t="str">
        <f t="shared" ref="G142:I142" si="73">IF(G132="","",(G132-#REF!)/#REF!)</f>
        <v/>
      </c>
      <c r="H142" s="12" t="str">
        <f t="shared" si="73"/>
        <v/>
      </c>
      <c r="I142" s="12" t="str">
        <f t="shared" si="73"/>
        <v/>
      </c>
      <c r="J142" s="11">
        <f>J132-'2015'!J61</f>
        <v>95.684623481006597</v>
      </c>
      <c r="K142" s="11">
        <f>K132-'2015'!K61</f>
        <v>73.475385745775156</v>
      </c>
      <c r="L142" s="11">
        <f>L132-'2015'!L61</f>
        <v>89.678055779750693</v>
      </c>
      <c r="M142" s="11" t="str">
        <f>IF(G142="","",M132-((1/Comparisons!G132)*1000000))</f>
        <v/>
      </c>
      <c r="N142" s="11" t="str">
        <f>IF(H142="","",N132-((1/Comparisons!H132)*1000000))</f>
        <v/>
      </c>
      <c r="O142" s="11" t="str">
        <f>IF(I142="","",O132-((1/Comparisons!I132)*1000000))</f>
        <v/>
      </c>
    </row>
    <row r="143" spans="1:15" x14ac:dyDescent="0.25">
      <c r="A143" s="13"/>
    </row>
    <row r="164" spans="1:1" x14ac:dyDescent="0.25">
      <c r="A164" s="13"/>
    </row>
  </sheetData>
  <mergeCells count="61">
    <mergeCell ref="A114:C114"/>
    <mergeCell ref="D114:I114"/>
    <mergeCell ref="J114:O114"/>
    <mergeCell ref="A113:O113"/>
    <mergeCell ref="A103:O103"/>
    <mergeCell ref="A104:C104"/>
    <mergeCell ref="D104:I104"/>
    <mergeCell ref="J104:O104"/>
    <mergeCell ref="A112:O112"/>
    <mergeCell ref="A74:C74"/>
    <mergeCell ref="D74:I74"/>
    <mergeCell ref="J74:O74"/>
    <mergeCell ref="A72:O72"/>
    <mergeCell ref="A63:I63"/>
    <mergeCell ref="A64:C64"/>
    <mergeCell ref="D64:I64"/>
    <mergeCell ref="J64:O64"/>
    <mergeCell ref="A73:I73"/>
    <mergeCell ref="A52:I52"/>
    <mergeCell ref="A53:C53"/>
    <mergeCell ref="D53:I53"/>
    <mergeCell ref="J53:O53"/>
    <mergeCell ref="A33:C33"/>
    <mergeCell ref="D33:I33"/>
    <mergeCell ref="J33:O33"/>
    <mergeCell ref="A42:I42"/>
    <mergeCell ref="A43:C43"/>
    <mergeCell ref="D43:I43"/>
    <mergeCell ref="J43:O43"/>
    <mergeCell ref="J3:O3"/>
    <mergeCell ref="A22:I22"/>
    <mergeCell ref="A23:C23"/>
    <mergeCell ref="D23:I23"/>
    <mergeCell ref="J23:O23"/>
    <mergeCell ref="A13:C13"/>
    <mergeCell ref="D13:I13"/>
    <mergeCell ref="J13:O13"/>
    <mergeCell ref="A12:I12"/>
    <mergeCell ref="A1:I1"/>
    <mergeCell ref="A2:I2"/>
    <mergeCell ref="A3:C3"/>
    <mergeCell ref="D3:I3"/>
    <mergeCell ref="A32:I32"/>
    <mergeCell ref="A93:I93"/>
    <mergeCell ref="A94:C94"/>
    <mergeCell ref="D94:I94"/>
    <mergeCell ref="J94:O94"/>
    <mergeCell ref="A83:O83"/>
    <mergeCell ref="A84:C84"/>
    <mergeCell ref="D84:I84"/>
    <mergeCell ref="J84:O84"/>
    <mergeCell ref="A92:O92"/>
    <mergeCell ref="A134:O134"/>
    <mergeCell ref="A135:C135"/>
    <mergeCell ref="D135:I135"/>
    <mergeCell ref="J135:O135"/>
    <mergeCell ref="A124:O124"/>
    <mergeCell ref="A125:C125"/>
    <mergeCell ref="D125:I125"/>
    <mergeCell ref="J125:O125"/>
    <mergeCell ref="A133:O133"/>
  </mergeCells>
  <conditionalFormatting sqref="D15:I20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I30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I50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:I60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6:I81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6:I101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6:I121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7:I142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xr:uid="{00000000-0004-0000-0200-000000000000}"/>
    <hyperlink ref="A41" r:id="rId2" xr:uid="{00000000-0004-0000-0200-000001000000}"/>
    <hyperlink ref="A72:O72" r:id="rId3" display="9033_sp_online_int_reboots_15.0.1a1" xr:uid="{00000000-0004-0000-0200-000002000000}"/>
    <hyperlink ref="A92:O92" r:id="rId4" display="9033_sp_online_int_reboots_15.0.1b5" xr:uid="{00000000-0004-0000-0200-000003000000}"/>
    <hyperlink ref="A112:O112" r:id="rId5" display="9033_sp_online_int_reboots_15.0.1b6_with_niwifibedd_disabled" xr:uid="{00000000-0004-0000-0200-000004000000}"/>
    <hyperlink ref="A133:O133" r:id="rId6" display="9033_sp_online_int_reboots_15.0.1rc0" xr:uid="{00000000-0004-0000-0200-000005000000}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3"/>
  <sheetViews>
    <sheetView topLeftCell="A275" workbookViewId="0">
      <selection activeCell="D298" sqref="D298"/>
    </sheetView>
  </sheetViews>
  <sheetFormatPr defaultRowHeight="15" x14ac:dyDescent="0.25"/>
  <cols>
    <col min="4" max="4" width="11.85546875" bestFit="1" customWidth="1"/>
    <col min="5" max="5" width="11" bestFit="1" customWidth="1"/>
    <col min="10" max="10" width="9.85546875" bestFit="1" customWidth="1"/>
  </cols>
  <sheetData>
    <row r="1" spans="1:15" ht="18.75" x14ac:dyDescent="0.25">
      <c r="A1" s="77" t="s">
        <v>70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84"/>
    </row>
    <row r="2" spans="1:15" ht="15.75" x14ac:dyDescent="0.25">
      <c r="A2" s="79" t="s">
        <v>92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92"/>
    </row>
    <row r="3" spans="1:15" x14ac:dyDescent="0.25">
      <c r="A3" s="87" t="s">
        <v>1</v>
      </c>
      <c r="B3" s="88"/>
      <c r="C3" s="89"/>
      <c r="D3" s="105" t="s">
        <v>2</v>
      </c>
      <c r="E3" s="106"/>
      <c r="F3" s="106"/>
      <c r="G3" s="106"/>
      <c r="H3" s="106"/>
      <c r="I3" s="107"/>
      <c r="J3" s="105" t="s">
        <v>3</v>
      </c>
      <c r="K3" s="106"/>
      <c r="L3" s="106"/>
      <c r="M3" s="106"/>
      <c r="N3" s="106"/>
      <c r="O3" s="107"/>
    </row>
    <row r="4" spans="1:15" x14ac:dyDescent="0.25">
      <c r="A4" s="6" t="s">
        <v>26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10">
        <v>44814</v>
      </c>
      <c r="E5" s="10">
        <v>20094</v>
      </c>
      <c r="F5" s="10">
        <v>5843</v>
      </c>
      <c r="G5" s="10"/>
      <c r="H5" s="10"/>
      <c r="I5" s="10"/>
      <c r="J5" s="11">
        <f t="shared" ref="J5:J10" si="0">IF(D5="","",(1/D5)*1000000)</f>
        <v>22.314455304146026</v>
      </c>
      <c r="K5" s="11">
        <f t="shared" ref="K5:K10" si="1">IF(E5="","",(1/E5)*1000000)</f>
        <v>49.766099333134271</v>
      </c>
      <c r="L5" s="11">
        <f t="shared" ref="L5:L10" si="2">IF(F5="","",(1/F5)*1000000)</f>
        <v>171.14495978093444</v>
      </c>
      <c r="M5" s="11" t="str">
        <f t="shared" ref="M5:M10" si="3">IF(G5="","",(1/G5)*1000000)</f>
        <v/>
      </c>
      <c r="N5" s="11" t="str">
        <f t="shared" ref="N5:N10" si="4">IF(H5="","",(1/H5)*1000000)</f>
        <v/>
      </c>
      <c r="O5" s="11" t="str">
        <f t="shared" ref="O5:O10" si="5">IF(I5="","",(1/I5)*1000000)</f>
        <v/>
      </c>
    </row>
    <row r="6" spans="1:15" x14ac:dyDescent="0.25">
      <c r="A6" s="8" t="s">
        <v>10</v>
      </c>
      <c r="B6" s="9" t="s">
        <v>8</v>
      </c>
      <c r="C6" s="9" t="s">
        <v>11</v>
      </c>
      <c r="D6" s="10">
        <v>14914</v>
      </c>
      <c r="E6" s="10">
        <v>10832</v>
      </c>
      <c r="F6" s="10">
        <v>4777</v>
      </c>
      <c r="G6" s="10"/>
      <c r="H6" s="10"/>
      <c r="I6" s="10"/>
      <c r="J6" s="11">
        <f t="shared" si="0"/>
        <v>67.051092932814811</v>
      </c>
      <c r="K6" s="11">
        <f t="shared" si="1"/>
        <v>92.319054652880354</v>
      </c>
      <c r="L6" s="11">
        <f t="shared" si="2"/>
        <v>209.33640360058615</v>
      </c>
      <c r="M6" s="11" t="str">
        <f t="shared" si="3"/>
        <v/>
      </c>
      <c r="N6" s="11" t="str">
        <f t="shared" si="4"/>
        <v/>
      </c>
      <c r="O6" s="11" t="str">
        <f t="shared" si="5"/>
        <v/>
      </c>
    </row>
    <row r="7" spans="1:15" x14ac:dyDescent="0.25">
      <c r="A7" s="9" t="s">
        <v>12</v>
      </c>
      <c r="B7" s="9" t="s">
        <v>13</v>
      </c>
      <c r="C7" s="9" t="s">
        <v>9</v>
      </c>
      <c r="D7" s="10">
        <v>43433</v>
      </c>
      <c r="E7" s="10">
        <v>18345</v>
      </c>
      <c r="F7" s="10">
        <v>5637</v>
      </c>
      <c r="G7" s="10"/>
      <c r="H7" s="10"/>
      <c r="I7" s="10"/>
      <c r="J7" s="11">
        <f t="shared" si="0"/>
        <v>23.02396795063661</v>
      </c>
      <c r="K7" s="11">
        <f t="shared" si="1"/>
        <v>54.510765876260564</v>
      </c>
      <c r="L7" s="11">
        <f t="shared" si="2"/>
        <v>177.39932588256164</v>
      </c>
      <c r="M7" s="11" t="str">
        <f t="shared" si="3"/>
        <v/>
      </c>
      <c r="N7" s="11" t="str">
        <f t="shared" si="4"/>
        <v/>
      </c>
      <c r="O7" s="11" t="str">
        <f t="shared" si="5"/>
        <v/>
      </c>
    </row>
    <row r="8" spans="1:15" x14ac:dyDescent="0.25">
      <c r="A8" s="9" t="s">
        <v>14</v>
      </c>
      <c r="B8" s="9" t="s">
        <v>13</v>
      </c>
      <c r="C8" s="9" t="s">
        <v>11</v>
      </c>
      <c r="D8" s="10">
        <v>14428</v>
      </c>
      <c r="E8" s="10">
        <v>10234</v>
      </c>
      <c r="F8" s="10">
        <v>4574</v>
      </c>
      <c r="G8" s="10"/>
      <c r="H8" s="10"/>
      <c r="I8" s="10"/>
      <c r="J8" s="11">
        <f t="shared" si="0"/>
        <v>69.309675630718047</v>
      </c>
      <c r="K8" s="11">
        <f t="shared" si="1"/>
        <v>97.713504006253658</v>
      </c>
      <c r="L8" s="11">
        <f t="shared" si="2"/>
        <v>218.62702229995628</v>
      </c>
      <c r="M8" s="11" t="str">
        <f t="shared" si="3"/>
        <v/>
      </c>
      <c r="N8" s="11" t="str">
        <f t="shared" si="4"/>
        <v/>
      </c>
      <c r="O8" s="11" t="str">
        <f t="shared" si="5"/>
        <v/>
      </c>
    </row>
    <row r="9" spans="1:15" x14ac:dyDescent="0.25">
      <c r="A9" s="9" t="s">
        <v>15</v>
      </c>
      <c r="B9" s="9" t="s">
        <v>16</v>
      </c>
      <c r="C9" s="9" t="s">
        <v>11</v>
      </c>
      <c r="D9" s="20">
        <v>13487</v>
      </c>
      <c r="E9" s="20">
        <v>10101</v>
      </c>
      <c r="F9" s="20">
        <v>4615</v>
      </c>
      <c r="G9" s="10"/>
      <c r="H9" s="10"/>
      <c r="I9" s="10"/>
      <c r="J9" s="11">
        <f t="shared" si="0"/>
        <v>74.145473418847772</v>
      </c>
      <c r="K9" s="11">
        <f t="shared" si="1"/>
        <v>99.000099000099013</v>
      </c>
      <c r="L9" s="11">
        <f t="shared" si="2"/>
        <v>216.68472372697724</v>
      </c>
      <c r="M9" s="11" t="str">
        <f t="shared" si="3"/>
        <v/>
      </c>
      <c r="N9" s="11" t="str">
        <f t="shared" si="4"/>
        <v/>
      </c>
      <c r="O9" s="11" t="str">
        <f t="shared" si="5"/>
        <v/>
      </c>
    </row>
    <row r="10" spans="1:15" x14ac:dyDescent="0.25">
      <c r="A10" s="9" t="s">
        <v>17</v>
      </c>
      <c r="B10" s="8" t="s">
        <v>18</v>
      </c>
      <c r="C10" s="9" t="s">
        <v>11</v>
      </c>
      <c r="D10" s="20">
        <v>12362</v>
      </c>
      <c r="E10" s="20">
        <v>10051</v>
      </c>
      <c r="F10" s="20">
        <v>4641</v>
      </c>
      <c r="G10" s="10"/>
      <c r="H10" s="10"/>
      <c r="I10" s="10"/>
      <c r="J10" s="11">
        <f t="shared" si="0"/>
        <v>80.893059375505587</v>
      </c>
      <c r="K10" s="11">
        <f t="shared" si="1"/>
        <v>99.492587802208732</v>
      </c>
      <c r="L10" s="11">
        <f t="shared" si="2"/>
        <v>215.47080370609783</v>
      </c>
      <c r="M10" s="11" t="str">
        <f t="shared" si="3"/>
        <v/>
      </c>
      <c r="N10" s="11" t="str">
        <f t="shared" si="4"/>
        <v/>
      </c>
      <c r="O10" s="11" t="str">
        <f t="shared" si="5"/>
        <v/>
      </c>
    </row>
    <row r="11" spans="1:15" x14ac:dyDescent="0.25">
      <c r="A11" s="102" t="s">
        <v>90</v>
      </c>
      <c r="B11" s="102"/>
      <c r="C11" s="102"/>
      <c r="D11" s="102"/>
      <c r="E11" s="103" t="s">
        <v>91</v>
      </c>
      <c r="F11" s="103"/>
      <c r="G11" s="103"/>
      <c r="H11" s="103"/>
      <c r="I11" s="103"/>
      <c r="J11" s="103"/>
      <c r="K11" s="103"/>
      <c r="L11" s="103"/>
      <c r="M11" s="103"/>
      <c r="N11" s="103"/>
      <c r="O11" s="103"/>
    </row>
    <row r="12" spans="1:15" ht="18.75" x14ac:dyDescent="0.3">
      <c r="A12" s="75" t="s">
        <v>61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3"/>
    </row>
    <row r="13" spans="1:15" x14ac:dyDescent="0.25">
      <c r="A13" s="87" t="s">
        <v>1</v>
      </c>
      <c r="B13" s="88"/>
      <c r="C13" s="89"/>
      <c r="D13" s="105" t="s">
        <v>19</v>
      </c>
      <c r="E13" s="106"/>
      <c r="F13" s="106"/>
      <c r="G13" s="106"/>
      <c r="H13" s="106"/>
      <c r="I13" s="107"/>
      <c r="J13" s="105" t="s">
        <v>22</v>
      </c>
      <c r="K13" s="106"/>
      <c r="L13" s="106"/>
      <c r="M13" s="106"/>
      <c r="N13" s="106"/>
      <c r="O13" s="107"/>
    </row>
    <row r="14" spans="1:15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7</v>
      </c>
      <c r="B15" s="9" t="s">
        <v>8</v>
      </c>
      <c r="C15" s="9" t="s">
        <v>9</v>
      </c>
      <c r="D15" s="12">
        <f>IF(D5="","",(D5-'2015'!D35)/'2015'!D35)</f>
        <v>5.0344536633384895E-2</v>
      </c>
      <c r="E15" s="12">
        <f>IF(E5="","",(E5-'2015'!E35)/'2015'!E35)</f>
        <v>-0.53277373450833587</v>
      </c>
      <c r="F15" s="12">
        <f>IF(F5="","",(F5-'2015'!F35)/'2015'!F35)</f>
        <v>-0.7169226297175525</v>
      </c>
      <c r="G15" s="12" t="str">
        <f>IF(G5="","",(G5-#REF!)/#REF!)</f>
        <v/>
      </c>
      <c r="H15" s="12" t="str">
        <f>IF(H5="","",(H5-#REF!)/#REF!)</f>
        <v/>
      </c>
      <c r="I15" s="12" t="str">
        <f>IF(I5="","",(I5-#REF!)/#REF!)</f>
        <v/>
      </c>
      <c r="J15" s="11">
        <f>J5-'2015'!J35</f>
        <v>-1.1234109125136094</v>
      </c>
      <c r="K15" s="11">
        <f>K5-'2015'!K35</f>
        <v>26.514070593626748</v>
      </c>
      <c r="L15" s="11">
        <f>L5-'2015'!L35</f>
        <v>122.69769462905226</v>
      </c>
      <c r="M15" s="11" t="str">
        <f>IF(G15="","",M5-((1/Comparisons!#REF!)*1000000))</f>
        <v/>
      </c>
      <c r="N15" s="11" t="str">
        <f>IF(H15="","",N5-((1/Comparisons!#REF!)*1000000))</f>
        <v/>
      </c>
      <c r="O15" s="11" t="str">
        <f>IF(I15="","",O5-((1/Comparisons!#REF!)*1000000))</f>
        <v/>
      </c>
    </row>
    <row r="16" spans="1:15" x14ac:dyDescent="0.25">
      <c r="A16" s="8" t="s">
        <v>10</v>
      </c>
      <c r="B16" s="9" t="s">
        <v>8</v>
      </c>
      <c r="C16" s="9" t="s">
        <v>11</v>
      </c>
      <c r="D16" s="12">
        <f>IF(D6="","",(D6-'2015'!D36)/'2015'!D36)</f>
        <v>-8.3568882880668549E-2</v>
      </c>
      <c r="E16" s="12">
        <f>IF(E6="","",(E6-'2015'!E36)/'2015'!E36)</f>
        <v>-0.29147043432757719</v>
      </c>
      <c r="F16" s="12">
        <f>IF(F6="","",(F6-'2015'!F36)/'2015'!F36)</f>
        <v>-0.60882738290206351</v>
      </c>
      <c r="G16" s="12" t="str">
        <f>IF(G6="","",(G6-#REF!)/#REF!)</f>
        <v/>
      </c>
      <c r="H16" s="12" t="str">
        <f>IF(H6="","",(H6-#REF!)/#REF!)</f>
        <v/>
      </c>
      <c r="I16" s="12" t="str">
        <f>IF(I6="","",(I6-#REF!)/#REF!)</f>
        <v/>
      </c>
      <c r="J16" s="11">
        <f>J6-'2015'!J36</f>
        <v>5.6033849323232303</v>
      </c>
      <c r="K16" s="11">
        <f>K6-'2015'!K36</f>
        <v>26.908274956386364</v>
      </c>
      <c r="L16" s="11">
        <f>L6-'2015'!L36</f>
        <v>127.44973475027498</v>
      </c>
      <c r="M16" s="11" t="str">
        <f>IF(G16="","",M6-((1/Comparisons!#REF!)*1000000))</f>
        <v/>
      </c>
      <c r="N16" s="11" t="str">
        <f>IF(H16="","",N6-((1/Comparisons!#REF!)*1000000))</f>
        <v/>
      </c>
      <c r="O16" s="11" t="str">
        <f>IF(I16="","",O6-((1/Comparisons!#REF!)*1000000))</f>
        <v/>
      </c>
    </row>
    <row r="17" spans="1:15" x14ac:dyDescent="0.25">
      <c r="A17" s="9" t="s">
        <v>12</v>
      </c>
      <c r="B17" s="9" t="s">
        <v>13</v>
      </c>
      <c r="C17" s="9" t="s">
        <v>9</v>
      </c>
      <c r="D17" s="12">
        <f>IF(D7="","",(D7-'2015'!D37)/'2015'!D37)</f>
        <v>-0.12984333052850905</v>
      </c>
      <c r="E17" s="12">
        <f>IF(E7="","",(E7-'2015'!E37)/'2015'!E37)</f>
        <v>-0.50565885206143901</v>
      </c>
      <c r="F17" s="12">
        <f>IF(F7="","",(F7-'2015'!F37)/'2015'!F37)</f>
        <v>-0.70379906468393671</v>
      </c>
      <c r="G17" s="12" t="str">
        <f>IF(G7="","",(G7-#REF!)/#REF!)</f>
        <v/>
      </c>
      <c r="H17" s="12" t="str">
        <f>IF(H7="","",(H7-#REF!)/#REF!)</f>
        <v/>
      </c>
      <c r="I17" s="12" t="str">
        <f>IF(I7="","",(I7-#REF!)/#REF!)</f>
        <v/>
      </c>
      <c r="J17" s="11">
        <f>J7-'2015'!J37</f>
        <v>2.9895086806923068</v>
      </c>
      <c r="K17" s="11">
        <f>K7-'2015'!K37</f>
        <v>27.563851297979777</v>
      </c>
      <c r="L17" s="11">
        <f>L7-'2015'!L37</f>
        <v>124.85347963170777</v>
      </c>
      <c r="M17" s="11" t="str">
        <f>IF(G17="","",M7-((1/Comparisons!#REF!)*1000000))</f>
        <v/>
      </c>
      <c r="N17" s="11" t="str">
        <f>IF(H17="","",N7-((1/Comparisons!#REF!)*1000000))</f>
        <v/>
      </c>
      <c r="O17" s="11" t="str">
        <f>IF(I17="","",O7-((1/Comparisons!#REF!)*1000000))</f>
        <v/>
      </c>
    </row>
    <row r="18" spans="1:15" x14ac:dyDescent="0.25">
      <c r="A18" s="9" t="s">
        <v>14</v>
      </c>
      <c r="B18" s="9" t="s">
        <v>13</v>
      </c>
      <c r="C18" s="9" t="s">
        <v>11</v>
      </c>
      <c r="D18" s="12">
        <f>IF(D8="","",(D8-'2015'!D38)/'2015'!D38)</f>
        <v>-5.3032291940141772E-2</v>
      </c>
      <c r="E18" s="12">
        <f>IF(E8="","",(E8-'2015'!E38)/'2015'!E38)</f>
        <v>-0.28925619834710742</v>
      </c>
      <c r="F18" s="12">
        <f>IF(F8="","",(F8-'2015'!F38)/'2015'!F38)</f>
        <v>-0.57816102554643545</v>
      </c>
      <c r="G18" s="12" t="str">
        <f>IF(G8="","",(G8-#REF!)/#REF!)</f>
        <v/>
      </c>
      <c r="H18" s="12" t="str">
        <f>IF(H8="","",(H8-#REF!)/#REF!)</f>
        <v/>
      </c>
      <c r="I18" s="12" t="str">
        <f>IF(I8="","",(I8-#REF!)/#REF!)</f>
        <v/>
      </c>
      <c r="J18" s="11">
        <f>J8-'2015'!J38</f>
        <v>3.6756509523247587</v>
      </c>
      <c r="K18" s="11">
        <f>K8-'2015'!K38</f>
        <v>28.264236696023772</v>
      </c>
      <c r="L18" s="11">
        <f>L8-'2015'!L38</f>
        <v>126.40162342510615</v>
      </c>
      <c r="M18" s="11" t="str">
        <f>IF(G18="","",M8-((1/Comparisons!#REF!)*1000000))</f>
        <v/>
      </c>
      <c r="N18" s="11" t="str">
        <f>IF(H18="","",N8-((1/Comparisons!#REF!)*1000000))</f>
        <v/>
      </c>
      <c r="O18" s="11" t="str">
        <f>IF(I18="","",O8-((1/Comparisons!#REF!)*1000000))</f>
        <v/>
      </c>
    </row>
    <row r="19" spans="1:15" x14ac:dyDescent="0.25">
      <c r="A19" s="9" t="s">
        <v>15</v>
      </c>
      <c r="B19" s="9" t="s">
        <v>16</v>
      </c>
      <c r="C19" s="9" t="s">
        <v>11</v>
      </c>
      <c r="D19" s="12">
        <f>IF(D9="","",(D9-'2015'!D39)/'2015'!D39)</f>
        <v>5.8634222919937203E-2</v>
      </c>
      <c r="E19" s="12">
        <f>IF(E9="","",(E9-'2015'!E39)/'2015'!E39)</f>
        <v>-0.26108266276517922</v>
      </c>
      <c r="F19" s="12">
        <f>IF(F9="","",(F9-'2015'!F39)/'2015'!F39)</f>
        <v>-0.57437978419256663</v>
      </c>
      <c r="G19" s="12" t="str">
        <f>IF(G9="","",(G9-#REF!)/#REF!)</f>
        <v/>
      </c>
      <c r="H19" s="12" t="str">
        <f>IF(H9="","",(H9-#REF!)/#REF!)</f>
        <v/>
      </c>
      <c r="I19" s="12" t="str">
        <f>IF(I9="","",(I9-#REF!)/#REF!)</f>
        <v/>
      </c>
      <c r="J19" s="11">
        <f>J9-'2015'!J39</f>
        <v>-4.3474622169450043</v>
      </c>
      <c r="K19" s="11">
        <f>K9-'2015'!K39</f>
        <v>25.847209460962205</v>
      </c>
      <c r="L19" s="11">
        <f>L9-'2015'!L39</f>
        <v>124.45932485212711</v>
      </c>
      <c r="M19" s="11" t="str">
        <f>IF(G19="","",M9-((1/Comparisons!#REF!)*1000000))</f>
        <v/>
      </c>
      <c r="N19" s="11" t="str">
        <f>IF(H19="","",N9-((1/Comparisons!#REF!)*1000000))</f>
        <v/>
      </c>
      <c r="O19" s="11" t="str">
        <f>IF(I19="","",O9-((1/Comparisons!#REF!)*1000000))</f>
        <v/>
      </c>
    </row>
    <row r="20" spans="1:15" x14ac:dyDescent="0.25">
      <c r="A20" s="9" t="s">
        <v>17</v>
      </c>
      <c r="B20" s="8" t="s">
        <v>18</v>
      </c>
      <c r="C20" s="9" t="s">
        <v>11</v>
      </c>
      <c r="D20" s="12">
        <f>IF(D10="","",(D10-'2015'!D40)/'2015'!D40)</f>
        <v>0.18206157965194109</v>
      </c>
      <c r="E20" s="12">
        <f>IF(E10="","",(E10-'2015'!E40)/'2015'!E40)</f>
        <v>-0.22529674734083552</v>
      </c>
      <c r="F20" s="12">
        <f>IF(F10="","",(F10-'2015'!F40)/'2015'!F40)</f>
        <v>-0.57965763970654827</v>
      </c>
      <c r="G20" s="12" t="str">
        <f>IF(G10="","",(G10-#REF!)/#REF!)</f>
        <v/>
      </c>
      <c r="H20" s="12" t="str">
        <f>IF(H10="","",(H10-#REF!)/#REF!)</f>
        <v/>
      </c>
      <c r="I20" s="12" t="str">
        <f>IF(I10="","",(I10-#REF!)/#REF!)</f>
        <v/>
      </c>
      <c r="J20" s="11">
        <f>J10-'2015'!J40</f>
        <v>-14.727518172782808</v>
      </c>
      <c r="K20" s="11">
        <f>K10-'2015'!K40</f>
        <v>22.415356416360112</v>
      </c>
      <c r="L20" s="11">
        <f>L10-'2015'!L40</f>
        <v>124.89929750194965</v>
      </c>
      <c r="M20" s="11" t="str">
        <f>IF(G20="","",M10-((1/Comparisons!#REF!)*1000000))</f>
        <v/>
      </c>
      <c r="N20" s="11" t="str">
        <f>IF(H20="","",N10-((1/Comparisons!#REF!)*1000000))</f>
        <v/>
      </c>
      <c r="O20" s="11" t="str">
        <f>IF(I20="","",O10-((1/Comparisons!#REF!)*1000000))</f>
        <v/>
      </c>
    </row>
    <row r="21" spans="1:15" ht="18.75" x14ac:dyDescent="0.3">
      <c r="A21" s="75" t="s">
        <v>77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93"/>
    </row>
    <row r="22" spans="1:15" x14ac:dyDescent="0.25">
      <c r="A22" s="87" t="s">
        <v>1</v>
      </c>
      <c r="B22" s="88"/>
      <c r="C22" s="89"/>
      <c r="D22" s="105" t="s">
        <v>19</v>
      </c>
      <c r="E22" s="106"/>
      <c r="F22" s="106"/>
      <c r="G22" s="106"/>
      <c r="H22" s="106"/>
      <c r="I22" s="107"/>
      <c r="J22" s="105" t="s">
        <v>22</v>
      </c>
      <c r="K22" s="106"/>
      <c r="L22" s="106"/>
      <c r="M22" s="106"/>
      <c r="N22" s="106"/>
      <c r="O22" s="107"/>
    </row>
    <row r="23" spans="1:15" x14ac:dyDescent="0.25">
      <c r="A23" s="6" t="s">
        <v>4</v>
      </c>
      <c r="B23" s="6" t="s">
        <v>5</v>
      </c>
      <c r="C23" s="6" t="s">
        <v>6</v>
      </c>
      <c r="D23" s="7">
        <v>1</v>
      </c>
      <c r="E23" s="7">
        <v>4</v>
      </c>
      <c r="F23" s="7">
        <v>16</v>
      </c>
      <c r="G23" s="7">
        <v>32</v>
      </c>
      <c r="H23" s="7">
        <v>64</v>
      </c>
      <c r="I23" s="7">
        <v>80</v>
      </c>
      <c r="J23" s="7">
        <v>1</v>
      </c>
      <c r="K23" s="7">
        <v>4</v>
      </c>
      <c r="L23" s="7">
        <v>16</v>
      </c>
      <c r="M23" s="7">
        <v>32</v>
      </c>
      <c r="N23" s="7">
        <v>64</v>
      </c>
      <c r="O23" s="7">
        <v>80</v>
      </c>
    </row>
    <row r="24" spans="1:15" x14ac:dyDescent="0.25">
      <c r="A24" s="8" t="s">
        <v>7</v>
      </c>
      <c r="B24" s="9" t="s">
        <v>8</v>
      </c>
      <c r="C24" s="9" t="s">
        <v>9</v>
      </c>
      <c r="D24" s="12">
        <f>IF(D5="","",(D5-'2015'!D127)/'2015'!D127)</f>
        <v>5.0344536633384895E-2</v>
      </c>
      <c r="E24" s="12">
        <f>IF(E5="","",(E5-'2015'!E127)/'2015'!E127)</f>
        <v>-0.55186333325899328</v>
      </c>
      <c r="F24" s="12">
        <f>IF(F5="","",(F5-'2015'!F127)/'2015'!F127)</f>
        <v>-0.7169226297175525</v>
      </c>
      <c r="G24" s="12"/>
      <c r="H24" s="12"/>
      <c r="I24" s="12"/>
      <c r="J24" s="11">
        <f>J5-'2015'!J127</f>
        <v>-1.1234109125136094</v>
      </c>
      <c r="K24" s="11">
        <f>K5-'2015'!K127</f>
        <v>27.464085461281641</v>
      </c>
      <c r="L24" s="11">
        <f>L5-'2015'!L127</f>
        <v>122.69769462905226</v>
      </c>
      <c r="M24" s="11" t="str">
        <f>IF(G24="","",M14-((1/Comparisons!#REF!)*1000000))</f>
        <v/>
      </c>
      <c r="N24" s="11" t="str">
        <f>IF(H24="","",N14-((1/Comparisons!#REF!)*1000000))</f>
        <v/>
      </c>
      <c r="O24" s="11" t="str">
        <f>IF(I24="","",O14-((1/Comparisons!#REF!)*1000000))</f>
        <v/>
      </c>
    </row>
    <row r="25" spans="1:15" x14ac:dyDescent="0.25">
      <c r="A25" s="8" t="s">
        <v>10</v>
      </c>
      <c r="B25" s="9" t="s">
        <v>8</v>
      </c>
      <c r="C25" s="9" t="s">
        <v>11</v>
      </c>
      <c r="D25" s="12">
        <f>IF(D6="","",(D6-'2015'!D128)/'2015'!D128)</f>
        <v>-0.10205310373893672</v>
      </c>
      <c r="E25" s="12">
        <f>IF(E6="","",(E6-'2015'!E128)/'2015'!E128)</f>
        <v>-0.33407106848641338</v>
      </c>
      <c r="F25" s="12">
        <f>IF(F6="","",(F6-'2015'!F128)/'2015'!F128)</f>
        <v>-0.60773526030546887</v>
      </c>
      <c r="G25" s="12"/>
      <c r="H25" s="12"/>
      <c r="I25" s="12"/>
      <c r="J25" s="11">
        <f>J6-'2015'!J128</f>
        <v>6.8427721428816426</v>
      </c>
      <c r="K25" s="11">
        <f>K6-'2015'!K128</f>
        <v>30.84112522954333</v>
      </c>
      <c r="L25" s="11">
        <f>L6-'2015'!L128</f>
        <v>127.22111373361292</v>
      </c>
      <c r="M25" s="11" t="str">
        <f>IF(G25="","",M15-((1/Comparisons!#REF!)*1000000))</f>
        <v/>
      </c>
      <c r="N25" s="11" t="str">
        <f>IF(H25="","",N15-((1/Comparisons!#REF!)*1000000))</f>
        <v/>
      </c>
      <c r="O25" s="11" t="str">
        <f>IF(I25="","",O15-((1/Comparisons!#REF!)*1000000))</f>
        <v/>
      </c>
    </row>
    <row r="26" spans="1:15" x14ac:dyDescent="0.25">
      <c r="A26" s="9" t="s">
        <v>12</v>
      </c>
      <c r="B26" s="9" t="s">
        <v>13</v>
      </c>
      <c r="C26" s="9" t="s">
        <v>9</v>
      </c>
      <c r="D26" s="12">
        <f>IF(D7="","",(D7-'2015'!D129)/'2015'!D129)</f>
        <v>-0.13419714940695704</v>
      </c>
      <c r="E26" s="12">
        <f>IF(E7="","",(E7-'2015'!E129)/'2015'!E129)</f>
        <v>-0.52260129596377547</v>
      </c>
      <c r="F26" s="12">
        <f>IF(F7="","",(F7-'2015'!F129)/'2015'!F129)</f>
        <v>-0.70035083988943225</v>
      </c>
      <c r="G26" s="12"/>
      <c r="H26" s="12"/>
      <c r="I26" s="12"/>
      <c r="J26" s="11">
        <f>J7-'2015'!J129</f>
        <v>3.0897508670125688</v>
      </c>
      <c r="K26" s="11">
        <f>K7-'2015'!K129</f>
        <v>28.487396890911718</v>
      </c>
      <c r="L26" s="11">
        <f>L7-'2015'!L129</f>
        <v>124.24176687767115</v>
      </c>
      <c r="M26" s="11" t="str">
        <f>IF(G26="","",M16-((1/Comparisons!#REF!)*1000000))</f>
        <v/>
      </c>
      <c r="N26" s="11" t="str">
        <f>IF(H26="","",N16-((1/Comparisons!#REF!)*1000000))</f>
        <v/>
      </c>
      <c r="O26" s="11" t="str">
        <f>IF(I26="","",O16-((1/Comparisons!#REF!)*1000000))</f>
        <v/>
      </c>
    </row>
    <row r="27" spans="1:15" x14ac:dyDescent="0.25">
      <c r="A27" s="9" t="s">
        <v>14</v>
      </c>
      <c r="B27" s="9" t="s">
        <v>13</v>
      </c>
      <c r="C27" s="9" t="s">
        <v>11</v>
      </c>
      <c r="D27" s="12">
        <f>IF(D8="","",(D8-'2015'!D130)/'2015'!D130)</f>
        <v>-0.15640530901011518</v>
      </c>
      <c r="E27" s="12">
        <f>IF(E8="","",(E8-'2015'!E130)/'2015'!E130)</f>
        <v>-0.32381896266930954</v>
      </c>
      <c r="F27" s="12">
        <f>IF(F8="","",(F8-'2015'!F130)/'2015'!F130)</f>
        <v>-0.57466989027338666</v>
      </c>
      <c r="G27" s="12"/>
      <c r="H27" s="12"/>
      <c r="I27" s="12"/>
      <c r="J27" s="11">
        <f>J8-'2015'!J130</f>
        <v>10.840401234413306</v>
      </c>
      <c r="K27" s="11">
        <f>K8-'2015'!K130</f>
        <v>31.641485506088472</v>
      </c>
      <c r="L27" s="11">
        <f>L8-'2015'!L130</f>
        <v>125.63836691591312</v>
      </c>
      <c r="M27" s="11" t="str">
        <f>IF(G27="","",M17-((1/Comparisons!#REF!)*1000000))</f>
        <v/>
      </c>
      <c r="N27" s="11" t="str">
        <f>IF(H27="","",N17-((1/Comparisons!#REF!)*1000000))</f>
        <v/>
      </c>
      <c r="O27" s="11" t="str">
        <f>IF(I27="","",O17-((1/Comparisons!#REF!)*1000000))</f>
        <v/>
      </c>
    </row>
    <row r="28" spans="1:15" x14ac:dyDescent="0.25">
      <c r="A28" s="9" t="s">
        <v>15</v>
      </c>
      <c r="B28" s="9" t="s">
        <v>16</v>
      </c>
      <c r="C28" s="9" t="s">
        <v>11</v>
      </c>
      <c r="D28" s="12">
        <f>IF(D9="","",(D9-'2015'!D131)/'2015'!D131)</f>
        <v>-2.5576186691713028E-2</v>
      </c>
      <c r="E28" s="12">
        <f>IF(E9="","",(E9-'2015'!E131)/'2015'!E131)</f>
        <v>-0.30352340894987245</v>
      </c>
      <c r="F28" s="12">
        <f>IF(F9="","",(F9-'2015'!F131)/'2015'!F131)</f>
        <v>-0.58974131033869681</v>
      </c>
      <c r="G28" s="12"/>
      <c r="H28" s="12"/>
      <c r="I28" s="12"/>
      <c r="J28" s="11">
        <f>J9-'2015'!J131</f>
        <v>1.8963584705058878</v>
      </c>
      <c r="K28" s="11">
        <f>K9-'2015'!K131</f>
        <v>30.048847534884928</v>
      </c>
      <c r="L28" s="11">
        <f>L9-'2015'!L131</f>
        <v>127.78793290112606</v>
      </c>
      <c r="M28" s="11" t="str">
        <f>IF(G28="","",M18-((1/Comparisons!#REF!)*1000000))</f>
        <v/>
      </c>
      <c r="N28" s="11" t="str">
        <f>IF(H28="","",N18-((1/Comparisons!#REF!)*1000000))</f>
        <v/>
      </c>
      <c r="O28" s="11" t="str">
        <f>IF(I28="","",O18-((1/Comparisons!#REF!)*1000000))</f>
        <v/>
      </c>
    </row>
    <row r="29" spans="1:15" x14ac:dyDescent="0.25">
      <c r="A29" s="9" t="s">
        <v>17</v>
      </c>
      <c r="B29" s="8" t="s">
        <v>18</v>
      </c>
      <c r="C29" s="9" t="s">
        <v>11</v>
      </c>
      <c r="D29" s="12">
        <f>IF(D10="","",(D10-'2015'!D132)/'2015'!D132)</f>
        <v>0.18285331547220363</v>
      </c>
      <c r="E29" s="12">
        <f>IF(E10="","",(E10-'2015'!E132)/'2015'!E132)</f>
        <v>-0.26149889786921382</v>
      </c>
      <c r="F29" s="12">
        <f>IF(F10="","",(F10-'2015'!F132)/'2015'!F132)</f>
        <v>-0.58380414312617701</v>
      </c>
      <c r="G29" s="12"/>
      <c r="H29" s="12"/>
      <c r="I29" s="12"/>
      <c r="J29" s="11">
        <f>J10-'2015'!J132</f>
        <v>-14.79156410550101</v>
      </c>
      <c r="K29" s="11">
        <f>K10-'2015'!K132</f>
        <v>26.017202056433575</v>
      </c>
      <c r="L29" s="11">
        <f>L10-'2015'!L132</f>
        <v>125.79274792634713</v>
      </c>
      <c r="M29" s="11" t="str">
        <f>IF(G29="","",M19-((1/Comparisons!#REF!)*1000000))</f>
        <v/>
      </c>
      <c r="N29" s="11" t="str">
        <f>IF(H29="","",N19-((1/Comparisons!#REF!)*1000000))</f>
        <v/>
      </c>
      <c r="O29" s="11" t="str">
        <f>IF(I29="","",O19-((1/Comparisons!#REF!)*1000000))</f>
        <v/>
      </c>
    </row>
    <row r="30" spans="1:15" ht="18.75" x14ac:dyDescent="0.25">
      <c r="A30" s="77" t="s">
        <v>70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84"/>
    </row>
    <row r="31" spans="1:15" ht="15.75" x14ac:dyDescent="0.25">
      <c r="A31" s="79" t="s">
        <v>88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92"/>
    </row>
    <row r="32" spans="1:15" x14ac:dyDescent="0.25">
      <c r="A32" s="87" t="s">
        <v>1</v>
      </c>
      <c r="B32" s="88"/>
      <c r="C32" s="89"/>
      <c r="D32" s="105" t="s">
        <v>2</v>
      </c>
      <c r="E32" s="106"/>
      <c r="F32" s="106"/>
      <c r="G32" s="106"/>
      <c r="H32" s="106"/>
      <c r="I32" s="107"/>
      <c r="J32" s="105" t="s">
        <v>3</v>
      </c>
      <c r="K32" s="106"/>
      <c r="L32" s="106"/>
      <c r="M32" s="106"/>
      <c r="N32" s="106"/>
      <c r="O32" s="107"/>
    </row>
    <row r="33" spans="1:15" x14ac:dyDescent="0.25">
      <c r="A33" s="6" t="s">
        <v>26</v>
      </c>
      <c r="B33" s="6" t="s">
        <v>5</v>
      </c>
      <c r="C33" s="6" t="s">
        <v>6</v>
      </c>
      <c r="D33" s="7">
        <v>1</v>
      </c>
      <c r="E33" s="7">
        <v>4</v>
      </c>
      <c r="F33" s="7">
        <v>16</v>
      </c>
      <c r="G33" s="7">
        <v>32</v>
      </c>
      <c r="H33" s="7">
        <v>64</v>
      </c>
      <c r="I33" s="7">
        <v>80</v>
      </c>
      <c r="J33" s="7">
        <v>1</v>
      </c>
      <c r="K33" s="7">
        <v>4</v>
      </c>
      <c r="L33" s="7">
        <v>16</v>
      </c>
      <c r="M33" s="7">
        <v>32</v>
      </c>
      <c r="N33" s="7">
        <v>64</v>
      </c>
      <c r="O33" s="7">
        <v>80</v>
      </c>
    </row>
    <row r="34" spans="1:15" x14ac:dyDescent="0.25">
      <c r="A34" s="8" t="s">
        <v>7</v>
      </c>
      <c r="B34" s="9" t="s">
        <v>8</v>
      </c>
      <c r="C34" s="9" t="s">
        <v>9</v>
      </c>
      <c r="D34" s="10">
        <v>45261</v>
      </c>
      <c r="E34" s="10">
        <v>19447</v>
      </c>
      <c r="F34" s="10">
        <v>5837</v>
      </c>
      <c r="G34" s="10"/>
      <c r="H34" s="10"/>
      <c r="I34" s="10"/>
      <c r="J34" s="11">
        <f t="shared" ref="J34:J39" si="6">IF(D34="","",(1/D34)*1000000)</f>
        <v>22.094076578069419</v>
      </c>
      <c r="K34" s="11">
        <f t="shared" ref="K34:K39" si="7">IF(E34="","",(1/E34)*1000000)</f>
        <v>51.421813133131074</v>
      </c>
      <c r="L34" s="11">
        <f t="shared" ref="L34:L39" si="8">IF(F34="","",(1/F34)*1000000)</f>
        <v>171.32088401576152</v>
      </c>
      <c r="M34" s="11" t="str">
        <f t="shared" ref="M34:M39" si="9">IF(G34="","",(1/G34)*1000000)</f>
        <v/>
      </c>
      <c r="N34" s="11" t="str">
        <f t="shared" ref="N34:N39" si="10">IF(H34="","",(1/H34)*1000000)</f>
        <v/>
      </c>
      <c r="O34" s="11" t="str">
        <f t="shared" ref="O34:O39" si="11">IF(I34="","",(1/I34)*1000000)</f>
        <v/>
      </c>
    </row>
    <row r="35" spans="1:15" x14ac:dyDescent="0.25">
      <c r="A35" s="8" t="s">
        <v>10</v>
      </c>
      <c r="B35" s="9" t="s">
        <v>8</v>
      </c>
      <c r="C35" s="9" t="s">
        <v>11</v>
      </c>
      <c r="D35" s="10">
        <v>14335</v>
      </c>
      <c r="E35" s="10">
        <v>10647</v>
      </c>
      <c r="F35" s="10">
        <v>4721</v>
      </c>
      <c r="G35" s="10"/>
      <c r="H35" s="10"/>
      <c r="I35" s="10"/>
      <c r="J35" s="11">
        <f t="shared" si="6"/>
        <v>69.759330310429007</v>
      </c>
      <c r="K35" s="11">
        <f t="shared" si="7"/>
        <v>93.923170846247771</v>
      </c>
      <c r="L35" s="11">
        <f t="shared" si="8"/>
        <v>211.81952976064395</v>
      </c>
      <c r="M35" s="11" t="str">
        <f t="shared" si="9"/>
        <v/>
      </c>
      <c r="N35" s="11" t="str">
        <f t="shared" si="10"/>
        <v/>
      </c>
      <c r="O35" s="11" t="str">
        <f t="shared" si="11"/>
        <v/>
      </c>
    </row>
    <row r="36" spans="1:15" x14ac:dyDescent="0.25">
      <c r="A36" s="9" t="s">
        <v>12</v>
      </c>
      <c r="B36" s="9" t="s">
        <v>13</v>
      </c>
      <c r="C36" s="9" t="s">
        <v>9</v>
      </c>
      <c r="D36" s="10">
        <v>43514</v>
      </c>
      <c r="E36" s="10">
        <v>18345</v>
      </c>
      <c r="F36" s="10">
        <v>5628</v>
      </c>
      <c r="G36" s="10"/>
      <c r="H36" s="10"/>
      <c r="I36" s="10"/>
      <c r="J36" s="11">
        <f t="shared" si="6"/>
        <v>22.981109527968009</v>
      </c>
      <c r="K36" s="11">
        <f t="shared" si="7"/>
        <v>54.510765876260564</v>
      </c>
      <c r="L36" s="11">
        <f t="shared" si="8"/>
        <v>177.68301350390902</v>
      </c>
      <c r="M36" s="11" t="str">
        <f t="shared" si="9"/>
        <v/>
      </c>
      <c r="N36" s="11" t="str">
        <f t="shared" si="10"/>
        <v/>
      </c>
      <c r="O36" s="11" t="str">
        <f t="shared" si="11"/>
        <v/>
      </c>
    </row>
    <row r="37" spans="1:15" x14ac:dyDescent="0.25">
      <c r="A37" s="9" t="s">
        <v>14</v>
      </c>
      <c r="B37" s="9" t="s">
        <v>13</v>
      </c>
      <c r="C37" s="9" t="s">
        <v>11</v>
      </c>
      <c r="D37" s="10">
        <v>14835</v>
      </c>
      <c r="E37" s="10">
        <v>10234</v>
      </c>
      <c r="F37" s="10">
        <v>4555</v>
      </c>
      <c r="G37" s="10"/>
      <c r="H37" s="10"/>
      <c r="I37" s="10"/>
      <c r="J37" s="11">
        <f t="shared" si="6"/>
        <v>67.408156386922826</v>
      </c>
      <c r="K37" s="11">
        <f t="shared" si="7"/>
        <v>97.713504006253658</v>
      </c>
      <c r="L37" s="11">
        <f t="shared" si="8"/>
        <v>219.5389681668496</v>
      </c>
      <c r="M37" s="11" t="str">
        <f t="shared" si="9"/>
        <v/>
      </c>
      <c r="N37" s="11" t="str">
        <f t="shared" si="10"/>
        <v/>
      </c>
      <c r="O37" s="11" t="str">
        <f t="shared" si="11"/>
        <v/>
      </c>
    </row>
    <row r="38" spans="1:15" x14ac:dyDescent="0.25">
      <c r="A38" s="9" t="s">
        <v>15</v>
      </c>
      <c r="B38" s="9" t="s">
        <v>16</v>
      </c>
      <c r="C38" s="9" t="s">
        <v>11</v>
      </c>
      <c r="D38" s="20">
        <v>12740</v>
      </c>
      <c r="E38" s="20">
        <v>10057</v>
      </c>
      <c r="F38" s="20">
        <v>4641</v>
      </c>
      <c r="G38" s="10"/>
      <c r="H38" s="10"/>
      <c r="I38" s="10"/>
      <c r="J38" s="11">
        <f t="shared" si="6"/>
        <v>78.492935635792776</v>
      </c>
      <c r="K38" s="11">
        <f t="shared" si="7"/>
        <v>99.433230585661718</v>
      </c>
      <c r="L38" s="11">
        <f t="shared" si="8"/>
        <v>215.47080370609783</v>
      </c>
      <c r="M38" s="11" t="str">
        <f t="shared" si="9"/>
        <v/>
      </c>
      <c r="N38" s="11" t="str">
        <f t="shared" si="10"/>
        <v/>
      </c>
      <c r="O38" s="11" t="str">
        <f t="shared" si="11"/>
        <v/>
      </c>
    </row>
    <row r="39" spans="1:15" x14ac:dyDescent="0.25">
      <c r="A39" s="9" t="s">
        <v>17</v>
      </c>
      <c r="B39" s="8" t="s">
        <v>18</v>
      </c>
      <c r="C39" s="9" t="s">
        <v>11</v>
      </c>
      <c r="D39" s="20">
        <v>13077</v>
      </c>
      <c r="E39" s="20">
        <v>9910</v>
      </c>
      <c r="F39" s="20">
        <v>4595</v>
      </c>
      <c r="G39" s="10"/>
      <c r="H39" s="10"/>
      <c r="I39" s="10"/>
      <c r="J39" s="11">
        <f t="shared" si="6"/>
        <v>76.470138410950526</v>
      </c>
      <c r="K39" s="11">
        <f t="shared" si="7"/>
        <v>100.90817356205852</v>
      </c>
      <c r="L39" s="11">
        <f t="shared" si="8"/>
        <v>217.6278563656148</v>
      </c>
      <c r="M39" s="11" t="str">
        <f t="shared" si="9"/>
        <v/>
      </c>
      <c r="N39" s="11" t="str">
        <f t="shared" si="10"/>
        <v/>
      </c>
      <c r="O39" s="11" t="str">
        <f t="shared" si="11"/>
        <v/>
      </c>
    </row>
    <row r="40" spans="1:15" x14ac:dyDescent="0.25">
      <c r="A40" s="104" t="s">
        <v>89</v>
      </c>
      <c r="B40" s="104"/>
      <c r="C40" s="104"/>
      <c r="D40" s="104"/>
      <c r="E40" s="104"/>
      <c r="F40" s="104"/>
      <c r="G40" s="104"/>
      <c r="H40" s="104"/>
      <c r="I40" s="104"/>
      <c r="J40" s="23"/>
      <c r="K40" s="23"/>
      <c r="L40" s="23"/>
      <c r="M40" s="23"/>
      <c r="N40" s="23"/>
      <c r="O40" s="23"/>
    </row>
    <row r="41" spans="1:15" ht="18.75" x14ac:dyDescent="0.3">
      <c r="A41" s="75" t="s">
        <v>61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93"/>
    </row>
    <row r="42" spans="1:15" x14ac:dyDescent="0.25">
      <c r="A42" s="87" t="s">
        <v>1</v>
      </c>
      <c r="B42" s="88"/>
      <c r="C42" s="89"/>
      <c r="D42" s="105" t="s">
        <v>19</v>
      </c>
      <c r="E42" s="106"/>
      <c r="F42" s="106"/>
      <c r="G42" s="106"/>
      <c r="H42" s="106"/>
      <c r="I42" s="107"/>
      <c r="J42" s="105" t="s">
        <v>22</v>
      </c>
      <c r="K42" s="106"/>
      <c r="L42" s="106"/>
      <c r="M42" s="106"/>
      <c r="N42" s="106"/>
      <c r="O42" s="107"/>
    </row>
    <row r="43" spans="1:15" x14ac:dyDescent="0.25">
      <c r="A43" s="6" t="s">
        <v>4</v>
      </c>
      <c r="B43" s="6" t="s">
        <v>5</v>
      </c>
      <c r="C43" s="6" t="s">
        <v>6</v>
      </c>
      <c r="D43" s="7">
        <v>1</v>
      </c>
      <c r="E43" s="7">
        <v>4</v>
      </c>
      <c r="F43" s="7">
        <v>16</v>
      </c>
      <c r="G43" s="7">
        <v>32</v>
      </c>
      <c r="H43" s="7">
        <v>64</v>
      </c>
      <c r="I43" s="7">
        <v>80</v>
      </c>
      <c r="J43" s="7">
        <v>1</v>
      </c>
      <c r="K43" s="7">
        <v>4</v>
      </c>
      <c r="L43" s="7">
        <v>16</v>
      </c>
      <c r="M43" s="7">
        <v>32</v>
      </c>
      <c r="N43" s="7">
        <v>64</v>
      </c>
      <c r="O43" s="7">
        <v>80</v>
      </c>
    </row>
    <row r="44" spans="1:15" x14ac:dyDescent="0.25">
      <c r="A44" s="8" t="s">
        <v>7</v>
      </c>
      <c r="B44" s="9" t="s">
        <v>8</v>
      </c>
      <c r="C44" s="9" t="s">
        <v>9</v>
      </c>
      <c r="D44" s="12">
        <f>IF(D34="","",(D34-'2015'!D35)/'2015'!D35)</f>
        <v>6.0821262832231757E-2</v>
      </c>
      <c r="E44" s="12">
        <f>IF(E34="","",(E34-'2015'!E35)/'2015'!E35)</f>
        <v>-0.54781779710279721</v>
      </c>
      <c r="F44" s="12">
        <f>IF(F34="","",(F34-'2015'!F35)/'2015'!F35)</f>
        <v>-0.71721331330846372</v>
      </c>
      <c r="G44" s="12" t="str">
        <f>IF(G34="","",(G34-#REF!)/#REF!)</f>
        <v/>
      </c>
      <c r="H44" s="12" t="str">
        <f>IF(H34="","",(H34-#REF!)/#REF!)</f>
        <v/>
      </c>
      <c r="I44" s="12" t="str">
        <f>IF(I34="","",(I34-#REF!)/#REF!)</f>
        <v/>
      </c>
      <c r="J44" s="11">
        <f>J34-'2015'!J6</f>
        <v>-38.416633817670622</v>
      </c>
      <c r="K44" s="11">
        <f>K34-'2015'!K6</f>
        <v>-13.988966563362915</v>
      </c>
      <c r="L44" s="11">
        <f>L34-'2015'!L6</f>
        <v>91.237597397678712</v>
      </c>
      <c r="M44" s="11" t="str">
        <f>IF(G44="","",M34-((1/Comparisons!#REF!)*1000000))</f>
        <v/>
      </c>
      <c r="N44" s="11" t="str">
        <f>IF(H44="","",N34-((1/Comparisons!#REF!)*1000000))</f>
        <v/>
      </c>
      <c r="O44" s="11" t="str">
        <f>IF(I44="","",O34-((1/Comparisons!#REF!)*1000000))</f>
        <v/>
      </c>
    </row>
    <row r="45" spans="1:15" x14ac:dyDescent="0.25">
      <c r="A45" s="8" t="s">
        <v>10</v>
      </c>
      <c r="B45" s="9" t="s">
        <v>8</v>
      </c>
      <c r="C45" s="9" t="s">
        <v>11</v>
      </c>
      <c r="D45" s="12">
        <f>IF(D35="","",(D35-'2015'!D36)/'2015'!D36)</f>
        <v>-0.11914710581295318</v>
      </c>
      <c r="E45" s="12">
        <f>IF(E35="","",(E35-'2015'!E36)/'2015'!E36)</f>
        <v>-0.30357142857142855</v>
      </c>
      <c r="F45" s="12">
        <f>IF(F35="","",(F35-'2015'!F36)/'2015'!F36)</f>
        <v>-0.61341303635768096</v>
      </c>
      <c r="G45" s="12" t="str">
        <f>IF(G35="","",(G35-#REF!)/#REF!)</f>
        <v/>
      </c>
      <c r="H45" s="12" t="str">
        <f>IF(H35="","",(H35-#REF!)/#REF!)</f>
        <v/>
      </c>
      <c r="I45" s="12" t="str">
        <f>IF(I35="","",(I35-#REF!)/#REF!)</f>
        <v/>
      </c>
      <c r="J45" s="11">
        <f>J35-'2015'!J7</f>
        <v>49.527473228267439</v>
      </c>
      <c r="K45" s="11">
        <f>K35-'2015'!K7</f>
        <v>64.777149278191814</v>
      </c>
      <c r="L45" s="11">
        <f>L35-'2015'!L7</f>
        <v>155.64606610487493</v>
      </c>
      <c r="M45" s="11" t="str">
        <f>IF(G45="","",M35-((1/Comparisons!#REF!)*1000000))</f>
        <v/>
      </c>
      <c r="N45" s="11" t="str">
        <f>IF(H45="","",N35-((1/Comparisons!#REF!)*1000000))</f>
        <v/>
      </c>
      <c r="O45" s="11" t="str">
        <f>IF(I45="","",O35-((1/Comparisons!#REF!)*1000000))</f>
        <v/>
      </c>
    </row>
    <row r="46" spans="1:15" x14ac:dyDescent="0.25">
      <c r="A46" s="9" t="s">
        <v>12</v>
      </c>
      <c r="B46" s="9" t="s">
        <v>13</v>
      </c>
      <c r="C46" s="9" t="s">
        <v>9</v>
      </c>
      <c r="D46" s="12">
        <f>IF(D36="","",(D36-'2015'!D37)/'2015'!D37)</f>
        <v>-0.12822053932764355</v>
      </c>
      <c r="E46" s="12">
        <f>IF(E36="","",(E36-'2015'!E37)/'2015'!E37)</f>
        <v>-0.50565885206143901</v>
      </c>
      <c r="F46" s="12">
        <f>IF(F36="","",(F36-'2015'!F37)/'2015'!F37)</f>
        <v>-0.70427197730019442</v>
      </c>
      <c r="G46" s="12" t="str">
        <f>IF(G36="","",(G36-#REF!)/#REF!)</f>
        <v/>
      </c>
      <c r="H46" s="12" t="str">
        <f>IF(H36="","",(H36-#REF!)/#REF!)</f>
        <v/>
      </c>
      <c r="I46" s="12" t="str">
        <f>IF(I36="","",(I36-#REF!)/#REF!)</f>
        <v/>
      </c>
      <c r="J46" s="11">
        <f>J36-'2015'!J8</f>
        <v>-37.227211261965159</v>
      </c>
      <c r="K46" s="11">
        <f>K36-'2015'!K8</f>
        <v>-17.73834907208132</v>
      </c>
      <c r="L46" s="11">
        <f>L36-'2015'!L8</f>
        <v>85.124701767515091</v>
      </c>
      <c r="M46" s="11" t="str">
        <f>IF(G46="","",M36-((1/Comparisons!#REF!)*1000000))</f>
        <v/>
      </c>
      <c r="N46" s="11" t="str">
        <f>IF(H46="","",N36-((1/Comparisons!#REF!)*1000000))</f>
        <v/>
      </c>
      <c r="O46" s="11" t="str">
        <f>IF(I46="","",O36-((1/Comparisons!#REF!)*1000000))</f>
        <v/>
      </c>
    </row>
    <row r="47" spans="1:15" x14ac:dyDescent="0.25">
      <c r="A47" s="9" t="s">
        <v>14</v>
      </c>
      <c r="B47" s="9" t="s">
        <v>13</v>
      </c>
      <c r="C47" s="9" t="s">
        <v>11</v>
      </c>
      <c r="D47" s="12">
        <f>IF(D37="","",(D37-'2015'!D38)/'2015'!D38)</f>
        <v>-2.6319243896035707E-2</v>
      </c>
      <c r="E47" s="12">
        <f>IF(E37="","",(E37-'2015'!E38)/'2015'!E38)</f>
        <v>-0.28925619834710742</v>
      </c>
      <c r="F47" s="12">
        <f>IF(F37="","",(F37-'2015'!F38)/'2015'!F38)</f>
        <v>-0.57991330812505759</v>
      </c>
      <c r="G47" s="12" t="str">
        <f>IF(G37="","",(G37-#REF!)/#REF!)</f>
        <v/>
      </c>
      <c r="H47" s="12" t="str">
        <f>IF(H37="","",(H37-#REF!)/#REF!)</f>
        <v/>
      </c>
      <c r="I47" s="12" t="str">
        <f>IF(I37="","",(I37-#REF!)/#REF!)</f>
        <v/>
      </c>
      <c r="J47" s="11">
        <f>J37-'2015'!J9</f>
        <v>-7.324673745354275</v>
      </c>
      <c r="K47" s="11">
        <f>K37-'2015'!K9</f>
        <v>24.560614467116849</v>
      </c>
      <c r="L47" s="11">
        <f>L37-'2015'!L9</f>
        <v>127.31356929199947</v>
      </c>
      <c r="M47" s="11" t="str">
        <f>IF(G47="","",M37-((1/Comparisons!#REF!)*1000000))</f>
        <v/>
      </c>
      <c r="N47" s="11" t="str">
        <f>IF(H47="","",N37-((1/Comparisons!#REF!)*1000000))</f>
        <v/>
      </c>
      <c r="O47" s="11" t="str">
        <f>IF(I47="","",O37-((1/Comparisons!#REF!)*1000000))</f>
        <v/>
      </c>
    </row>
    <row r="48" spans="1:15" x14ac:dyDescent="0.25">
      <c r="A48" s="9" t="s">
        <v>15</v>
      </c>
      <c r="B48" s="9" t="s">
        <v>16</v>
      </c>
      <c r="C48" s="9" t="s">
        <v>11</v>
      </c>
      <c r="D48" s="12">
        <f>IF(D38="","",(D38-'2015'!D39)/'2015'!D39)</f>
        <v>0</v>
      </c>
      <c r="E48" s="12">
        <f>IF(E38="","",(E38-'2015'!E39)/'2015'!E39)</f>
        <v>-0.26430138990490126</v>
      </c>
      <c r="F48" s="12">
        <f>IF(F38="","",(F38-'2015'!F39)/'2015'!F39)</f>
        <v>-0.57198192382182056</v>
      </c>
      <c r="G48" s="12" t="str">
        <f>IF(G38="","",(G38-#REF!)/#REF!)</f>
        <v/>
      </c>
      <c r="H48" s="12" t="str">
        <f>IF(H38="","",(H38-#REF!)/#REF!)</f>
        <v/>
      </c>
      <c r="I48" s="12" t="str">
        <f>IF(I38="","",(I38-#REF!)/#REF!)</f>
        <v/>
      </c>
      <c r="J48" s="11">
        <f>J38-'2015'!J10</f>
        <v>-16.347732042507687</v>
      </c>
      <c r="K48" s="11">
        <f>K38-'2015'!K10</f>
        <v>23.428062234213826</v>
      </c>
      <c r="L48" s="11">
        <f>L38-'2015'!L10</f>
        <v>98.662019685539477</v>
      </c>
      <c r="M48" s="11" t="str">
        <f>IF(G48="","",M38-((1/Comparisons!#REF!)*1000000))</f>
        <v/>
      </c>
      <c r="N48" s="11" t="str">
        <f>IF(H48="","",N38-((1/Comparisons!#REF!)*1000000))</f>
        <v/>
      </c>
      <c r="O48" s="11" t="str">
        <f>IF(I48="","",O38-((1/Comparisons!#REF!)*1000000))</f>
        <v/>
      </c>
    </row>
    <row r="49" spans="1:15" x14ac:dyDescent="0.25">
      <c r="A49" s="9" t="s">
        <v>17</v>
      </c>
      <c r="B49" s="8" t="s">
        <v>18</v>
      </c>
      <c r="C49" s="9" t="s">
        <v>11</v>
      </c>
      <c r="D49" s="12">
        <f>IF(D39="","",(D39-'2015'!D40)/'2015'!D40)</f>
        <v>0.25043029259896732</v>
      </c>
      <c r="E49" s="12">
        <f>IF(E39="","",(E39-'2015'!E40)/'2015'!E40)</f>
        <v>-0.23616463696624018</v>
      </c>
      <c r="F49" s="12">
        <f>IF(F39="","",(F39-'2015'!F40)/'2015'!F40)</f>
        <v>-0.58382392899193913</v>
      </c>
      <c r="G49" s="12" t="str">
        <f>IF(G39="","",(G39-#REF!)/#REF!)</f>
        <v/>
      </c>
      <c r="H49" s="12" t="str">
        <f>IF(H39="","",(H39-#REF!)/#REF!)</f>
        <v/>
      </c>
      <c r="I49" s="12" t="str">
        <f>IF(I39="","",(I39-#REF!)/#REF!)</f>
        <v/>
      </c>
      <c r="J49" s="11">
        <f>J39-'2015'!J11</f>
        <v>76.470138410950526</v>
      </c>
      <c r="K49" s="11">
        <f>K39-'2015'!K11</f>
        <v>100.90817356205852</v>
      </c>
      <c r="L49" s="11">
        <f>L39-'2015'!L11</f>
        <v>217.6278563656148</v>
      </c>
      <c r="M49" s="11" t="str">
        <f>IF(G49="","",M39-((1/Comparisons!#REF!)*1000000))</f>
        <v/>
      </c>
      <c r="N49" s="11" t="str">
        <f>IF(H49="","",N39-((1/Comparisons!#REF!)*1000000))</f>
        <v/>
      </c>
      <c r="O49" s="11" t="str">
        <f>IF(I49="","",O39-((1/Comparisons!#REF!)*1000000))</f>
        <v/>
      </c>
    </row>
    <row r="50" spans="1:15" ht="18.75" x14ac:dyDescent="0.3">
      <c r="A50" s="75" t="s">
        <v>77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93"/>
    </row>
    <row r="51" spans="1:15" x14ac:dyDescent="0.25">
      <c r="A51" s="87" t="s">
        <v>1</v>
      </c>
      <c r="B51" s="88"/>
      <c r="C51" s="89"/>
      <c r="D51" s="105" t="s">
        <v>19</v>
      </c>
      <c r="E51" s="106"/>
      <c r="F51" s="106"/>
      <c r="G51" s="106"/>
      <c r="H51" s="106"/>
      <c r="I51" s="107"/>
      <c r="J51" s="105" t="s">
        <v>22</v>
      </c>
      <c r="K51" s="106"/>
      <c r="L51" s="106"/>
      <c r="M51" s="106"/>
      <c r="N51" s="106"/>
      <c r="O51" s="107"/>
    </row>
    <row r="52" spans="1:15" x14ac:dyDescent="0.25">
      <c r="A52" s="6" t="s">
        <v>4</v>
      </c>
      <c r="B52" s="6" t="s">
        <v>5</v>
      </c>
      <c r="C52" s="6" t="s">
        <v>6</v>
      </c>
      <c r="D52" s="7">
        <v>1</v>
      </c>
      <c r="E52" s="7">
        <v>4</v>
      </c>
      <c r="F52" s="7">
        <v>16</v>
      </c>
      <c r="G52" s="7">
        <v>32</v>
      </c>
      <c r="H52" s="7">
        <v>64</v>
      </c>
      <c r="I52" s="7">
        <v>80</v>
      </c>
      <c r="J52" s="7">
        <v>1</v>
      </c>
      <c r="K52" s="7">
        <v>4</v>
      </c>
      <c r="L52" s="7">
        <v>16</v>
      </c>
      <c r="M52" s="7">
        <v>32</v>
      </c>
      <c r="N52" s="7">
        <v>64</v>
      </c>
      <c r="O52" s="7">
        <v>80</v>
      </c>
    </row>
    <row r="53" spans="1:15" x14ac:dyDescent="0.25">
      <c r="A53" s="8" t="s">
        <v>7</v>
      </c>
      <c r="B53" s="9" t="s">
        <v>8</v>
      </c>
      <c r="C53" s="9" t="s">
        <v>9</v>
      </c>
      <c r="D53" s="12">
        <f>IF(D34="","",(D34-'2015'!D127)/'2015'!D127)</f>
        <v>6.0821262832231757E-2</v>
      </c>
      <c r="E53" s="12">
        <f>IF(E34="","",(E34-'2015'!E127)/'2015'!E127)</f>
        <v>-0.56629273623408194</v>
      </c>
      <c r="F53" s="12">
        <f>IF(F34="","",(F34-'2015'!F127)/'2015'!F127)</f>
        <v>-0.71721331330846372</v>
      </c>
      <c r="G53" s="12"/>
      <c r="H53" s="12"/>
      <c r="I53" s="12"/>
      <c r="J53" s="11">
        <f>J34-'2015'!J98</f>
        <v>21.963993179841438</v>
      </c>
      <c r="K53" s="11">
        <f>K34-'2015'!K98</f>
        <v>52.155720817391042</v>
      </c>
      <c r="L53" s="11">
        <f>L34-'2015'!L98</f>
        <v>170.97626641724744</v>
      </c>
      <c r="M53" s="11" t="str">
        <f>IF(G53="","",M43-((1/Comparisons!#REF!)*1000000))</f>
        <v/>
      </c>
      <c r="N53" s="11" t="str">
        <f>IF(H53="","",N43-((1/Comparisons!#REF!)*1000000))</f>
        <v/>
      </c>
      <c r="O53" s="11" t="str">
        <f>IF(I53="","",O43-((1/Comparisons!#REF!)*1000000))</f>
        <v/>
      </c>
    </row>
    <row r="54" spans="1:15" x14ac:dyDescent="0.25">
      <c r="A54" s="8" t="s">
        <v>10</v>
      </c>
      <c r="B54" s="9" t="s">
        <v>8</v>
      </c>
      <c r="C54" s="9" t="s">
        <v>11</v>
      </c>
      <c r="D54" s="12">
        <f>IF(D35="","",(D35-'2015'!D128)/'2015'!D128)</f>
        <v>-0.13691372147630804</v>
      </c>
      <c r="E54" s="12">
        <f>IF(E35="","",(E35-'2015'!E128)/'2015'!E128)</f>
        <v>-0.34544448542973072</v>
      </c>
      <c r="F54" s="12">
        <f>IF(F35="","",(F35-'2015'!F128)/'2015'!F128)</f>
        <v>-0.61233371653801938</v>
      </c>
      <c r="G54" s="12" t="str">
        <f>IF(G44="","",(G44-#REF!)/#REF!)</f>
        <v/>
      </c>
      <c r="H54" s="12" t="str">
        <f>IF(H44="","",(H44-#REF!)/#REF!)</f>
        <v/>
      </c>
      <c r="I54" s="12" t="str">
        <f>IF(I44="","",(I44-#REF!)/#REF!)</f>
        <v/>
      </c>
      <c r="J54" s="11">
        <f>J35-'2015'!J99</f>
        <v>62.782260013510069</v>
      </c>
      <c r="K54" s="11">
        <f>K35-'2015'!K99</f>
        <v>87.274728697532368</v>
      </c>
      <c r="L54" s="11">
        <f>L35-'2015'!L99</f>
        <v>200.00830774494059</v>
      </c>
      <c r="M54" s="11" t="str">
        <f>IF(G54="","",M44-((1/Comparisons!#REF!)*1000000))</f>
        <v/>
      </c>
      <c r="N54" s="11" t="str">
        <f>IF(H54="","",N44-((1/Comparisons!#REF!)*1000000))</f>
        <v/>
      </c>
      <c r="O54" s="11" t="str">
        <f>IF(I54="","",O44-((1/Comparisons!#REF!)*1000000))</f>
        <v/>
      </c>
    </row>
    <row r="55" spans="1:15" x14ac:dyDescent="0.25">
      <c r="A55" s="9" t="s">
        <v>12</v>
      </c>
      <c r="B55" s="9" t="s">
        <v>13</v>
      </c>
      <c r="C55" s="9" t="s">
        <v>9</v>
      </c>
      <c r="D55" s="12">
        <f>IF(D36="","",(D36-'2015'!D129)/'2015'!D129)</f>
        <v>-0.1325824778231835</v>
      </c>
      <c r="E55" s="12">
        <f>IF(E36="","",(E36-'2015'!E129)/'2015'!E129)</f>
        <v>-0.52260129596377547</v>
      </c>
      <c r="F55" s="12">
        <f>IF(F36="","",(F36-'2015'!F129)/'2015'!F129)</f>
        <v>-0.70082925792047635</v>
      </c>
      <c r="G55" s="12" t="str">
        <f>IF(G45="","",(G45-#REF!)/#REF!)</f>
        <v/>
      </c>
      <c r="H55" s="12" t="str">
        <f>IF(H45="","",(H45-#REF!)/#REF!)</f>
        <v/>
      </c>
      <c r="I55" s="12" t="str">
        <f>IF(I45="","",(I45-#REF!)/#REF!)</f>
        <v/>
      </c>
      <c r="J55" s="11">
        <f>J36-'2015'!J100</f>
        <v>26.741215031483684</v>
      </c>
      <c r="K55" s="11">
        <f>K36-'2015'!K100</f>
        <v>59.922156973451834</v>
      </c>
      <c r="L55" s="11">
        <f>L36-'2015'!L100</f>
        <v>180.23035659900847</v>
      </c>
      <c r="M55" s="11" t="str">
        <f>IF(G55="","",M45-((1/Comparisons!#REF!)*1000000))</f>
        <v/>
      </c>
      <c r="N55" s="11" t="str">
        <f>IF(H55="","",N45-((1/Comparisons!#REF!)*1000000))</f>
        <v/>
      </c>
      <c r="O55" s="11" t="str">
        <f>IF(I55="","",O45-((1/Comparisons!#REF!)*1000000))</f>
        <v/>
      </c>
    </row>
    <row r="56" spans="1:15" x14ac:dyDescent="0.25">
      <c r="A56" s="9" t="s">
        <v>14</v>
      </c>
      <c r="B56" s="9" t="s">
        <v>13</v>
      </c>
      <c r="C56" s="9" t="s">
        <v>11</v>
      </c>
      <c r="D56" s="12">
        <f>IF(D37="","",(D37-'2015'!D130)/'2015'!D130)</f>
        <v>-0.13260831433081915</v>
      </c>
      <c r="E56" s="12">
        <f>IF(E37="","",(E37-'2015'!E130)/'2015'!E130)</f>
        <v>-0.32381896266930954</v>
      </c>
      <c r="F56" s="12">
        <f>IF(F37="","",(F37-'2015'!F130)/'2015'!F130)</f>
        <v>-0.5764366747256835</v>
      </c>
      <c r="G56" s="12" t="str">
        <f>IF(G46="","",(G46-#REF!)/#REF!)</f>
        <v/>
      </c>
      <c r="H56" s="12" t="str">
        <f>IF(H46="","",(H46-#REF!)/#REF!)</f>
        <v/>
      </c>
      <c r="I56" s="12" t="str">
        <f>IF(I46="","",(I46-#REF!)/#REF!)</f>
        <v/>
      </c>
      <c r="J56" s="11">
        <f>J37-'2015'!J101</f>
        <v>73.350678155460528</v>
      </c>
      <c r="K56" s="11">
        <f>K37-'2015'!K101</f>
        <v>103.71752999053867</v>
      </c>
      <c r="L56" s="11">
        <f>L37-'2015'!L101</f>
        <v>220.43241859124709</v>
      </c>
      <c r="M56" s="11" t="str">
        <f>IF(G56="","",M46-((1/Comparisons!#REF!)*1000000))</f>
        <v/>
      </c>
      <c r="N56" s="11" t="str">
        <f>IF(H56="","",N46-((1/Comparisons!#REF!)*1000000))</f>
        <v/>
      </c>
      <c r="O56" s="11" t="str">
        <f>IF(I56="","",O46-((1/Comparisons!#REF!)*1000000))</f>
        <v/>
      </c>
    </row>
    <row r="57" spans="1:15" x14ac:dyDescent="0.25">
      <c r="A57" s="9" t="s">
        <v>15</v>
      </c>
      <c r="B57" s="9" t="s">
        <v>16</v>
      </c>
      <c r="C57" s="9" t="s">
        <v>11</v>
      </c>
      <c r="D57" s="12">
        <f>IF(D38="","",(D38-'2015'!D131)/'2015'!D131)</f>
        <v>-7.9546275558124407E-2</v>
      </c>
      <c r="E57" s="12">
        <f>IF(E38="","",(E38-'2015'!E131)/'2015'!E131)</f>
        <v>-0.30655726401434186</v>
      </c>
      <c r="F57" s="12">
        <f>IF(F38="","",(F38-'2015'!F131)/'2015'!F131)</f>
        <v>-0.5874299937772246</v>
      </c>
      <c r="G57" s="12" t="str">
        <f>IF(G47="","",(G47-#REF!)/#REF!)</f>
        <v/>
      </c>
      <c r="H57" s="12" t="str">
        <f>IF(H47="","",(H47-#REF!)/#REF!)</f>
        <v/>
      </c>
      <c r="I57" s="12" t="str">
        <f>IF(I47="","",(I47-#REF!)/#REF!)</f>
        <v/>
      </c>
      <c r="J57" s="11">
        <f>J38-'2015'!J102</f>
        <v>78.492935635792776</v>
      </c>
      <c r="K57" s="11">
        <f>K38-'2015'!K102</f>
        <v>99.433230585661718</v>
      </c>
      <c r="L57" s="11">
        <f>L38-'2015'!L102</f>
        <v>215.47080370609783</v>
      </c>
      <c r="M57" s="11" t="str">
        <f>IF(G57="","",M47-((1/Comparisons!#REF!)*1000000))</f>
        <v/>
      </c>
      <c r="N57" s="11" t="str">
        <f>IF(H57="","",N47-((1/Comparisons!#REF!)*1000000))</f>
        <v/>
      </c>
      <c r="O57" s="11" t="str">
        <f>IF(I57="","",O47-((1/Comparisons!#REF!)*1000000))</f>
        <v/>
      </c>
    </row>
    <row r="58" spans="1:15" x14ac:dyDescent="0.25">
      <c r="A58" s="9" t="s">
        <v>17</v>
      </c>
      <c r="B58" s="8" t="s">
        <v>18</v>
      </c>
      <c r="C58" s="9" t="s">
        <v>11</v>
      </c>
      <c r="D58" s="12">
        <f>IF(D39="","",(D39-'2015'!D132)/'2015'!D132)</f>
        <v>0.25126782126112335</v>
      </c>
      <c r="E58" s="12">
        <f>IF(E39="","",(E39-'2015'!E132)/'2015'!E132)</f>
        <v>-0.27185892725936811</v>
      </c>
      <c r="F58" s="12">
        <f>IF(F39="","",(F39-'2015'!F132)/'2015'!F132)</f>
        <v>-0.58792933369204559</v>
      </c>
      <c r="G58" s="12" t="str">
        <f>IF(G48="","",(G48-#REF!)/#REF!)</f>
        <v/>
      </c>
      <c r="H58" s="12" t="str">
        <f>IF(H48="","",(H48-#REF!)/#REF!)</f>
        <v/>
      </c>
      <c r="I58" s="12" t="str">
        <f>IF(I48="","",(I48-#REF!)/#REF!)</f>
        <v/>
      </c>
      <c r="J58" s="11">
        <f>J39-'2015'!J103</f>
        <v>76.470138410950526</v>
      </c>
      <c r="K58" s="11">
        <f>K39-'2015'!K103</f>
        <v>100.90817356205852</v>
      </c>
      <c r="L58" s="11">
        <f>L39-'2015'!L103</f>
        <v>217.6278563656148</v>
      </c>
      <c r="M58" s="11" t="str">
        <f>IF(G58="","",M48-((1/Comparisons!#REF!)*1000000))</f>
        <v/>
      </c>
      <c r="N58" s="11" t="str">
        <f>IF(H58="","",N48-((1/Comparisons!#REF!)*1000000))</f>
        <v/>
      </c>
      <c r="O58" s="11" t="str">
        <f>IF(I58="","",O48-((1/Comparisons!#REF!)*1000000))</f>
        <v/>
      </c>
    </row>
    <row r="59" spans="1:15" ht="18.75" x14ac:dyDescent="0.25">
      <c r="A59" s="77" t="s">
        <v>70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84"/>
    </row>
    <row r="60" spans="1:15" ht="15.75" x14ac:dyDescent="0.25">
      <c r="A60" s="79" t="s">
        <v>83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92"/>
    </row>
    <row r="61" spans="1:15" x14ac:dyDescent="0.25">
      <c r="A61" s="72" t="s">
        <v>1</v>
      </c>
      <c r="B61" s="72"/>
      <c r="C61" s="72"/>
      <c r="D61" s="73" t="s">
        <v>2</v>
      </c>
      <c r="E61" s="73"/>
      <c r="F61" s="73"/>
      <c r="G61" s="73"/>
      <c r="H61" s="73"/>
      <c r="I61" s="73"/>
      <c r="J61" s="73" t="s">
        <v>3</v>
      </c>
      <c r="K61" s="73"/>
      <c r="L61" s="73"/>
      <c r="M61" s="73"/>
      <c r="N61" s="73"/>
      <c r="O61" s="73"/>
    </row>
    <row r="62" spans="1:15" x14ac:dyDescent="0.25">
      <c r="A62" s="6" t="s">
        <v>26</v>
      </c>
      <c r="B62" s="6" t="s">
        <v>5</v>
      </c>
      <c r="C62" s="6" t="s">
        <v>6</v>
      </c>
      <c r="D62" s="7">
        <v>1</v>
      </c>
      <c r="E62" s="7">
        <v>4</v>
      </c>
      <c r="F62" s="7">
        <v>16</v>
      </c>
      <c r="G62" s="7">
        <v>32</v>
      </c>
      <c r="H62" s="7">
        <v>64</v>
      </c>
      <c r="I62" s="7">
        <v>80</v>
      </c>
      <c r="J62" s="7">
        <v>1</v>
      </c>
      <c r="K62" s="7">
        <v>4</v>
      </c>
      <c r="L62" s="7">
        <v>16</v>
      </c>
      <c r="M62" s="7">
        <v>32</v>
      </c>
      <c r="N62" s="7">
        <v>64</v>
      </c>
      <c r="O62" s="7">
        <v>80</v>
      </c>
    </row>
    <row r="63" spans="1:15" x14ac:dyDescent="0.25">
      <c r="A63" s="8" t="s">
        <v>7</v>
      </c>
      <c r="B63" s="9" t="s">
        <v>8</v>
      </c>
      <c r="C63" s="9" t="s">
        <v>9</v>
      </c>
      <c r="D63" s="10">
        <v>50943</v>
      </c>
      <c r="E63" s="10">
        <v>43563</v>
      </c>
      <c r="F63" s="10">
        <v>20623</v>
      </c>
      <c r="G63" s="10"/>
      <c r="H63" s="10"/>
      <c r="I63" s="10"/>
      <c r="J63" s="11">
        <f t="shared" ref="J63:J68" si="12">IF(D63="","",(1/D63)*1000000)</f>
        <v>19.62978230571423</v>
      </c>
      <c r="K63" s="11">
        <f t="shared" ref="K63:K68" si="13">IF(E63="","",(1/E63)*1000000)</f>
        <v>22.955260197874345</v>
      </c>
      <c r="L63" s="11">
        <f t="shared" ref="L63:L68" si="14">IF(F63="","",(1/F63)*1000000)</f>
        <v>48.489550501866844</v>
      </c>
      <c r="M63" s="11" t="str">
        <f t="shared" ref="M63:M68" si="15">IF(G63="","",(1/G63)*1000000)</f>
        <v/>
      </c>
      <c r="N63" s="11" t="str">
        <f t="shared" ref="N63:N68" si="16">IF(H63="","",(1/H63)*1000000)</f>
        <v/>
      </c>
      <c r="O63" s="11" t="str">
        <f t="shared" ref="O63:O68" si="17">IF(I63="","",(1/I63)*1000000)</f>
        <v/>
      </c>
    </row>
    <row r="64" spans="1:15" x14ac:dyDescent="0.25">
      <c r="A64" s="8" t="s">
        <v>10</v>
      </c>
      <c r="B64" s="9" t="s">
        <v>8</v>
      </c>
      <c r="C64" s="9" t="s">
        <v>11</v>
      </c>
      <c r="D64" s="10">
        <v>14811</v>
      </c>
      <c r="E64" s="10">
        <v>14263</v>
      </c>
      <c r="F64" s="10">
        <v>11082</v>
      </c>
      <c r="G64" s="10"/>
      <c r="H64" s="10"/>
      <c r="I64" s="10"/>
      <c r="J64" s="11">
        <f t="shared" si="12"/>
        <v>67.517385726824656</v>
      </c>
      <c r="K64" s="11">
        <f t="shared" si="13"/>
        <v>70.111477248825636</v>
      </c>
      <c r="L64" s="11">
        <f t="shared" si="14"/>
        <v>90.23641941887746</v>
      </c>
      <c r="M64" s="11" t="str">
        <f t="shared" si="15"/>
        <v/>
      </c>
      <c r="N64" s="11" t="str">
        <f t="shared" si="16"/>
        <v/>
      </c>
      <c r="O64" s="11" t="str">
        <f t="shared" si="17"/>
        <v/>
      </c>
    </row>
    <row r="65" spans="1:15" x14ac:dyDescent="0.25">
      <c r="A65" s="9" t="s">
        <v>12</v>
      </c>
      <c r="B65" s="9" t="s">
        <v>13</v>
      </c>
      <c r="C65" s="9" t="s">
        <v>9</v>
      </c>
      <c r="D65" s="10">
        <v>49506</v>
      </c>
      <c r="E65" s="10">
        <v>36914</v>
      </c>
      <c r="F65" s="10">
        <v>18254</v>
      </c>
      <c r="G65" s="10"/>
      <c r="H65" s="10"/>
      <c r="I65" s="10"/>
      <c r="J65" s="11">
        <f t="shared" si="12"/>
        <v>20.199571769078496</v>
      </c>
      <c r="K65" s="11">
        <f t="shared" si="13"/>
        <v>27.089992956601829</v>
      </c>
      <c r="L65" s="11">
        <f t="shared" si="14"/>
        <v>54.782513421715791</v>
      </c>
      <c r="M65" s="11" t="str">
        <f t="shared" si="15"/>
        <v/>
      </c>
      <c r="N65" s="11" t="str">
        <f t="shared" si="16"/>
        <v/>
      </c>
      <c r="O65" s="11" t="str">
        <f t="shared" si="17"/>
        <v/>
      </c>
    </row>
    <row r="66" spans="1:15" x14ac:dyDescent="0.25">
      <c r="A66" s="9" t="s">
        <v>14</v>
      </c>
      <c r="B66" s="9" t="s">
        <v>13</v>
      </c>
      <c r="C66" s="9" t="s">
        <v>11</v>
      </c>
      <c r="D66" s="10">
        <v>14663</v>
      </c>
      <c r="E66" s="10">
        <v>13447</v>
      </c>
      <c r="F66" s="10">
        <v>9981</v>
      </c>
      <c r="G66" s="10"/>
      <c r="H66" s="10"/>
      <c r="I66" s="10"/>
      <c r="J66" s="11">
        <f t="shared" si="12"/>
        <v>68.198867898792884</v>
      </c>
      <c r="K66" s="11">
        <f t="shared" si="13"/>
        <v>74.36602959767977</v>
      </c>
      <c r="L66" s="11">
        <f t="shared" si="14"/>
        <v>100.19036168720568</v>
      </c>
      <c r="M66" s="11" t="str">
        <f t="shared" si="15"/>
        <v/>
      </c>
      <c r="N66" s="11" t="str">
        <f t="shared" si="16"/>
        <v/>
      </c>
      <c r="O66" s="11" t="str">
        <f t="shared" si="17"/>
        <v/>
      </c>
    </row>
    <row r="67" spans="1:15" x14ac:dyDescent="0.25">
      <c r="A67" s="9" t="s">
        <v>15</v>
      </c>
      <c r="B67" s="9" t="s">
        <v>16</v>
      </c>
      <c r="C67" s="9" t="s">
        <v>11</v>
      </c>
      <c r="D67" s="20">
        <v>13249</v>
      </c>
      <c r="E67" s="20">
        <v>13371</v>
      </c>
      <c r="F67" s="20">
        <v>10303</v>
      </c>
      <c r="G67" s="10"/>
      <c r="H67" s="10"/>
      <c r="I67" s="10"/>
      <c r="J67" s="11">
        <f t="shared" si="12"/>
        <v>75.47739452034115</v>
      </c>
      <c r="K67" s="11">
        <f t="shared" si="13"/>
        <v>74.788721860743394</v>
      </c>
      <c r="L67" s="11">
        <f t="shared" si="14"/>
        <v>97.059108997379411</v>
      </c>
      <c r="M67" s="11" t="str">
        <f t="shared" si="15"/>
        <v/>
      </c>
      <c r="N67" s="11" t="str">
        <f t="shared" si="16"/>
        <v/>
      </c>
      <c r="O67" s="11" t="str">
        <f t="shared" si="17"/>
        <v/>
      </c>
    </row>
    <row r="68" spans="1:15" x14ac:dyDescent="0.25">
      <c r="A68" s="9" t="s">
        <v>17</v>
      </c>
      <c r="B68" s="8" t="s">
        <v>18</v>
      </c>
      <c r="C68" s="9" t="s">
        <v>11</v>
      </c>
      <c r="D68" s="20">
        <v>11553</v>
      </c>
      <c r="E68" s="20">
        <v>12855</v>
      </c>
      <c r="F68" s="20">
        <v>10286</v>
      </c>
      <c r="G68" s="10"/>
      <c r="H68" s="10"/>
      <c r="I68" s="10"/>
      <c r="J68" s="11">
        <f t="shared" si="12"/>
        <v>86.557604085518918</v>
      </c>
      <c r="K68" s="11">
        <f t="shared" si="13"/>
        <v>77.790742901594712</v>
      </c>
      <c r="L68" s="11">
        <f t="shared" si="14"/>
        <v>97.219521679953331</v>
      </c>
      <c r="M68" s="11" t="str">
        <f t="shared" si="15"/>
        <v/>
      </c>
      <c r="N68" s="11" t="str">
        <f t="shared" si="16"/>
        <v/>
      </c>
      <c r="O68" s="11" t="str">
        <f t="shared" si="17"/>
        <v/>
      </c>
    </row>
    <row r="69" spans="1:15" x14ac:dyDescent="0.25">
      <c r="A69" s="104" t="s">
        <v>86</v>
      </c>
      <c r="B69" s="104"/>
      <c r="C69" s="104"/>
      <c r="D69" s="104"/>
      <c r="E69" s="104"/>
      <c r="F69" s="104" t="s">
        <v>87</v>
      </c>
      <c r="G69" s="104"/>
      <c r="H69" s="104"/>
      <c r="I69" s="104"/>
      <c r="J69" s="23"/>
      <c r="K69" s="23"/>
      <c r="L69" s="23"/>
      <c r="M69" s="23"/>
      <c r="N69" s="23"/>
      <c r="O69" s="23"/>
    </row>
    <row r="70" spans="1:15" ht="18.75" x14ac:dyDescent="0.3">
      <c r="A70" s="75" t="s">
        <v>61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93"/>
    </row>
    <row r="71" spans="1:15" x14ac:dyDescent="0.25">
      <c r="A71" s="72" t="s">
        <v>1</v>
      </c>
      <c r="B71" s="72"/>
      <c r="C71" s="72"/>
      <c r="D71" s="73" t="s">
        <v>19</v>
      </c>
      <c r="E71" s="73"/>
      <c r="F71" s="73"/>
      <c r="G71" s="73"/>
      <c r="H71" s="73"/>
      <c r="I71" s="73"/>
      <c r="J71" s="73" t="s">
        <v>22</v>
      </c>
      <c r="K71" s="73"/>
      <c r="L71" s="73"/>
      <c r="M71" s="73"/>
      <c r="N71" s="73"/>
      <c r="O71" s="73"/>
    </row>
    <row r="72" spans="1:15" x14ac:dyDescent="0.25">
      <c r="A72" s="6" t="s">
        <v>4</v>
      </c>
      <c r="B72" s="6" t="s">
        <v>5</v>
      </c>
      <c r="C72" s="6" t="s">
        <v>6</v>
      </c>
      <c r="D72" s="7">
        <v>1</v>
      </c>
      <c r="E72" s="7">
        <v>4</v>
      </c>
      <c r="F72" s="7">
        <v>16</v>
      </c>
      <c r="G72" s="7">
        <v>32</v>
      </c>
      <c r="H72" s="7">
        <v>64</v>
      </c>
      <c r="I72" s="7">
        <v>80</v>
      </c>
      <c r="J72" s="7">
        <v>1</v>
      </c>
      <c r="K72" s="7">
        <v>4</v>
      </c>
      <c r="L72" s="7">
        <v>16</v>
      </c>
      <c r="M72" s="7">
        <v>32</v>
      </c>
      <c r="N72" s="7">
        <v>64</v>
      </c>
      <c r="O72" s="7">
        <v>80</v>
      </c>
    </row>
    <row r="73" spans="1:15" x14ac:dyDescent="0.25">
      <c r="A73" s="8" t="s">
        <v>7</v>
      </c>
      <c r="B73" s="9" t="s">
        <v>8</v>
      </c>
      <c r="C73" s="9" t="s">
        <v>9</v>
      </c>
      <c r="D73" s="12">
        <f>IF(D63="","",(D63-'2015'!D35)/'2015'!D35)</f>
        <v>0.19399521867529179</v>
      </c>
      <c r="E73" s="12">
        <f>IF(E63="","",(E63-'2015'!E35)/'2015'!E35)</f>
        <v>1.2928127979166181E-2</v>
      </c>
      <c r="F73" s="12">
        <f>IF(F63="","",(F63-'2015'!F35)/'2015'!F35)</f>
        <v>-8.7205077273387914E-4</v>
      </c>
      <c r="G73" s="12" t="str">
        <f>IF(G63="","",(G63-#REF!)/#REF!)</f>
        <v/>
      </c>
      <c r="H73" s="12" t="str">
        <f>IF(H63="","",(H63-#REF!)/#REF!)</f>
        <v/>
      </c>
      <c r="I73" s="12" t="str">
        <f>IF(I63="","",(I63-#REF!)/#REF!)</f>
        <v/>
      </c>
      <c r="J73" s="11">
        <f>J63-'2015'!J35</f>
        <v>-3.8080839109454061</v>
      </c>
      <c r="K73" s="11">
        <f>K63-'2015'!K35</f>
        <v>-0.29676854163317756</v>
      </c>
      <c r="L73" s="11">
        <f>L63-'2015'!L35</f>
        <v>4.2285349984666709E-2</v>
      </c>
      <c r="M73" s="11" t="str">
        <f>IF(G73="","",M63-((1/Comparisons!#REF!)*1000000))</f>
        <v/>
      </c>
      <c r="N73" s="11" t="str">
        <f>IF(H73="","",N63-((1/Comparisons!#REF!)*1000000))</f>
        <v/>
      </c>
      <c r="O73" s="11" t="str">
        <f>IF(I73="","",O63-((1/Comparisons!#REF!)*1000000))</f>
        <v/>
      </c>
    </row>
    <row r="74" spans="1:15" x14ac:dyDescent="0.25">
      <c r="A74" s="8" t="s">
        <v>10</v>
      </c>
      <c r="B74" s="9" t="s">
        <v>8</v>
      </c>
      <c r="C74" s="9" t="s">
        <v>11</v>
      </c>
      <c r="D74" s="12">
        <f>IF(D64="","",(D64-'2015'!D36)/'2015'!D36)</f>
        <v>-8.9897996804719188E-2</v>
      </c>
      <c r="E74" s="12">
        <f>IF(E64="","",(E64-'2015'!E36)/'2015'!E36)</f>
        <v>-6.7046049188906331E-2</v>
      </c>
      <c r="F74" s="12">
        <f>IF(F64="","",(F64-'2015'!F36)/'2015'!F36)</f>
        <v>-9.2531935800851617E-2</v>
      </c>
      <c r="G74" s="12" t="str">
        <f>IF(G64="","",(G64-#REF!)/#REF!)</f>
        <v/>
      </c>
      <c r="H74" s="12" t="str">
        <f>IF(H64="","",(H64-#REF!)/#REF!)</f>
        <v/>
      </c>
      <c r="I74" s="12" t="str">
        <f>IF(I64="","",(I64-#REF!)/#REF!)</f>
        <v/>
      </c>
      <c r="J74" s="11">
        <f>J64-'2015'!J36</f>
        <v>6.0696777263330759</v>
      </c>
      <c r="K74" s="11">
        <f>K64-'2015'!K36</f>
        <v>4.700697552331647</v>
      </c>
      <c r="L74" s="11">
        <f>L64-'2015'!L36</f>
        <v>8.3497505685662929</v>
      </c>
      <c r="M74" s="11" t="str">
        <f>IF(G74="","",M64-((1/Comparisons!#REF!)*1000000))</f>
        <v/>
      </c>
      <c r="N74" s="11" t="str">
        <f>IF(H74="","",N64-((1/Comparisons!#REF!)*1000000))</f>
        <v/>
      </c>
      <c r="O74" s="11" t="str">
        <f>IF(I74="","",O64-((1/Comparisons!#REF!)*1000000))</f>
        <v/>
      </c>
    </row>
    <row r="75" spans="1:15" x14ac:dyDescent="0.25">
      <c r="A75" s="9" t="s">
        <v>12</v>
      </c>
      <c r="B75" s="9" t="s">
        <v>13</v>
      </c>
      <c r="C75" s="9" t="s">
        <v>9</v>
      </c>
      <c r="D75" s="12">
        <f>IF(D65="","",(D65-'2015'!D37)/'2015'!D37)</f>
        <v>-8.1740593821372758E-3</v>
      </c>
      <c r="E75" s="12">
        <f>IF(E65="","",(E65-'2015'!E37)/'2015'!E37)</f>
        <v>-5.2815952573430341E-3</v>
      </c>
      <c r="F75" s="12">
        <f>IF(F65="","",(F65-'2015'!F37)/'2015'!F37)</f>
        <v>-4.082812253691346E-2</v>
      </c>
      <c r="G75" s="12" t="str">
        <f>IF(G65="","",(G65-#REF!)/#REF!)</f>
        <v/>
      </c>
      <c r="H75" s="12" t="str">
        <f>IF(H65="","",(H65-#REF!)/#REF!)</f>
        <v/>
      </c>
      <c r="I75" s="12" t="str">
        <f>IF(I65="","",(I65-#REF!)/#REF!)</f>
        <v/>
      </c>
      <c r="J75" s="11">
        <f>J65-'2015'!J37</f>
        <v>0.16511249913419235</v>
      </c>
      <c r="K75" s="11">
        <f>K65-'2015'!K37</f>
        <v>0.14307837832104298</v>
      </c>
      <c r="L75" s="11">
        <f>L65-'2015'!L37</f>
        <v>2.2366671708619208</v>
      </c>
      <c r="M75" s="11" t="str">
        <f>IF(G75="","",M65-((1/Comparisons!#REF!)*1000000))</f>
        <v/>
      </c>
      <c r="N75" s="11" t="str">
        <f>IF(H75="","",N65-((1/Comparisons!#REF!)*1000000))</f>
        <v/>
      </c>
      <c r="O75" s="11" t="str">
        <f>IF(I75="","",O65-((1/Comparisons!#REF!)*1000000))</f>
        <v/>
      </c>
    </row>
    <row r="76" spans="1:15" x14ac:dyDescent="0.25">
      <c r="A76" s="9" t="s">
        <v>14</v>
      </c>
      <c r="B76" s="9" t="s">
        <v>13</v>
      </c>
      <c r="C76" s="9" t="s">
        <v>11</v>
      </c>
      <c r="D76" s="12">
        <f>IF(D66="","",(D66-'2015'!D38)/'2015'!D38)</f>
        <v>-3.7608296140719352E-2</v>
      </c>
      <c r="E76" s="12">
        <f>IF(E66="","",(E66-'2015'!E38)/'2015'!E38)</f>
        <v>-6.6115702479338845E-2</v>
      </c>
      <c r="F76" s="12">
        <f>IF(F66="","",(F66-'2015'!F38)/'2015'!F38)</f>
        <v>-7.9498293830120817E-2</v>
      </c>
      <c r="G76" s="12" t="str">
        <f>IF(G66="","",(G66-#REF!)/#REF!)</f>
        <v/>
      </c>
      <c r="H76" s="12" t="str">
        <f>IF(H66="","",(H66-#REF!)/#REF!)</f>
        <v/>
      </c>
      <c r="I76" s="12" t="str">
        <f>IF(I66="","",(I66-#REF!)/#REF!)</f>
        <v/>
      </c>
      <c r="J76" s="11">
        <f>J66-'2015'!J38</f>
        <v>2.5648432203995952</v>
      </c>
      <c r="K76" s="11">
        <f>K66-'2015'!K38</f>
        <v>4.9167622874498846</v>
      </c>
      <c r="L76" s="11">
        <f>L66-'2015'!L38</f>
        <v>7.9649628123555516</v>
      </c>
      <c r="M76" s="11" t="str">
        <f>IF(G76="","",M66-((1/Comparisons!#REF!)*1000000))</f>
        <v/>
      </c>
      <c r="N76" s="11" t="str">
        <f>IF(H76="","",N66-((1/Comparisons!#REF!)*1000000))</f>
        <v/>
      </c>
      <c r="O76" s="11" t="str">
        <f>IF(I76="","",O66-((1/Comparisons!#REF!)*1000000))</f>
        <v/>
      </c>
    </row>
    <row r="77" spans="1:15" x14ac:dyDescent="0.25">
      <c r="A77" s="9" t="s">
        <v>15</v>
      </c>
      <c r="B77" s="9" t="s">
        <v>16</v>
      </c>
      <c r="C77" s="9" t="s">
        <v>11</v>
      </c>
      <c r="D77" s="12">
        <f>IF(D67="","",(D67-'2015'!D39)/'2015'!D39)</f>
        <v>3.9952904238618525E-2</v>
      </c>
      <c r="E77" s="12">
        <f>IF(E67="","",(E67-'2015'!E39)/'2015'!E39)</f>
        <v>-2.1872713972201901E-2</v>
      </c>
      <c r="F77" s="12">
        <f>IF(F67="","",(F67-'2015'!F39)/'2015'!F39)</f>
        <v>-4.9801715392419073E-2</v>
      </c>
      <c r="G77" s="12" t="str">
        <f>IF(G67="","",(G67-#REF!)/#REF!)</f>
        <v/>
      </c>
      <c r="H77" s="12" t="str">
        <f>IF(H67="","",(H67-#REF!)/#REF!)</f>
        <v/>
      </c>
      <c r="I77" s="12" t="str">
        <f>IF(I67="","",(I67-#REF!)/#REF!)</f>
        <v/>
      </c>
      <c r="J77" s="11">
        <f>J67-'2015'!J39</f>
        <v>-3.0155411154516258</v>
      </c>
      <c r="K77" s="11">
        <f>K67-'2015'!K39</f>
        <v>1.6358323216065855</v>
      </c>
      <c r="L77" s="11">
        <f>L67-'2015'!L39</f>
        <v>4.8337101225292827</v>
      </c>
      <c r="M77" s="11" t="str">
        <f>IF(G77="","",M67-((1/Comparisons!#REF!)*1000000))</f>
        <v/>
      </c>
      <c r="N77" s="11" t="str">
        <f>IF(H77="","",N67-((1/Comparisons!#REF!)*1000000))</f>
        <v/>
      </c>
      <c r="O77" s="11" t="str">
        <f>IF(I77="","",O67-((1/Comparisons!#REF!)*1000000))</f>
        <v/>
      </c>
    </row>
    <row r="78" spans="1:15" x14ac:dyDescent="0.25">
      <c r="A78" s="9" t="s">
        <v>17</v>
      </c>
      <c r="B78" s="8" t="s">
        <v>18</v>
      </c>
      <c r="C78" s="9" t="s">
        <v>11</v>
      </c>
      <c r="D78" s="12">
        <f>IF(D68="","",(D68-'2015'!D40)/'2015'!D40)</f>
        <v>0.10470453241537579</v>
      </c>
      <c r="E78" s="12">
        <f>IF(E68="","",(E68-'2015'!E40)/'2015'!E40)</f>
        <v>-9.172190534915985E-3</v>
      </c>
      <c r="F78" s="12">
        <f>IF(F68="","",(F68-'2015'!F40)/'2015'!F40)</f>
        <v>-6.8381487184131867E-2</v>
      </c>
      <c r="G78" s="12" t="str">
        <f>IF(G68="","",(G68-#REF!)/#REF!)</f>
        <v/>
      </c>
      <c r="H78" s="12" t="str">
        <f>IF(H68="","",(H68-#REF!)/#REF!)</f>
        <v/>
      </c>
      <c r="I78" s="12" t="str">
        <f>IF(I68="","",(I68-#REF!)/#REF!)</f>
        <v/>
      </c>
      <c r="J78" s="11">
        <f>J68-'2015'!J40</f>
        <v>-9.0629734627694774</v>
      </c>
      <c r="K78" s="11">
        <f>K68-'2015'!K40</f>
        <v>0.71351151574609162</v>
      </c>
      <c r="L78" s="11">
        <f>L68-'2015'!L40</f>
        <v>6.6480154758051526</v>
      </c>
      <c r="M78" s="11" t="str">
        <f>IF(G78="","",M68-((1/Comparisons!#REF!)*1000000))</f>
        <v/>
      </c>
      <c r="N78" s="11" t="str">
        <f>IF(H78="","",N68-((1/Comparisons!#REF!)*1000000))</f>
        <v/>
      </c>
      <c r="O78" s="11" t="str">
        <f>IF(I78="","",O68-((1/Comparisons!#REF!)*1000000))</f>
        <v/>
      </c>
    </row>
    <row r="79" spans="1:15" ht="18.75" x14ac:dyDescent="0.3">
      <c r="A79" s="75" t="s">
        <v>77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93"/>
    </row>
    <row r="80" spans="1:15" x14ac:dyDescent="0.25">
      <c r="A80" s="72" t="s">
        <v>1</v>
      </c>
      <c r="B80" s="72"/>
      <c r="C80" s="72"/>
      <c r="D80" s="73" t="s">
        <v>19</v>
      </c>
      <c r="E80" s="73"/>
      <c r="F80" s="73"/>
      <c r="G80" s="73"/>
      <c r="H80" s="73"/>
      <c r="I80" s="73"/>
      <c r="J80" s="73" t="s">
        <v>22</v>
      </c>
      <c r="K80" s="73"/>
      <c r="L80" s="73"/>
      <c r="M80" s="73"/>
      <c r="N80" s="73"/>
      <c r="O80" s="73"/>
    </row>
    <row r="81" spans="1:15" x14ac:dyDescent="0.25">
      <c r="A81" s="6" t="s">
        <v>4</v>
      </c>
      <c r="B81" s="6" t="s">
        <v>5</v>
      </c>
      <c r="C81" s="6" t="s">
        <v>6</v>
      </c>
      <c r="D81" s="7">
        <v>1</v>
      </c>
      <c r="E81" s="7">
        <v>4</v>
      </c>
      <c r="F81" s="7">
        <v>16</v>
      </c>
      <c r="G81" s="7">
        <v>32</v>
      </c>
      <c r="H81" s="7">
        <v>64</v>
      </c>
      <c r="I81" s="7">
        <v>80</v>
      </c>
      <c r="J81" s="7">
        <v>1</v>
      </c>
      <c r="K81" s="7">
        <v>4</v>
      </c>
      <c r="L81" s="7">
        <v>16</v>
      </c>
      <c r="M81" s="7">
        <v>32</v>
      </c>
      <c r="N81" s="7">
        <v>64</v>
      </c>
      <c r="O81" s="7">
        <v>80</v>
      </c>
    </row>
    <row r="82" spans="1:15" x14ac:dyDescent="0.25">
      <c r="A82" s="8" t="s">
        <v>7</v>
      </c>
      <c r="B82" s="9" t="s">
        <v>8</v>
      </c>
      <c r="C82" s="9" t="s">
        <v>9</v>
      </c>
      <c r="D82" s="12">
        <f>IF(D63="","",(D63-'2015'!D127)/'2015'!D127)</f>
        <v>0.19399521867529179</v>
      </c>
      <c r="E82" s="12">
        <f>IF(E63="","",(E63-'2015'!E127)/'2015'!E127)</f>
        <v>-2.8457369700483955E-2</v>
      </c>
      <c r="F82" s="12">
        <f>IF(F63="","",(F63-'2015'!F127)/'2015'!F127)</f>
        <v>-8.7205077273387914E-4</v>
      </c>
      <c r="G82" s="12"/>
      <c r="H82" s="12"/>
      <c r="I82" s="12"/>
      <c r="J82" s="11">
        <f>J63-'2015'!J127</f>
        <v>-3.8080839109454061</v>
      </c>
      <c r="K82" s="11">
        <f>K63-'2015'!K127</f>
        <v>0.65324632602171562</v>
      </c>
      <c r="L82" s="11">
        <f>L63-'2015'!L127</f>
        <v>4.2285349984666709E-2</v>
      </c>
      <c r="M82" s="11" t="str">
        <f>IF(G82="","",M72-((1/Comparisons!#REF!)*1000000))</f>
        <v/>
      </c>
      <c r="N82" s="11" t="str">
        <f>IF(H82="","",N72-((1/Comparisons!#REF!)*1000000))</f>
        <v/>
      </c>
      <c r="O82" s="11" t="str">
        <f>IF(I82="","",O72-((1/Comparisons!#REF!)*1000000))</f>
        <v/>
      </c>
    </row>
    <row r="83" spans="1:15" x14ac:dyDescent="0.25">
      <c r="A83" s="8" t="s">
        <v>10</v>
      </c>
      <c r="B83" s="9" t="s">
        <v>8</v>
      </c>
      <c r="C83" s="9" t="s">
        <v>11</v>
      </c>
      <c r="D83" s="12">
        <f>IF(D64="","",(D64-'2015'!D128)/'2015'!D128)</f>
        <v>-0.10825456078029984</v>
      </c>
      <c r="E83" s="12">
        <f>IF(E64="","",(E64-'2015'!E128)/'2015'!E128)</f>
        <v>-0.12314029263494405</v>
      </c>
      <c r="F83" s="12">
        <f>IF(F64="","",(F64-'2015'!F128)/'2015'!F128)</f>
        <v>-8.9998357694202655E-2</v>
      </c>
      <c r="G83" s="12" t="str">
        <f>IF(G73="","",(G73-#REF!)/#REF!)</f>
        <v/>
      </c>
      <c r="H83" s="12" t="str">
        <f>IF(H73="","",(H73-#REF!)/#REF!)</f>
        <v/>
      </c>
      <c r="I83" s="12" t="str">
        <f>IF(I73="","",(I73-#REF!)/#REF!)</f>
        <v/>
      </c>
      <c r="J83" s="11">
        <f>J64-'2015'!J128</f>
        <v>7.3090649368914882</v>
      </c>
      <c r="K83" s="11">
        <f>K64-'2015'!K128</f>
        <v>8.6335478254886127</v>
      </c>
      <c r="L83" s="11">
        <f>L64-'2015'!L128</f>
        <v>8.1211295519042324</v>
      </c>
      <c r="M83" s="11" t="str">
        <f>IF(G83="","",M73-((1/Comparisons!#REF!)*1000000))</f>
        <v/>
      </c>
      <c r="N83" s="11" t="str">
        <f>IF(H83="","",N73-((1/Comparisons!#REF!)*1000000))</f>
        <v/>
      </c>
      <c r="O83" s="11" t="str">
        <f>IF(I83="","",O73-((1/Comparisons!#REF!)*1000000))</f>
        <v/>
      </c>
    </row>
    <row r="84" spans="1:15" x14ac:dyDescent="0.25">
      <c r="A84" s="9" t="s">
        <v>12</v>
      </c>
      <c r="B84" s="9" t="s">
        <v>13</v>
      </c>
      <c r="C84" s="9" t="s">
        <v>9</v>
      </c>
      <c r="D84" s="12">
        <f>IF(D65="","",(D65-'2015'!D129)/'2015'!D129)</f>
        <v>-1.3136649058108242E-2</v>
      </c>
      <c r="E84" s="12">
        <f>IF(E65="","",(E65-'2015'!E129)/'2015'!E129)</f>
        <v>-3.93733572748328E-2</v>
      </c>
      <c r="F84" s="12">
        <f>IF(F65="","",(F65-'2015'!F129)/'2015'!F129)</f>
        <v>-2.9661917924728897E-2</v>
      </c>
      <c r="G84" s="12" t="str">
        <f>IF(G74="","",(G74-#REF!)/#REF!)</f>
        <v/>
      </c>
      <c r="H84" s="12" t="str">
        <f>IF(H74="","",(H74-#REF!)/#REF!)</f>
        <v/>
      </c>
      <c r="I84" s="12" t="str">
        <f>IF(I74="","",(I74-#REF!)/#REF!)</f>
        <v/>
      </c>
      <c r="J84" s="11">
        <f>J65-'2015'!J129</f>
        <v>0.2653546854544544</v>
      </c>
      <c r="K84" s="11">
        <f>K65-'2015'!K129</f>
        <v>1.0666239712529837</v>
      </c>
      <c r="L84" s="11">
        <f>L65-'2015'!L129</f>
        <v>1.6249544168252967</v>
      </c>
      <c r="M84" s="11" t="str">
        <f>IF(G84="","",M74-((1/Comparisons!#REF!)*1000000))</f>
        <v/>
      </c>
      <c r="N84" s="11" t="str">
        <f>IF(H84="","",N74-((1/Comparisons!#REF!)*1000000))</f>
        <v/>
      </c>
      <c r="O84" s="11" t="str">
        <f>IF(I84="","",O74-((1/Comparisons!#REF!)*1000000))</f>
        <v/>
      </c>
    </row>
    <row r="85" spans="1:15" x14ac:dyDescent="0.25">
      <c r="A85" s="9" t="s">
        <v>14</v>
      </c>
      <c r="B85" s="9" t="s">
        <v>13</v>
      </c>
      <c r="C85" s="9" t="s">
        <v>11</v>
      </c>
      <c r="D85" s="12">
        <f>IF(D66="","",(D66-'2015'!D130)/'2015'!D130)</f>
        <v>-0.14266502952698357</v>
      </c>
      <c r="E85" s="12">
        <f>IF(E66="","",(E66-'2015'!E130)/'2015'!E130)</f>
        <v>-0.11152956722827882</v>
      </c>
      <c r="F85" s="12">
        <f>IF(F66="","",(F66-'2015'!F130)/'2015'!F130)</f>
        <v>-7.1880230611865353E-2</v>
      </c>
      <c r="G85" s="12" t="str">
        <f>IF(G75="","",(G75-#REF!)/#REF!)</f>
        <v/>
      </c>
      <c r="H85" s="12" t="str">
        <f>IF(H75="","",(H75-#REF!)/#REF!)</f>
        <v/>
      </c>
      <c r="I85" s="12" t="str">
        <f>IF(I75="","",(I75-#REF!)/#REF!)</f>
        <v/>
      </c>
      <c r="J85" s="11">
        <f>J66-'2015'!J130</f>
        <v>9.729593502488143</v>
      </c>
      <c r="K85" s="11">
        <f>K66-'2015'!K130</f>
        <v>8.2940110975145842</v>
      </c>
      <c r="L85" s="11">
        <f>L66-'2015'!L130</f>
        <v>7.2017063031625241</v>
      </c>
      <c r="M85" s="11" t="str">
        <f>IF(G85="","",M75-((1/Comparisons!#REF!)*1000000))</f>
        <v/>
      </c>
      <c r="N85" s="11" t="str">
        <f>IF(H85="","",N75-((1/Comparisons!#REF!)*1000000))</f>
        <v/>
      </c>
      <c r="O85" s="11" t="str">
        <f>IF(I85="","",O75-((1/Comparisons!#REF!)*1000000))</f>
        <v/>
      </c>
    </row>
    <row r="86" spans="1:15" x14ac:dyDescent="0.25">
      <c r="A86" s="9" t="s">
        <v>15</v>
      </c>
      <c r="B86" s="9" t="s">
        <v>16</v>
      </c>
      <c r="C86" s="9" t="s">
        <v>11</v>
      </c>
      <c r="D86" s="12">
        <f>IF(D67="","",(D67-'2015'!D131)/'2015'!D131)</f>
        <v>-4.2771476049418396E-2</v>
      </c>
      <c r="E86" s="12">
        <f>IF(E67="","",(E67-'2015'!E131)/'2015'!E131)</f>
        <v>-7.8052816658622348E-2</v>
      </c>
      <c r="F86" s="12">
        <f>IF(F67="","",(F67-'2015'!F131)/'2015'!F131)</f>
        <v>-8.4096364121255221E-2</v>
      </c>
      <c r="G86" s="12" t="str">
        <f>IF(G76="","",(G76-#REF!)/#REF!)</f>
        <v/>
      </c>
      <c r="H86" s="12" t="str">
        <f>IF(H76="","",(H76-#REF!)/#REF!)</f>
        <v/>
      </c>
      <c r="I86" s="12" t="str">
        <f>IF(I76="","",(I76-#REF!)/#REF!)</f>
        <v/>
      </c>
      <c r="J86" s="11">
        <f>J67-'2015'!J131</f>
        <v>3.2282795719992663</v>
      </c>
      <c r="K86" s="11">
        <f>K67-'2015'!K131</f>
        <v>5.8374703955293086</v>
      </c>
      <c r="L86" s="11">
        <f>L67-'2015'!L131</f>
        <v>8.1623181715282271</v>
      </c>
      <c r="M86" s="11" t="str">
        <f>IF(G86="","",M76-((1/Comparisons!#REF!)*1000000))</f>
        <v/>
      </c>
      <c r="N86" s="11" t="str">
        <f>IF(H86="","",N76-((1/Comparisons!#REF!)*1000000))</f>
        <v/>
      </c>
      <c r="O86" s="11" t="str">
        <f>IF(I86="","",O76-((1/Comparisons!#REF!)*1000000))</f>
        <v/>
      </c>
    </row>
    <row r="87" spans="1:15" x14ac:dyDescent="0.25">
      <c r="A87" s="9" t="s">
        <v>17</v>
      </c>
      <c r="B87" s="8" t="s">
        <v>18</v>
      </c>
      <c r="C87" s="9" t="s">
        <v>11</v>
      </c>
      <c r="D87" s="12">
        <f>IF(D68="","",(D68-'2015'!D132)/'2015'!D132)</f>
        <v>0.10544445507606928</v>
      </c>
      <c r="E87" s="12">
        <f>IF(E68="","",(E68-'2015'!E132)/'2015'!E132)</f>
        <v>-5.547391623806025E-2</v>
      </c>
      <c r="F87" s="12">
        <f>IF(F68="","",(F68-'2015'!F132)/'2015'!F132)</f>
        <v>-7.7571518249484356E-2</v>
      </c>
      <c r="G87" s="12" t="str">
        <f>IF(G77="","",(G77-#REF!)/#REF!)</f>
        <v/>
      </c>
      <c r="H87" s="12" t="str">
        <f>IF(H77="","",(H77-#REF!)/#REF!)</f>
        <v/>
      </c>
      <c r="I87" s="12" t="str">
        <f>IF(I77="","",(I77-#REF!)/#REF!)</f>
        <v/>
      </c>
      <c r="J87" s="11">
        <f>J68-'2015'!J132</f>
        <v>-9.1270193954876788</v>
      </c>
      <c r="K87" s="11">
        <f>K68-'2015'!K132</f>
        <v>4.3153571558195551</v>
      </c>
      <c r="L87" s="11">
        <f>L68-'2015'!L132</f>
        <v>7.5414659002026383</v>
      </c>
      <c r="M87" s="11" t="str">
        <f>IF(G87="","",M77-((1/Comparisons!#REF!)*1000000))</f>
        <v/>
      </c>
      <c r="N87" s="11" t="str">
        <f>IF(H87="","",N77-((1/Comparisons!#REF!)*1000000))</f>
        <v/>
      </c>
      <c r="O87" s="11" t="str">
        <f>IF(I87="","",O77-((1/Comparisons!#REF!)*1000000))</f>
        <v/>
      </c>
    </row>
    <row r="88" spans="1:15" ht="18.75" x14ac:dyDescent="0.25">
      <c r="A88" s="77" t="s">
        <v>70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84"/>
    </row>
    <row r="89" spans="1:15" ht="15.75" x14ac:dyDescent="0.25">
      <c r="A89" s="79" t="s">
        <v>83</v>
      </c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92"/>
    </row>
    <row r="90" spans="1:15" x14ac:dyDescent="0.25">
      <c r="A90" s="72" t="s">
        <v>1</v>
      </c>
      <c r="B90" s="72"/>
      <c r="C90" s="72"/>
      <c r="D90" s="73" t="s">
        <v>2</v>
      </c>
      <c r="E90" s="73"/>
      <c r="F90" s="73"/>
      <c r="G90" s="73"/>
      <c r="H90" s="73"/>
      <c r="I90" s="73"/>
      <c r="J90" s="73" t="s">
        <v>3</v>
      </c>
      <c r="K90" s="73"/>
      <c r="L90" s="73"/>
      <c r="M90" s="73"/>
      <c r="N90" s="73"/>
      <c r="O90" s="73"/>
    </row>
    <row r="91" spans="1:15" x14ac:dyDescent="0.25">
      <c r="A91" s="6" t="s">
        <v>26</v>
      </c>
      <c r="B91" s="6" t="s">
        <v>5</v>
      </c>
      <c r="C91" s="6" t="s">
        <v>6</v>
      </c>
      <c r="D91" s="7">
        <v>1</v>
      </c>
      <c r="E91" s="7">
        <v>4</v>
      </c>
      <c r="F91" s="7">
        <v>16</v>
      </c>
      <c r="G91" s="7">
        <v>32</v>
      </c>
      <c r="H91" s="7">
        <v>64</v>
      </c>
      <c r="I91" s="7">
        <v>80</v>
      </c>
      <c r="J91" s="7">
        <v>1</v>
      </c>
      <c r="K91" s="7">
        <v>4</v>
      </c>
      <c r="L91" s="7">
        <v>16</v>
      </c>
      <c r="M91" s="7">
        <v>32</v>
      </c>
      <c r="N91" s="7">
        <v>64</v>
      </c>
      <c r="O91" s="7">
        <v>80</v>
      </c>
    </row>
    <row r="92" spans="1:15" x14ac:dyDescent="0.25">
      <c r="A92" s="8" t="s">
        <v>7</v>
      </c>
      <c r="B92" s="9" t="s">
        <v>8</v>
      </c>
      <c r="C92" s="9" t="s">
        <v>9</v>
      </c>
      <c r="D92" s="10">
        <v>44648</v>
      </c>
      <c r="E92" s="10">
        <v>19969</v>
      </c>
      <c r="F92" s="10">
        <v>5843</v>
      </c>
      <c r="G92" s="10"/>
      <c r="H92" s="10"/>
      <c r="I92" s="10"/>
      <c r="J92" s="11">
        <f t="shared" ref="J92:J97" si="18">IF(D92="","",(1/D92)*1000000)</f>
        <v>22.397419817237054</v>
      </c>
      <c r="K92" s="11">
        <f t="shared" ref="K92:K97" si="19">IF(E92="","",(1/E92)*1000000)</f>
        <v>50.077620311482796</v>
      </c>
      <c r="L92" s="11">
        <f t="shared" ref="L92:L97" si="20">IF(F92="","",(1/F92)*1000000)</f>
        <v>171.14495978093444</v>
      </c>
      <c r="M92" s="11" t="str">
        <f t="shared" ref="M92:M97" si="21">IF(G92="","",(1/G92)*1000000)</f>
        <v/>
      </c>
      <c r="N92" s="11" t="str">
        <f t="shared" ref="N92:N97" si="22">IF(H92="","",(1/H92)*1000000)</f>
        <v/>
      </c>
      <c r="O92" s="11" t="str">
        <f t="shared" ref="O92:O97" si="23">IF(I92="","",(1/I92)*1000000)</f>
        <v/>
      </c>
    </row>
    <row r="93" spans="1:15" x14ac:dyDescent="0.25">
      <c r="A93" s="8" t="s">
        <v>10</v>
      </c>
      <c r="B93" s="9" t="s">
        <v>8</v>
      </c>
      <c r="C93" s="9" t="s">
        <v>11</v>
      </c>
      <c r="D93" s="10">
        <v>14465</v>
      </c>
      <c r="E93" s="10">
        <v>10305</v>
      </c>
      <c r="F93" s="10">
        <v>4650</v>
      </c>
      <c r="G93" s="10"/>
      <c r="H93" s="10"/>
      <c r="I93" s="10"/>
      <c r="J93" s="11">
        <f t="shared" si="18"/>
        <v>69.132388524023497</v>
      </c>
      <c r="K93" s="11">
        <f t="shared" si="19"/>
        <v>97.040271712760784</v>
      </c>
      <c r="L93" s="11">
        <f t="shared" si="20"/>
        <v>215.05376344086022</v>
      </c>
      <c r="M93" s="11" t="str">
        <f t="shared" si="21"/>
        <v/>
      </c>
      <c r="N93" s="11" t="str">
        <f t="shared" si="22"/>
        <v/>
      </c>
      <c r="O93" s="11" t="str">
        <f t="shared" si="23"/>
        <v/>
      </c>
    </row>
    <row r="94" spans="1:15" x14ac:dyDescent="0.25">
      <c r="A94" s="9" t="s">
        <v>12</v>
      </c>
      <c r="B94" s="9" t="s">
        <v>13</v>
      </c>
      <c r="C94" s="9" t="s">
        <v>9</v>
      </c>
      <c r="D94" s="10">
        <v>43080</v>
      </c>
      <c r="E94" s="10">
        <v>18305</v>
      </c>
      <c r="F94" s="10">
        <v>5617</v>
      </c>
      <c r="G94" s="10"/>
      <c r="H94" s="10"/>
      <c r="I94" s="10"/>
      <c r="J94" s="11">
        <f t="shared" si="18"/>
        <v>23.212627669452182</v>
      </c>
      <c r="K94" s="11">
        <f t="shared" si="19"/>
        <v>54.629882545752523</v>
      </c>
      <c r="L94" s="11">
        <f t="shared" si="20"/>
        <v>178.03097739006589</v>
      </c>
      <c r="M94" s="11" t="str">
        <f t="shared" si="21"/>
        <v/>
      </c>
      <c r="N94" s="11" t="str">
        <f t="shared" si="22"/>
        <v/>
      </c>
      <c r="O94" s="11" t="str">
        <f t="shared" si="23"/>
        <v/>
      </c>
    </row>
    <row r="95" spans="1:15" x14ac:dyDescent="0.25">
      <c r="A95" s="9" t="s">
        <v>14</v>
      </c>
      <c r="B95" s="9" t="s">
        <v>13</v>
      </c>
      <c r="C95" s="9" t="s">
        <v>11</v>
      </c>
      <c r="D95" s="10">
        <v>13381</v>
      </c>
      <c r="E95" s="10">
        <v>9859</v>
      </c>
      <c r="F95" s="10">
        <v>4459</v>
      </c>
      <c r="G95" s="10"/>
      <c r="H95" s="10"/>
      <c r="I95" s="10"/>
      <c r="J95" s="11">
        <f t="shared" si="18"/>
        <v>74.732830132277101</v>
      </c>
      <c r="K95" s="11">
        <f t="shared" si="19"/>
        <v>101.43016533116949</v>
      </c>
      <c r="L95" s="11">
        <f t="shared" si="20"/>
        <v>224.26553038797937</v>
      </c>
      <c r="M95" s="11" t="str">
        <f t="shared" si="21"/>
        <v/>
      </c>
      <c r="N95" s="11" t="str">
        <f t="shared" si="22"/>
        <v/>
      </c>
      <c r="O95" s="11" t="str">
        <f t="shared" si="23"/>
        <v/>
      </c>
    </row>
    <row r="96" spans="1:15" x14ac:dyDescent="0.25">
      <c r="A96" s="9" t="s">
        <v>15</v>
      </c>
      <c r="B96" s="9" t="s">
        <v>16</v>
      </c>
      <c r="C96" s="9" t="s">
        <v>11</v>
      </c>
      <c r="D96" s="20">
        <v>12676</v>
      </c>
      <c r="E96" s="20">
        <v>9713</v>
      </c>
      <c r="F96" s="20">
        <v>4558</v>
      </c>
      <c r="G96" s="10"/>
      <c r="H96" s="10"/>
      <c r="I96" s="10"/>
      <c r="J96" s="11">
        <f t="shared" si="18"/>
        <v>78.889239507731148</v>
      </c>
      <c r="K96" s="11">
        <f t="shared" si="19"/>
        <v>102.95480284155256</v>
      </c>
      <c r="L96" s="11">
        <f t="shared" si="20"/>
        <v>219.39447125932426</v>
      </c>
      <c r="M96" s="11" t="str">
        <f t="shared" si="21"/>
        <v/>
      </c>
      <c r="N96" s="11" t="str">
        <f t="shared" si="22"/>
        <v/>
      </c>
      <c r="O96" s="11" t="str">
        <f t="shared" si="23"/>
        <v/>
      </c>
    </row>
    <row r="97" spans="1:15" x14ac:dyDescent="0.25">
      <c r="A97" s="9" t="s">
        <v>17</v>
      </c>
      <c r="B97" s="8" t="s">
        <v>18</v>
      </c>
      <c r="C97" s="9" t="s">
        <v>11</v>
      </c>
      <c r="D97" s="20">
        <v>12487</v>
      </c>
      <c r="E97" s="20">
        <v>9575</v>
      </c>
      <c r="F97" s="20">
        <v>4535</v>
      </c>
      <c r="G97" s="10"/>
      <c r="H97" s="10"/>
      <c r="I97" s="10"/>
      <c r="J97" s="11">
        <f t="shared" si="18"/>
        <v>80.083286618082809</v>
      </c>
      <c r="K97" s="11">
        <f t="shared" si="19"/>
        <v>104.43864229765013</v>
      </c>
      <c r="L97" s="11">
        <f t="shared" si="20"/>
        <v>220.50716648291069</v>
      </c>
      <c r="M97" s="11" t="str">
        <f t="shared" si="21"/>
        <v/>
      </c>
      <c r="N97" s="11" t="str">
        <f t="shared" si="22"/>
        <v/>
      </c>
      <c r="O97" s="11" t="str">
        <f t="shared" si="23"/>
        <v/>
      </c>
    </row>
    <row r="98" spans="1:15" x14ac:dyDescent="0.25">
      <c r="A98" s="102" t="s">
        <v>85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</row>
    <row r="99" spans="1:15" ht="18.75" x14ac:dyDescent="0.3">
      <c r="A99" s="75" t="s">
        <v>61</v>
      </c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93"/>
    </row>
    <row r="100" spans="1:15" x14ac:dyDescent="0.25">
      <c r="A100" s="72" t="s">
        <v>1</v>
      </c>
      <c r="B100" s="72"/>
      <c r="C100" s="72"/>
      <c r="D100" s="73" t="s">
        <v>19</v>
      </c>
      <c r="E100" s="73"/>
      <c r="F100" s="73"/>
      <c r="G100" s="73"/>
      <c r="H100" s="73"/>
      <c r="I100" s="73"/>
      <c r="J100" s="73" t="s">
        <v>22</v>
      </c>
      <c r="K100" s="73"/>
      <c r="L100" s="73"/>
      <c r="M100" s="73"/>
      <c r="N100" s="73"/>
      <c r="O100" s="73"/>
    </row>
    <row r="101" spans="1:15" x14ac:dyDescent="0.25">
      <c r="A101" s="6" t="s">
        <v>4</v>
      </c>
      <c r="B101" s="6" t="s">
        <v>5</v>
      </c>
      <c r="C101" s="6" t="s">
        <v>6</v>
      </c>
      <c r="D101" s="7">
        <v>1</v>
      </c>
      <c r="E101" s="7">
        <v>4</v>
      </c>
      <c r="F101" s="7">
        <v>16</v>
      </c>
      <c r="G101" s="7">
        <v>32</v>
      </c>
      <c r="H101" s="7">
        <v>64</v>
      </c>
      <c r="I101" s="7">
        <v>80</v>
      </c>
      <c r="J101" s="7">
        <v>1</v>
      </c>
      <c r="K101" s="7">
        <v>4</v>
      </c>
      <c r="L101" s="7">
        <v>16</v>
      </c>
      <c r="M101" s="7">
        <v>32</v>
      </c>
      <c r="N101" s="7">
        <v>64</v>
      </c>
      <c r="O101" s="7">
        <v>80</v>
      </c>
    </row>
    <row r="102" spans="1:15" x14ac:dyDescent="0.25">
      <c r="A102" s="8" t="s">
        <v>7</v>
      </c>
      <c r="B102" s="9" t="s">
        <v>8</v>
      </c>
      <c r="C102" s="9" t="s">
        <v>9</v>
      </c>
      <c r="D102" s="12">
        <f>IF(D92="","",(D92-'2015'!D35)/'2015'!D35)</f>
        <v>4.6453850841419397E-2</v>
      </c>
      <c r="E102" s="12">
        <f>IF(E92="","",(E92-'2015'!E35)/'2015'!E35)</f>
        <v>-0.53568023810077425</v>
      </c>
      <c r="F102" s="12">
        <f>IF(F92="","",(F92-'2015'!F35)/'2015'!F35)</f>
        <v>-0.7169226297175525</v>
      </c>
      <c r="G102" s="12" t="str">
        <f>IF(G92="","",(G92-#REF!)/#REF!)</f>
        <v/>
      </c>
      <c r="H102" s="12" t="str">
        <f>IF(H92="","",(H92-#REF!)/#REF!)</f>
        <v/>
      </c>
      <c r="I102" s="12" t="str">
        <f>IF(I92="","",(I92-#REF!)/#REF!)</f>
        <v/>
      </c>
      <c r="J102" s="11">
        <f>J92-'2015'!J6</f>
        <v>-38.113290578502983</v>
      </c>
      <c r="K102" s="11">
        <f>K92-'2015'!K6</f>
        <v>-15.333159385011193</v>
      </c>
      <c r="L102" s="11">
        <f>L92-'2015'!L6</f>
        <v>91.061673162851633</v>
      </c>
      <c r="M102" s="11" t="str">
        <f>IF(G102="","",M92-((1/Comparisons!#REF!)*1000000))</f>
        <v/>
      </c>
      <c r="N102" s="11" t="str">
        <f>IF(H102="","",N92-((1/Comparisons!#REF!)*1000000))</f>
        <v/>
      </c>
      <c r="O102" s="11" t="str">
        <f>IF(I102="","",O92-((1/Comparisons!#REF!)*1000000))</f>
        <v/>
      </c>
    </row>
    <row r="103" spans="1:15" x14ac:dyDescent="0.25">
      <c r="A103" s="8" t="s">
        <v>10</v>
      </c>
      <c r="B103" s="9" t="s">
        <v>8</v>
      </c>
      <c r="C103" s="9" t="s">
        <v>11</v>
      </c>
      <c r="D103" s="12">
        <f>IF(D93="","",(D93-'2015'!D36)/'2015'!D36)</f>
        <v>-0.11115890377288927</v>
      </c>
      <c r="E103" s="12">
        <f>IF(E93="","",(E93-'2015'!E36)/'2015'!E36)</f>
        <v>-0.3259419152276295</v>
      </c>
      <c r="F103" s="12">
        <f>IF(F93="","",(F93-'2015'!F36)/'2015'!F36)</f>
        <v>-0.61922698984605307</v>
      </c>
      <c r="G103" s="12" t="str">
        <f>IF(G93="","",(G93-#REF!)/#REF!)</f>
        <v/>
      </c>
      <c r="H103" s="12" t="str">
        <f>IF(H93="","",(H93-#REF!)/#REF!)</f>
        <v/>
      </c>
      <c r="I103" s="12" t="str">
        <f>IF(I93="","",(I93-#REF!)/#REF!)</f>
        <v/>
      </c>
      <c r="J103" s="11">
        <f>J93-'2015'!J7</f>
        <v>48.900531441861929</v>
      </c>
      <c r="K103" s="11">
        <f>K93-'2015'!K7</f>
        <v>67.894250144704827</v>
      </c>
      <c r="L103" s="11">
        <f>L93-'2015'!L7</f>
        <v>158.88029978509121</v>
      </c>
      <c r="M103" s="11" t="str">
        <f>IF(G103="","",M93-((1/Comparisons!#REF!)*1000000))</f>
        <v/>
      </c>
      <c r="N103" s="11" t="str">
        <f>IF(H103="","",N93-((1/Comparisons!#REF!)*1000000))</f>
        <v/>
      </c>
      <c r="O103" s="11" t="str">
        <f>IF(I103="","",O93-((1/Comparisons!#REF!)*1000000))</f>
        <v/>
      </c>
    </row>
    <row r="104" spans="1:15" x14ac:dyDescent="0.25">
      <c r="A104" s="9" t="s">
        <v>12</v>
      </c>
      <c r="B104" s="9" t="s">
        <v>13</v>
      </c>
      <c r="C104" s="9" t="s">
        <v>9</v>
      </c>
      <c r="D104" s="12">
        <f>IF(D94="","",(D94-'2015'!D37)/'2015'!D37)</f>
        <v>-0.13691549465079939</v>
      </c>
      <c r="E104" s="12">
        <f>IF(E94="","",(E94-'2015'!E37)/'2015'!E37)</f>
        <v>-0.5067367286445702</v>
      </c>
      <c r="F104" s="12">
        <f>IF(F94="","",(F94-'2015'!F37)/'2015'!F37)</f>
        <v>-0.70484998160895385</v>
      </c>
      <c r="G104" s="12" t="str">
        <f>IF(G94="","",(G94-#REF!)/#REF!)</f>
        <v/>
      </c>
      <c r="H104" s="12" t="str">
        <f>IF(H94="","",(H94-#REF!)/#REF!)</f>
        <v/>
      </c>
      <c r="I104" s="12" t="str">
        <f>IF(I94="","",(I94-#REF!)/#REF!)</f>
        <v/>
      </c>
      <c r="J104" s="11">
        <f>J94-'2015'!J8</f>
        <v>-36.995693120480986</v>
      </c>
      <c r="K104" s="11">
        <f>K94-'2015'!K8</f>
        <v>-17.619232402589361</v>
      </c>
      <c r="L104" s="11">
        <f>L94-'2015'!L8</f>
        <v>85.472665653671953</v>
      </c>
      <c r="M104" s="11" t="str">
        <f>IF(G104="","",M94-((1/Comparisons!#REF!)*1000000))</f>
        <v/>
      </c>
      <c r="N104" s="11" t="str">
        <f>IF(H104="","",N94-((1/Comparisons!#REF!)*1000000))</f>
        <v/>
      </c>
      <c r="O104" s="11" t="str">
        <f>IF(I104="","",O94-((1/Comparisons!#REF!)*1000000))</f>
        <v/>
      </c>
    </row>
    <row r="105" spans="1:15" x14ac:dyDescent="0.25">
      <c r="A105" s="9" t="s">
        <v>14</v>
      </c>
      <c r="B105" s="9" t="s">
        <v>13</v>
      </c>
      <c r="C105" s="9" t="s">
        <v>11</v>
      </c>
      <c r="D105" s="12">
        <f>IF(D95="","",(D95-'2015'!D38)/'2015'!D38)</f>
        <v>-0.12175111577841953</v>
      </c>
      <c r="E105" s="12">
        <f>IF(E95="","",(E95-'2015'!E38)/'2015'!E38)</f>
        <v>-0.31529967358844363</v>
      </c>
      <c r="F105" s="12">
        <f>IF(F95="","",(F95-'2015'!F38)/'2015'!F38)</f>
        <v>-0.5887669464170433</v>
      </c>
      <c r="G105" s="12" t="str">
        <f>IF(G95="","",(G95-#REF!)/#REF!)</f>
        <v/>
      </c>
      <c r="H105" s="12" t="str">
        <f>IF(H95="","",(H95-#REF!)/#REF!)</f>
        <v/>
      </c>
      <c r="I105" s="12" t="str">
        <f>IF(I95="","",(I95-#REF!)/#REF!)</f>
        <v/>
      </c>
      <c r="J105" s="11">
        <f>J95-'2015'!J9</f>
        <v>0</v>
      </c>
      <c r="K105" s="11">
        <f>K95-'2015'!K9</f>
        <v>28.277275792032682</v>
      </c>
      <c r="L105" s="11">
        <f>L95-'2015'!L9</f>
        <v>132.04013151312924</v>
      </c>
      <c r="M105" s="11" t="str">
        <f>IF(G105="","",M95-((1/Comparisons!#REF!)*1000000))</f>
        <v/>
      </c>
      <c r="N105" s="11" t="str">
        <f>IF(H105="","",N95-((1/Comparisons!#REF!)*1000000))</f>
        <v/>
      </c>
      <c r="O105" s="11" t="str">
        <f>IF(I105="","",O95-((1/Comparisons!#REF!)*1000000))</f>
        <v/>
      </c>
    </row>
    <row r="106" spans="1:15" x14ac:dyDescent="0.25">
      <c r="A106" s="9" t="s">
        <v>15</v>
      </c>
      <c r="B106" s="9" t="s">
        <v>16</v>
      </c>
      <c r="C106" s="9" t="s">
        <v>11</v>
      </c>
      <c r="D106" s="12">
        <f>IF(D96="","",(D96-'2015'!D39)/'2015'!D39)</f>
        <v>-5.023547880690738E-3</v>
      </c>
      <c r="E106" s="12">
        <f>IF(E96="","",(E96-'2015'!E39)/'2015'!E39)</f>
        <v>-0.2894659839063643</v>
      </c>
      <c r="F106" s="12">
        <f>IF(F96="","",(F96-'2015'!F39)/'2015'!F39)</f>
        <v>-0.57963663192843307</v>
      </c>
      <c r="G106" s="12" t="str">
        <f>IF(G96="","",(G96-#REF!)/#REF!)</f>
        <v/>
      </c>
      <c r="H106" s="12" t="str">
        <f>IF(H96="","",(H96-#REF!)/#REF!)</f>
        <v/>
      </c>
      <c r="I106" s="12" t="str">
        <f>IF(I96="","",(I96-#REF!)/#REF!)</f>
        <v/>
      </c>
      <c r="J106" s="11">
        <f>J96-'2015'!J10</f>
        <v>-15.951428170569315</v>
      </c>
      <c r="K106" s="11">
        <f>K96-'2015'!K10</f>
        <v>26.949634490104671</v>
      </c>
      <c r="L106" s="11">
        <f>L96-'2015'!L10</f>
        <v>102.58568723876591</v>
      </c>
      <c r="M106" s="11" t="str">
        <f>IF(G106="","",M96-((1/Comparisons!#REF!)*1000000))</f>
        <v/>
      </c>
      <c r="N106" s="11" t="str">
        <f>IF(H106="","",N96-((1/Comparisons!#REF!)*1000000))</f>
        <v/>
      </c>
      <c r="O106" s="11" t="str">
        <f>IF(I106="","",O96-((1/Comparisons!#REF!)*1000000))</f>
        <v/>
      </c>
    </row>
    <row r="107" spans="1:15" x14ac:dyDescent="0.25">
      <c r="A107" s="9" t="s">
        <v>17</v>
      </c>
      <c r="B107" s="8" t="s">
        <v>18</v>
      </c>
      <c r="C107" s="9" t="s">
        <v>11</v>
      </c>
      <c r="D107" s="12">
        <f>IF(D97="","",(D97-'2015'!D40)/'2015'!D40)</f>
        <v>0.19401415184547716</v>
      </c>
      <c r="E107" s="12">
        <f>IF(E97="","",(E97-'2015'!E40)/'2015'!E40)</f>
        <v>-0.26198550948049948</v>
      </c>
      <c r="F107" s="12">
        <f>IF(F97="","",(F97-'2015'!F40)/'2015'!F40)</f>
        <v>-0.58925821936418799</v>
      </c>
      <c r="G107" s="12" t="str">
        <f>IF(G97="","",(G97-#REF!)/#REF!)</f>
        <v/>
      </c>
      <c r="H107" s="12" t="str">
        <f>IF(H97="","",(H97-#REF!)/#REF!)</f>
        <v/>
      </c>
      <c r="I107" s="12" t="str">
        <f>IF(I97="","",(I97-#REF!)/#REF!)</f>
        <v/>
      </c>
      <c r="J107" s="11">
        <f>J97-'2015'!J11</f>
        <v>80.083286618082809</v>
      </c>
      <c r="K107" s="11">
        <f>K97-'2015'!K11</f>
        <v>104.43864229765013</v>
      </c>
      <c r="L107" s="11">
        <f>L97-'2015'!L11</f>
        <v>220.50716648291069</v>
      </c>
      <c r="M107" s="11" t="str">
        <f>IF(G107="","",M97-((1/Comparisons!#REF!)*1000000))</f>
        <v/>
      </c>
      <c r="N107" s="11" t="str">
        <f>IF(H107="","",N97-((1/Comparisons!#REF!)*1000000))</f>
        <v/>
      </c>
      <c r="O107" s="11" t="str">
        <f>IF(I107="","",O97-((1/Comparisons!#REF!)*1000000))</f>
        <v/>
      </c>
    </row>
    <row r="108" spans="1:15" ht="18.75" x14ac:dyDescent="0.3">
      <c r="A108" s="75" t="s">
        <v>77</v>
      </c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93"/>
    </row>
    <row r="109" spans="1:15" x14ac:dyDescent="0.25">
      <c r="A109" s="72" t="s">
        <v>1</v>
      </c>
      <c r="B109" s="72"/>
      <c r="C109" s="72"/>
      <c r="D109" s="73" t="s">
        <v>19</v>
      </c>
      <c r="E109" s="73"/>
      <c r="F109" s="73"/>
      <c r="G109" s="73"/>
      <c r="H109" s="73"/>
      <c r="I109" s="73"/>
      <c r="J109" s="73" t="s">
        <v>22</v>
      </c>
      <c r="K109" s="73"/>
      <c r="L109" s="73"/>
      <c r="M109" s="73"/>
      <c r="N109" s="73"/>
      <c r="O109" s="73"/>
    </row>
    <row r="110" spans="1:15" x14ac:dyDescent="0.25">
      <c r="A110" s="6" t="s">
        <v>4</v>
      </c>
      <c r="B110" s="6" t="s">
        <v>5</v>
      </c>
      <c r="C110" s="6" t="s">
        <v>6</v>
      </c>
      <c r="D110" s="7">
        <v>1</v>
      </c>
      <c r="E110" s="7">
        <v>4</v>
      </c>
      <c r="F110" s="7">
        <v>16</v>
      </c>
      <c r="G110" s="7">
        <v>32</v>
      </c>
      <c r="H110" s="7">
        <v>64</v>
      </c>
      <c r="I110" s="7">
        <v>80</v>
      </c>
      <c r="J110" s="7">
        <v>1</v>
      </c>
      <c r="K110" s="7">
        <v>4</v>
      </c>
      <c r="L110" s="7">
        <v>16</v>
      </c>
      <c r="M110" s="7">
        <v>32</v>
      </c>
      <c r="N110" s="7">
        <v>64</v>
      </c>
      <c r="O110" s="7">
        <v>80</v>
      </c>
    </row>
    <row r="111" spans="1:15" x14ac:dyDescent="0.25">
      <c r="A111" s="8" t="s">
        <v>7</v>
      </c>
      <c r="B111" s="9" t="s">
        <v>8</v>
      </c>
      <c r="C111" s="9" t="s">
        <v>9</v>
      </c>
      <c r="D111" s="12">
        <f>IF(D92="","",(D92-'2015'!D127)/'2015'!D127)</f>
        <v>4.6453850841419397E-2</v>
      </c>
      <c r="E111" s="12">
        <f>IF(E92="","",(E92-'2015'!E127)/'2015'!E127)</f>
        <v>-0.55465108499297489</v>
      </c>
      <c r="F111" s="12">
        <f>IF(F92="","",(F92-'2015'!F127)/'2015'!F127)</f>
        <v>-0.7169226297175525</v>
      </c>
      <c r="G111" s="12"/>
      <c r="H111" s="12"/>
      <c r="I111" s="12"/>
      <c r="J111" s="11">
        <f>J92-'2015'!J98</f>
        <v>22.267336419009073</v>
      </c>
      <c r="K111" s="11">
        <f>K92-'2015'!K98</f>
        <v>50.811527995742765</v>
      </c>
      <c r="L111" s="11">
        <f>L92-'2015'!L98</f>
        <v>170.80034218242037</v>
      </c>
      <c r="M111" s="11" t="str">
        <f>IF(G111="","",M101-((1/Comparisons!#REF!)*1000000))</f>
        <v/>
      </c>
      <c r="N111" s="11" t="str">
        <f>IF(H111="","",N101-((1/Comparisons!#REF!)*1000000))</f>
        <v/>
      </c>
      <c r="O111" s="11" t="str">
        <f>IF(I111="","",O101-((1/Comparisons!#REF!)*1000000))</f>
        <v/>
      </c>
    </row>
    <row r="112" spans="1:15" x14ac:dyDescent="0.25">
      <c r="A112" s="8" t="s">
        <v>10</v>
      </c>
      <c r="B112" s="9" t="s">
        <v>8</v>
      </c>
      <c r="C112" s="9" t="s">
        <v>11</v>
      </c>
      <c r="D112" s="12">
        <f>IF(D93="","",(D93-'2015'!D128)/'2015'!D128)</f>
        <v>-0.1290866397736167</v>
      </c>
      <c r="E112" s="12">
        <f>IF(E93="","",(E93-'2015'!E128)/'2015'!E128)</f>
        <v>-0.36646993729251198</v>
      </c>
      <c r="F112" s="12">
        <f>IF(F93="","",(F93-'2015'!F128)/'2015'!F128)</f>
        <v>-0.61816390211857453</v>
      </c>
      <c r="G112" s="12" t="str">
        <f>IF(G102="","",(G102-#REF!)/#REF!)</f>
        <v/>
      </c>
      <c r="H112" s="12" t="str">
        <f>IF(H102="","",(H102-#REF!)/#REF!)</f>
        <v/>
      </c>
      <c r="I112" s="12" t="str">
        <f>IF(I102="","",(I102-#REF!)/#REF!)</f>
        <v/>
      </c>
      <c r="J112" s="11">
        <f>J93-'2015'!J99</f>
        <v>62.155318227104559</v>
      </c>
      <c r="K112" s="11">
        <f>K93-'2015'!K99</f>
        <v>90.391829564045381</v>
      </c>
      <c r="L112" s="11">
        <f>L93-'2015'!L99</f>
        <v>203.24254142515687</v>
      </c>
      <c r="M112" s="11" t="str">
        <f>IF(G112="","",M102-((1/Comparisons!#REF!)*1000000))</f>
        <v/>
      </c>
      <c r="N112" s="11" t="str">
        <f>IF(H112="","",N102-((1/Comparisons!#REF!)*1000000))</f>
        <v/>
      </c>
      <c r="O112" s="11" t="str">
        <f>IF(I112="","",O102-((1/Comparisons!#REF!)*1000000))</f>
        <v/>
      </c>
    </row>
    <row r="113" spans="1:15" x14ac:dyDescent="0.25">
      <c r="A113" s="9" t="s">
        <v>12</v>
      </c>
      <c r="B113" s="9" t="s">
        <v>13</v>
      </c>
      <c r="C113" s="9" t="s">
        <v>9</v>
      </c>
      <c r="D113" s="12">
        <f>IF(D94="","",(D94-'2015'!D129)/'2015'!D129)</f>
        <v>-0.14123392803747634</v>
      </c>
      <c r="E113" s="12">
        <f>IF(E94="","",(E94-'2015'!E129)/'2015'!E129)</f>
        <v>-0.52364223072318938</v>
      </c>
      <c r="F113" s="12">
        <f>IF(F94="","",(F94-'2015'!F129)/'2015'!F129)</f>
        <v>-0.70141399106953006</v>
      </c>
      <c r="G113" s="12" t="str">
        <f>IF(G103="","",(G103-#REF!)/#REF!)</f>
        <v/>
      </c>
      <c r="H113" s="12" t="str">
        <f>IF(H103="","",(H103-#REF!)/#REF!)</f>
        <v/>
      </c>
      <c r="I113" s="12" t="str">
        <f>IF(I103="","",(I103-#REF!)/#REF!)</f>
        <v/>
      </c>
      <c r="J113" s="11">
        <f>J94-'2015'!J100</f>
        <v>26.972733172967857</v>
      </c>
      <c r="K113" s="11">
        <f>K94-'2015'!K100</f>
        <v>60.041273642943793</v>
      </c>
      <c r="L113" s="11">
        <f>L94-'2015'!L100</f>
        <v>180.57832048516531</v>
      </c>
      <c r="M113" s="11" t="str">
        <f>IF(G113="","",M103-((1/Comparisons!#REF!)*1000000))</f>
        <v/>
      </c>
      <c r="N113" s="11" t="str">
        <f>IF(H113="","",N103-((1/Comparisons!#REF!)*1000000))</f>
        <v/>
      </c>
      <c r="O113" s="11" t="str">
        <f>IF(I113="","",O103-((1/Comparisons!#REF!)*1000000))</f>
        <v/>
      </c>
    </row>
    <row r="114" spans="1:15" x14ac:dyDescent="0.25">
      <c r="A114" s="9" t="s">
        <v>14</v>
      </c>
      <c r="B114" s="9" t="s">
        <v>13</v>
      </c>
      <c r="C114" s="9" t="s">
        <v>11</v>
      </c>
      <c r="D114" s="12">
        <f>IF(D95="","",(D95-'2015'!D130)/'2015'!D130)</f>
        <v>-0.21762263930304626</v>
      </c>
      <c r="E114" s="12">
        <f>IF(E95="","",(E95-'2015'!E130)/'2015'!E130)</f>
        <v>-0.3485959696068715</v>
      </c>
      <c r="F114" s="12">
        <f>IF(F95="","",(F95-'2015'!F130)/'2015'!F130)</f>
        <v>-0.58536358564255164</v>
      </c>
      <c r="G114" s="12" t="str">
        <f>IF(G104="","",(G104-#REF!)/#REF!)</f>
        <v/>
      </c>
      <c r="H114" s="12" t="str">
        <f>IF(H104="","",(H104-#REF!)/#REF!)</f>
        <v/>
      </c>
      <c r="I114" s="12" t="str">
        <f>IF(I104="","",(I104-#REF!)/#REF!)</f>
        <v/>
      </c>
      <c r="J114" s="11">
        <f>J95-'2015'!J101</f>
        <v>80.675351900814803</v>
      </c>
      <c r="K114" s="11">
        <f>K95-'2015'!K101</f>
        <v>107.4341913154545</v>
      </c>
      <c r="L114" s="11">
        <f>L95-'2015'!L101</f>
        <v>225.15898081237685</v>
      </c>
      <c r="M114" s="11" t="str">
        <f>IF(G114="","",M104-((1/Comparisons!#REF!)*1000000))</f>
        <v/>
      </c>
      <c r="N114" s="11" t="str">
        <f>IF(H114="","",N104-((1/Comparisons!#REF!)*1000000))</f>
        <v/>
      </c>
      <c r="O114" s="11" t="str">
        <f>IF(I114="","",O104-((1/Comparisons!#REF!)*1000000))</f>
        <v/>
      </c>
    </row>
    <row r="115" spans="1:15" x14ac:dyDescent="0.25">
      <c r="A115" s="9" t="s">
        <v>15</v>
      </c>
      <c r="B115" s="9" t="s">
        <v>16</v>
      </c>
      <c r="C115" s="9" t="s">
        <v>11</v>
      </c>
      <c r="D115" s="12">
        <f>IF(D96="","",(D96-'2015'!D131)/'2015'!D131)</f>
        <v>-8.4170218914818296E-2</v>
      </c>
      <c r="E115" s="12">
        <f>IF(E96="","",(E96-'2015'!E131)/'2015'!E131)</f>
        <v>-0.33027649451837549</v>
      </c>
      <c r="F115" s="12">
        <f>IF(F96="","",(F96-'2015'!F131)/'2015'!F131)</f>
        <v>-0.59480842741577034</v>
      </c>
      <c r="G115" s="12" t="str">
        <f>IF(G105="","",(G105-#REF!)/#REF!)</f>
        <v/>
      </c>
      <c r="H115" s="12" t="str">
        <f>IF(H105="","",(H105-#REF!)/#REF!)</f>
        <v/>
      </c>
      <c r="I115" s="12" t="str">
        <f>IF(I105="","",(I105-#REF!)/#REF!)</f>
        <v/>
      </c>
      <c r="J115" s="11">
        <f>J96-'2015'!J102</f>
        <v>78.889239507731148</v>
      </c>
      <c r="K115" s="11">
        <f>K96-'2015'!K102</f>
        <v>102.95480284155256</v>
      </c>
      <c r="L115" s="11">
        <f>L96-'2015'!L102</f>
        <v>219.39447125932426</v>
      </c>
      <c r="M115" s="11" t="str">
        <f>IF(G115="","",M105-((1/Comparisons!#REF!)*1000000))</f>
        <v/>
      </c>
      <c r="N115" s="11" t="str">
        <f>IF(H115="","",N105-((1/Comparisons!#REF!)*1000000))</f>
        <v/>
      </c>
      <c r="O115" s="11" t="str">
        <f>IF(I115="","",O105-((1/Comparisons!#REF!)*1000000))</f>
        <v/>
      </c>
    </row>
    <row r="116" spans="1:15" x14ac:dyDescent="0.25">
      <c r="A116" s="9" t="s">
        <v>17</v>
      </c>
      <c r="B116" s="8" t="s">
        <v>18</v>
      </c>
      <c r="C116" s="9" t="s">
        <v>11</v>
      </c>
      <c r="D116" s="12">
        <f>IF(D97="","",(D97-'2015'!D132)/'2015'!D132)</f>
        <v>0.19481389340732944</v>
      </c>
      <c r="E116" s="12">
        <f>IF(E97="","",(E97-'2015'!E132)/'2015'!E132)</f>
        <v>-0.29647318148420282</v>
      </c>
      <c r="F116" s="12">
        <f>IF(F97="","",(F97-'2015'!F132)/'2015'!F132)</f>
        <v>-0.59331001703883057</v>
      </c>
      <c r="G116" s="12" t="str">
        <f>IF(G106="","",(G106-#REF!)/#REF!)</f>
        <v/>
      </c>
      <c r="H116" s="12" t="str">
        <f>IF(H106="","",(H106-#REF!)/#REF!)</f>
        <v/>
      </c>
      <c r="I116" s="12" t="str">
        <f>IF(I106="","",(I106-#REF!)/#REF!)</f>
        <v/>
      </c>
      <c r="J116" s="11">
        <f>J97-'2015'!J103</f>
        <v>80.083286618082809</v>
      </c>
      <c r="K116" s="11">
        <f>K97-'2015'!K103</f>
        <v>104.43864229765013</v>
      </c>
      <c r="L116" s="11">
        <f>L97-'2015'!L103</f>
        <v>220.50716648291069</v>
      </c>
      <c r="M116" s="11" t="str">
        <f>IF(G116="","",M106-((1/Comparisons!#REF!)*1000000))</f>
        <v/>
      </c>
      <c r="N116" s="11" t="str">
        <f>IF(H116="","",N106-((1/Comparisons!#REF!)*1000000))</f>
        <v/>
      </c>
      <c r="O116" s="11" t="str">
        <f>IF(I116="","",O106-((1/Comparisons!#REF!)*1000000))</f>
        <v/>
      </c>
    </row>
    <row r="117" spans="1:15" ht="18.75" x14ac:dyDescent="0.25">
      <c r="A117" s="77" t="s">
        <v>70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84"/>
    </row>
    <row r="118" spans="1:15" ht="15.75" x14ac:dyDescent="0.25">
      <c r="A118" s="79" t="s">
        <v>83</v>
      </c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92"/>
    </row>
    <row r="119" spans="1:15" x14ac:dyDescent="0.25">
      <c r="A119" s="72" t="s">
        <v>1</v>
      </c>
      <c r="B119" s="72"/>
      <c r="C119" s="72"/>
      <c r="D119" s="73" t="s">
        <v>2</v>
      </c>
      <c r="E119" s="73"/>
      <c r="F119" s="73"/>
      <c r="G119" s="73"/>
      <c r="H119" s="73"/>
      <c r="I119" s="73"/>
      <c r="J119" s="73" t="s">
        <v>3</v>
      </c>
      <c r="K119" s="73"/>
      <c r="L119" s="73"/>
      <c r="M119" s="73"/>
      <c r="N119" s="73"/>
      <c r="O119" s="73"/>
    </row>
    <row r="120" spans="1:15" x14ac:dyDescent="0.25">
      <c r="A120" s="6" t="s">
        <v>26</v>
      </c>
      <c r="B120" s="6" t="s">
        <v>5</v>
      </c>
      <c r="C120" s="6" t="s">
        <v>6</v>
      </c>
      <c r="D120" s="7">
        <v>1</v>
      </c>
      <c r="E120" s="7">
        <v>4</v>
      </c>
      <c r="F120" s="7">
        <v>16</v>
      </c>
      <c r="G120" s="7">
        <v>32</v>
      </c>
      <c r="H120" s="7">
        <v>64</v>
      </c>
      <c r="I120" s="7">
        <v>80</v>
      </c>
      <c r="J120" s="7">
        <v>1</v>
      </c>
      <c r="K120" s="7">
        <v>4</v>
      </c>
      <c r="L120" s="7">
        <v>16</v>
      </c>
      <c r="M120" s="7">
        <v>32</v>
      </c>
      <c r="N120" s="7">
        <v>64</v>
      </c>
      <c r="O120" s="7">
        <v>80</v>
      </c>
    </row>
    <row r="121" spans="1:15" x14ac:dyDescent="0.25">
      <c r="A121" s="8" t="s">
        <v>7</v>
      </c>
      <c r="B121" s="9" t="s">
        <v>8</v>
      </c>
      <c r="C121" s="9" t="s">
        <v>9</v>
      </c>
      <c r="D121" s="10">
        <v>51861</v>
      </c>
      <c r="E121" s="10">
        <v>44224</v>
      </c>
      <c r="F121" s="10">
        <v>20623</v>
      </c>
      <c r="G121" s="10"/>
      <c r="H121" s="10"/>
      <c r="I121" s="10"/>
      <c r="J121" s="11">
        <f t="shared" ref="J121:J126" si="24">IF(D121="","",(1/D121)*1000000)</f>
        <v>19.282312334895199</v>
      </c>
      <c r="K121" s="11">
        <f t="shared" ref="K121:K126" si="25">IF(E121="","",(1/E121)*1000000)</f>
        <v>22.61215629522431</v>
      </c>
      <c r="L121" s="11">
        <f t="shared" ref="L121:L126" si="26">IF(F121="","",(1/F121)*1000000)</f>
        <v>48.489550501866844</v>
      </c>
      <c r="M121" s="11" t="str">
        <f t="shared" ref="M121:M126" si="27">IF(G121="","",(1/G121)*1000000)</f>
        <v/>
      </c>
      <c r="N121" s="11" t="str">
        <f t="shared" ref="N121:N126" si="28">IF(H121="","",(1/H121)*1000000)</f>
        <v/>
      </c>
      <c r="O121" s="11" t="str">
        <f t="shared" ref="O121:O126" si="29">IF(I121="","",(1/I121)*1000000)</f>
        <v/>
      </c>
    </row>
    <row r="122" spans="1:15" x14ac:dyDescent="0.25">
      <c r="A122" s="8" t="s">
        <v>10</v>
      </c>
      <c r="B122" s="9" t="s">
        <v>8</v>
      </c>
      <c r="C122" s="9" t="s">
        <v>11</v>
      </c>
      <c r="D122" s="10">
        <v>14342</v>
      </c>
      <c r="E122" s="10">
        <v>13841</v>
      </c>
      <c r="F122" s="10">
        <v>11006</v>
      </c>
      <c r="G122" s="10"/>
      <c r="H122" s="10"/>
      <c r="I122" s="10"/>
      <c r="J122" s="11">
        <f t="shared" si="24"/>
        <v>69.725282387393676</v>
      </c>
      <c r="K122" s="11">
        <f t="shared" si="25"/>
        <v>72.249114948341884</v>
      </c>
      <c r="L122" s="11">
        <f t="shared" si="26"/>
        <v>90.859531164819188</v>
      </c>
      <c r="M122" s="11" t="str">
        <f t="shared" si="27"/>
        <v/>
      </c>
      <c r="N122" s="11" t="str">
        <f t="shared" si="28"/>
        <v/>
      </c>
      <c r="O122" s="11" t="str">
        <f t="shared" si="29"/>
        <v/>
      </c>
    </row>
    <row r="123" spans="1:15" x14ac:dyDescent="0.25">
      <c r="A123" s="9" t="s">
        <v>12</v>
      </c>
      <c r="B123" s="9" t="s">
        <v>13</v>
      </c>
      <c r="C123" s="9" t="s">
        <v>9</v>
      </c>
      <c r="D123" s="10">
        <v>48914</v>
      </c>
      <c r="E123" s="10">
        <v>36626</v>
      </c>
      <c r="F123" s="10">
        <v>18162</v>
      </c>
      <c r="G123" s="10"/>
      <c r="H123" s="10"/>
      <c r="I123" s="10"/>
      <c r="J123" s="11">
        <f t="shared" si="24"/>
        <v>20.444044649793515</v>
      </c>
      <c r="K123" s="11">
        <f t="shared" si="25"/>
        <v>27.303008791568832</v>
      </c>
      <c r="L123" s="11">
        <f t="shared" si="26"/>
        <v>55.060015416804319</v>
      </c>
      <c r="M123" s="11" t="str">
        <f t="shared" si="27"/>
        <v/>
      </c>
      <c r="N123" s="11" t="str">
        <f t="shared" si="28"/>
        <v/>
      </c>
      <c r="O123" s="11" t="str">
        <f t="shared" si="29"/>
        <v/>
      </c>
    </row>
    <row r="124" spans="1:15" x14ac:dyDescent="0.25">
      <c r="A124" s="9" t="s">
        <v>14</v>
      </c>
      <c r="B124" s="9" t="s">
        <v>13</v>
      </c>
      <c r="C124" s="9" t="s">
        <v>11</v>
      </c>
      <c r="D124" s="10">
        <v>14544</v>
      </c>
      <c r="E124" s="10">
        <v>12740</v>
      </c>
      <c r="F124" s="10">
        <v>9939</v>
      </c>
      <c r="G124" s="10"/>
      <c r="H124" s="10"/>
      <c r="I124" s="10"/>
      <c r="J124" s="11">
        <f t="shared" si="24"/>
        <v>68.756875687568751</v>
      </c>
      <c r="K124" s="11">
        <f t="shared" si="25"/>
        <v>78.492935635792776</v>
      </c>
      <c r="L124" s="11">
        <f t="shared" si="26"/>
        <v>100.61374383740819</v>
      </c>
      <c r="M124" s="11" t="str">
        <f t="shared" si="27"/>
        <v/>
      </c>
      <c r="N124" s="11" t="str">
        <f t="shared" si="28"/>
        <v/>
      </c>
      <c r="O124" s="11" t="str">
        <f t="shared" si="29"/>
        <v/>
      </c>
    </row>
    <row r="125" spans="1:15" x14ac:dyDescent="0.25">
      <c r="A125" s="9" t="s">
        <v>15</v>
      </c>
      <c r="B125" s="9" t="s">
        <v>16</v>
      </c>
      <c r="C125" s="9" t="s">
        <v>11</v>
      </c>
      <c r="D125" s="20">
        <v>12425</v>
      </c>
      <c r="E125" s="20">
        <v>9704</v>
      </c>
      <c r="F125" s="20">
        <v>4588</v>
      </c>
      <c r="G125" s="10"/>
      <c r="H125" s="10"/>
      <c r="I125" s="10"/>
      <c r="J125" s="11">
        <f t="shared" si="24"/>
        <v>80.482897384305844</v>
      </c>
      <c r="K125" s="11">
        <f t="shared" si="25"/>
        <v>103.05028854080791</v>
      </c>
      <c r="L125" s="11">
        <f t="shared" si="26"/>
        <v>217.95989537925021</v>
      </c>
      <c r="M125" s="11" t="str">
        <f t="shared" si="27"/>
        <v/>
      </c>
      <c r="N125" s="11" t="str">
        <f t="shared" si="28"/>
        <v/>
      </c>
      <c r="O125" s="11" t="str">
        <f t="shared" si="29"/>
        <v/>
      </c>
    </row>
    <row r="126" spans="1:15" x14ac:dyDescent="0.25">
      <c r="A126" s="9" t="s">
        <v>17</v>
      </c>
      <c r="B126" s="8" t="s">
        <v>18</v>
      </c>
      <c r="C126" s="9" t="s">
        <v>11</v>
      </c>
      <c r="D126" s="20">
        <v>12335</v>
      </c>
      <c r="E126" s="20">
        <v>9773</v>
      </c>
      <c r="F126" s="20">
        <v>4566</v>
      </c>
      <c r="G126" s="10"/>
      <c r="H126" s="10"/>
      <c r="I126" s="10"/>
      <c r="J126" s="11">
        <f t="shared" si="24"/>
        <v>81.070125658694778</v>
      </c>
      <c r="K126" s="11">
        <f t="shared" si="25"/>
        <v>102.32272587741738</v>
      </c>
      <c r="L126" s="11">
        <f t="shared" si="26"/>
        <v>219.01007446342533</v>
      </c>
      <c r="M126" s="11" t="str">
        <f t="shared" si="27"/>
        <v/>
      </c>
      <c r="N126" s="11" t="str">
        <f t="shared" si="28"/>
        <v/>
      </c>
      <c r="O126" s="11" t="str">
        <f t="shared" si="29"/>
        <v/>
      </c>
    </row>
    <row r="127" spans="1:15" x14ac:dyDescent="0.25">
      <c r="A127" s="102" t="s">
        <v>84</v>
      </c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</row>
    <row r="128" spans="1:15" ht="18.75" x14ac:dyDescent="0.3">
      <c r="A128" s="75" t="s">
        <v>61</v>
      </c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93"/>
    </row>
    <row r="129" spans="1:15" x14ac:dyDescent="0.25">
      <c r="A129" s="72" t="s">
        <v>1</v>
      </c>
      <c r="B129" s="72"/>
      <c r="C129" s="72"/>
      <c r="D129" s="73" t="s">
        <v>19</v>
      </c>
      <c r="E129" s="73"/>
      <c r="F129" s="73"/>
      <c r="G129" s="73"/>
      <c r="H129" s="73"/>
      <c r="I129" s="73"/>
      <c r="J129" s="73" t="s">
        <v>22</v>
      </c>
      <c r="K129" s="73"/>
      <c r="L129" s="73"/>
      <c r="M129" s="73"/>
      <c r="N129" s="73"/>
      <c r="O129" s="73"/>
    </row>
    <row r="130" spans="1:15" x14ac:dyDescent="0.25">
      <c r="A130" s="6" t="s">
        <v>4</v>
      </c>
      <c r="B130" s="6" t="s">
        <v>5</v>
      </c>
      <c r="C130" s="6" t="s">
        <v>6</v>
      </c>
      <c r="D130" s="7">
        <v>1</v>
      </c>
      <c r="E130" s="7">
        <v>4</v>
      </c>
      <c r="F130" s="7">
        <v>16</v>
      </c>
      <c r="G130" s="7">
        <v>32</v>
      </c>
      <c r="H130" s="7">
        <v>64</v>
      </c>
      <c r="I130" s="7">
        <v>80</v>
      </c>
      <c r="J130" s="7">
        <v>1</v>
      </c>
      <c r="K130" s="7">
        <v>4</v>
      </c>
      <c r="L130" s="7">
        <v>16</v>
      </c>
      <c r="M130" s="7">
        <v>32</v>
      </c>
      <c r="N130" s="7">
        <v>64</v>
      </c>
      <c r="O130" s="7">
        <v>80</v>
      </c>
    </row>
    <row r="131" spans="1:15" x14ac:dyDescent="0.25">
      <c r="A131" s="8" t="s">
        <v>7</v>
      </c>
      <c r="B131" s="9" t="s">
        <v>8</v>
      </c>
      <c r="C131" s="9" t="s">
        <v>9</v>
      </c>
      <c r="D131" s="12">
        <f>IF(D121="","",(D121-'2015'!D35)/'2015'!D35)</f>
        <v>0.21551117986218535</v>
      </c>
      <c r="E131" s="12">
        <f>IF(E121="","",(E121-'2015'!E35)/'2015'!E35)</f>
        <v>2.8297718975980653E-2</v>
      </c>
      <c r="F131" s="12">
        <f>IF(F121="","",(F121-'2015'!F35)/'2015'!F35)</f>
        <v>-8.7205077273387914E-4</v>
      </c>
      <c r="G131" s="12" t="str">
        <f>IF(G121="","",(G121-#REF!)/#REF!)</f>
        <v/>
      </c>
      <c r="H131" s="12" t="str">
        <f>IF(H121="","",(H121-#REF!)/#REF!)</f>
        <v/>
      </c>
      <c r="I131" s="12" t="str">
        <f>IF(I121="","",(I121-#REF!)/#REF!)</f>
        <v/>
      </c>
      <c r="J131" s="11">
        <f>J121-'2015'!J35</f>
        <v>-4.1555538817644369</v>
      </c>
      <c r="K131" s="11">
        <f>K121-'2015'!K35</f>
        <v>-0.63987244428321333</v>
      </c>
      <c r="L131" s="11">
        <f>L121-'2015'!L35</f>
        <v>4.2285349984666709E-2</v>
      </c>
      <c r="M131" s="11" t="str">
        <f>IF(G131="","",M121-((1/Comparisons!G1)*1000000))</f>
        <v/>
      </c>
      <c r="N131" s="11" t="str">
        <f>IF(H131="","",N121-((1/Comparisons!H1)*1000000))</f>
        <v/>
      </c>
      <c r="O131" s="11" t="str">
        <f>IF(I131="","",O121-((1/Comparisons!I1)*1000000))</f>
        <v/>
      </c>
    </row>
    <row r="132" spans="1:15" x14ac:dyDescent="0.25">
      <c r="A132" s="8" t="s">
        <v>10</v>
      </c>
      <c r="B132" s="9" t="s">
        <v>8</v>
      </c>
      <c r="C132" s="9" t="s">
        <v>11</v>
      </c>
      <c r="D132" s="12">
        <f>IF(D122="","",(D122-'2015'!D36)/'2015'!D36)</f>
        <v>-0.11871697185694974</v>
      </c>
      <c r="E132" s="12">
        <f>IF(E122="","",(E122-'2015'!E36)/'2015'!E36)</f>
        <v>-9.4649398220826797E-2</v>
      </c>
      <c r="F132" s="12">
        <f>IF(F122="","",(F122-'2015'!F36)/'2015'!F36)</f>
        <v>-9.8755322633475265E-2</v>
      </c>
      <c r="G132" s="12" t="str">
        <f>IF(G122="","",(G122-#REF!)/#REF!)</f>
        <v/>
      </c>
      <c r="H132" s="12" t="str">
        <f>IF(H122="","",(H122-#REF!)/#REF!)</f>
        <v/>
      </c>
      <c r="I132" s="12" t="str">
        <f>IF(I122="","",(I122-#REF!)/#REF!)</f>
        <v/>
      </c>
      <c r="J132" s="11">
        <f>J122-'2015'!J36</f>
        <v>8.2775743869020957</v>
      </c>
      <c r="K132" s="11">
        <f>K122-'2015'!K36</f>
        <v>6.8383352518478944</v>
      </c>
      <c r="L132" s="11">
        <f>L122-'2015'!L36</f>
        <v>8.9728623145080206</v>
      </c>
      <c r="M132" s="11" t="str">
        <f>IF(G132="","",M122-((1/Comparisons!G2)*1000000))</f>
        <v/>
      </c>
      <c r="N132" s="11" t="str">
        <f>IF(H132="","",N122-((1/Comparisons!H2)*1000000))</f>
        <v/>
      </c>
      <c r="O132" s="11" t="str">
        <f>IF(I132="","",O122-((1/Comparisons!I2)*1000000))</f>
        <v/>
      </c>
    </row>
    <row r="133" spans="1:15" x14ac:dyDescent="0.25">
      <c r="A133" s="9" t="s">
        <v>12</v>
      </c>
      <c r="B133" s="9" t="s">
        <v>13</v>
      </c>
      <c r="C133" s="9" t="s">
        <v>9</v>
      </c>
      <c r="D133" s="12">
        <f>IF(D123="","",(D123-'2015'!D37)/'2015'!D37)</f>
        <v>-2.0034459269944304E-2</v>
      </c>
      <c r="E133" s="12">
        <f>IF(E123="","",(E123-'2015'!E37)/'2015'!E37)</f>
        <v>-1.3042306655887901E-2</v>
      </c>
      <c r="F133" s="12">
        <f>IF(F123="","",(F123-'2015'!F37)/'2015'!F37)</f>
        <v>-4.5662340391992011E-2</v>
      </c>
      <c r="G133" s="12" t="str">
        <f>IF(G123="","",(G123-#REF!)/#REF!)</f>
        <v/>
      </c>
      <c r="H133" s="12" t="str">
        <f>IF(H123="","",(H123-#REF!)/#REF!)</f>
        <v/>
      </c>
      <c r="I133" s="12" t="str">
        <f>IF(I123="","",(I123-#REF!)/#REF!)</f>
        <v/>
      </c>
      <c r="J133" s="11">
        <f>J123-'2015'!J37</f>
        <v>0.40958537984921151</v>
      </c>
      <c r="K133" s="11">
        <f>K123-'2015'!K37</f>
        <v>0.35609421328804558</v>
      </c>
      <c r="L133" s="11">
        <f>L123-'2015'!L37</f>
        <v>2.5141691659504488</v>
      </c>
      <c r="M133" s="11" t="str">
        <f>IF(G133="","",M123-((1/Comparisons!G3)*1000000))</f>
        <v/>
      </c>
      <c r="N133" s="11" t="str">
        <f>IF(H133="","",N123-((1/Comparisons!H3)*1000000))</f>
        <v/>
      </c>
      <c r="O133" s="11" t="str">
        <f>IF(I133="","",O123-((1/Comparisons!I3)*1000000))</f>
        <v/>
      </c>
    </row>
    <row r="134" spans="1:15" x14ac:dyDescent="0.25">
      <c r="A134" s="9" t="s">
        <v>14</v>
      </c>
      <c r="B134" s="9" t="s">
        <v>13</v>
      </c>
      <c r="C134" s="9" t="s">
        <v>11</v>
      </c>
      <c r="D134" s="12">
        <f>IF(D124="","",(D124-'2015'!D38)/'2015'!D38)</f>
        <v>-4.5418745077448149E-2</v>
      </c>
      <c r="E134" s="12">
        <f>IF(E124="","",(E124-'2015'!E38)/'2015'!E38)</f>
        <v>-0.11521633446767136</v>
      </c>
      <c r="F134" s="12">
        <f>IF(F124="","",(F124-'2015'!F38)/'2015'!F38)</f>
        <v>-8.3371760582864524E-2</v>
      </c>
      <c r="G134" s="12" t="str">
        <f>IF(G124="","",(G124-#REF!)/#REF!)</f>
        <v/>
      </c>
      <c r="H134" s="12" t="str">
        <f>IF(H124="","",(H124-#REF!)/#REF!)</f>
        <v/>
      </c>
      <c r="I134" s="12" t="str">
        <f>IF(I124="","",(I124-#REF!)/#REF!)</f>
        <v/>
      </c>
      <c r="J134" s="11">
        <f>J124-'2015'!J38</f>
        <v>3.1228510091754629</v>
      </c>
      <c r="K134" s="11">
        <f>K124-'2015'!K38</f>
        <v>9.0436683255628907</v>
      </c>
      <c r="L134" s="11">
        <f>L124-'2015'!L38</f>
        <v>8.3883449625580653</v>
      </c>
      <c r="M134" s="11" t="str">
        <f>IF(G134="","",M124-((1/Comparisons!G4)*1000000))</f>
        <v/>
      </c>
      <c r="N134" s="11" t="str">
        <f>IF(H134="","",N124-((1/Comparisons!H4)*1000000))</f>
        <v/>
      </c>
      <c r="O134" s="11" t="str">
        <f>IF(I134="","",O124-((1/Comparisons!I4)*1000000))</f>
        <v/>
      </c>
    </row>
    <row r="135" spans="1:15" x14ac:dyDescent="0.25">
      <c r="A135" s="9" t="s">
        <v>15</v>
      </c>
      <c r="B135" s="9" t="s">
        <v>16</v>
      </c>
      <c r="C135" s="9" t="s">
        <v>11</v>
      </c>
      <c r="D135" s="12">
        <f>IF(D125="","",(D125-'2015'!D39)/'2015'!D39)</f>
        <v>-2.4725274725274724E-2</v>
      </c>
      <c r="E135" s="12">
        <f>IF(E125="","",(E125-'2015'!E39)/'2015'!E39)</f>
        <v>-0.29012435991221652</v>
      </c>
      <c r="F135" s="12">
        <f>IF(F125="","",(F125-'2015'!F39)/'2015'!F39)</f>
        <v>-0.57686986996218759</v>
      </c>
      <c r="G135" s="12" t="str">
        <f>IF(G125="","",(G125-#REF!)/#REF!)</f>
        <v/>
      </c>
      <c r="H135" s="12" t="str">
        <f>IF(H125="","",(H125-#REF!)/#REF!)</f>
        <v/>
      </c>
      <c r="I135" s="12" t="str">
        <f>IF(I125="","",(I125-#REF!)/#REF!)</f>
        <v/>
      </c>
      <c r="J135" s="11">
        <f>J125-'2015'!J39</f>
        <v>1.9899617485130676</v>
      </c>
      <c r="K135" s="11">
        <f>K125-'2015'!K39</f>
        <v>29.897399001671104</v>
      </c>
      <c r="L135" s="11">
        <f>L125-'2015'!L39</f>
        <v>125.73449650440008</v>
      </c>
      <c r="M135" s="11" t="str">
        <f>IF(G135="","",M125-((1/Comparisons!G5)*1000000))</f>
        <v/>
      </c>
      <c r="N135" s="11" t="str">
        <f>IF(H135="","",N125-((1/Comparisons!H5)*1000000))</f>
        <v/>
      </c>
      <c r="O135" s="11" t="str">
        <f>IF(I135="","",O125-((1/Comparisons!I5)*1000000))</f>
        <v/>
      </c>
    </row>
    <row r="136" spans="1:15" x14ac:dyDescent="0.25">
      <c r="A136" s="9" t="s">
        <v>17</v>
      </c>
      <c r="B136" s="8" t="s">
        <v>18</v>
      </c>
      <c r="C136" s="9" t="s">
        <v>11</v>
      </c>
      <c r="D136" s="12">
        <f>IF(D126="","",(D126-'2015'!D40)/'2015'!D40)</f>
        <v>0.17947982405813731</v>
      </c>
      <c r="E136" s="12">
        <f>IF(E126="","",(E126-'2015'!E40)/'2015'!E40)</f>
        <v>-0.24672421766610145</v>
      </c>
      <c r="F136" s="12">
        <f>IF(F126="","",(F126-'2015'!F40)/'2015'!F40)</f>
        <v>-0.58645050267185939</v>
      </c>
      <c r="G136" s="12" t="str">
        <f>IF(G126="","",(G126-#REF!)/#REF!)</f>
        <v/>
      </c>
      <c r="H136" s="12" t="str">
        <f>IF(H126="","",(H126-#REF!)/#REF!)</f>
        <v/>
      </c>
      <c r="I136" s="12" t="str">
        <f>IF(I126="","",(I126-#REF!)/#REF!)</f>
        <v/>
      </c>
      <c r="J136" s="11">
        <f>J126-'2015'!J40</f>
        <v>-14.550451889593617</v>
      </c>
      <c r="K136" s="11">
        <f>K126-'2015'!K40</f>
        <v>25.245494491568763</v>
      </c>
      <c r="L136" s="11">
        <f>L126-'2015'!L40</f>
        <v>128.43856825927713</v>
      </c>
      <c r="M136" s="11" t="str">
        <f>IF(G136="","",M126-((1/Comparisons!G6)*1000000))</f>
        <v/>
      </c>
      <c r="N136" s="11" t="str">
        <f>IF(H136="","",N126-((1/Comparisons!H6)*1000000))</f>
        <v/>
      </c>
      <c r="O136" s="11" t="str">
        <f>IF(I136="","",O126-((1/Comparisons!I6)*1000000))</f>
        <v/>
      </c>
    </row>
    <row r="137" spans="1:15" ht="18.75" x14ac:dyDescent="0.3">
      <c r="A137" s="75" t="s">
        <v>77</v>
      </c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93"/>
    </row>
    <row r="138" spans="1:15" x14ac:dyDescent="0.25">
      <c r="A138" s="72" t="s">
        <v>1</v>
      </c>
      <c r="B138" s="72"/>
      <c r="C138" s="72"/>
      <c r="D138" s="73" t="s">
        <v>19</v>
      </c>
      <c r="E138" s="73"/>
      <c r="F138" s="73"/>
      <c r="G138" s="73"/>
      <c r="H138" s="73"/>
      <c r="I138" s="73"/>
      <c r="J138" s="73" t="s">
        <v>22</v>
      </c>
      <c r="K138" s="73"/>
      <c r="L138" s="73"/>
      <c r="M138" s="73"/>
      <c r="N138" s="73"/>
      <c r="O138" s="73"/>
    </row>
    <row r="139" spans="1:15" x14ac:dyDescent="0.25">
      <c r="A139" s="6" t="s">
        <v>4</v>
      </c>
      <c r="B139" s="6" t="s">
        <v>5</v>
      </c>
      <c r="C139" s="6" t="s">
        <v>6</v>
      </c>
      <c r="D139" s="7">
        <v>1</v>
      </c>
      <c r="E139" s="7">
        <v>4</v>
      </c>
      <c r="F139" s="7">
        <v>16</v>
      </c>
      <c r="G139" s="7">
        <v>32</v>
      </c>
      <c r="H139" s="7">
        <v>64</v>
      </c>
      <c r="I139" s="7">
        <v>80</v>
      </c>
      <c r="J139" s="7">
        <v>1</v>
      </c>
      <c r="K139" s="7">
        <v>4</v>
      </c>
      <c r="L139" s="7">
        <v>16</v>
      </c>
      <c r="M139" s="7">
        <v>32</v>
      </c>
      <c r="N139" s="7">
        <v>64</v>
      </c>
      <c r="O139" s="7">
        <v>80</v>
      </c>
    </row>
    <row r="140" spans="1:15" x14ac:dyDescent="0.25">
      <c r="A140" s="8" t="s">
        <v>7</v>
      </c>
      <c r="B140" s="9" t="s">
        <v>8</v>
      </c>
      <c r="C140" s="9" t="s">
        <v>9</v>
      </c>
      <c r="D140" s="12">
        <f>IF(D121="","",(D121-'2015'!D127)/'2015'!D127)</f>
        <v>0.21551117986218535</v>
      </c>
      <c r="E140" s="12">
        <f>IF(E121="","",(E121-'2015'!E127)/'2015'!E127)</f>
        <v>-1.3715738531189367E-2</v>
      </c>
      <c r="F140" s="12">
        <f>IF(F121="","",(F121-'2015'!F127)/'2015'!F127)</f>
        <v>-8.7205077273387914E-4</v>
      </c>
      <c r="G140" s="12"/>
      <c r="H140" s="12"/>
      <c r="I140" s="12"/>
      <c r="J140" s="11">
        <f>J121-'2015'!J127</f>
        <v>-4.1555538817644369</v>
      </c>
      <c r="K140" s="11">
        <f>K121-'2015'!K127</f>
        <v>0.31014242337167985</v>
      </c>
      <c r="L140" s="11">
        <f>L121-'2015'!L127</f>
        <v>4.2285349984666709E-2</v>
      </c>
      <c r="M140" s="11" t="str">
        <f>IF(G140="","",M130-((1/Comparisons!G10)*1000000))</f>
        <v/>
      </c>
      <c r="N140" s="11" t="str">
        <f>IF(H140="","",N130-((1/Comparisons!H10)*1000000))</f>
        <v/>
      </c>
      <c r="O140" s="11" t="str">
        <f>IF(I140="","",O130-((1/Comparisons!I10)*1000000))</f>
        <v/>
      </c>
    </row>
    <row r="141" spans="1:15" x14ac:dyDescent="0.25">
      <c r="A141" s="8" t="s">
        <v>10</v>
      </c>
      <c r="B141" s="9" t="s">
        <v>8</v>
      </c>
      <c r="C141" s="9" t="s">
        <v>11</v>
      </c>
      <c r="D141" s="12">
        <f>IF(D122="","",(D122-'2015'!D128)/'2015'!D128)</f>
        <v>-0.13649226323077848</v>
      </c>
      <c r="E141" s="12">
        <f>IF(E122="","",(E122-'2015'!E128)/'2015'!E128)</f>
        <v>-0.14908397885159227</v>
      </c>
      <c r="F141" s="12">
        <f>IF(F122="","",(F122-'2015'!F128)/'2015'!F128)</f>
        <v>-9.6239119724092631E-2</v>
      </c>
      <c r="G141" s="12" t="str">
        <f>IF(G131="","",(G131-#REF!)/#REF!)</f>
        <v/>
      </c>
      <c r="H141" s="12" t="str">
        <f>IF(H131="","",(H131-#REF!)/#REF!)</f>
        <v/>
      </c>
      <c r="I141" s="12" t="str">
        <f>IF(I131="","",(I131-#REF!)/#REF!)</f>
        <v/>
      </c>
      <c r="J141" s="11">
        <f>J122-'2015'!J128</f>
        <v>9.516961597460508</v>
      </c>
      <c r="K141" s="11">
        <f>K122-'2015'!K128</f>
        <v>10.77118552500486</v>
      </c>
      <c r="L141" s="11">
        <f>L122-'2015'!L128</f>
        <v>8.74424129784596</v>
      </c>
      <c r="M141" s="11" t="str">
        <f>IF(G141="","",M131-((1/Comparisons!G11)*1000000))</f>
        <v/>
      </c>
      <c r="N141" s="11" t="str">
        <f>IF(H141="","",N131-((1/Comparisons!H11)*1000000))</f>
        <v/>
      </c>
      <c r="O141" s="11" t="str">
        <f>IF(I141="","",O131-((1/Comparisons!I11)*1000000))</f>
        <v/>
      </c>
    </row>
    <row r="142" spans="1:15" x14ac:dyDescent="0.25">
      <c r="A142" s="9" t="s">
        <v>12</v>
      </c>
      <c r="B142" s="9" t="s">
        <v>13</v>
      </c>
      <c r="C142" s="9" t="s">
        <v>9</v>
      </c>
      <c r="D142" s="12">
        <f>IF(D123="","",(D123-'2015'!D129)/'2015'!D129)</f>
        <v>-2.4937705571613674E-2</v>
      </c>
      <c r="E142" s="12">
        <f>IF(E123="","",(E123-'2015'!E129)/'2015'!E129)</f>
        <v>-4.686808754261327E-2</v>
      </c>
      <c r="F142" s="12">
        <f>IF(F123="","",(F123-'2015'!F129)/'2015'!F129)</f>
        <v>-3.4552413353178824E-2</v>
      </c>
      <c r="G142" s="12" t="str">
        <f>IF(G132="","",(G132-#REF!)/#REF!)</f>
        <v/>
      </c>
      <c r="H142" s="12" t="str">
        <f>IF(H132="","",(H132-#REF!)/#REF!)</f>
        <v/>
      </c>
      <c r="I142" s="12" t="str">
        <f>IF(I132="","",(I132-#REF!)/#REF!)</f>
        <v/>
      </c>
      <c r="J142" s="11">
        <f>J123-'2015'!J129</f>
        <v>0.50982756616947356</v>
      </c>
      <c r="K142" s="11">
        <f>K123-'2015'!K129</f>
        <v>1.2796398062199863</v>
      </c>
      <c r="L142" s="11">
        <f>L123-'2015'!L129</f>
        <v>1.9024564119138248</v>
      </c>
      <c r="M142" s="11" t="str">
        <f>IF(G142="","",M132-((1/Comparisons!G12)*1000000))</f>
        <v/>
      </c>
      <c r="N142" s="11" t="str">
        <f>IF(H142="","",N132-((1/Comparisons!H12)*1000000))</f>
        <v/>
      </c>
      <c r="O142" s="11" t="str">
        <f>IF(I142="","",O132-((1/Comparisons!I12)*1000000))</f>
        <v/>
      </c>
    </row>
    <row r="143" spans="1:15" x14ac:dyDescent="0.25">
      <c r="A143" s="9" t="s">
        <v>14</v>
      </c>
      <c r="B143" s="9" t="s">
        <v>13</v>
      </c>
      <c r="C143" s="9" t="s">
        <v>11</v>
      </c>
      <c r="D143" s="12">
        <f>IF(D124="","",(D124-'2015'!D130)/'2015'!D130)</f>
        <v>-0.14962287318014383</v>
      </c>
      <c r="E143" s="12">
        <f>IF(E124="","",(E124-'2015'!E130)/'2015'!E130)</f>
        <v>-0.15824248430789561</v>
      </c>
      <c r="F143" s="12">
        <f>IF(F124="","",(F124-'2015'!F130)/'2015'!F130)</f>
        <v>-7.5785754137995168E-2</v>
      </c>
      <c r="G143" s="12" t="str">
        <f>IF(G133="","",(G133-#REF!)/#REF!)</f>
        <v/>
      </c>
      <c r="H143" s="12" t="str">
        <f>IF(H133="","",(H133-#REF!)/#REF!)</f>
        <v/>
      </c>
      <c r="I143" s="12" t="str">
        <f>IF(I133="","",(I133-#REF!)/#REF!)</f>
        <v/>
      </c>
      <c r="J143" s="11">
        <f>J124-'2015'!J130</f>
        <v>10.287601291264011</v>
      </c>
      <c r="K143" s="11">
        <f>K124-'2015'!K130</f>
        <v>12.42091713562759</v>
      </c>
      <c r="L143" s="11">
        <f>L124-'2015'!L130</f>
        <v>7.6250884533650378</v>
      </c>
      <c r="M143" s="11" t="str">
        <f>IF(G143="","",M133-((1/Comparisons!G13)*1000000))</f>
        <v/>
      </c>
      <c r="N143" s="11" t="str">
        <f>IF(H143="","",N133-((1/Comparisons!H13)*1000000))</f>
        <v/>
      </c>
      <c r="O143" s="11" t="str">
        <f>IF(I143="","",O133-((1/Comparisons!I13)*1000000))</f>
        <v/>
      </c>
    </row>
    <row r="144" spans="1:15" x14ac:dyDescent="0.25">
      <c r="A144" s="9" t="s">
        <v>15</v>
      </c>
      <c r="B144" s="9" t="s">
        <v>16</v>
      </c>
      <c r="C144" s="9" t="s">
        <v>11</v>
      </c>
      <c r="D144" s="12">
        <f>IF(D125="","",(D125-'2015'!D131)/'2015'!D131)</f>
        <v>-0.10230474676685211</v>
      </c>
      <c r="E144" s="12">
        <f>IF(E125="","",(E125-'2015'!E131)/'2015'!E131)</f>
        <v>-0.33089705578156242</v>
      </c>
      <c r="F144" s="12">
        <f>IF(F125="","",(F125-'2015'!F131)/'2015'!F131)</f>
        <v>-0.59214152369099471</v>
      </c>
      <c r="G144" s="12" t="str">
        <f>IF(G134="","",(G134-#REF!)/#REF!)</f>
        <v/>
      </c>
      <c r="H144" s="12" t="str">
        <f>IF(H134="","",(H134-#REF!)/#REF!)</f>
        <v/>
      </c>
      <c r="I144" s="12" t="str">
        <f>IF(I134="","",(I134-#REF!)/#REF!)</f>
        <v/>
      </c>
      <c r="J144" s="11">
        <f>J125-'2015'!J131</f>
        <v>8.2337824359639598</v>
      </c>
      <c r="K144" s="11">
        <f>K125-'2015'!K131</f>
        <v>34.099037075593827</v>
      </c>
      <c r="L144" s="11">
        <f>L125-'2015'!L131</f>
        <v>129.06310455339903</v>
      </c>
      <c r="M144" s="11" t="str">
        <f>IF(G144="","",M134-((1/Comparisons!G14)*1000000))</f>
        <v/>
      </c>
      <c r="N144" s="11" t="str">
        <f>IF(H144="","",N134-((1/Comparisons!H14)*1000000))</f>
        <v/>
      </c>
      <c r="O144" s="11" t="str">
        <f>IF(I144="","",O134-((1/Comparisons!I14)*1000000))</f>
        <v/>
      </c>
    </row>
    <row r="145" spans="1:15" x14ac:dyDescent="0.25">
      <c r="A145" s="9" t="s">
        <v>17</v>
      </c>
      <c r="B145" s="8" t="s">
        <v>18</v>
      </c>
      <c r="C145" s="9" t="s">
        <v>11</v>
      </c>
      <c r="D145" s="12">
        <f>IF(D126="","",(D126-'2015'!D132)/'2015'!D132)</f>
        <v>0.18026983063821644</v>
      </c>
      <c r="E145" s="12">
        <f>IF(E126="","",(E126-'2015'!E132)/'2015'!E132)</f>
        <v>-0.28192505510653931</v>
      </c>
      <c r="F145" s="12">
        <f>IF(F126="","",(F126-'2015'!F132)/'2015'!F132)</f>
        <v>-0.59052999730965827</v>
      </c>
      <c r="G145" s="12" t="str">
        <f>IF(G135="","",(G135-#REF!)/#REF!)</f>
        <v/>
      </c>
      <c r="H145" s="12" t="str">
        <f>IF(H135="","",(H135-#REF!)/#REF!)</f>
        <v/>
      </c>
      <c r="I145" s="12" t="str">
        <f>IF(I135="","",(I135-#REF!)/#REF!)</f>
        <v/>
      </c>
      <c r="J145" s="11">
        <f>J126-'2015'!J132</f>
        <v>-14.614497822311819</v>
      </c>
      <c r="K145" s="11">
        <f>K126-'2015'!K132</f>
        <v>28.847340131642227</v>
      </c>
      <c r="L145" s="11">
        <f>L126-'2015'!L132</f>
        <v>129.33201868367462</v>
      </c>
      <c r="M145" s="11" t="str">
        <f>IF(G145="","",M135-((1/Comparisons!G15)*1000000))</f>
        <v/>
      </c>
      <c r="N145" s="11" t="str">
        <f>IF(H145="","",N135-((1/Comparisons!H15)*1000000))</f>
        <v/>
      </c>
      <c r="O145" s="11" t="str">
        <f>IF(I145="","",O135-((1/Comparisons!I15)*1000000))</f>
        <v/>
      </c>
    </row>
    <row r="146" spans="1:15" ht="18.75" x14ac:dyDescent="0.25">
      <c r="A146" s="77" t="s">
        <v>70</v>
      </c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84"/>
    </row>
    <row r="147" spans="1:15" ht="15.75" x14ac:dyDescent="0.25">
      <c r="A147" s="79" t="s">
        <v>81</v>
      </c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92"/>
    </row>
    <row r="148" spans="1:15" x14ac:dyDescent="0.25">
      <c r="A148" s="72" t="s">
        <v>1</v>
      </c>
      <c r="B148" s="72"/>
      <c r="C148" s="72"/>
      <c r="D148" s="73" t="s">
        <v>2</v>
      </c>
      <c r="E148" s="73"/>
      <c r="F148" s="73"/>
      <c r="G148" s="73"/>
      <c r="H148" s="73"/>
      <c r="I148" s="73"/>
      <c r="J148" s="73" t="s">
        <v>3</v>
      </c>
      <c r="K148" s="73"/>
      <c r="L148" s="73"/>
      <c r="M148" s="73"/>
      <c r="N148" s="73"/>
      <c r="O148" s="73"/>
    </row>
    <row r="149" spans="1:15" x14ac:dyDescent="0.25">
      <c r="A149" s="6" t="s">
        <v>26</v>
      </c>
      <c r="B149" s="6" t="s">
        <v>5</v>
      </c>
      <c r="C149" s="6" t="s">
        <v>6</v>
      </c>
      <c r="D149" s="7">
        <v>1</v>
      </c>
      <c r="E149" s="7">
        <v>4</v>
      </c>
      <c r="F149" s="7">
        <v>16</v>
      </c>
      <c r="G149" s="7">
        <v>32</v>
      </c>
      <c r="H149" s="7">
        <v>64</v>
      </c>
      <c r="I149" s="7">
        <v>80</v>
      </c>
      <c r="J149" s="7">
        <v>1</v>
      </c>
      <c r="K149" s="7">
        <v>4</v>
      </c>
      <c r="L149" s="7">
        <v>16</v>
      </c>
      <c r="M149" s="7">
        <v>32</v>
      </c>
      <c r="N149" s="7">
        <v>64</v>
      </c>
      <c r="O149" s="7">
        <v>80</v>
      </c>
    </row>
    <row r="150" spans="1:15" x14ac:dyDescent="0.25">
      <c r="A150" s="8" t="s">
        <v>7</v>
      </c>
      <c r="B150" s="9" t="s">
        <v>8</v>
      </c>
      <c r="C150" s="9" t="s">
        <v>9</v>
      </c>
      <c r="D150" s="10">
        <v>32456</v>
      </c>
      <c r="E150" s="10">
        <v>25040</v>
      </c>
      <c r="F150" s="10">
        <v>12892</v>
      </c>
      <c r="G150" s="10"/>
      <c r="H150" s="10"/>
      <c r="I150" s="10"/>
      <c r="J150" s="11">
        <f t="shared" ref="J150:J155" si="30">IF(D150="","",(1/D150)*1000000)</f>
        <v>30.810944047325609</v>
      </c>
      <c r="K150" s="11">
        <f t="shared" ref="K150:K155" si="31">IF(E150="","",(1/E150)*1000000)</f>
        <v>39.936102236421725</v>
      </c>
      <c r="L150" s="11">
        <f t="shared" ref="L150:L155" si="32">IF(F150="","",(1/F150)*1000000)</f>
        <v>77.567483710828412</v>
      </c>
      <c r="M150" s="11" t="str">
        <f t="shared" ref="M150:M155" si="33">IF(G150="","",(1/G150)*1000000)</f>
        <v/>
      </c>
      <c r="N150" s="11" t="str">
        <f t="shared" ref="N150:N155" si="34">IF(H150="","",(1/H150)*1000000)</f>
        <v/>
      </c>
      <c r="O150" s="11" t="str">
        <f t="shared" ref="O150:O155" si="35">IF(I150="","",(1/I150)*1000000)</f>
        <v/>
      </c>
    </row>
    <row r="151" spans="1:15" x14ac:dyDescent="0.25">
      <c r="A151" s="8" t="s">
        <v>10</v>
      </c>
      <c r="B151" s="9" t="s">
        <v>8</v>
      </c>
      <c r="C151" s="9" t="s">
        <v>11</v>
      </c>
      <c r="D151" s="10">
        <v>13864</v>
      </c>
      <c r="E151" s="10">
        <v>12869</v>
      </c>
      <c r="F151" s="10">
        <v>8631</v>
      </c>
      <c r="G151" s="10"/>
      <c r="H151" s="10"/>
      <c r="I151" s="10"/>
      <c r="J151" s="11">
        <f t="shared" si="30"/>
        <v>72.129255626081928</v>
      </c>
      <c r="K151" s="11">
        <f t="shared" si="31"/>
        <v>77.706115471287589</v>
      </c>
      <c r="L151" s="11">
        <f t="shared" si="32"/>
        <v>115.86142973004287</v>
      </c>
      <c r="M151" s="11" t="str">
        <f t="shared" si="33"/>
        <v/>
      </c>
      <c r="N151" s="11" t="str">
        <f t="shared" si="34"/>
        <v/>
      </c>
      <c r="O151" s="11" t="str">
        <f t="shared" si="35"/>
        <v/>
      </c>
    </row>
    <row r="152" spans="1:15" x14ac:dyDescent="0.25">
      <c r="A152" s="9" t="s">
        <v>12</v>
      </c>
      <c r="B152" s="9" t="s">
        <v>13</v>
      </c>
      <c r="C152" s="9" t="s">
        <v>9</v>
      </c>
      <c r="D152" s="10">
        <v>30303</v>
      </c>
      <c r="E152" s="10">
        <v>21209</v>
      </c>
      <c r="F152" s="10">
        <v>11335</v>
      </c>
      <c r="G152" s="10"/>
      <c r="H152" s="10"/>
      <c r="I152" s="10"/>
      <c r="J152" s="11">
        <f t="shared" si="30"/>
        <v>33.000033000033</v>
      </c>
      <c r="K152" s="11">
        <f t="shared" si="31"/>
        <v>47.149794898392194</v>
      </c>
      <c r="L152" s="11">
        <f t="shared" si="32"/>
        <v>88.222320247022495</v>
      </c>
      <c r="M152" s="11" t="str">
        <f t="shared" si="33"/>
        <v/>
      </c>
      <c r="N152" s="11" t="str">
        <f t="shared" si="34"/>
        <v/>
      </c>
      <c r="O152" s="11" t="str">
        <f t="shared" si="35"/>
        <v/>
      </c>
    </row>
    <row r="153" spans="1:15" x14ac:dyDescent="0.25">
      <c r="A153" s="9" t="s">
        <v>14</v>
      </c>
      <c r="B153" s="9" t="s">
        <v>13</v>
      </c>
      <c r="C153" s="9" t="s">
        <v>11</v>
      </c>
      <c r="D153" s="10">
        <v>13084</v>
      </c>
      <c r="E153" s="10">
        <v>11629</v>
      </c>
      <c r="F153" s="10">
        <v>7864</v>
      </c>
      <c r="G153" s="10"/>
      <c r="H153" s="10"/>
      <c r="I153" s="10"/>
      <c r="J153" s="11">
        <f t="shared" si="30"/>
        <v>76.429226536227446</v>
      </c>
      <c r="K153" s="11">
        <f t="shared" si="31"/>
        <v>85.991916759824576</v>
      </c>
      <c r="L153" s="11">
        <f t="shared" si="32"/>
        <v>127.1617497456765</v>
      </c>
      <c r="M153" s="11" t="str">
        <f t="shared" si="33"/>
        <v/>
      </c>
      <c r="N153" s="11" t="str">
        <f t="shared" si="34"/>
        <v/>
      </c>
      <c r="O153" s="11" t="str">
        <f t="shared" si="35"/>
        <v/>
      </c>
    </row>
    <row r="154" spans="1:15" x14ac:dyDescent="0.25">
      <c r="A154" s="9" t="s">
        <v>15</v>
      </c>
      <c r="B154" s="9" t="s">
        <v>16</v>
      </c>
      <c r="C154" s="9" t="s">
        <v>11</v>
      </c>
      <c r="D154" s="20">
        <v>12415</v>
      </c>
      <c r="E154" s="20">
        <v>11654</v>
      </c>
      <c r="F154" s="20">
        <v>8257</v>
      </c>
      <c r="G154" s="10"/>
      <c r="H154" s="10"/>
      <c r="I154" s="10"/>
      <c r="J154" s="11">
        <f t="shared" si="30"/>
        <v>80.547724526782119</v>
      </c>
      <c r="K154" s="11">
        <f t="shared" si="31"/>
        <v>85.807448086493906</v>
      </c>
      <c r="L154" s="11">
        <f t="shared" si="32"/>
        <v>121.10936175366356</v>
      </c>
      <c r="M154" s="11" t="str">
        <f t="shared" si="33"/>
        <v/>
      </c>
      <c r="N154" s="11" t="str">
        <f t="shared" si="34"/>
        <v/>
      </c>
      <c r="O154" s="11" t="str">
        <f t="shared" si="35"/>
        <v/>
      </c>
    </row>
    <row r="155" spans="1:15" x14ac:dyDescent="0.25">
      <c r="A155" s="9" t="s">
        <v>17</v>
      </c>
      <c r="B155" s="8" t="s">
        <v>18</v>
      </c>
      <c r="C155" s="9" t="s">
        <v>11</v>
      </c>
      <c r="D155" s="20">
        <v>11534</v>
      </c>
      <c r="E155" s="20">
        <v>11652</v>
      </c>
      <c r="F155" s="20">
        <v>8209</v>
      </c>
      <c r="G155" s="10"/>
      <c r="H155" s="10"/>
      <c r="I155" s="10"/>
      <c r="J155" s="11">
        <f t="shared" si="30"/>
        <v>86.700190740419629</v>
      </c>
      <c r="K155" s="11">
        <f t="shared" si="31"/>
        <v>85.822176450394792</v>
      </c>
      <c r="L155" s="11">
        <f t="shared" si="32"/>
        <v>121.81751735899623</v>
      </c>
      <c r="M155" s="11" t="str">
        <f t="shared" si="33"/>
        <v/>
      </c>
      <c r="N155" s="11" t="str">
        <f t="shared" si="34"/>
        <v/>
      </c>
      <c r="O155" s="11" t="str">
        <f t="shared" si="35"/>
        <v/>
      </c>
    </row>
    <row r="156" spans="1:15" x14ac:dyDescent="0.25">
      <c r="A156" s="102" t="s">
        <v>82</v>
      </c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</row>
    <row r="157" spans="1:15" ht="18.75" x14ac:dyDescent="0.3">
      <c r="A157" s="75" t="s">
        <v>61</v>
      </c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93"/>
    </row>
    <row r="158" spans="1:15" x14ac:dyDescent="0.25">
      <c r="A158" s="72" t="s">
        <v>1</v>
      </c>
      <c r="B158" s="72"/>
      <c r="C158" s="72"/>
      <c r="D158" s="73" t="s">
        <v>19</v>
      </c>
      <c r="E158" s="73"/>
      <c r="F158" s="73"/>
      <c r="G158" s="73"/>
      <c r="H158" s="73"/>
      <c r="I158" s="73"/>
      <c r="J158" s="73" t="s">
        <v>22</v>
      </c>
      <c r="K158" s="73"/>
      <c r="L158" s="73"/>
      <c r="M158" s="73"/>
      <c r="N158" s="73"/>
      <c r="O158" s="73"/>
    </row>
    <row r="159" spans="1:15" x14ac:dyDescent="0.25">
      <c r="A159" s="6" t="s">
        <v>4</v>
      </c>
      <c r="B159" s="6" t="s">
        <v>5</v>
      </c>
      <c r="C159" s="6" t="s">
        <v>6</v>
      </c>
      <c r="D159" s="7">
        <v>1</v>
      </c>
      <c r="E159" s="7">
        <v>4</v>
      </c>
      <c r="F159" s="7">
        <v>16</v>
      </c>
      <c r="G159" s="7">
        <v>32</v>
      </c>
      <c r="H159" s="7">
        <v>64</v>
      </c>
      <c r="I159" s="7">
        <v>80</v>
      </c>
      <c r="J159" s="7">
        <v>1</v>
      </c>
      <c r="K159" s="7">
        <v>4</v>
      </c>
      <c r="L159" s="7">
        <v>16</v>
      </c>
      <c r="M159" s="7">
        <v>32</v>
      </c>
      <c r="N159" s="7">
        <v>64</v>
      </c>
      <c r="O159" s="7">
        <v>80</v>
      </c>
    </row>
    <row r="160" spans="1:15" x14ac:dyDescent="0.25">
      <c r="A160" s="8" t="s">
        <v>7</v>
      </c>
      <c r="B160" s="9" t="s">
        <v>8</v>
      </c>
      <c r="C160" s="9" t="s">
        <v>9</v>
      </c>
      <c r="D160" s="12">
        <f>IF(D150="","",(D150-'2015'!D35)/'2015'!D35)</f>
        <v>-0.23930061407209488</v>
      </c>
      <c r="E160" s="12">
        <f>IF(E150="","",(E150-'2015'!E35)/'2015'!E35)</f>
        <v>-0.41776920036273163</v>
      </c>
      <c r="F160" s="12">
        <f>IF(F150="","",(F150-'2015'!F35)/'2015'!F35)</f>
        <v>-0.37541785766193497</v>
      </c>
      <c r="G160" s="12" t="str">
        <f>IF(G150="","",(G150-#REF!)/#REF!)</f>
        <v/>
      </c>
      <c r="H160" s="12" t="str">
        <f>IF(H150="","",(H150-#REF!)/#REF!)</f>
        <v/>
      </c>
      <c r="I160" s="12" t="str">
        <f>IF(I150="","",(I150-#REF!)/#REF!)</f>
        <v/>
      </c>
      <c r="J160" s="11">
        <f>J150-'2015'!J35</f>
        <v>7.3730778306659737</v>
      </c>
      <c r="K160" s="11">
        <f>K150-'2015'!K35</f>
        <v>16.684073496914202</v>
      </c>
      <c r="L160" s="11">
        <f>L150-'2015'!L35</f>
        <v>29.120218558946235</v>
      </c>
      <c r="M160" s="11" t="str">
        <f>IF(G160="","",M150-((1/Comparisons!G30)*1000000))</f>
        <v/>
      </c>
      <c r="N160" s="11" t="str">
        <f>IF(H160="","",N150-((1/Comparisons!H30)*1000000))</f>
        <v/>
      </c>
      <c r="O160" s="11" t="str">
        <f>IF(I160="","",O150-((1/Comparisons!I30)*1000000))</f>
        <v/>
      </c>
    </row>
    <row r="161" spans="1:15" x14ac:dyDescent="0.25">
      <c r="A161" s="8" t="s">
        <v>10</v>
      </c>
      <c r="B161" s="9" t="s">
        <v>8</v>
      </c>
      <c r="C161" s="9" t="s">
        <v>11</v>
      </c>
      <c r="D161" s="12">
        <f>IF(D151="","",(D151-'2015'!D36)/'2015'!D36)</f>
        <v>-0.14808897628118473</v>
      </c>
      <c r="E161" s="12">
        <f>IF(E151="","",(E151-'2015'!E36)/'2015'!E36)</f>
        <v>-0.15822867608581895</v>
      </c>
      <c r="F161" s="12">
        <f>IF(F151="","",(F151-'2015'!F36)/'2015'!F36)</f>
        <v>-0.2932361611529643</v>
      </c>
      <c r="G161" s="12" t="str">
        <f>IF(G151="","",(G151-#REF!)/#REF!)</f>
        <v/>
      </c>
      <c r="H161" s="12" t="str">
        <f>IF(H151="","",(H151-#REF!)/#REF!)</f>
        <v/>
      </c>
      <c r="I161" s="12" t="str">
        <f>IF(I151="","",(I151-#REF!)/#REF!)</f>
        <v/>
      </c>
      <c r="J161" s="11">
        <f>J151-'2015'!J36</f>
        <v>10.681547625590348</v>
      </c>
      <c r="K161" s="11">
        <f>K151-'2015'!K36</f>
        <v>12.2953357747936</v>
      </c>
      <c r="L161" s="11">
        <f>L151-'2015'!L36</f>
        <v>33.974760879731704</v>
      </c>
      <c r="M161" s="11" t="str">
        <f>IF(G161="","",M151-((1/Comparisons!G31)*1000000))</f>
        <v/>
      </c>
      <c r="N161" s="11" t="str">
        <f>IF(H161="","",N151-((1/Comparisons!H31)*1000000))</f>
        <v/>
      </c>
      <c r="O161" s="11" t="str">
        <f>IF(I161="","",O151-((1/Comparisons!I31)*1000000))</f>
        <v/>
      </c>
    </row>
    <row r="162" spans="1:15" x14ac:dyDescent="0.25">
      <c r="A162" s="9" t="s">
        <v>12</v>
      </c>
      <c r="B162" s="9" t="s">
        <v>13</v>
      </c>
      <c r="C162" s="9" t="s">
        <v>9</v>
      </c>
      <c r="D162" s="12">
        <f>IF(D152="","",(D152-'2015'!D37)/'2015'!D37)</f>
        <v>-0.39289578074287773</v>
      </c>
      <c r="E162" s="12">
        <f>IF(E152="","",(E152-'2015'!E37)/'2015'!E37)</f>
        <v>-0.42848288870924278</v>
      </c>
      <c r="F162" s="12">
        <f>IF(F152="","",(F152-'2015'!F37)/'2015'!F37)</f>
        <v>-0.4043928327465714</v>
      </c>
      <c r="G162" s="12" t="str">
        <f>IF(G152="","",(G152-#REF!)/#REF!)</f>
        <v/>
      </c>
      <c r="H162" s="12" t="str">
        <f>IF(H152="","",(H152-#REF!)/#REF!)</f>
        <v/>
      </c>
      <c r="I162" s="12" t="str">
        <f>IF(I152="","",(I152-#REF!)/#REF!)</f>
        <v/>
      </c>
      <c r="J162" s="11">
        <f>J152-'2015'!J37</f>
        <v>12.965573730088696</v>
      </c>
      <c r="K162" s="11">
        <f>K152-'2015'!K37</f>
        <v>20.202880320111408</v>
      </c>
      <c r="L162" s="11">
        <f>L152-'2015'!L37</f>
        <v>35.676473996168625</v>
      </c>
      <c r="M162" s="11" t="str">
        <f>IF(G162="","",M152-((1/Comparisons!G32)*1000000))</f>
        <v/>
      </c>
      <c r="N162" s="11" t="str">
        <f>IF(H162="","",N152-((1/Comparisons!H32)*1000000))</f>
        <v/>
      </c>
      <c r="O162" s="11" t="str">
        <f>IF(I162="","",O152-((1/Comparisons!I32)*1000000))</f>
        <v/>
      </c>
    </row>
    <row r="163" spans="1:15" x14ac:dyDescent="0.25">
      <c r="A163" s="9" t="s">
        <v>14</v>
      </c>
      <c r="B163" s="9" t="s">
        <v>13</v>
      </c>
      <c r="C163" s="9" t="s">
        <v>11</v>
      </c>
      <c r="D163" s="12">
        <f>IF(D153="","",(D153-'2015'!D38)/'2015'!D38)</f>
        <v>-0.14124442110790233</v>
      </c>
      <c r="E163" s="12">
        <f>IF(E153="","",(E153-'2015'!E38)/'2015'!E38)</f>
        <v>-0.19237447044933675</v>
      </c>
      <c r="F163" s="12">
        <f>IF(F153="","",(F153-'2015'!F38)/'2015'!F38)</f>
        <v>-0.27473946324817855</v>
      </c>
      <c r="G163" s="12" t="str">
        <f>IF(G153="","",(G153-#REF!)/#REF!)</f>
        <v/>
      </c>
      <c r="H163" s="12" t="str">
        <f>IF(H153="","",(H153-#REF!)/#REF!)</f>
        <v/>
      </c>
      <c r="I163" s="12" t="str">
        <f>IF(I153="","",(I153-#REF!)/#REF!)</f>
        <v/>
      </c>
      <c r="J163" s="11">
        <f>J153-'2015'!J38</f>
        <v>10.795201857834158</v>
      </c>
      <c r="K163" s="11">
        <f>K153-'2015'!K38</f>
        <v>16.542649449594691</v>
      </c>
      <c r="L163" s="11">
        <f>L153-'2015'!L38</f>
        <v>34.936350870826374</v>
      </c>
      <c r="M163" s="11" t="str">
        <f>IF(G163="","",M153-((1/Comparisons!G33)*1000000))</f>
        <v/>
      </c>
      <c r="N163" s="11" t="str">
        <f>IF(H163="","",N153-((1/Comparisons!H33)*1000000))</f>
        <v/>
      </c>
      <c r="O163" s="11" t="str">
        <f>IF(I163="","",O153-((1/Comparisons!I33)*1000000))</f>
        <v/>
      </c>
    </row>
    <row r="164" spans="1:15" x14ac:dyDescent="0.25">
      <c r="A164" s="9" t="s">
        <v>15</v>
      </c>
      <c r="B164" s="9" t="s">
        <v>16</v>
      </c>
      <c r="C164" s="9" t="s">
        <v>11</v>
      </c>
      <c r="D164" s="12">
        <f>IF(D154="","",(D154-'2015'!D39)/'2015'!D39)</f>
        <v>-2.5510204081632654E-2</v>
      </c>
      <c r="E164" s="12">
        <f>IF(E154="","",(E154-'2015'!E39)/'2015'!E39)</f>
        <v>-0.14747622531089977</v>
      </c>
      <c r="F164" s="12">
        <f>IF(F154="","",(F154-'2015'!F39)/'2015'!F39)</f>
        <v>-0.23849488149036244</v>
      </c>
      <c r="G164" s="12" t="str">
        <f>IF(G154="","",(G154-#REF!)/#REF!)</f>
        <v/>
      </c>
      <c r="H164" s="12" t="str">
        <f>IF(H154="","",(H154-#REF!)/#REF!)</f>
        <v/>
      </c>
      <c r="I164" s="12" t="str">
        <f>IF(I154="","",(I154-#REF!)/#REF!)</f>
        <v/>
      </c>
      <c r="J164" s="11">
        <f>J154-'2015'!J39</f>
        <v>2.054788890989343</v>
      </c>
      <c r="K164" s="11">
        <f>K154-'2015'!K39</f>
        <v>12.654558547357098</v>
      </c>
      <c r="L164" s="11">
        <f>L154-'2015'!L39</f>
        <v>28.883962878813435</v>
      </c>
      <c r="M164" s="11" t="str">
        <f>IF(G164="","",M154-((1/Comparisons!G34)*1000000))</f>
        <v/>
      </c>
      <c r="N164" s="11" t="str">
        <f>IF(H164="","",N154-((1/Comparisons!H34)*1000000))</f>
        <v/>
      </c>
      <c r="O164" s="11" t="str">
        <f>IF(I164="","",O154-((1/Comparisons!I34)*1000000))</f>
        <v/>
      </c>
    </row>
    <row r="165" spans="1:15" x14ac:dyDescent="0.25">
      <c r="A165" s="9" t="s">
        <v>17</v>
      </c>
      <c r="B165" s="8" t="s">
        <v>18</v>
      </c>
      <c r="C165" s="9" t="s">
        <v>11</v>
      </c>
      <c r="D165" s="12">
        <f>IF(D155="","",(D155-'2015'!D40)/'2015'!D40)</f>
        <v>0.10288774144195831</v>
      </c>
      <c r="E165" s="12">
        <f>IF(E155="","",(E155-'2015'!E40)/'2015'!E40)</f>
        <v>-0.10189609989209188</v>
      </c>
      <c r="F165" s="12">
        <f>IF(F155="","",(F155-'2015'!F40)/'2015'!F40)</f>
        <v>-0.25649850557014764</v>
      </c>
      <c r="G165" s="12" t="str">
        <f>IF(G155="","",(G155-#REF!)/#REF!)</f>
        <v/>
      </c>
      <c r="H165" s="12" t="str">
        <f>IF(H155="","",(H155-#REF!)/#REF!)</f>
        <v/>
      </c>
      <c r="I165" s="12" t="str">
        <f>IF(I155="","",(I155-#REF!)/#REF!)</f>
        <v/>
      </c>
      <c r="J165" s="11">
        <f>J155-'2015'!J40</f>
        <v>-8.9203868078687663</v>
      </c>
      <c r="K165" s="11">
        <f>K155-'2015'!K40</f>
        <v>8.7449450645461724</v>
      </c>
      <c r="L165" s="11">
        <f>L155-'2015'!L40</f>
        <v>31.246011154848048</v>
      </c>
      <c r="M165" s="11" t="str">
        <f>IF(G165="","",M155-((1/Comparisons!G35)*1000000))</f>
        <v/>
      </c>
      <c r="N165" s="11" t="str">
        <f>IF(H165="","",N155-((1/Comparisons!H35)*1000000))</f>
        <v/>
      </c>
      <c r="O165" s="11" t="str">
        <f>IF(I165="","",O155-((1/Comparisons!I35)*1000000))</f>
        <v/>
      </c>
    </row>
    <row r="166" spans="1:15" ht="18.75" x14ac:dyDescent="0.3">
      <c r="A166" s="75" t="s">
        <v>77</v>
      </c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93"/>
    </row>
    <row r="167" spans="1:15" x14ac:dyDescent="0.25">
      <c r="A167" s="72" t="s">
        <v>1</v>
      </c>
      <c r="B167" s="72"/>
      <c r="C167" s="72"/>
      <c r="D167" s="73" t="s">
        <v>19</v>
      </c>
      <c r="E167" s="73"/>
      <c r="F167" s="73"/>
      <c r="G167" s="73"/>
      <c r="H167" s="73"/>
      <c r="I167" s="73"/>
      <c r="J167" s="73" t="s">
        <v>22</v>
      </c>
      <c r="K167" s="73"/>
      <c r="L167" s="73"/>
      <c r="M167" s="73"/>
      <c r="N167" s="73"/>
      <c r="O167" s="73"/>
    </row>
    <row r="168" spans="1:15" x14ac:dyDescent="0.25">
      <c r="A168" s="6" t="s">
        <v>4</v>
      </c>
      <c r="B168" s="6" t="s">
        <v>5</v>
      </c>
      <c r="C168" s="6" t="s">
        <v>6</v>
      </c>
      <c r="D168" s="7">
        <v>1</v>
      </c>
      <c r="E168" s="7">
        <v>4</v>
      </c>
      <c r="F168" s="7">
        <v>16</v>
      </c>
      <c r="G168" s="7">
        <v>32</v>
      </c>
      <c r="H168" s="7">
        <v>64</v>
      </c>
      <c r="I168" s="7">
        <v>80</v>
      </c>
      <c r="J168" s="7">
        <v>1</v>
      </c>
      <c r="K168" s="7">
        <v>4</v>
      </c>
      <c r="L168" s="7">
        <v>16</v>
      </c>
      <c r="M168" s="7">
        <v>32</v>
      </c>
      <c r="N168" s="7">
        <v>64</v>
      </c>
      <c r="O168" s="7">
        <v>80</v>
      </c>
    </row>
    <row r="169" spans="1:15" x14ac:dyDescent="0.25">
      <c r="A169" s="8" t="s">
        <v>7</v>
      </c>
      <c r="B169" s="9" t="s">
        <v>8</v>
      </c>
      <c r="C169" s="9" t="s">
        <v>9</v>
      </c>
      <c r="D169" s="12">
        <f>IF(D150="","",(D150-'2015'!D127)/'2015'!D127)</f>
        <v>-0.23930061407209488</v>
      </c>
      <c r="E169" s="12">
        <f>IF(E150="","",(E150-'2015'!E127)/'2015'!E127)</f>
        <v>-0.44155757264881018</v>
      </c>
      <c r="F169" s="12">
        <f>IF(F150="","",(F150-'2015'!F127)/'2015'!F127)</f>
        <v>-0.37541785766193497</v>
      </c>
      <c r="G169" s="12"/>
      <c r="H169" s="12"/>
      <c r="I169" s="12"/>
      <c r="J169" s="11">
        <f>J150-'2015'!J127</f>
        <v>7.3730778306659737</v>
      </c>
      <c r="K169" s="11">
        <f>K150-'2015'!K127</f>
        <v>17.634088364569095</v>
      </c>
      <c r="L169" s="11">
        <f>L150-'2015'!L127</f>
        <v>29.120218558946235</v>
      </c>
      <c r="M169" s="11" t="str">
        <f>IF(G169="","",M159-((1/Comparisons!G39)*1000000))</f>
        <v/>
      </c>
      <c r="N169" s="11" t="str">
        <f>IF(H169="","",N159-((1/Comparisons!H39)*1000000))</f>
        <v/>
      </c>
      <c r="O169" s="11" t="str">
        <f>IF(I169="","",O159-((1/Comparisons!I39)*1000000))</f>
        <v/>
      </c>
    </row>
    <row r="170" spans="1:15" x14ac:dyDescent="0.25">
      <c r="A170" s="8" t="s">
        <v>10</v>
      </c>
      <c r="B170" s="9" t="s">
        <v>8</v>
      </c>
      <c r="C170" s="9" t="s">
        <v>11</v>
      </c>
      <c r="D170" s="12">
        <f>IF(D151="","",(D151-'2015'!D128)/'2015'!D128)</f>
        <v>-0.16527184056836655</v>
      </c>
      <c r="E170" s="12">
        <f>IF(E151="","",(E151-'2015'!E128)/'2015'!E128)</f>
        <v>-0.20884052625107585</v>
      </c>
      <c r="F170" s="12">
        <f>IF(F151="","",(F151-'2015'!F128)/'2015'!F128)</f>
        <v>-0.29126293315815405</v>
      </c>
      <c r="G170" s="12" t="str">
        <f>IF(G160="","",(G160-#REF!)/#REF!)</f>
        <v/>
      </c>
      <c r="H170" s="12" t="str">
        <f>IF(H160="","",(H160-#REF!)/#REF!)</f>
        <v/>
      </c>
      <c r="I170" s="12" t="str">
        <f>IF(I160="","",(I160-#REF!)/#REF!)</f>
        <v/>
      </c>
      <c r="J170" s="11">
        <f>J151-'2015'!J128</f>
        <v>11.92093483614876</v>
      </c>
      <c r="K170" s="11">
        <f>K151-'2015'!K128</f>
        <v>16.228186047950565</v>
      </c>
      <c r="L170" s="11">
        <f>L151-'2015'!L128</f>
        <v>33.746139863069644</v>
      </c>
      <c r="M170" s="11" t="str">
        <f>IF(G170="","",M160-((1/Comparisons!G40)*1000000))</f>
        <v/>
      </c>
      <c r="N170" s="11" t="str">
        <f>IF(H170="","",N160-((1/Comparisons!H40)*1000000))</f>
        <v/>
      </c>
      <c r="O170" s="11" t="str">
        <f>IF(I170="","",O160-((1/Comparisons!I40)*1000000))</f>
        <v/>
      </c>
    </row>
    <row r="171" spans="1:15" x14ac:dyDescent="0.25">
      <c r="A171" s="9" t="s">
        <v>12</v>
      </c>
      <c r="B171" s="9" t="s">
        <v>13</v>
      </c>
      <c r="C171" s="9" t="s">
        <v>9</v>
      </c>
      <c r="D171" s="12">
        <f>IF(D152="","",(D152-'2015'!D129)/'2015'!D129)</f>
        <v>-0.39593341971494067</v>
      </c>
      <c r="E171" s="12">
        <f>IF(E152="","",(E152-'2015'!E129)/'2015'!E129)</f>
        <v>-0.44807036718973636</v>
      </c>
      <c r="F171" s="12">
        <f>IF(F152="","",(F152-'2015'!F129)/'2015'!F129)</f>
        <v>-0.39745906867956621</v>
      </c>
      <c r="G171" s="12" t="str">
        <f>IF(G161="","",(G161-#REF!)/#REF!)</f>
        <v/>
      </c>
      <c r="H171" s="12" t="str">
        <f>IF(H161="","",(H161-#REF!)/#REF!)</f>
        <v/>
      </c>
      <c r="I171" s="12" t="str">
        <f>IF(I161="","",(I161-#REF!)/#REF!)</f>
        <v/>
      </c>
      <c r="J171" s="11">
        <f>J152-'2015'!J129</f>
        <v>13.065815916408958</v>
      </c>
      <c r="K171" s="11">
        <f>K152-'2015'!K129</f>
        <v>21.126425913043349</v>
      </c>
      <c r="L171" s="11">
        <f>L152-'2015'!L129</f>
        <v>35.064761242132001</v>
      </c>
      <c r="M171" s="11" t="str">
        <f>IF(G171="","",M161-((1/Comparisons!G41)*1000000))</f>
        <v/>
      </c>
      <c r="N171" s="11" t="str">
        <f>IF(H171="","",N161-((1/Comparisons!H41)*1000000))</f>
        <v/>
      </c>
      <c r="O171" s="11" t="str">
        <f>IF(I171="","",O161-((1/Comparisons!I41)*1000000))</f>
        <v/>
      </c>
    </row>
    <row r="172" spans="1:15" x14ac:dyDescent="0.25">
      <c r="A172" s="9" t="s">
        <v>14</v>
      </c>
      <c r="B172" s="9" t="s">
        <v>13</v>
      </c>
      <c r="C172" s="9" t="s">
        <v>11</v>
      </c>
      <c r="D172" s="12">
        <f>IF(D153="","",(D153-'2015'!D130)/'2015'!D130)</f>
        <v>-0.23498801379874876</v>
      </c>
      <c r="E172" s="12">
        <f>IF(E153="","",(E153-'2015'!E130)/'2015'!E130)</f>
        <v>-0.23164849686157912</v>
      </c>
      <c r="F172" s="12">
        <f>IF(F153="","",(F153-'2015'!F130)/'2015'!F130)</f>
        <v>-0.26873721405988471</v>
      </c>
      <c r="G172" s="12" t="str">
        <f>IF(G162="","",(G162-#REF!)/#REF!)</f>
        <v/>
      </c>
      <c r="H172" s="12" t="str">
        <f>IF(H162="","",(H162-#REF!)/#REF!)</f>
        <v/>
      </c>
      <c r="I172" s="12" t="str">
        <f>IF(I162="","",(I162-#REF!)/#REF!)</f>
        <v/>
      </c>
      <c r="J172" s="11">
        <f>J153-'2015'!J130</f>
        <v>17.959952139922706</v>
      </c>
      <c r="K172" s="11">
        <f>K153-'2015'!K130</f>
        <v>19.919898259659391</v>
      </c>
      <c r="L172" s="11">
        <f>L153-'2015'!L130</f>
        <v>34.173094361633346</v>
      </c>
      <c r="M172" s="11" t="str">
        <f>IF(G172="","",M162-((1/Comparisons!G42)*1000000))</f>
        <v/>
      </c>
      <c r="N172" s="11" t="str">
        <f>IF(H172="","",N162-((1/Comparisons!H42)*1000000))</f>
        <v/>
      </c>
      <c r="O172" s="11" t="str">
        <f>IF(I172="","",O162-((1/Comparisons!I42)*1000000))</f>
        <v/>
      </c>
    </row>
    <row r="173" spans="1:15" x14ac:dyDescent="0.25">
      <c r="A173" s="9" t="s">
        <v>15</v>
      </c>
      <c r="B173" s="9" t="s">
        <v>16</v>
      </c>
      <c r="C173" s="9" t="s">
        <v>11</v>
      </c>
      <c r="D173" s="12">
        <f>IF(D154="","",(D154-'2015'!D131)/'2015'!D131)</f>
        <v>-0.10302723791633553</v>
      </c>
      <c r="E173" s="12">
        <f>IF(E154="","",(E154-'2015'!E131)/'2015'!E131)</f>
        <v>-0.19644211542439496</v>
      </c>
      <c r="F173" s="12">
        <f>IF(F154="","",(F154-'2015'!F131)/'2015'!F131)</f>
        <v>-0.26597919815094673</v>
      </c>
      <c r="G173" s="12" t="str">
        <f>IF(G163="","",(G163-#REF!)/#REF!)</f>
        <v/>
      </c>
      <c r="H173" s="12" t="str">
        <f>IF(H163="","",(H163-#REF!)/#REF!)</f>
        <v/>
      </c>
      <c r="I173" s="12" t="str">
        <f>IF(I163="","",(I163-#REF!)/#REF!)</f>
        <v/>
      </c>
      <c r="J173" s="11">
        <f>J154-'2015'!J131</f>
        <v>8.2986095784402352</v>
      </c>
      <c r="K173" s="11">
        <f>K154-'2015'!K131</f>
        <v>16.856196621279821</v>
      </c>
      <c r="L173" s="11">
        <f>L154-'2015'!L131</f>
        <v>32.212570927812379</v>
      </c>
      <c r="M173" s="11" t="str">
        <f>IF(G173="","",M163-((1/Comparisons!G43)*1000000))</f>
        <v/>
      </c>
      <c r="N173" s="11" t="str">
        <f>IF(H173="","",N163-((1/Comparisons!H43)*1000000))</f>
        <v/>
      </c>
      <c r="O173" s="11" t="str">
        <f>IF(I173="","",O163-((1/Comparisons!I43)*1000000))</f>
        <v/>
      </c>
    </row>
    <row r="174" spans="1:15" x14ac:dyDescent="0.25">
      <c r="A174" s="9" t="s">
        <v>17</v>
      </c>
      <c r="B174" s="8" t="s">
        <v>18</v>
      </c>
      <c r="C174" s="9" t="s">
        <v>11</v>
      </c>
      <c r="D174" s="12">
        <f>IF(D155="","",(D155-'2015'!D132)/'2015'!D132)</f>
        <v>0.10362644722993015</v>
      </c>
      <c r="E174" s="12">
        <f>IF(E155="","",(E155-'2015'!E132)/'2015'!E132)</f>
        <v>-0.14386480529022777</v>
      </c>
      <c r="F174" s="12">
        <f>IF(F155="","",(F155-'2015'!F132)/'2015'!F132)</f>
        <v>-0.26383284010402652</v>
      </c>
      <c r="G174" s="12" t="str">
        <f>IF(G164="","",(G164-#REF!)/#REF!)</f>
        <v/>
      </c>
      <c r="H174" s="12" t="str">
        <f>IF(H164="","",(H164-#REF!)/#REF!)</f>
        <v/>
      </c>
      <c r="I174" s="12" t="str">
        <f>IF(I164="","",(I164-#REF!)/#REF!)</f>
        <v/>
      </c>
      <c r="J174" s="11">
        <f>J155-'2015'!J132</f>
        <v>-8.9844327405869677</v>
      </c>
      <c r="K174" s="11">
        <f>K155-'2015'!K132</f>
        <v>12.346790704619636</v>
      </c>
      <c r="L174" s="11">
        <f>L155-'2015'!L132</f>
        <v>32.139461579245534</v>
      </c>
      <c r="M174" s="11" t="str">
        <f>IF(G174="","",M164-((1/Comparisons!G44)*1000000))</f>
        <v/>
      </c>
      <c r="N174" s="11" t="str">
        <f>IF(H174="","",N164-((1/Comparisons!H44)*1000000))</f>
        <v/>
      </c>
      <c r="O174" s="11" t="str">
        <f>IF(I174="","",O164-((1/Comparisons!I44)*1000000))</f>
        <v/>
      </c>
    </row>
    <row r="175" spans="1:15" ht="18.75" x14ac:dyDescent="0.25">
      <c r="A175" s="77" t="s">
        <v>70</v>
      </c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84"/>
    </row>
    <row r="176" spans="1:15" ht="15.75" x14ac:dyDescent="0.25">
      <c r="A176" s="79" t="s">
        <v>79</v>
      </c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92"/>
    </row>
    <row r="177" spans="1:15" x14ac:dyDescent="0.25">
      <c r="A177" s="72" t="s">
        <v>1</v>
      </c>
      <c r="B177" s="72"/>
      <c r="C177" s="72"/>
      <c r="D177" s="73" t="s">
        <v>2</v>
      </c>
      <c r="E177" s="73"/>
      <c r="F177" s="73"/>
      <c r="G177" s="73"/>
      <c r="H177" s="73"/>
      <c r="I177" s="73"/>
      <c r="J177" s="73" t="s">
        <v>3</v>
      </c>
      <c r="K177" s="73"/>
      <c r="L177" s="73"/>
      <c r="M177" s="73"/>
      <c r="N177" s="73"/>
      <c r="O177" s="73"/>
    </row>
    <row r="178" spans="1:15" x14ac:dyDescent="0.25">
      <c r="A178" s="6" t="s">
        <v>26</v>
      </c>
      <c r="B178" s="6" t="s">
        <v>5</v>
      </c>
      <c r="C178" s="6" t="s">
        <v>6</v>
      </c>
      <c r="D178" s="7">
        <v>1</v>
      </c>
      <c r="E178" s="7">
        <v>4</v>
      </c>
      <c r="F178" s="7">
        <v>16</v>
      </c>
      <c r="G178" s="7">
        <v>32</v>
      </c>
      <c r="H178" s="7">
        <v>64</v>
      </c>
      <c r="I178" s="7">
        <v>80</v>
      </c>
      <c r="J178" s="7">
        <v>1</v>
      </c>
      <c r="K178" s="7">
        <v>4</v>
      </c>
      <c r="L178" s="7">
        <v>16</v>
      </c>
      <c r="M178" s="7">
        <v>32</v>
      </c>
      <c r="N178" s="7">
        <v>64</v>
      </c>
      <c r="O178" s="7">
        <v>80</v>
      </c>
    </row>
    <row r="179" spans="1:15" x14ac:dyDescent="0.25">
      <c r="A179" s="8" t="s">
        <v>7</v>
      </c>
      <c r="B179" s="9" t="s">
        <v>8</v>
      </c>
      <c r="C179" s="9" t="s">
        <v>9</v>
      </c>
      <c r="D179" s="10">
        <v>17047</v>
      </c>
      <c r="E179" s="10">
        <v>14993</v>
      </c>
      <c r="F179" s="10">
        <v>9337</v>
      </c>
      <c r="G179" s="10"/>
      <c r="H179" s="10"/>
      <c r="I179" s="10"/>
      <c r="J179" s="11">
        <f t="shared" ref="J179:J184" si="36">IF(D179="","",(1/D179)*1000000)</f>
        <v>58.661348037777906</v>
      </c>
      <c r="K179" s="11">
        <f t="shared" ref="K179:K184" si="37">IF(E179="","",(1/E179)*1000000)</f>
        <v>66.697792303074763</v>
      </c>
      <c r="L179" s="11">
        <f t="shared" ref="L179:L184" si="38">IF(F179="","",(1/F179)*1000000)</f>
        <v>107.10078183570739</v>
      </c>
      <c r="M179" s="11" t="str">
        <f t="shared" ref="M179:M184" si="39">IF(G179="","",(1/G179)*1000000)</f>
        <v/>
      </c>
      <c r="N179" s="11" t="str">
        <f t="shared" ref="N179:N184" si="40">IF(H179="","",(1/H179)*1000000)</f>
        <v/>
      </c>
      <c r="O179" s="11" t="str">
        <f t="shared" ref="O179:O184" si="41">IF(I179="","",(1/I179)*1000000)</f>
        <v/>
      </c>
    </row>
    <row r="180" spans="1:15" x14ac:dyDescent="0.25">
      <c r="A180" s="8" t="s">
        <v>10</v>
      </c>
      <c r="B180" s="9" t="s">
        <v>8</v>
      </c>
      <c r="C180" s="9" t="s">
        <v>11</v>
      </c>
      <c r="D180" s="10">
        <v>13566</v>
      </c>
      <c r="E180" s="10">
        <v>12487</v>
      </c>
      <c r="F180" s="10">
        <v>8653</v>
      </c>
      <c r="G180" s="10"/>
      <c r="H180" s="10"/>
      <c r="I180" s="10"/>
      <c r="J180" s="11">
        <f t="shared" si="36"/>
        <v>73.713696004717676</v>
      </c>
      <c r="K180" s="11">
        <f t="shared" si="37"/>
        <v>80.083286618082809</v>
      </c>
      <c r="L180" s="11">
        <f t="shared" si="38"/>
        <v>115.56685542586386</v>
      </c>
      <c r="M180" s="11" t="str">
        <f t="shared" si="39"/>
        <v/>
      </c>
      <c r="N180" s="11" t="str">
        <f t="shared" si="40"/>
        <v/>
      </c>
      <c r="O180" s="11" t="str">
        <f t="shared" si="41"/>
        <v/>
      </c>
    </row>
    <row r="181" spans="1:15" x14ac:dyDescent="0.25">
      <c r="A181" s="9" t="s">
        <v>12</v>
      </c>
      <c r="B181" s="9" t="s">
        <v>13</v>
      </c>
      <c r="C181" s="9" t="s">
        <v>9</v>
      </c>
      <c r="D181" s="10">
        <v>16605</v>
      </c>
      <c r="E181" s="10">
        <v>13282</v>
      </c>
      <c r="F181" s="10">
        <v>8342</v>
      </c>
      <c r="G181" s="10"/>
      <c r="H181" s="10"/>
      <c r="I181" s="10"/>
      <c r="J181" s="11">
        <f t="shared" si="36"/>
        <v>60.222824450466724</v>
      </c>
      <c r="K181" s="11">
        <f t="shared" si="37"/>
        <v>75.289865984038556</v>
      </c>
      <c r="L181" s="11">
        <f t="shared" si="38"/>
        <v>119.87532965715656</v>
      </c>
      <c r="M181" s="11" t="str">
        <f t="shared" si="39"/>
        <v/>
      </c>
      <c r="N181" s="11" t="str">
        <f t="shared" si="40"/>
        <v/>
      </c>
      <c r="O181" s="11" t="str">
        <f t="shared" si="41"/>
        <v/>
      </c>
    </row>
    <row r="182" spans="1:15" x14ac:dyDescent="0.25">
      <c r="A182" s="9" t="s">
        <v>14</v>
      </c>
      <c r="B182" s="9" t="s">
        <v>13</v>
      </c>
      <c r="C182" s="9" t="s">
        <v>11</v>
      </c>
      <c r="D182" s="10">
        <v>13381</v>
      </c>
      <c r="E182" s="10">
        <v>11886</v>
      </c>
      <c r="F182" s="10">
        <v>7983</v>
      </c>
      <c r="G182" s="10"/>
      <c r="H182" s="10"/>
      <c r="I182" s="10"/>
      <c r="J182" s="11">
        <f t="shared" si="36"/>
        <v>74.732830132277101</v>
      </c>
      <c r="K182" s="11">
        <f t="shared" si="37"/>
        <v>84.132592966515233</v>
      </c>
      <c r="L182" s="11">
        <f t="shared" si="38"/>
        <v>125.2661906551422</v>
      </c>
      <c r="M182" s="11" t="str">
        <f t="shared" si="39"/>
        <v/>
      </c>
      <c r="N182" s="11" t="str">
        <f t="shared" si="40"/>
        <v/>
      </c>
      <c r="O182" s="11" t="str">
        <f t="shared" si="41"/>
        <v/>
      </c>
    </row>
    <row r="183" spans="1:15" x14ac:dyDescent="0.25">
      <c r="A183" s="9" t="s">
        <v>15</v>
      </c>
      <c r="B183" s="9" t="s">
        <v>16</v>
      </c>
      <c r="C183" s="9" t="s">
        <v>11</v>
      </c>
      <c r="D183" s="20" t="s">
        <v>78</v>
      </c>
      <c r="E183" s="20" t="s">
        <v>78</v>
      </c>
      <c r="F183" s="20" t="s">
        <v>78</v>
      </c>
      <c r="G183" s="10"/>
      <c r="H183" s="10"/>
      <c r="I183" s="10"/>
      <c r="J183" s="11" t="e">
        <f t="shared" si="36"/>
        <v>#VALUE!</v>
      </c>
      <c r="K183" s="11" t="e">
        <f t="shared" si="37"/>
        <v>#VALUE!</v>
      </c>
      <c r="L183" s="11" t="e">
        <f t="shared" si="38"/>
        <v>#VALUE!</v>
      </c>
      <c r="M183" s="11" t="str">
        <f t="shared" si="39"/>
        <v/>
      </c>
      <c r="N183" s="11" t="str">
        <f t="shared" si="40"/>
        <v/>
      </c>
      <c r="O183" s="11" t="str">
        <f t="shared" si="41"/>
        <v/>
      </c>
    </row>
    <row r="184" spans="1:15" x14ac:dyDescent="0.25">
      <c r="A184" s="9" t="s">
        <v>17</v>
      </c>
      <c r="B184" s="8" t="s">
        <v>18</v>
      </c>
      <c r="C184" s="9" t="s">
        <v>11</v>
      </c>
      <c r="D184" s="20" t="s">
        <v>78</v>
      </c>
      <c r="E184" s="20" t="s">
        <v>78</v>
      </c>
      <c r="F184" s="20" t="s">
        <v>78</v>
      </c>
      <c r="G184" s="10"/>
      <c r="H184" s="10"/>
      <c r="I184" s="10"/>
      <c r="J184" s="11" t="e">
        <f t="shared" si="36"/>
        <v>#VALUE!</v>
      </c>
      <c r="K184" s="11" t="e">
        <f t="shared" si="37"/>
        <v>#VALUE!</v>
      </c>
      <c r="L184" s="11" t="e">
        <f t="shared" si="38"/>
        <v>#VALUE!</v>
      </c>
      <c r="M184" s="11" t="str">
        <f t="shared" si="39"/>
        <v/>
      </c>
      <c r="N184" s="11" t="str">
        <f t="shared" si="40"/>
        <v/>
      </c>
      <c r="O184" s="11" t="str">
        <f t="shared" si="41"/>
        <v/>
      </c>
    </row>
    <row r="185" spans="1:15" x14ac:dyDescent="0.25">
      <c r="A185" s="102" t="s">
        <v>80</v>
      </c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</row>
    <row r="186" spans="1:15" ht="18.75" x14ac:dyDescent="0.3">
      <c r="A186" s="75" t="s">
        <v>61</v>
      </c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93"/>
    </row>
    <row r="187" spans="1:15" x14ac:dyDescent="0.25">
      <c r="A187" s="72" t="s">
        <v>1</v>
      </c>
      <c r="B187" s="72"/>
      <c r="C187" s="72"/>
      <c r="D187" s="73" t="s">
        <v>19</v>
      </c>
      <c r="E187" s="73"/>
      <c r="F187" s="73"/>
      <c r="G187" s="73"/>
      <c r="H187" s="73"/>
      <c r="I187" s="73"/>
      <c r="J187" s="73" t="s">
        <v>22</v>
      </c>
      <c r="K187" s="73"/>
      <c r="L187" s="73"/>
      <c r="M187" s="73"/>
      <c r="N187" s="73"/>
      <c r="O187" s="73"/>
    </row>
    <row r="188" spans="1:15" x14ac:dyDescent="0.25">
      <c r="A188" s="6" t="s">
        <v>4</v>
      </c>
      <c r="B188" s="6" t="s">
        <v>5</v>
      </c>
      <c r="C188" s="6" t="s">
        <v>6</v>
      </c>
      <c r="D188" s="7">
        <v>1</v>
      </c>
      <c r="E188" s="7">
        <v>4</v>
      </c>
      <c r="F188" s="7">
        <v>16</v>
      </c>
      <c r="G188" s="7">
        <v>32</v>
      </c>
      <c r="H188" s="7">
        <v>64</v>
      </c>
      <c r="I188" s="7">
        <v>80</v>
      </c>
      <c r="J188" s="7">
        <v>1</v>
      </c>
      <c r="K188" s="7">
        <v>4</v>
      </c>
      <c r="L188" s="7">
        <v>16</v>
      </c>
      <c r="M188" s="7">
        <v>32</v>
      </c>
      <c r="N188" s="7">
        <v>64</v>
      </c>
      <c r="O188" s="7">
        <v>80</v>
      </c>
    </row>
    <row r="189" spans="1:15" x14ac:dyDescent="0.25">
      <c r="A189" s="8" t="s">
        <v>7</v>
      </c>
      <c r="B189" s="9" t="s">
        <v>8</v>
      </c>
      <c r="C189" s="9" t="s">
        <v>9</v>
      </c>
      <c r="D189" s="12">
        <f>IF(D179="","",(D179-'2015'!D35)/'2015'!D35)</f>
        <v>-0.60045469460460321</v>
      </c>
      <c r="E189" s="12">
        <f>IF(E179="","",(E179-'2015'!E35)/'2015'!E35)</f>
        <v>-0.65138233310856375</v>
      </c>
      <c r="F189" s="12">
        <f>IF(F179="","",(F179-'2015'!F35)/'2015'!F35)</f>
        <v>-0.54764788527687613</v>
      </c>
      <c r="G189" s="12" t="str">
        <f>IF(G179="","",(G179-#REF!)/#REF!)</f>
        <v/>
      </c>
      <c r="H189" s="12" t="str">
        <f>IF(H179="","",(H179-#REF!)/#REF!)</f>
        <v/>
      </c>
      <c r="I189" s="12" t="str">
        <f>IF(I179="","",(I179-#REF!)/#REF!)</f>
        <v/>
      </c>
      <c r="J189" s="11">
        <f>J179-'2015'!J35</f>
        <v>35.22348182111827</v>
      </c>
      <c r="K189" s="11">
        <f>K179-'2015'!K35</f>
        <v>43.44576356356724</v>
      </c>
      <c r="L189" s="11">
        <f>L179-'2015'!L35</f>
        <v>58.653516683825217</v>
      </c>
      <c r="M189" s="11" t="str">
        <f>IF(G189="","",M179-((1/Comparisons!G59)*1000000))</f>
        <v/>
      </c>
      <c r="N189" s="11" t="str">
        <f>IF(H189="","",N179-((1/Comparisons!H59)*1000000))</f>
        <v/>
      </c>
      <c r="O189" s="11" t="str">
        <f>IF(I189="","",O179-((1/Comparisons!I59)*1000000))</f>
        <v/>
      </c>
    </row>
    <row r="190" spans="1:15" x14ac:dyDescent="0.25">
      <c r="A190" s="8" t="s">
        <v>10</v>
      </c>
      <c r="B190" s="9" t="s">
        <v>8</v>
      </c>
      <c r="C190" s="9" t="s">
        <v>11</v>
      </c>
      <c r="D190" s="12">
        <f>IF(D180="","",(D180-'2015'!D36)/'2015'!D36)</f>
        <v>-0.16640039326533121</v>
      </c>
      <c r="E190" s="12">
        <f>IF(E180="","",(E180-'2015'!E36)/'2015'!E36)</f>
        <v>-0.18321559392987966</v>
      </c>
      <c r="F190" s="12">
        <f>IF(F180="","",(F180-'2015'!F36)/'2015'!F36)</f>
        <v>-0.29143465443825745</v>
      </c>
      <c r="G190" s="12" t="str">
        <f>IF(G180="","",(G180-#REF!)/#REF!)</f>
        <v/>
      </c>
      <c r="H190" s="12" t="str">
        <f>IF(H180="","",(H180-#REF!)/#REF!)</f>
        <v/>
      </c>
      <c r="I190" s="12" t="str">
        <f>IF(I180="","",(I180-#REF!)/#REF!)</f>
        <v/>
      </c>
      <c r="J190" s="11">
        <f>J180-'2015'!J36</f>
        <v>12.265988004226095</v>
      </c>
      <c r="K190" s="11">
        <f>K180-'2015'!K36</f>
        <v>14.67250692158882</v>
      </c>
      <c r="L190" s="11">
        <f>L180-'2015'!L36</f>
        <v>33.680186575552696</v>
      </c>
      <c r="M190" s="11" t="str">
        <f>IF(G190="","",M180-((1/Comparisons!G60)*1000000))</f>
        <v/>
      </c>
      <c r="N190" s="11" t="str">
        <f>IF(H190="","",N180-((1/Comparisons!H60)*1000000))</f>
        <v/>
      </c>
      <c r="O190" s="11" t="str">
        <f>IF(I190="","",O180-((1/Comparisons!I60)*1000000))</f>
        <v/>
      </c>
    </row>
    <row r="191" spans="1:15" x14ac:dyDescent="0.25">
      <c r="A191" s="9" t="s">
        <v>12</v>
      </c>
      <c r="B191" s="9" t="s">
        <v>13</v>
      </c>
      <c r="C191" s="9" t="s">
        <v>9</v>
      </c>
      <c r="D191" s="12">
        <f>IF(D181="","",(D181-'2015'!D37)/'2015'!D37)</f>
        <v>-0.66732780382257484</v>
      </c>
      <c r="E191" s="12">
        <f>IF(E181="","",(E181-'2015'!E37)/'2015'!E37)</f>
        <v>-0.64209108057127462</v>
      </c>
      <c r="F191" s="12">
        <f>IF(F181="","",(F181-'2015'!F37)/'2015'!F37)</f>
        <v>-0.56166255057537706</v>
      </c>
      <c r="G191" s="12" t="str">
        <f>IF(G181="","",(G181-#REF!)/#REF!)</f>
        <v/>
      </c>
      <c r="H191" s="12" t="str">
        <f>IF(H181="","",(H181-#REF!)/#REF!)</f>
        <v/>
      </c>
      <c r="I191" s="12" t="str">
        <f>IF(I181="","",(I181-#REF!)/#REF!)</f>
        <v/>
      </c>
      <c r="J191" s="11">
        <f>J181-'2015'!J37</f>
        <v>40.188365180522425</v>
      </c>
      <c r="K191" s="11">
        <f>K181-'2015'!K37</f>
        <v>48.342951405757773</v>
      </c>
      <c r="L191" s="11">
        <f>L181-'2015'!L37</f>
        <v>67.329483406302685</v>
      </c>
      <c r="M191" s="11" t="str">
        <f>IF(G191="","",M181-((1/Comparisons!G61)*1000000))</f>
        <v/>
      </c>
      <c r="N191" s="11" t="str">
        <f>IF(H191="","",N181-((1/Comparisons!H61)*1000000))</f>
        <v/>
      </c>
      <c r="O191" s="11" t="str">
        <f>IF(I191="","",O181-((1/Comparisons!I61)*1000000))</f>
        <v/>
      </c>
    </row>
    <row r="192" spans="1:15" x14ac:dyDescent="0.25">
      <c r="A192" s="9" t="s">
        <v>14</v>
      </c>
      <c r="B192" s="9" t="s">
        <v>13</v>
      </c>
      <c r="C192" s="9" t="s">
        <v>11</v>
      </c>
      <c r="D192" s="12">
        <f>IF(D182="","",(D182-'2015'!D38)/'2015'!D38)</f>
        <v>-0.12175111577841953</v>
      </c>
      <c r="E192" s="12">
        <f>IF(E182="","",(E182-'2015'!E38)/'2015'!E38)</f>
        <v>-0.17452600875060767</v>
      </c>
      <c r="F192" s="12">
        <f>IF(F182="","",(F182-'2015'!F38)/'2015'!F38)</f>
        <v>-0.2637646407820714</v>
      </c>
      <c r="G192" s="12" t="str">
        <f>IF(G182="","",(G182-#REF!)/#REF!)</f>
        <v/>
      </c>
      <c r="H192" s="12" t="str">
        <f>IF(H182="","",(H182-#REF!)/#REF!)</f>
        <v/>
      </c>
      <c r="I192" s="12" t="str">
        <f>IF(I182="","",(I182-#REF!)/#REF!)</f>
        <v/>
      </c>
      <c r="J192" s="11">
        <f>J182-'2015'!J38</f>
        <v>9.0988054538838128</v>
      </c>
      <c r="K192" s="11">
        <f>K182-'2015'!K38</f>
        <v>14.683325656285348</v>
      </c>
      <c r="L192" s="11">
        <f>L182-'2015'!L38</f>
        <v>33.040791780292068</v>
      </c>
      <c r="M192" s="11" t="str">
        <f>IF(G192="","",M182-((1/Comparisons!G62)*1000000))</f>
        <v/>
      </c>
      <c r="N192" s="11" t="str">
        <f>IF(H192="","",N182-((1/Comparisons!H62)*1000000))</f>
        <v/>
      </c>
      <c r="O192" s="11" t="str">
        <f>IF(I192="","",O182-((1/Comparisons!I62)*1000000))</f>
        <v/>
      </c>
    </row>
    <row r="193" spans="1:15" x14ac:dyDescent="0.25">
      <c r="A193" s="9" t="s">
        <v>15</v>
      </c>
      <c r="B193" s="9" t="s">
        <v>16</v>
      </c>
      <c r="C193" s="9" t="s">
        <v>11</v>
      </c>
      <c r="D193" s="12" t="e">
        <f>IF(D183="","",(D183-'2015'!D39)/'2015'!D39)</f>
        <v>#VALUE!</v>
      </c>
      <c r="E193" s="12" t="e">
        <f>IF(E183="","",(E183-'2015'!E39)/'2015'!E39)</f>
        <v>#VALUE!</v>
      </c>
      <c r="F193" s="12" t="e">
        <f>IF(F183="","",(F183-'2015'!F39)/'2015'!F39)</f>
        <v>#VALUE!</v>
      </c>
      <c r="G193" s="12" t="str">
        <f>IF(G183="","",(G183-#REF!)/#REF!)</f>
        <v/>
      </c>
      <c r="H193" s="12" t="str">
        <f>IF(H183="","",(H183-#REF!)/#REF!)</f>
        <v/>
      </c>
      <c r="I193" s="12" t="str">
        <f>IF(I183="","",(I183-#REF!)/#REF!)</f>
        <v/>
      </c>
      <c r="J193" s="11" t="e">
        <f>J183-'2015'!J39</f>
        <v>#VALUE!</v>
      </c>
      <c r="K193" s="11" t="e">
        <f>K183-'2015'!K39</f>
        <v>#VALUE!</v>
      </c>
      <c r="L193" s="11" t="e">
        <f>L183-'2015'!L39</f>
        <v>#VALUE!</v>
      </c>
      <c r="M193" s="11" t="str">
        <f>IF(G193="","",M183-((1/Comparisons!G63)*1000000))</f>
        <v/>
      </c>
      <c r="N193" s="11" t="str">
        <f>IF(H193="","",N183-((1/Comparisons!H63)*1000000))</f>
        <v/>
      </c>
      <c r="O193" s="11" t="str">
        <f>IF(I193="","",O183-((1/Comparisons!I63)*1000000))</f>
        <v/>
      </c>
    </row>
    <row r="194" spans="1:15" x14ac:dyDescent="0.25">
      <c r="A194" s="9" t="s">
        <v>17</v>
      </c>
      <c r="B194" s="8" t="s">
        <v>18</v>
      </c>
      <c r="C194" s="9" t="s">
        <v>11</v>
      </c>
      <c r="D194" s="12" t="e">
        <f>IF(D184="","",(D184-'2015'!D40)/'2015'!D40)</f>
        <v>#VALUE!</v>
      </c>
      <c r="E194" s="12" t="e">
        <f>IF(E184="","",(E184-'2015'!E40)/'2015'!E40)</f>
        <v>#VALUE!</v>
      </c>
      <c r="F194" s="12" t="e">
        <f>IF(F184="","",(F184-'2015'!F40)/'2015'!F40)</f>
        <v>#VALUE!</v>
      </c>
      <c r="G194" s="12" t="str">
        <f>IF(G184="","",(G184-#REF!)/#REF!)</f>
        <v/>
      </c>
      <c r="H194" s="12" t="str">
        <f>IF(H184="","",(H184-#REF!)/#REF!)</f>
        <v/>
      </c>
      <c r="I194" s="12" t="str">
        <f>IF(I184="","",(I184-#REF!)/#REF!)</f>
        <v/>
      </c>
      <c r="J194" s="11" t="e">
        <f>J184-'2015'!J40</f>
        <v>#VALUE!</v>
      </c>
      <c r="K194" s="11" t="e">
        <f>K184-'2015'!K40</f>
        <v>#VALUE!</v>
      </c>
      <c r="L194" s="11" t="e">
        <f>L184-'2015'!L40</f>
        <v>#VALUE!</v>
      </c>
      <c r="M194" s="11" t="str">
        <f>IF(G194="","",M184-((1/Comparisons!G64)*1000000))</f>
        <v/>
      </c>
      <c r="N194" s="11" t="str">
        <f>IF(H194="","",N184-((1/Comparisons!H64)*1000000))</f>
        <v/>
      </c>
      <c r="O194" s="11" t="str">
        <f>IF(I194="","",O184-((1/Comparisons!I64)*1000000))</f>
        <v/>
      </c>
    </row>
    <row r="195" spans="1:15" ht="18.75" x14ac:dyDescent="0.3">
      <c r="A195" s="75" t="s">
        <v>77</v>
      </c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93"/>
    </row>
    <row r="196" spans="1:15" x14ac:dyDescent="0.25">
      <c r="A196" s="72" t="s">
        <v>1</v>
      </c>
      <c r="B196" s="72"/>
      <c r="C196" s="72"/>
      <c r="D196" s="73" t="s">
        <v>19</v>
      </c>
      <c r="E196" s="73"/>
      <c r="F196" s="73"/>
      <c r="G196" s="73"/>
      <c r="H196" s="73"/>
      <c r="I196" s="73"/>
      <c r="J196" s="73" t="s">
        <v>22</v>
      </c>
      <c r="K196" s="73"/>
      <c r="L196" s="73"/>
      <c r="M196" s="73"/>
      <c r="N196" s="73"/>
      <c r="O196" s="73"/>
    </row>
    <row r="197" spans="1:15" x14ac:dyDescent="0.25">
      <c r="A197" s="6" t="s">
        <v>4</v>
      </c>
      <c r="B197" s="6" t="s">
        <v>5</v>
      </c>
      <c r="C197" s="6" t="s">
        <v>6</v>
      </c>
      <c r="D197" s="7">
        <v>1</v>
      </c>
      <c r="E197" s="7">
        <v>4</v>
      </c>
      <c r="F197" s="7">
        <v>16</v>
      </c>
      <c r="G197" s="7">
        <v>32</v>
      </c>
      <c r="H197" s="7">
        <v>64</v>
      </c>
      <c r="I197" s="7">
        <v>80</v>
      </c>
      <c r="J197" s="7">
        <v>1</v>
      </c>
      <c r="K197" s="7">
        <v>4</v>
      </c>
      <c r="L197" s="7">
        <v>16</v>
      </c>
      <c r="M197" s="7">
        <v>32</v>
      </c>
      <c r="N197" s="7">
        <v>64</v>
      </c>
      <c r="O197" s="7">
        <v>80</v>
      </c>
    </row>
    <row r="198" spans="1:15" x14ac:dyDescent="0.25">
      <c r="A198" s="8" t="s">
        <v>7</v>
      </c>
      <c r="B198" s="9" t="s">
        <v>8</v>
      </c>
      <c r="C198" s="9" t="s">
        <v>9</v>
      </c>
      <c r="D198" s="12">
        <f>IF(D179="","",(D179-'2015'!D127)/'2015'!D127)</f>
        <v>-0.60045469460460321</v>
      </c>
      <c r="E198" s="12">
        <f>IF(E179="","",(E179-'2015'!E127)/'2015'!E127)</f>
        <v>-0.6656259060193136</v>
      </c>
      <c r="F198" s="12">
        <f>IF(F179="","",(F179-'2015'!F127)/'2015'!F127)</f>
        <v>-0.54764788527687613</v>
      </c>
      <c r="G198" s="12"/>
      <c r="H198" s="12"/>
      <c r="I198" s="12"/>
      <c r="J198" s="11">
        <f>J188-'2015'!J127</f>
        <v>-22.437866216659636</v>
      </c>
      <c r="K198" s="11">
        <f>K188-'2015'!K127</f>
        <v>-18.30201387185263</v>
      </c>
      <c r="L198" s="11">
        <f>L188-'2015'!L127</f>
        <v>-32.447265151882178</v>
      </c>
      <c r="M198" s="11" t="str">
        <f>IF(G198="","",M188-((1/Comparisons!G68)*1000000))</f>
        <v/>
      </c>
      <c r="N198" s="11" t="str">
        <f>IF(H198="","",N188-((1/Comparisons!H68)*1000000))</f>
        <v/>
      </c>
      <c r="O198" s="11" t="str">
        <f>IF(I198="","",O188-((1/Comparisons!I68)*1000000))</f>
        <v/>
      </c>
    </row>
    <row r="199" spans="1:15" x14ac:dyDescent="0.25">
      <c r="A199" s="8" t="s">
        <v>10</v>
      </c>
      <c r="B199" s="9" t="s">
        <v>8</v>
      </c>
      <c r="C199" s="9" t="s">
        <v>11</v>
      </c>
      <c r="D199" s="12">
        <f>IF(D180="","",(D180-'2015'!D128)/'2015'!D128)</f>
        <v>-0.18321392016376664</v>
      </c>
      <c r="E199" s="12">
        <f>IF(E180="","",(E180-'2015'!E128)/'2015'!E128)</f>
        <v>-0.2323250952907906</v>
      </c>
      <c r="F199" s="12">
        <f>IF(F180="","",(F180-'2015'!F128)/'2015'!F128)</f>
        <v>-0.28945639678108065</v>
      </c>
      <c r="G199" s="12" t="str">
        <f>IF(G189="","",(G189-#REF!)/#REF!)</f>
        <v/>
      </c>
      <c r="H199" s="12" t="str">
        <f>IF(H189="","",(H189-#REF!)/#REF!)</f>
        <v/>
      </c>
      <c r="I199" s="12" t="str">
        <f>IF(I189="","",(I189-#REF!)/#REF!)</f>
        <v/>
      </c>
      <c r="J199" s="11">
        <f>J189-'2015'!J128</f>
        <v>-24.984838968814898</v>
      </c>
      <c r="K199" s="11">
        <f>K189-'2015'!K128</f>
        <v>-18.032165859769783</v>
      </c>
      <c r="L199" s="11">
        <f>L189-'2015'!L128</f>
        <v>-23.461773183148011</v>
      </c>
      <c r="M199" s="11" t="str">
        <f>IF(G199="","",M189-((1/Comparisons!G69)*1000000))</f>
        <v/>
      </c>
      <c r="N199" s="11" t="str">
        <f>IF(H199="","",N189-((1/Comparisons!H69)*1000000))</f>
        <v/>
      </c>
      <c r="O199" s="11" t="str">
        <f>IF(I199="","",O189-((1/Comparisons!I69)*1000000))</f>
        <v/>
      </c>
    </row>
    <row r="200" spans="1:15" x14ac:dyDescent="0.25">
      <c r="A200" s="9" t="s">
        <v>12</v>
      </c>
      <c r="B200" s="9" t="s">
        <v>13</v>
      </c>
      <c r="C200" s="9" t="s">
        <v>9</v>
      </c>
      <c r="D200" s="12">
        <f>IF(D181="","",(D181-'2015'!D129)/'2015'!D129)</f>
        <v>-0.66899232532642283</v>
      </c>
      <c r="E200" s="12">
        <f>IF(E181="","",(E181-'2015'!E129)/'2015'!E129)</f>
        <v>-0.65435761313659668</v>
      </c>
      <c r="F200" s="12">
        <f>IF(F181="","",(F181-'2015'!F129)/'2015'!F129)</f>
        <v>-0.55655964278120351</v>
      </c>
      <c r="G200" s="12" t="str">
        <f>IF(G190="","",(G190-#REF!)/#REF!)</f>
        <v/>
      </c>
      <c r="H200" s="12" t="str">
        <f>IF(H190="","",(H190-#REF!)/#REF!)</f>
        <v/>
      </c>
      <c r="I200" s="12" t="str">
        <f>IF(I190="","",(I190-#REF!)/#REF!)</f>
        <v/>
      </c>
      <c r="J200" s="11">
        <f>J190-'2015'!J129</f>
        <v>-7.6682290793979462</v>
      </c>
      <c r="K200" s="11">
        <f>K190-'2015'!K129</f>
        <v>-11.350862063760026</v>
      </c>
      <c r="L200" s="11">
        <f>L190-'2015'!L129</f>
        <v>-19.477372429337798</v>
      </c>
      <c r="M200" s="11" t="str">
        <f>IF(G200="","",M190-((1/Comparisons!G70)*1000000))</f>
        <v/>
      </c>
      <c r="N200" s="11" t="str">
        <f>IF(H200="","",N190-((1/Comparisons!H70)*1000000))</f>
        <v/>
      </c>
      <c r="O200" s="11" t="str">
        <f>IF(I200="","",O190-((1/Comparisons!I70)*1000000))</f>
        <v/>
      </c>
    </row>
    <row r="201" spans="1:15" x14ac:dyDescent="0.25">
      <c r="A201" s="9" t="s">
        <v>14</v>
      </c>
      <c r="B201" s="9" t="s">
        <v>13</v>
      </c>
      <c r="C201" s="9" t="s">
        <v>11</v>
      </c>
      <c r="D201" s="12">
        <f>IF(D182="","",(D182-'2015'!D130)/'2015'!D130)</f>
        <v>-0.21762263930304626</v>
      </c>
      <c r="E201" s="12">
        <f>IF(E182="","",(E182-'2015'!E130)/'2015'!E130)</f>
        <v>-0.21466798810703666</v>
      </c>
      <c r="F201" s="12">
        <f>IF(F182="","",(F182-'2015'!F130)/'2015'!F130)</f>
        <v>-0.25767156406918357</v>
      </c>
      <c r="G201" s="12" t="str">
        <f>IF(G191="","",(G191-#REF!)/#REF!)</f>
        <v/>
      </c>
      <c r="H201" s="12" t="str">
        <f>IF(H191="","",(H191-#REF!)/#REF!)</f>
        <v/>
      </c>
      <c r="I201" s="12" t="str">
        <f>IF(I191="","",(I191-#REF!)/#REF!)</f>
        <v/>
      </c>
      <c r="J201" s="11">
        <f>J191-'2015'!J130</f>
        <v>-18.280909215782316</v>
      </c>
      <c r="K201" s="11">
        <f>K191-'2015'!K130</f>
        <v>-17.729067094407412</v>
      </c>
      <c r="L201" s="11">
        <f>L191-'2015'!L130</f>
        <v>-25.659171977740471</v>
      </c>
      <c r="M201" s="11" t="str">
        <f>IF(G201="","",M191-((1/Comparisons!G71)*1000000))</f>
        <v/>
      </c>
      <c r="N201" s="11" t="str">
        <f>IF(H201="","",N191-((1/Comparisons!H71)*1000000))</f>
        <v/>
      </c>
      <c r="O201" s="11" t="str">
        <f>IF(I201="","",O191-((1/Comparisons!I71)*1000000))</f>
        <v/>
      </c>
    </row>
    <row r="202" spans="1:15" x14ac:dyDescent="0.25">
      <c r="A202" s="9" t="s">
        <v>15</v>
      </c>
      <c r="B202" s="9" t="s">
        <v>16</v>
      </c>
      <c r="C202" s="9" t="s">
        <v>11</v>
      </c>
      <c r="D202" s="12" t="e">
        <f>IF(D183="","",(D183-'2015'!D131)/'2015'!D131)</f>
        <v>#VALUE!</v>
      </c>
      <c r="E202" s="12" t="e">
        <f>IF(E183="","",(E183-'2015'!E131)/'2015'!E131)</f>
        <v>#VALUE!</v>
      </c>
      <c r="F202" s="12" t="e">
        <f>IF(F183="","",(F183-'2015'!F131)/'2015'!F131)</f>
        <v>#VALUE!</v>
      </c>
      <c r="G202" s="12" t="str">
        <f>IF(G192="","",(G192-#REF!)/#REF!)</f>
        <v/>
      </c>
      <c r="H202" s="12" t="str">
        <f>IF(H192="","",(H192-#REF!)/#REF!)</f>
        <v/>
      </c>
      <c r="I202" s="12" t="str">
        <f>IF(I192="","",(I192-#REF!)/#REF!)</f>
        <v/>
      </c>
      <c r="J202" s="11">
        <f>J192-'2015'!J131</f>
        <v>-63.150309494458071</v>
      </c>
      <c r="K202" s="11">
        <f>K192-'2015'!K131</f>
        <v>-54.267925808928737</v>
      </c>
      <c r="L202" s="11">
        <f>L192-'2015'!L131</f>
        <v>-55.855999045559116</v>
      </c>
      <c r="M202" s="11" t="str">
        <f>IF(G202="","",M192-((1/Comparisons!G72)*1000000))</f>
        <v/>
      </c>
      <c r="N202" s="11" t="str">
        <f>IF(H202="","",N192-((1/Comparisons!H72)*1000000))</f>
        <v/>
      </c>
      <c r="O202" s="11" t="str">
        <f>IF(I202="","",O192-((1/Comparisons!I72)*1000000))</f>
        <v/>
      </c>
    </row>
    <row r="203" spans="1:15" x14ac:dyDescent="0.25">
      <c r="A203" s="9" t="s">
        <v>17</v>
      </c>
      <c r="B203" s="8" t="s">
        <v>18</v>
      </c>
      <c r="C203" s="9" t="s">
        <v>11</v>
      </c>
      <c r="D203" s="12" t="e">
        <f>IF(D184="","",(D184-'2015'!D132)/'2015'!D132)</f>
        <v>#VALUE!</v>
      </c>
      <c r="E203" s="12" t="e">
        <f>IF(E184="","",(E184-'2015'!E132)/'2015'!E132)</f>
        <v>#VALUE!</v>
      </c>
      <c r="F203" s="12" t="e">
        <f>IF(F184="","",(F184-'2015'!F132)/'2015'!F132)</f>
        <v>#VALUE!</v>
      </c>
      <c r="G203" s="12" t="str">
        <f>IF(G193="","",(G193-#REF!)/#REF!)</f>
        <v/>
      </c>
      <c r="H203" s="12" t="str">
        <f>IF(H193="","",(H193-#REF!)/#REF!)</f>
        <v/>
      </c>
      <c r="I203" s="12" t="str">
        <f>IF(I193="","",(I193-#REF!)/#REF!)</f>
        <v/>
      </c>
      <c r="J203" s="11" t="e">
        <f>J193-'2015'!J132</f>
        <v>#VALUE!</v>
      </c>
      <c r="K203" s="11" t="e">
        <f>K193-'2015'!K132</f>
        <v>#VALUE!</v>
      </c>
      <c r="L203" s="11" t="e">
        <f>L193-'2015'!L132</f>
        <v>#VALUE!</v>
      </c>
      <c r="M203" s="11" t="str">
        <f>IF(G203="","",M193-((1/Comparisons!G73)*1000000))</f>
        <v/>
      </c>
      <c r="N203" s="11" t="str">
        <f>IF(H203="","",N193-((1/Comparisons!H73)*1000000))</f>
        <v/>
      </c>
      <c r="O203" s="11" t="str">
        <f>IF(I203="","",O193-((1/Comparisons!I73)*1000000))</f>
        <v/>
      </c>
    </row>
    <row r="204" spans="1:15" ht="18.75" x14ac:dyDescent="0.25">
      <c r="A204" s="77" t="s">
        <v>70</v>
      </c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84"/>
    </row>
    <row r="205" spans="1:15" ht="15.75" x14ac:dyDescent="0.25">
      <c r="A205" s="79" t="s">
        <v>75</v>
      </c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92"/>
    </row>
    <row r="206" spans="1:15" x14ac:dyDescent="0.25">
      <c r="A206" s="72" t="s">
        <v>1</v>
      </c>
      <c r="B206" s="72"/>
      <c r="C206" s="72"/>
      <c r="D206" s="73" t="s">
        <v>2</v>
      </c>
      <c r="E206" s="73"/>
      <c r="F206" s="73"/>
      <c r="G206" s="73"/>
      <c r="H206" s="73"/>
      <c r="I206" s="73"/>
      <c r="J206" s="73" t="s">
        <v>3</v>
      </c>
      <c r="K206" s="73"/>
      <c r="L206" s="73"/>
      <c r="M206" s="73"/>
      <c r="N206" s="73"/>
      <c r="O206" s="73"/>
    </row>
    <row r="207" spans="1:15" x14ac:dyDescent="0.25">
      <c r="A207" s="6" t="s">
        <v>26</v>
      </c>
      <c r="B207" s="6" t="s">
        <v>5</v>
      </c>
      <c r="C207" s="6" t="s">
        <v>6</v>
      </c>
      <c r="D207" s="7">
        <v>1</v>
      </c>
      <c r="E207" s="7">
        <v>4</v>
      </c>
      <c r="F207" s="7">
        <v>16</v>
      </c>
      <c r="G207" s="7">
        <v>32</v>
      </c>
      <c r="H207" s="7">
        <v>64</v>
      </c>
      <c r="I207" s="7">
        <v>80</v>
      </c>
      <c r="J207" s="7">
        <v>1</v>
      </c>
      <c r="K207" s="7">
        <v>4</v>
      </c>
      <c r="L207" s="7">
        <v>16</v>
      </c>
      <c r="M207" s="7">
        <v>32</v>
      </c>
      <c r="N207" s="7">
        <v>64</v>
      </c>
      <c r="O207" s="7">
        <v>80</v>
      </c>
    </row>
    <row r="208" spans="1:15" x14ac:dyDescent="0.25">
      <c r="A208" s="8" t="s">
        <v>7</v>
      </c>
      <c r="B208" s="9" t="s">
        <v>8</v>
      </c>
      <c r="C208" s="9" t="s">
        <v>9</v>
      </c>
      <c r="D208" s="10">
        <v>19247</v>
      </c>
      <c r="E208" s="10">
        <v>17703</v>
      </c>
      <c r="F208" s="10">
        <v>12340</v>
      </c>
      <c r="G208" s="10"/>
      <c r="H208" s="10"/>
      <c r="I208" s="10"/>
      <c r="J208" s="11">
        <f t="shared" ref="J208:J213" si="42">IF(D208="","",(1/D208)*1000000)</f>
        <v>51.956149010235357</v>
      </c>
      <c r="K208" s="11">
        <f t="shared" ref="K208:K213" si="43">IF(E208="","",(1/E208)*1000000)</f>
        <v>56.487600971586737</v>
      </c>
      <c r="L208" s="11">
        <f t="shared" ref="L208:L213" si="44">IF(F208="","",(1/F208)*1000000)</f>
        <v>81.037277147487842</v>
      </c>
      <c r="M208" s="11" t="str">
        <f t="shared" ref="M208:M213" si="45">IF(G208="","",(1/G208)*1000000)</f>
        <v/>
      </c>
      <c r="N208" s="11" t="str">
        <f t="shared" ref="N208:N213" si="46">IF(H208="","",(1/H208)*1000000)</f>
        <v/>
      </c>
      <c r="O208" s="11" t="str">
        <f t="shared" ref="O208:O213" si="47">IF(I208="","",(1/I208)*1000000)</f>
        <v/>
      </c>
    </row>
    <row r="209" spans="1:15" x14ac:dyDescent="0.25">
      <c r="A209" s="8" t="s">
        <v>10</v>
      </c>
      <c r="B209" s="9" t="s">
        <v>8</v>
      </c>
      <c r="C209" s="9" t="s">
        <v>11</v>
      </c>
      <c r="D209" s="10">
        <v>15288</v>
      </c>
      <c r="E209" s="10">
        <v>14839</v>
      </c>
      <c r="F209" s="10">
        <v>11151</v>
      </c>
      <c r="G209" s="10"/>
      <c r="H209" s="10"/>
      <c r="I209" s="10"/>
      <c r="J209" s="11">
        <f t="shared" si="42"/>
        <v>65.410779696493989</v>
      </c>
      <c r="K209" s="11">
        <f t="shared" si="43"/>
        <v>67.389985848102967</v>
      </c>
      <c r="L209" s="11">
        <f t="shared" si="44"/>
        <v>89.678055779750693</v>
      </c>
      <c r="M209" s="11" t="str">
        <f t="shared" si="45"/>
        <v/>
      </c>
      <c r="N209" s="11" t="str">
        <f t="shared" si="46"/>
        <v/>
      </c>
      <c r="O209" s="11" t="str">
        <f t="shared" si="47"/>
        <v/>
      </c>
    </row>
    <row r="210" spans="1:15" x14ac:dyDescent="0.25">
      <c r="A210" s="9" t="s">
        <v>12</v>
      </c>
      <c r="B210" s="9" t="s">
        <v>13</v>
      </c>
      <c r="C210" s="9" t="s">
        <v>9</v>
      </c>
      <c r="D210" s="10">
        <v>18653</v>
      </c>
      <c r="E210" s="10">
        <v>16629</v>
      </c>
      <c r="F210" s="10">
        <v>11246</v>
      </c>
      <c r="G210" s="10"/>
      <c r="H210" s="10"/>
      <c r="I210" s="10"/>
      <c r="J210" s="11">
        <f t="shared" si="42"/>
        <v>53.610679247306059</v>
      </c>
      <c r="K210" s="11">
        <f t="shared" si="43"/>
        <v>60.135907150159362</v>
      </c>
      <c r="L210" s="11">
        <f t="shared" si="44"/>
        <v>88.920505068468785</v>
      </c>
      <c r="M210" s="11" t="str">
        <f t="shared" si="45"/>
        <v/>
      </c>
      <c r="N210" s="11" t="str">
        <f t="shared" si="46"/>
        <v/>
      </c>
      <c r="O210" s="11" t="str">
        <f t="shared" si="47"/>
        <v/>
      </c>
    </row>
    <row r="211" spans="1:15" x14ac:dyDescent="0.25">
      <c r="A211" s="9" t="s">
        <v>14</v>
      </c>
      <c r="B211" s="9" t="s">
        <v>13</v>
      </c>
      <c r="C211" s="9" t="s">
        <v>11</v>
      </c>
      <c r="D211" s="10">
        <v>14839</v>
      </c>
      <c r="E211" s="10">
        <v>13980</v>
      </c>
      <c r="F211" s="10">
        <v>10469</v>
      </c>
      <c r="G211" s="10"/>
      <c r="H211" s="10"/>
      <c r="I211" s="10"/>
      <c r="J211" s="11">
        <f t="shared" si="42"/>
        <v>67.389985848102967</v>
      </c>
      <c r="K211" s="11">
        <f t="shared" si="43"/>
        <v>71.530758226037207</v>
      </c>
      <c r="L211" s="11">
        <f t="shared" si="44"/>
        <v>95.52010698251982</v>
      </c>
      <c r="M211" s="11" t="str">
        <f t="shared" si="45"/>
        <v/>
      </c>
      <c r="N211" s="11" t="str">
        <f t="shared" si="46"/>
        <v/>
      </c>
      <c r="O211" s="11" t="str">
        <f t="shared" si="47"/>
        <v/>
      </c>
    </row>
    <row r="212" spans="1:15" x14ac:dyDescent="0.25">
      <c r="A212" s="9" t="s">
        <v>15</v>
      </c>
      <c r="B212" s="9" t="s">
        <v>16</v>
      </c>
      <c r="C212" s="9" t="s">
        <v>11</v>
      </c>
      <c r="D212" s="20">
        <v>13283</v>
      </c>
      <c r="E212" s="20">
        <v>13789</v>
      </c>
      <c r="F212" s="20">
        <v>10754</v>
      </c>
      <c r="G212" s="10"/>
      <c r="H212" s="10"/>
      <c r="I212" s="10"/>
      <c r="J212" s="11">
        <f t="shared" si="42"/>
        <v>75.284197846871933</v>
      </c>
      <c r="K212" s="11">
        <f t="shared" si="43"/>
        <v>72.521575168612671</v>
      </c>
      <c r="L212" s="11">
        <f t="shared" si="44"/>
        <v>92.988655384043156</v>
      </c>
      <c r="M212" s="11" t="str">
        <f t="shared" si="45"/>
        <v/>
      </c>
      <c r="N212" s="11" t="str">
        <f t="shared" si="46"/>
        <v/>
      </c>
      <c r="O212" s="11" t="str">
        <f t="shared" si="47"/>
        <v/>
      </c>
    </row>
    <row r="213" spans="1:15" x14ac:dyDescent="0.25">
      <c r="A213" s="9" t="s">
        <v>17</v>
      </c>
      <c r="B213" s="8" t="s">
        <v>18</v>
      </c>
      <c r="C213" s="9" t="s">
        <v>11</v>
      </c>
      <c r="D213" s="20">
        <v>10617</v>
      </c>
      <c r="E213" s="20">
        <v>14050</v>
      </c>
      <c r="F213" s="20">
        <v>11052</v>
      </c>
      <c r="G213" s="10"/>
      <c r="H213" s="10"/>
      <c r="I213" s="10"/>
      <c r="J213" s="11">
        <f t="shared" si="42"/>
        <v>94.188565508147306</v>
      </c>
      <c r="K213" s="11">
        <f t="shared" si="43"/>
        <v>71.17437722419929</v>
      </c>
      <c r="L213" s="11">
        <f t="shared" si="44"/>
        <v>90.481360839667033</v>
      </c>
      <c r="M213" s="11" t="str">
        <f t="shared" si="45"/>
        <v/>
      </c>
      <c r="N213" s="11" t="str">
        <f t="shared" si="46"/>
        <v/>
      </c>
      <c r="O213" s="11" t="str">
        <f t="shared" si="47"/>
        <v/>
      </c>
    </row>
    <row r="214" spans="1:15" x14ac:dyDescent="0.25">
      <c r="A214" s="102" t="s">
        <v>76</v>
      </c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</row>
    <row r="215" spans="1:15" ht="18.75" x14ac:dyDescent="0.3">
      <c r="A215" s="75" t="s">
        <v>61</v>
      </c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93"/>
    </row>
    <row r="216" spans="1:15" x14ac:dyDescent="0.25">
      <c r="A216" s="72" t="s">
        <v>1</v>
      </c>
      <c r="B216" s="72"/>
      <c r="C216" s="72"/>
      <c r="D216" s="73" t="s">
        <v>19</v>
      </c>
      <c r="E216" s="73"/>
      <c r="F216" s="73"/>
      <c r="G216" s="73"/>
      <c r="H216" s="73"/>
      <c r="I216" s="73"/>
      <c r="J216" s="73" t="s">
        <v>22</v>
      </c>
      <c r="K216" s="73"/>
      <c r="L216" s="73"/>
      <c r="M216" s="73"/>
      <c r="N216" s="73"/>
      <c r="O216" s="73"/>
    </row>
    <row r="217" spans="1:15" x14ac:dyDescent="0.25">
      <c r="A217" s="6" t="s">
        <v>4</v>
      </c>
      <c r="B217" s="6" t="s">
        <v>5</v>
      </c>
      <c r="C217" s="6" t="s">
        <v>6</v>
      </c>
      <c r="D217" s="7">
        <v>1</v>
      </c>
      <c r="E217" s="7">
        <v>4</v>
      </c>
      <c r="F217" s="7">
        <v>16</v>
      </c>
      <c r="G217" s="7">
        <v>32</v>
      </c>
      <c r="H217" s="7">
        <v>64</v>
      </c>
      <c r="I217" s="7">
        <v>80</v>
      </c>
      <c r="J217" s="7">
        <v>1</v>
      </c>
      <c r="K217" s="7">
        <v>4</v>
      </c>
      <c r="L217" s="7">
        <v>16</v>
      </c>
      <c r="M217" s="7">
        <v>32</v>
      </c>
      <c r="N217" s="7">
        <v>64</v>
      </c>
      <c r="O217" s="7">
        <v>80</v>
      </c>
    </row>
    <row r="218" spans="1:15" x14ac:dyDescent="0.25">
      <c r="A218" s="8" t="s">
        <v>7</v>
      </c>
      <c r="B218" s="9" t="s">
        <v>8</v>
      </c>
      <c r="C218" s="9" t="s">
        <v>9</v>
      </c>
      <c r="D218" s="12">
        <f>IF(D208="","",(D208-'2015'!D35)/'2015'!D35)</f>
        <v>-0.54889138892795197</v>
      </c>
      <c r="E218" s="12">
        <f>IF(E208="","",(E208-'2015'!E35)/'2015'!E35)</f>
        <v>-0.5883693352244983</v>
      </c>
      <c r="F218" s="12">
        <f>IF(F208="","",(F208-'2015'!F35)/'2015'!F35)</f>
        <v>-0.40216074802577395</v>
      </c>
      <c r="G218" s="12" t="str">
        <f>IF(G208="","",(G208-#REF!)/#REF!)</f>
        <v/>
      </c>
      <c r="H218" s="12" t="str">
        <f>IF(H208="","",(H208-#REF!)/#REF!)</f>
        <v/>
      </c>
      <c r="I218" s="12" t="str">
        <f>IF(I208="","",(I208-#REF!)/#REF!)</f>
        <v/>
      </c>
      <c r="J218" s="11">
        <f>J208-'2015'!J15</f>
        <v>50.173616502268175</v>
      </c>
      <c r="K218" s="11">
        <f>K208-'2015'!K15</f>
        <v>58.830637310373618</v>
      </c>
      <c r="L218" s="11">
        <f>L208-'2015'!L15</f>
        <v>80.793975499772586</v>
      </c>
      <c r="M218" s="11" t="str">
        <f>IF(G218="","",M208-((1/Comparisons!G88)*1000000))</f>
        <v/>
      </c>
      <c r="N218" s="11" t="str">
        <f>IF(H218="","",N208-((1/Comparisons!H88)*1000000))</f>
        <v/>
      </c>
      <c r="O218" s="11" t="str">
        <f>IF(I218="","",O208-((1/Comparisons!I88)*1000000))</f>
        <v/>
      </c>
    </row>
    <row r="219" spans="1:15" x14ac:dyDescent="0.25">
      <c r="A219" s="8" t="s">
        <v>10</v>
      </c>
      <c r="B219" s="9" t="s">
        <v>8</v>
      </c>
      <c r="C219" s="9" t="s">
        <v>11</v>
      </c>
      <c r="D219" s="12">
        <f>IF(D209="","",(D209-'2015'!D36)/'2015'!D36)</f>
        <v>-6.0587440088484698E-2</v>
      </c>
      <c r="E219" s="12">
        <f>IF(E209="","",(E209-'2015'!E36)/'2015'!E36)</f>
        <v>-2.9369440083725797E-2</v>
      </c>
      <c r="F219" s="12">
        <f>IF(F209="","",(F209-'2015'!F36)/'2015'!F36)</f>
        <v>-8.6881755650180151E-2</v>
      </c>
      <c r="G219" s="12" t="str">
        <f>IF(G209="","",(G209-#REF!)/#REF!)</f>
        <v/>
      </c>
      <c r="H219" s="12" t="str">
        <f>IF(H209="","",(H209-#REF!)/#REF!)</f>
        <v/>
      </c>
      <c r="I219" s="12" t="str">
        <f>IF(I209="","",(I209-#REF!)/#REF!)</f>
        <v/>
      </c>
      <c r="J219" s="11">
        <f>J209-'2015'!J16</f>
        <v>78.203104046392411</v>
      </c>
      <c r="K219" s="11">
        <f>K209-'2015'!K16</f>
        <v>84.013660622486739</v>
      </c>
      <c r="L219" s="11">
        <f>L209-'2015'!L16</f>
        <v>107.12719869448755</v>
      </c>
      <c r="M219" s="11" t="str">
        <f>IF(G219="","",M209-((1/Comparisons!G89)*1000000))</f>
        <v/>
      </c>
      <c r="N219" s="11" t="str">
        <f>IF(H219="","",N209-((1/Comparisons!H89)*1000000))</f>
        <v/>
      </c>
      <c r="O219" s="11" t="str">
        <f>IF(I219="","",O209-((1/Comparisons!I89)*1000000))</f>
        <v/>
      </c>
    </row>
    <row r="220" spans="1:15" x14ac:dyDescent="0.25">
      <c r="A220" s="9" t="s">
        <v>12</v>
      </c>
      <c r="B220" s="9" t="s">
        <v>13</v>
      </c>
      <c r="C220" s="9" t="s">
        <v>9</v>
      </c>
      <c r="D220" s="12">
        <f>IF(D210="","",(D210-'2015'!D37)/'2015'!D37)</f>
        <v>-0.62629723123772885</v>
      </c>
      <c r="E220" s="12">
        <f>IF(E210="","",(E210-'2015'!E37)/'2015'!E37)</f>
        <v>-0.55189975747776876</v>
      </c>
      <c r="F220" s="12">
        <f>IF(F210="","",(F210-'2015'!F37)/'2015'!F37)</f>
        <v>-0.4090694130628974</v>
      </c>
      <c r="G220" s="12" t="str">
        <f>IF(G210="","",(G210-#REF!)/#REF!)</f>
        <v/>
      </c>
      <c r="H220" s="12" t="str">
        <f>IF(H210="","",(H210-#REF!)/#REF!)</f>
        <v/>
      </c>
      <c r="I220" s="12" t="str">
        <f>IF(I210="","",(I210-#REF!)/#REF!)</f>
        <v/>
      </c>
      <c r="J220" s="11">
        <f>J210-'2015'!J17</f>
        <v>56.017597860154901</v>
      </c>
      <c r="K220" s="11">
        <f>K210-'2015'!K17</f>
        <v>61.022621263996669</v>
      </c>
      <c r="L220" s="11">
        <f>L210-'2015'!L17</f>
        <v>90.347410055059072</v>
      </c>
      <c r="M220" s="11" t="str">
        <f>IF(G220="","",M210-((1/Comparisons!G90)*1000000))</f>
        <v/>
      </c>
      <c r="N220" s="11" t="str">
        <f>IF(H220="","",N210-((1/Comparisons!H90)*1000000))</f>
        <v/>
      </c>
      <c r="O220" s="11" t="str">
        <f>IF(I220="","",O210-((1/Comparisons!I90)*1000000))</f>
        <v/>
      </c>
    </row>
    <row r="221" spans="1:15" x14ac:dyDescent="0.25">
      <c r="A221" s="9" t="s">
        <v>14</v>
      </c>
      <c r="B221" s="9" t="s">
        <v>13</v>
      </c>
      <c r="C221" s="9" t="s">
        <v>11</v>
      </c>
      <c r="D221" s="12">
        <f>IF(D211="","",(D211-'2015'!D38)/'2015'!D38)</f>
        <v>-2.605670779732213E-2</v>
      </c>
      <c r="E221" s="12">
        <f>IF(E211="","",(E211-'2015'!E38)/'2015'!E38)</f>
        <v>-2.909924300298632E-2</v>
      </c>
      <c r="F221" s="12">
        <f>IF(F211="","",(F211-'2015'!F38)/'2015'!F38)</f>
        <v>-3.4492299179193948E-2</v>
      </c>
      <c r="G221" s="12" t="str">
        <f>IF(G211="","",(G211-#REF!)/#REF!)</f>
        <v/>
      </c>
      <c r="H221" s="12" t="str">
        <f>IF(H211="","",(H211-#REF!)/#REF!)</f>
        <v/>
      </c>
      <c r="I221" s="12" t="str">
        <f>IF(I211="","",(I211-#REF!)/#REF!)</f>
        <v/>
      </c>
      <c r="J221" s="11">
        <f>J211-'2015'!J18</f>
        <v>84.671010273202725</v>
      </c>
      <c r="K221" s="11">
        <f>K211-'2015'!K18</f>
        <v>82.956649553320801</v>
      </c>
      <c r="L221" s="11">
        <f>L211-'2015'!L18</f>
        <v>106.85789914222978</v>
      </c>
      <c r="M221" s="11" t="str">
        <f>IF(G221="","",M211-((1/Comparisons!G91)*1000000))</f>
        <v/>
      </c>
      <c r="N221" s="11" t="str">
        <f>IF(H221="","",N211-((1/Comparisons!H91)*1000000))</f>
        <v/>
      </c>
      <c r="O221" s="11" t="str">
        <f>IF(I221="","",O211-((1/Comparisons!I91)*1000000))</f>
        <v/>
      </c>
    </row>
    <row r="222" spans="1:15" x14ac:dyDescent="0.25">
      <c r="A222" s="9" t="s">
        <v>15</v>
      </c>
      <c r="B222" s="9" t="s">
        <v>16</v>
      </c>
      <c r="C222" s="9" t="s">
        <v>11</v>
      </c>
      <c r="D222" s="12">
        <f>IF(D212="","",(D212-'2015'!D39)/'2015'!D39)</f>
        <v>4.2621664050235479E-2</v>
      </c>
      <c r="E222" s="12">
        <f>IF(E212="","",(E212-'2015'!E39)/'2015'!E39)</f>
        <v>8.7051938551572783E-3</v>
      </c>
      <c r="F222" s="12">
        <f>IF(F212="","",(F212-'2015'!F39)/'2015'!F39)</f>
        <v>-8.2080604998616621E-3</v>
      </c>
      <c r="G222" s="12" t="str">
        <f>IF(G212="","",(G212-#REF!)/#REF!)</f>
        <v/>
      </c>
      <c r="H222" s="12" t="str">
        <f>IF(H212="","",(H212-#REF!)/#REF!)</f>
        <v/>
      </c>
      <c r="I222" s="12" t="str">
        <f>IF(I212="","",(I212-#REF!)/#REF!)</f>
        <v/>
      </c>
      <c r="J222" s="11">
        <f>J212-'2015'!J19</f>
        <v>104.58798860514831</v>
      </c>
      <c r="K222" s="11">
        <f>K212-'2015'!K19</f>
        <v>81.021335257956309</v>
      </c>
      <c r="L222" s="11">
        <f>L212-'2015'!L19</f>
        <v>98.400436747427747</v>
      </c>
      <c r="M222" s="11" t="str">
        <f>IF(G222="","",M212-((1/Comparisons!G92)*1000000))</f>
        <v/>
      </c>
      <c r="N222" s="11" t="str">
        <f>IF(H222="","",N212-((1/Comparisons!H92)*1000000))</f>
        <v/>
      </c>
      <c r="O222" s="11" t="str">
        <f>IF(I222="","",O212-((1/Comparisons!I92)*1000000))</f>
        <v/>
      </c>
    </row>
    <row r="223" spans="1:15" x14ac:dyDescent="0.25">
      <c r="A223" s="9" t="s">
        <v>17</v>
      </c>
      <c r="B223" s="8" t="s">
        <v>18</v>
      </c>
      <c r="C223" s="9" t="s">
        <v>11</v>
      </c>
      <c r="D223" s="12">
        <f>IF(D213="","",(D213-'2015'!D40)/'2015'!D40)</f>
        <v>1.5203671830177854E-2</v>
      </c>
      <c r="E223" s="12">
        <f>IF(E213="","",(E213-'2015'!E40)/'2015'!E40)</f>
        <v>8.2935100971173112E-2</v>
      </c>
      <c r="F223" s="12">
        <f>IF(F213="","",(F213-'2015'!F40)/'2015'!F40)</f>
        <v>9.9628656824562989E-4</v>
      </c>
      <c r="G223" s="12" t="str">
        <f>IF(G213="","",(G213-#REF!)/#REF!)</f>
        <v/>
      </c>
      <c r="H223" s="12" t="str">
        <f>IF(H213="","",(H213-#REF!)/#REF!)</f>
        <v/>
      </c>
      <c r="I223" s="12" t="str">
        <f>IF(I213="","",(I213-#REF!)/#REF!)</f>
        <v/>
      </c>
      <c r="J223" s="11">
        <f>J213-'2015'!J20</f>
        <v>112.38056427044818</v>
      </c>
      <c r="K223" s="11">
        <f>K213-'2015'!K20</f>
        <v>108.20187531335273</v>
      </c>
      <c r="L223" s="11">
        <f>L213-'2015'!L20</f>
        <v>71.090988898991782</v>
      </c>
      <c r="M223" s="11" t="str">
        <f>IF(G223="","",M213-((1/Comparisons!G93)*1000000))</f>
        <v/>
      </c>
      <c r="N223" s="11" t="str">
        <f>IF(H223="","",N213-((1/Comparisons!H93)*1000000))</f>
        <v/>
      </c>
      <c r="O223" s="11" t="str">
        <f>IF(I223="","",O213-((1/Comparisons!I93)*1000000))</f>
        <v/>
      </c>
    </row>
    <row r="224" spans="1:15" ht="18.75" x14ac:dyDescent="0.3">
      <c r="A224" s="75" t="s">
        <v>77</v>
      </c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93"/>
    </row>
    <row r="225" spans="1:15" x14ac:dyDescent="0.25">
      <c r="A225" s="72" t="s">
        <v>1</v>
      </c>
      <c r="B225" s="72"/>
      <c r="C225" s="72"/>
      <c r="D225" s="73" t="s">
        <v>19</v>
      </c>
      <c r="E225" s="73"/>
      <c r="F225" s="73"/>
      <c r="G225" s="73"/>
      <c r="H225" s="73"/>
      <c r="I225" s="73"/>
      <c r="J225" s="73" t="s">
        <v>22</v>
      </c>
      <c r="K225" s="73"/>
      <c r="L225" s="73"/>
      <c r="M225" s="73"/>
      <c r="N225" s="73"/>
      <c r="O225" s="73"/>
    </row>
    <row r="226" spans="1:15" x14ac:dyDescent="0.25">
      <c r="A226" s="6" t="s">
        <v>4</v>
      </c>
      <c r="B226" s="6" t="s">
        <v>5</v>
      </c>
      <c r="C226" s="6" t="s">
        <v>6</v>
      </c>
      <c r="D226" s="7">
        <v>1</v>
      </c>
      <c r="E226" s="7">
        <v>4</v>
      </c>
      <c r="F226" s="7">
        <v>16</v>
      </c>
      <c r="G226" s="7">
        <v>32</v>
      </c>
      <c r="H226" s="7">
        <v>64</v>
      </c>
      <c r="I226" s="7">
        <v>80</v>
      </c>
      <c r="J226" s="7">
        <v>1</v>
      </c>
      <c r="K226" s="7">
        <v>4</v>
      </c>
      <c r="L226" s="7">
        <v>16</v>
      </c>
      <c r="M226" s="7">
        <v>32</v>
      </c>
      <c r="N226" s="7">
        <v>64</v>
      </c>
      <c r="O226" s="7">
        <v>80</v>
      </c>
    </row>
    <row r="227" spans="1:15" x14ac:dyDescent="0.25">
      <c r="A227" s="8" t="s">
        <v>7</v>
      </c>
      <c r="B227" s="9" t="s">
        <v>8</v>
      </c>
      <c r="C227" s="9" t="s">
        <v>9</v>
      </c>
      <c r="D227" s="12">
        <f>IF(D208="","",(D208-'2015'!D127)/'2015'!D127)</f>
        <v>-0.54889138892795197</v>
      </c>
      <c r="E227" s="12">
        <f>IF(E208="","",(E208-'2015'!E127)/'2015'!E127)</f>
        <v>-0.60518744842659289</v>
      </c>
      <c r="F227" s="12">
        <f>IF(F208="","",(F208-'2015'!F127)/'2015'!F127)</f>
        <v>-0.40216074802577395</v>
      </c>
      <c r="G227" s="12"/>
      <c r="H227" s="12"/>
      <c r="I227" s="12"/>
      <c r="J227" s="11">
        <f>J217-'2015'!J24</f>
        <v>0</v>
      </c>
      <c r="K227" s="11">
        <f>K217-'2015'!K24</f>
        <v>0</v>
      </c>
      <c r="L227" s="11">
        <f>L217-'2015'!L24</f>
        <v>0</v>
      </c>
      <c r="M227" s="11" t="str">
        <f>IF(G227="","",M217-((1/Comparisons!G97)*1000000))</f>
        <v/>
      </c>
      <c r="N227" s="11" t="str">
        <f>IF(H227="","",N217-((1/Comparisons!H97)*1000000))</f>
        <v/>
      </c>
      <c r="O227" s="11" t="str">
        <f>IF(I227="","",O217-((1/Comparisons!I97)*1000000))</f>
        <v/>
      </c>
    </row>
    <row r="228" spans="1:15" x14ac:dyDescent="0.25">
      <c r="A228" s="8" t="s">
        <v>10</v>
      </c>
      <c r="B228" s="9" t="s">
        <v>8</v>
      </c>
      <c r="C228" s="9" t="s">
        <v>11</v>
      </c>
      <c r="D228" s="12">
        <f>IF(D209="","",(D209-'2015'!D128)/'2015'!D128)</f>
        <v>-7.9535191763501711E-2</v>
      </c>
      <c r="E228" s="12">
        <f>IF(E209="","",(E209-'2015'!E128)/'2015'!E128)</f>
        <v>-8.7729005287101924E-2</v>
      </c>
      <c r="F228" s="12">
        <f>IF(F209="","",(F209-'2015'!F128)/'2015'!F128)</f>
        <v>-8.4332402693381506E-2</v>
      </c>
      <c r="G228" s="12" t="str">
        <f>IF(G218="","",(G218-#REF!)/#REF!)</f>
        <v/>
      </c>
      <c r="H228" s="12" t="str">
        <f>IF(H218="","",(H218-#REF!)/#REF!)</f>
        <v/>
      </c>
      <c r="I228" s="12" t="str">
        <f>IF(I218="","",(I218-#REF!)/#REF!)</f>
        <v/>
      </c>
      <c r="J228" s="11">
        <f>J218-'2015'!J25</f>
        <v>48.499956871457449</v>
      </c>
      <c r="K228" s="11">
        <f>K218-'2015'!K25</f>
        <v>61.216063200826895</v>
      </c>
      <c r="L228" s="11">
        <f>L218-'2015'!L25</f>
        <v>80.309801600085194</v>
      </c>
      <c r="M228" s="11" t="str">
        <f>IF(G228="","",M218-((1/Comparisons!G98)*1000000))</f>
        <v/>
      </c>
      <c r="N228" s="11" t="str">
        <f>IF(H228="","",N218-((1/Comparisons!H98)*1000000))</f>
        <v/>
      </c>
      <c r="O228" s="11" t="str">
        <f>IF(I228="","",O218-((1/Comparisons!I98)*1000000))</f>
        <v/>
      </c>
    </row>
    <row r="229" spans="1:15" x14ac:dyDescent="0.25">
      <c r="A229" s="9" t="s">
        <v>12</v>
      </c>
      <c r="B229" s="9" t="s">
        <v>13</v>
      </c>
      <c r="C229" s="9" t="s">
        <v>9</v>
      </c>
      <c r="D229" s="12">
        <f>IF(D210="","",(D210-'2015'!D129)/'2015'!D129)</f>
        <v>-0.62816704873916074</v>
      </c>
      <c r="E229" s="12">
        <f>IF(E210="","",(E210-'2015'!E129)/'2015'!E129)</f>
        <v>-0.56725739714263412</v>
      </c>
      <c r="F229" s="12">
        <f>IF(F210="","",(F210-'2015'!F129)/'2015'!F129)</f>
        <v>-0.40219009143100148</v>
      </c>
      <c r="G229" s="12" t="str">
        <f>IF(G219="","",(G219-#REF!)/#REF!)</f>
        <v/>
      </c>
      <c r="H229" s="12" t="str">
        <f>IF(H219="","",(H219-#REF!)/#REF!)</f>
        <v/>
      </c>
      <c r="I229" s="12" t="str">
        <f>IF(I219="","",(I219-#REF!)/#REF!)</f>
        <v/>
      </c>
      <c r="J229" s="11">
        <f>J219-'2015'!J26</f>
        <v>92.425223782929464</v>
      </c>
      <c r="K229" s="11">
        <f>K219-'2015'!K26</f>
        <v>95.918483214534575</v>
      </c>
      <c r="L229" s="11">
        <f>L219-'2015'!L26</f>
        <v>122.87524892355376</v>
      </c>
      <c r="M229" s="11" t="str">
        <f>IF(G229="","",M219-((1/Comparisons!G99)*1000000))</f>
        <v/>
      </c>
      <c r="N229" s="11" t="str">
        <f>IF(H229="","",N219-((1/Comparisons!H99)*1000000))</f>
        <v/>
      </c>
      <c r="O229" s="11" t="str">
        <f>IF(I229="","",O219-((1/Comparisons!I99)*1000000))</f>
        <v/>
      </c>
    </row>
    <row r="230" spans="1:15" x14ac:dyDescent="0.25">
      <c r="A230" s="9" t="s">
        <v>14</v>
      </c>
      <c r="B230" s="9" t="s">
        <v>13</v>
      </c>
      <c r="C230" s="9" t="s">
        <v>11</v>
      </c>
      <c r="D230" s="12">
        <f>IF(D211="","",(D211-'2015'!D130)/'2015'!D130)</f>
        <v>-0.13237443723323394</v>
      </c>
      <c r="E230" s="12">
        <f>IF(E211="","",(E211-'2015'!E130)/'2015'!E130)</f>
        <v>-7.6313181367690788E-2</v>
      </c>
      <c r="F230" s="12">
        <f>IF(F211="","",(F211-'2015'!F130)/'2015'!F130)</f>
        <v>-2.6501766784452298E-2</v>
      </c>
      <c r="G230" s="12" t="str">
        <f>IF(G220="","",(G220-#REF!)/#REF!)</f>
        <v/>
      </c>
      <c r="H230" s="12" t="str">
        <f>IF(H220="","",(H220-#REF!)/#REF!)</f>
        <v/>
      </c>
      <c r="I230" s="12" t="str">
        <f>IF(I220="","",(I220-#REF!)/#REF!)</f>
        <v/>
      </c>
      <c r="J230" s="11">
        <f>J220-'2015'!J27</f>
        <v>58.603767018723502</v>
      </c>
      <c r="K230" s="11">
        <f>K220-'2015'!K27</f>
        <v>62.132870308025062</v>
      </c>
      <c r="L230" s="11">
        <f>L220-'2015'!L27</f>
        <v>89.587888547134455</v>
      </c>
      <c r="M230" s="11" t="str">
        <f>IF(G230="","",M220-((1/Comparisons!G100)*1000000))</f>
        <v/>
      </c>
      <c r="N230" s="11" t="str">
        <f>IF(H230="","",N220-((1/Comparisons!H100)*1000000))</f>
        <v/>
      </c>
      <c r="O230" s="11" t="str">
        <f>IF(I230="","",O220-((1/Comparisons!I100)*1000000))</f>
        <v/>
      </c>
    </row>
    <row r="231" spans="1:15" x14ac:dyDescent="0.25">
      <c r="A231" s="9" t="s">
        <v>15</v>
      </c>
      <c r="B231" s="9" t="s">
        <v>16</v>
      </c>
      <c r="C231" s="9" t="s">
        <v>11</v>
      </c>
      <c r="D231" s="12">
        <f>IF(D212="","",(D212-'2015'!D131)/'2015'!D131)</f>
        <v>-4.0315006141174774E-2</v>
      </c>
      <c r="E231" s="12">
        <f>IF(E212="","",(E212-'2015'!E131)/'2015'!E131)</f>
        <v>-4.9231193546162864E-2</v>
      </c>
      <c r="F231" s="12">
        <f>IF(F212="","",(F212-'2015'!F131)/'2015'!F131)</f>
        <v>-4.4003911458796341E-2</v>
      </c>
      <c r="G231" s="12" t="str">
        <f>IF(G221="","",(G221-#REF!)/#REF!)</f>
        <v/>
      </c>
      <c r="H231" s="12" t="str">
        <f>IF(H221="","",(H221-#REF!)/#REF!)</f>
        <v/>
      </c>
      <c r="I231" s="12" t="str">
        <f>IF(I221="","",(I221-#REF!)/#REF!)</f>
        <v/>
      </c>
      <c r="J231" s="11">
        <f>J221-'2015'!J28</f>
        <v>98.812131862451722</v>
      </c>
      <c r="K231" s="11">
        <f>K221-'2015'!K28</f>
        <v>92.360184233459364</v>
      </c>
      <c r="L231" s="11">
        <f>L221-'2015'!L28</f>
        <v>118.001754781134</v>
      </c>
      <c r="M231" s="11" t="str">
        <f>IF(G231="","",M221-((1/Comparisons!G101)*1000000))</f>
        <v/>
      </c>
      <c r="N231" s="11" t="str">
        <f>IF(H231="","",N221-((1/Comparisons!H101)*1000000))</f>
        <v/>
      </c>
      <c r="O231" s="11" t="str">
        <f>IF(I231="","",O221-((1/Comparisons!I101)*1000000))</f>
        <v/>
      </c>
    </row>
    <row r="232" spans="1:15" x14ac:dyDescent="0.25">
      <c r="A232" s="9" t="s">
        <v>17</v>
      </c>
      <c r="B232" s="8" t="s">
        <v>18</v>
      </c>
      <c r="C232" s="9" t="s">
        <v>11</v>
      </c>
      <c r="D232" s="12">
        <f>IF(D213="","",(D213-'2015'!D132)/'2015'!D132)</f>
        <v>1.5883647497847098E-2</v>
      </c>
      <c r="E232" s="12">
        <f>IF(E213="","",(E213-'2015'!E132)/'2015'!E132)</f>
        <v>3.2329169728141073E-2</v>
      </c>
      <c r="F232" s="12">
        <f>IF(F213="","",(F213-'2015'!F132)/'2015'!F132)</f>
        <v>-8.8781275221953195E-3</v>
      </c>
      <c r="G232" s="12" t="str">
        <f>IF(G222="","",(G222-#REF!)/#REF!)</f>
        <v/>
      </c>
      <c r="H232" s="12" t="str">
        <f>IF(H222="","",(H222-#REF!)/#REF!)</f>
        <v/>
      </c>
      <c r="I232" s="12" t="str">
        <f>IF(I222="","",(I222-#REF!)/#REF!)</f>
        <v/>
      </c>
      <c r="J232" s="11">
        <f>J222-'2015'!J29</f>
        <v>124.04372398101852</v>
      </c>
      <c r="K232" s="11">
        <f>K222-'2015'!K29</f>
        <v>94.56863645923913</v>
      </c>
      <c r="L232" s="11">
        <f>L222-'2015'!L29</f>
        <v>104.2912074173186</v>
      </c>
      <c r="M232" s="11" t="str">
        <f>IF(G232="","",M222-((1/Comparisons!G102)*1000000))</f>
        <v/>
      </c>
      <c r="N232" s="11" t="str">
        <f>IF(H232="","",N222-((1/Comparisons!H102)*1000000))</f>
        <v/>
      </c>
      <c r="O232" s="11" t="str">
        <f>IF(I232="","",O222-((1/Comparisons!I102)*1000000))</f>
        <v/>
      </c>
    </row>
    <row r="233" spans="1:15" ht="18.75" x14ac:dyDescent="0.25">
      <c r="A233" s="77" t="s">
        <v>70</v>
      </c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84"/>
    </row>
    <row r="234" spans="1:15" ht="15.75" x14ac:dyDescent="0.25">
      <c r="A234" s="79" t="s">
        <v>75</v>
      </c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92"/>
    </row>
    <row r="235" spans="1:15" x14ac:dyDescent="0.25">
      <c r="A235" s="72" t="s">
        <v>1</v>
      </c>
      <c r="B235" s="72"/>
      <c r="C235" s="72"/>
      <c r="D235" s="73" t="s">
        <v>2</v>
      </c>
      <c r="E235" s="73"/>
      <c r="F235" s="73"/>
      <c r="G235" s="73"/>
      <c r="H235" s="73"/>
      <c r="I235" s="73"/>
      <c r="J235" s="73" t="s">
        <v>3</v>
      </c>
      <c r="K235" s="73"/>
      <c r="L235" s="73"/>
      <c r="M235" s="73"/>
      <c r="N235" s="73"/>
      <c r="O235" s="73"/>
    </row>
    <row r="236" spans="1:15" x14ac:dyDescent="0.25">
      <c r="A236" s="6" t="s">
        <v>26</v>
      </c>
      <c r="B236" s="6" t="s">
        <v>5</v>
      </c>
      <c r="C236" s="6" t="s">
        <v>6</v>
      </c>
      <c r="D236" s="7">
        <v>1</v>
      </c>
      <c r="E236" s="7">
        <v>4</v>
      </c>
      <c r="F236" s="7">
        <v>16</v>
      </c>
      <c r="G236" s="7">
        <v>32</v>
      </c>
      <c r="H236" s="7">
        <v>64</v>
      </c>
      <c r="I236" s="7">
        <v>80</v>
      </c>
      <c r="J236" s="7">
        <v>1</v>
      </c>
      <c r="K236" s="7">
        <v>4</v>
      </c>
      <c r="L236" s="7">
        <v>16</v>
      </c>
      <c r="M236" s="7">
        <v>32</v>
      </c>
      <c r="N236" s="7">
        <v>64</v>
      </c>
      <c r="O236" s="7">
        <v>80</v>
      </c>
    </row>
    <row r="237" spans="1:15" x14ac:dyDescent="0.25">
      <c r="A237" s="8" t="s">
        <v>7</v>
      </c>
      <c r="B237" s="9" t="s">
        <v>8</v>
      </c>
      <c r="C237" s="9" t="s">
        <v>9</v>
      </c>
      <c r="D237" s="10">
        <v>19013</v>
      </c>
      <c r="E237" s="10">
        <v>17684</v>
      </c>
      <c r="F237" s="10">
        <v>12217</v>
      </c>
      <c r="G237" s="10"/>
      <c r="H237" s="10"/>
      <c r="I237" s="10"/>
      <c r="J237" s="11">
        <f t="shared" ref="J237:J242" si="48">IF(D237="","",(1/D237)*1000000)</f>
        <v>52.595592489349393</v>
      </c>
      <c r="K237" s="11">
        <f t="shared" ref="K237:K242" si="49">IF(E237="","",(1/E237)*1000000)</f>
        <v>56.548292241574302</v>
      </c>
      <c r="L237" s="11">
        <f t="shared" ref="L237:L242" si="50">IF(F237="","",(1/F237)*1000000)</f>
        <v>81.853155439142185</v>
      </c>
      <c r="M237" s="11" t="str">
        <f t="shared" ref="M237:M242" si="51">IF(G237="","",(1/G237)*1000000)</f>
        <v/>
      </c>
      <c r="N237" s="11" t="str">
        <f t="shared" ref="N237:N242" si="52">IF(H237="","",(1/H237)*1000000)</f>
        <v/>
      </c>
      <c r="O237" s="11" t="str">
        <f t="shared" ref="O237:O242" si="53">IF(I237="","",(1/I237)*1000000)</f>
        <v/>
      </c>
    </row>
    <row r="238" spans="1:15" x14ac:dyDescent="0.25">
      <c r="A238" s="8" t="s">
        <v>10</v>
      </c>
      <c r="B238" s="9" t="s">
        <v>8</v>
      </c>
      <c r="C238" s="9" t="s">
        <v>11</v>
      </c>
      <c r="D238" s="10">
        <v>15402</v>
      </c>
      <c r="E238" s="10">
        <v>14749</v>
      </c>
      <c r="F238" s="10">
        <v>11513</v>
      </c>
      <c r="G238" s="10"/>
      <c r="H238" s="10"/>
      <c r="I238" s="10"/>
      <c r="J238" s="11">
        <f t="shared" si="48"/>
        <v>64.926632904817552</v>
      </c>
      <c r="K238" s="11">
        <f t="shared" si="49"/>
        <v>67.801206861482143</v>
      </c>
      <c r="L238" s="11">
        <f t="shared" si="50"/>
        <v>86.858334057152788</v>
      </c>
      <c r="M238" s="11" t="str">
        <f t="shared" si="51"/>
        <v/>
      </c>
      <c r="N238" s="11" t="str">
        <f t="shared" si="52"/>
        <v/>
      </c>
      <c r="O238" s="11" t="str">
        <f t="shared" si="53"/>
        <v/>
      </c>
    </row>
    <row r="239" spans="1:15" x14ac:dyDescent="0.25">
      <c r="A239" s="9" t="s">
        <v>12</v>
      </c>
      <c r="B239" s="9" t="s">
        <v>13</v>
      </c>
      <c r="C239" s="9" t="s">
        <v>9</v>
      </c>
      <c r="D239" s="10">
        <v>18737</v>
      </c>
      <c r="E239" s="10">
        <v>16800</v>
      </c>
      <c r="F239" s="10">
        <v>11023</v>
      </c>
      <c r="G239" s="10"/>
      <c r="H239" s="10"/>
      <c r="I239" s="10"/>
      <c r="J239" s="11">
        <f t="shared" si="48"/>
        <v>53.370336766824998</v>
      </c>
      <c r="K239" s="11">
        <f t="shared" si="49"/>
        <v>59.523809523809526</v>
      </c>
      <c r="L239" s="11">
        <f t="shared" si="50"/>
        <v>90.719404880703976</v>
      </c>
      <c r="M239" s="11" t="str">
        <f t="shared" si="51"/>
        <v/>
      </c>
      <c r="N239" s="11" t="str">
        <f t="shared" si="52"/>
        <v/>
      </c>
      <c r="O239" s="11" t="str">
        <f t="shared" si="53"/>
        <v/>
      </c>
    </row>
    <row r="240" spans="1:15" x14ac:dyDescent="0.25">
      <c r="A240" s="9" t="s">
        <v>14</v>
      </c>
      <c r="B240" s="9" t="s">
        <v>13</v>
      </c>
      <c r="C240" s="9" t="s">
        <v>11</v>
      </c>
      <c r="D240" s="10">
        <v>15211</v>
      </c>
      <c r="E240" s="10">
        <v>14050</v>
      </c>
      <c r="F240" s="10">
        <v>10459</v>
      </c>
      <c r="G240" s="10"/>
      <c r="H240" s="10"/>
      <c r="I240" s="10"/>
      <c r="J240" s="11">
        <f t="shared" si="48"/>
        <v>65.741897311156407</v>
      </c>
      <c r="K240" s="11">
        <f t="shared" si="49"/>
        <v>71.17437722419929</v>
      </c>
      <c r="L240" s="11">
        <f t="shared" si="50"/>
        <v>95.611435127641272</v>
      </c>
      <c r="M240" s="11" t="str">
        <f t="shared" si="51"/>
        <v/>
      </c>
      <c r="N240" s="11" t="str">
        <f t="shared" si="52"/>
        <v/>
      </c>
      <c r="O240" s="11" t="str">
        <f t="shared" si="53"/>
        <v/>
      </c>
    </row>
    <row r="241" spans="1:15" x14ac:dyDescent="0.25">
      <c r="A241" s="9" t="s">
        <v>15</v>
      </c>
      <c r="B241" s="9" t="s">
        <v>16</v>
      </c>
      <c r="C241" s="9" t="s">
        <v>11</v>
      </c>
      <c r="D241" s="20">
        <v>13720</v>
      </c>
      <c r="E241" s="20">
        <v>14598</v>
      </c>
      <c r="F241" s="20">
        <v>11151</v>
      </c>
      <c r="G241" s="10"/>
      <c r="H241" s="10"/>
      <c r="I241" s="10"/>
      <c r="J241" s="11">
        <f t="shared" si="48"/>
        <v>72.886297376093296</v>
      </c>
      <c r="K241" s="11">
        <f t="shared" si="49"/>
        <v>68.50253459377997</v>
      </c>
      <c r="L241" s="11">
        <f t="shared" si="50"/>
        <v>89.678055779750693</v>
      </c>
      <c r="M241" s="11" t="str">
        <f t="shared" si="51"/>
        <v/>
      </c>
      <c r="N241" s="11" t="str">
        <f t="shared" si="52"/>
        <v/>
      </c>
      <c r="O241" s="11" t="str">
        <f t="shared" si="53"/>
        <v/>
      </c>
    </row>
    <row r="242" spans="1:15" x14ac:dyDescent="0.25">
      <c r="A242" s="9" t="s">
        <v>17</v>
      </c>
      <c r="B242" s="8" t="s">
        <v>18</v>
      </c>
      <c r="C242" s="9" t="s">
        <v>11</v>
      </c>
      <c r="D242" s="20">
        <v>11040</v>
      </c>
      <c r="E242" s="20">
        <v>14043</v>
      </c>
      <c r="F242" s="20">
        <v>11151</v>
      </c>
      <c r="G242" s="10"/>
      <c r="H242" s="10"/>
      <c r="I242" s="10"/>
      <c r="J242" s="11">
        <f t="shared" si="48"/>
        <v>90.579710144927532</v>
      </c>
      <c r="K242" s="11">
        <f t="shared" si="49"/>
        <v>71.209855443993447</v>
      </c>
      <c r="L242" s="11">
        <f t="shared" si="50"/>
        <v>89.678055779750693</v>
      </c>
      <c r="M242" s="11" t="str">
        <f t="shared" si="51"/>
        <v/>
      </c>
      <c r="N242" s="11" t="str">
        <f t="shared" si="52"/>
        <v/>
      </c>
      <c r="O242" s="11" t="str">
        <f t="shared" si="53"/>
        <v/>
      </c>
    </row>
    <row r="243" spans="1:15" x14ac:dyDescent="0.25">
      <c r="A243" s="102" t="s">
        <v>76</v>
      </c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</row>
    <row r="244" spans="1:15" ht="18.75" x14ac:dyDescent="0.3">
      <c r="A244" s="75" t="s">
        <v>61</v>
      </c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93"/>
    </row>
    <row r="245" spans="1:15" x14ac:dyDescent="0.25">
      <c r="A245" s="72" t="s">
        <v>1</v>
      </c>
      <c r="B245" s="72"/>
      <c r="C245" s="72"/>
      <c r="D245" s="73" t="s">
        <v>19</v>
      </c>
      <c r="E245" s="73"/>
      <c r="F245" s="73"/>
      <c r="G245" s="73"/>
      <c r="H245" s="73"/>
      <c r="I245" s="73"/>
      <c r="J245" s="73" t="s">
        <v>22</v>
      </c>
      <c r="K245" s="73"/>
      <c r="L245" s="73"/>
      <c r="M245" s="73"/>
      <c r="N245" s="73"/>
      <c r="O245" s="73"/>
    </row>
    <row r="246" spans="1:15" x14ac:dyDescent="0.25">
      <c r="A246" s="6" t="s">
        <v>4</v>
      </c>
      <c r="B246" s="6" t="s">
        <v>5</v>
      </c>
      <c r="C246" s="6" t="s">
        <v>6</v>
      </c>
      <c r="D246" s="7">
        <v>1</v>
      </c>
      <c r="E246" s="7">
        <v>4</v>
      </c>
      <c r="F246" s="7">
        <v>16</v>
      </c>
      <c r="G246" s="7">
        <v>32</v>
      </c>
      <c r="H246" s="7">
        <v>64</v>
      </c>
      <c r="I246" s="7">
        <v>80</v>
      </c>
      <c r="J246" s="7">
        <v>1</v>
      </c>
      <c r="K246" s="7">
        <v>4</v>
      </c>
      <c r="L246" s="7">
        <v>16</v>
      </c>
      <c r="M246" s="7">
        <v>32</v>
      </c>
      <c r="N246" s="7">
        <v>64</v>
      </c>
      <c r="O246" s="7">
        <v>80</v>
      </c>
    </row>
    <row r="247" spans="1:15" x14ac:dyDescent="0.25">
      <c r="A247" s="8" t="s">
        <v>7</v>
      </c>
      <c r="B247" s="9" t="s">
        <v>8</v>
      </c>
      <c r="C247" s="9" t="s">
        <v>9</v>
      </c>
      <c r="D247" s="12">
        <f>IF(D237="","",(D237-'2015'!D35)/'2015'!D35)</f>
        <v>-0.55437584962265041</v>
      </c>
      <c r="E247" s="12">
        <f>IF(E237="","",(E237-'2015'!E35)/'2015'!E35)</f>
        <v>-0.58881112377054901</v>
      </c>
      <c r="F247" s="12">
        <f>IF(F237="","",(F237-'2015'!F35)/'2015'!F35)</f>
        <v>-0.40811976163945546</v>
      </c>
      <c r="G247" s="12" t="str">
        <f>IF(G237="","",(G237-#REF!)/#REF!)</f>
        <v/>
      </c>
      <c r="H247" s="12" t="str">
        <f>IF(H237="","",(H237-#REF!)/#REF!)</f>
        <v/>
      </c>
      <c r="I247" s="12" t="str">
        <f>IF(I237="","",(I237-#REF!)/#REF!)</f>
        <v/>
      </c>
      <c r="J247" s="11">
        <f>J237-'2015'!J35</f>
        <v>29.157726272689757</v>
      </c>
      <c r="K247" s="11">
        <f>K237-'2015'!K35</f>
        <v>33.296263502066779</v>
      </c>
      <c r="L247" s="11">
        <f>L237-'2015'!L35</f>
        <v>33.405890287260007</v>
      </c>
      <c r="M247" s="11" t="str">
        <f>IF(G247="","",M237-((1/Comparisons!G108)*1000000))</f>
        <v/>
      </c>
      <c r="N247" s="11" t="str">
        <f>IF(H247="","",N237-((1/Comparisons!H108)*1000000))</f>
        <v/>
      </c>
      <c r="O247" s="11" t="str">
        <f>IF(I247="","",O237-((1/Comparisons!I108)*1000000))</f>
        <v/>
      </c>
    </row>
    <row r="248" spans="1:15" x14ac:dyDescent="0.25">
      <c r="A248" s="8" t="s">
        <v>10</v>
      </c>
      <c r="B248" s="9" t="s">
        <v>8</v>
      </c>
      <c r="C248" s="9" t="s">
        <v>11</v>
      </c>
      <c r="D248" s="12">
        <f>IF(D238="","",(D238-'2015'!D36)/'2015'!D36)</f>
        <v>-5.3582401376428661E-2</v>
      </c>
      <c r="E248" s="12">
        <f>IF(E238="","",(E238-'2015'!E36)/'2015'!E36)</f>
        <v>-3.5256410256410256E-2</v>
      </c>
      <c r="F248" s="12">
        <f>IF(F238="","",(F238-'2015'!F36)/'2015'!F36)</f>
        <v>-5.7238781526367508E-2</v>
      </c>
      <c r="G248" s="12" t="str">
        <f>IF(G238="","",(G238-#REF!)/#REF!)</f>
        <v/>
      </c>
      <c r="H248" s="12" t="str">
        <f>IF(H238="","",(H238-#REF!)/#REF!)</f>
        <v/>
      </c>
      <c r="I248" s="12" t="str">
        <f>IF(I238="","",(I238-#REF!)/#REF!)</f>
        <v/>
      </c>
      <c r="J248" s="11">
        <f>J238-'2015'!J36</f>
        <v>3.4789249043259716</v>
      </c>
      <c r="K248" s="11">
        <f>K238-'2015'!K36</f>
        <v>2.3904271649881537</v>
      </c>
      <c r="L248" s="11">
        <f>L238-'2015'!L36</f>
        <v>4.9716652068416209</v>
      </c>
      <c r="M248" s="11" t="str">
        <f>IF(G248="","",M238-((1/Comparisons!G109)*1000000))</f>
        <v/>
      </c>
      <c r="N248" s="11" t="str">
        <f>IF(H248="","",N238-((1/Comparisons!H109)*1000000))</f>
        <v/>
      </c>
      <c r="O248" s="11" t="str">
        <f>IF(I248="","",O238-((1/Comparisons!I109)*1000000))</f>
        <v/>
      </c>
    </row>
    <row r="249" spans="1:15" x14ac:dyDescent="0.25">
      <c r="A249" s="9" t="s">
        <v>12</v>
      </c>
      <c r="B249" s="9" t="s">
        <v>13</v>
      </c>
      <c r="C249" s="9" t="s">
        <v>9</v>
      </c>
      <c r="D249" s="12">
        <f>IF(D239="","",(D239-'2015'!D37)/'2015'!D37)</f>
        <v>-0.62461433665905353</v>
      </c>
      <c r="E249" s="12">
        <f>IF(E239="","",(E239-'2015'!E37)/'2015'!E37)</f>
        <v>-0.54729183508488277</v>
      </c>
      <c r="F249" s="12">
        <f>IF(F239="","",(F239-'2015'!F37)/'2015'!F37)</f>
        <v>-0.42078713677683777</v>
      </c>
      <c r="G249" s="12" t="str">
        <f>IF(G239="","",(G239-#REF!)/#REF!)</f>
        <v/>
      </c>
      <c r="H249" s="12" t="str">
        <f>IF(H239="","",(H239-#REF!)/#REF!)</f>
        <v/>
      </c>
      <c r="I249" s="12" t="str">
        <f>IF(I239="","",(I239-#REF!)/#REF!)</f>
        <v/>
      </c>
      <c r="J249" s="11">
        <f>J239-'2015'!J37</f>
        <v>33.335877496880698</v>
      </c>
      <c r="K249" s="11">
        <f>K239-'2015'!K37</f>
        <v>32.576894945528736</v>
      </c>
      <c r="L249" s="11">
        <f>L239-'2015'!L37</f>
        <v>38.173558629850106</v>
      </c>
      <c r="M249" s="11" t="str">
        <f>IF(G249="","",M239-((1/Comparisons!G110)*1000000))</f>
        <v/>
      </c>
      <c r="N249" s="11" t="str">
        <f>IF(H249="","",N239-((1/Comparisons!H110)*1000000))</f>
        <v/>
      </c>
      <c r="O249" s="11" t="str">
        <f>IF(I249="","",O239-((1/Comparisons!I110)*1000000))</f>
        <v/>
      </c>
    </row>
    <row r="250" spans="1:15" x14ac:dyDescent="0.25">
      <c r="A250" s="9" t="s">
        <v>14</v>
      </c>
      <c r="B250" s="9" t="s">
        <v>13</v>
      </c>
      <c r="C250" s="9" t="s">
        <v>11</v>
      </c>
      <c r="D250" s="12">
        <f>IF(D240="","",(D240-'2015'!D38)/'2015'!D38)</f>
        <v>-1.6408506169598321E-3</v>
      </c>
      <c r="E250" s="12">
        <f>IF(E240="","",(E240-'2015'!E38)/'2015'!E38)</f>
        <v>-2.4237794291270227E-2</v>
      </c>
      <c r="F250" s="12">
        <f>IF(F240="","",(F240-'2015'!F38)/'2015'!F38)</f>
        <v>-3.5414553167942453E-2</v>
      </c>
      <c r="G250" s="12" t="str">
        <f>IF(G240="","",(G240-#REF!)/#REF!)</f>
        <v/>
      </c>
      <c r="H250" s="12" t="str">
        <f>IF(H240="","",(H240-#REF!)/#REF!)</f>
        <v/>
      </c>
      <c r="I250" s="12" t="str">
        <f>IF(I240="","",(I240-#REF!)/#REF!)</f>
        <v/>
      </c>
      <c r="J250" s="11">
        <f>J240-'2015'!J38</f>
        <v>0.10787263276311876</v>
      </c>
      <c r="K250" s="11">
        <f>K240-'2015'!K38</f>
        <v>1.7251099139694048</v>
      </c>
      <c r="L250" s="11">
        <f>L240-'2015'!L38</f>
        <v>3.3860362527911434</v>
      </c>
      <c r="M250" s="11" t="str">
        <f>IF(G250="","",M240-((1/Comparisons!G111)*1000000))</f>
        <v/>
      </c>
      <c r="N250" s="11" t="str">
        <f>IF(H250="","",N240-((1/Comparisons!H111)*1000000))</f>
        <v/>
      </c>
      <c r="O250" s="11" t="str">
        <f>IF(I250="","",O240-((1/Comparisons!I111)*1000000))</f>
        <v/>
      </c>
    </row>
    <row r="251" spans="1:15" x14ac:dyDescent="0.25">
      <c r="A251" s="9" t="s">
        <v>15</v>
      </c>
      <c r="B251" s="9" t="s">
        <v>16</v>
      </c>
      <c r="C251" s="9" t="s">
        <v>11</v>
      </c>
      <c r="D251" s="12">
        <f>IF(D241="","",(D241-'2015'!D39)/'2015'!D39)</f>
        <v>7.6923076923076927E-2</v>
      </c>
      <c r="E251" s="12">
        <f>IF(E241="","",(E241-'2015'!E39)/'2015'!E39)</f>
        <v>6.7885881492318945E-2</v>
      </c>
      <c r="F251" s="12">
        <f>IF(F241="","",(F241-'2015'!F39)/'2015'!F39)</f>
        <v>2.8405422853453842E-2</v>
      </c>
      <c r="G251" s="12" t="str">
        <f>IF(G241="","",(G241-#REF!)/#REF!)</f>
        <v/>
      </c>
      <c r="H251" s="12" t="str">
        <f>IF(H241="","",(H241-#REF!)/#REF!)</f>
        <v/>
      </c>
      <c r="I251" s="12" t="str">
        <f>IF(I241="","",(I241-#REF!)/#REF!)</f>
        <v/>
      </c>
      <c r="J251" s="11">
        <f>J241-'2015'!J39</f>
        <v>-5.6066382596994799</v>
      </c>
      <c r="K251" s="11">
        <f>K241-'2015'!K39</f>
        <v>-4.6503549453568382</v>
      </c>
      <c r="L251" s="11">
        <f>L241-'2015'!L39</f>
        <v>-2.5473430950994356</v>
      </c>
      <c r="M251" s="11" t="str">
        <f>IF(G251="","",M241-((1/Comparisons!G112)*1000000))</f>
        <v/>
      </c>
      <c r="N251" s="11" t="str">
        <f>IF(H251="","",N241-((1/Comparisons!H112)*1000000))</f>
        <v/>
      </c>
      <c r="O251" s="11" t="str">
        <f>IF(I251="","",O241-((1/Comparisons!I112)*1000000))</f>
        <v/>
      </c>
    </row>
    <row r="252" spans="1:15" x14ac:dyDescent="0.25">
      <c r="A252" s="9" t="s">
        <v>17</v>
      </c>
      <c r="B252" s="8" t="s">
        <v>18</v>
      </c>
      <c r="C252" s="9" t="s">
        <v>11</v>
      </c>
      <c r="D252" s="12">
        <f>IF(D242="","",(D242-'2015'!D40)/'2015'!D40)</f>
        <v>5.5651176133103844E-2</v>
      </c>
      <c r="E252" s="12">
        <f>IF(E242="","",(E242-'2015'!E40)/'2015'!E40)</f>
        <v>8.2395560351472177E-2</v>
      </c>
      <c r="F252" s="12">
        <f>IF(F242="","",(F242-'2015'!F40)/'2015'!F40)</f>
        <v>9.9628656824562994E-3</v>
      </c>
      <c r="G252" s="12" t="str">
        <f>IF(G242="","",(G242-#REF!)/#REF!)</f>
        <v/>
      </c>
      <c r="H252" s="12" t="str">
        <f>IF(H242="","",(H242-#REF!)/#REF!)</f>
        <v/>
      </c>
      <c r="I252" s="12" t="str">
        <f>IF(I242="","",(I242-#REF!)/#REF!)</f>
        <v/>
      </c>
      <c r="J252" s="11">
        <f>J242-'2015'!J40</f>
        <v>-5.0408674033608634</v>
      </c>
      <c r="K252" s="11">
        <f>K242-'2015'!K40</f>
        <v>-5.8673759418551725</v>
      </c>
      <c r="L252" s="11">
        <f>L242-'2015'!L40</f>
        <v>-0.89345042439748568</v>
      </c>
      <c r="M252" s="11" t="str">
        <f>IF(G252="","",M242-((1/Comparisons!G113)*1000000))</f>
        <v/>
      </c>
      <c r="N252" s="11" t="str">
        <f>IF(H252="","",N242-((1/Comparisons!H113)*1000000))</f>
        <v/>
      </c>
      <c r="O252" s="11" t="str">
        <f>IF(I252="","",O242-((1/Comparisons!I113)*1000000))</f>
        <v/>
      </c>
    </row>
    <row r="253" spans="1:15" ht="18.75" x14ac:dyDescent="0.25">
      <c r="A253" s="77" t="s">
        <v>70</v>
      </c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84"/>
    </row>
    <row r="254" spans="1:15" ht="15.75" x14ac:dyDescent="0.25">
      <c r="A254" s="79" t="s">
        <v>74</v>
      </c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92"/>
    </row>
    <row r="255" spans="1:15" x14ac:dyDescent="0.25">
      <c r="A255" s="72" t="s">
        <v>1</v>
      </c>
      <c r="B255" s="72"/>
      <c r="C255" s="72"/>
      <c r="D255" s="73" t="s">
        <v>2</v>
      </c>
      <c r="E255" s="73"/>
      <c r="F255" s="73"/>
      <c r="G255" s="73"/>
      <c r="H255" s="73"/>
      <c r="I255" s="73"/>
      <c r="J255" s="73" t="s">
        <v>3</v>
      </c>
      <c r="K255" s="73"/>
      <c r="L255" s="73"/>
      <c r="M255" s="73"/>
      <c r="N255" s="73"/>
      <c r="O255" s="73"/>
    </row>
    <row r="256" spans="1:15" x14ac:dyDescent="0.25">
      <c r="A256" s="6" t="s">
        <v>26</v>
      </c>
      <c r="B256" s="6" t="s">
        <v>5</v>
      </c>
      <c r="C256" s="6" t="s">
        <v>6</v>
      </c>
      <c r="D256" s="7">
        <v>1</v>
      </c>
      <c r="E256" s="7">
        <v>4</v>
      </c>
      <c r="F256" s="7">
        <v>16</v>
      </c>
      <c r="G256" s="7">
        <v>32</v>
      </c>
      <c r="H256" s="7">
        <v>64</v>
      </c>
      <c r="I256" s="7">
        <v>80</v>
      </c>
      <c r="J256" s="7">
        <v>1</v>
      </c>
      <c r="K256" s="7">
        <v>4</v>
      </c>
      <c r="L256" s="7">
        <v>16</v>
      </c>
      <c r="M256" s="7">
        <v>32</v>
      </c>
      <c r="N256" s="7">
        <v>64</v>
      </c>
      <c r="O256" s="7">
        <v>80</v>
      </c>
    </row>
    <row r="257" spans="1:15" x14ac:dyDescent="0.25">
      <c r="A257" s="8" t="s">
        <v>7</v>
      </c>
      <c r="B257" s="9" t="s">
        <v>8</v>
      </c>
      <c r="C257" s="9" t="s">
        <v>9</v>
      </c>
      <c r="D257" s="10">
        <v>42666</v>
      </c>
      <c r="E257" s="10">
        <v>44614</v>
      </c>
      <c r="F257" s="10">
        <v>20641</v>
      </c>
      <c r="G257" s="10"/>
      <c r="H257" s="10"/>
      <c r="I257" s="10"/>
      <c r="J257" s="11">
        <f t="shared" ref="J257:J262" si="54">IF(D257="","",(1/D257)*1000000)</f>
        <v>23.437866216659636</v>
      </c>
      <c r="K257" s="11">
        <f t="shared" ref="K257:K262" si="55">IF(E257="","",(1/E257)*1000000)</f>
        <v>22.414488725512172</v>
      </c>
      <c r="L257" s="11">
        <f t="shared" ref="L257:L262" si="56">IF(F257="","",(1/F257)*1000000)</f>
        <v>48.447265151882178</v>
      </c>
      <c r="M257" s="11" t="str">
        <f t="shared" ref="M257:M262" si="57">IF(G257="","",(1/G257)*1000000)</f>
        <v/>
      </c>
      <c r="N257" s="11" t="str">
        <f t="shared" ref="N257:N262" si="58">IF(H257="","",(1/H257)*1000000)</f>
        <v/>
      </c>
      <c r="O257" s="11" t="str">
        <f t="shared" ref="O257:O262" si="59">IF(I257="","",(1/I257)*1000000)</f>
        <v/>
      </c>
    </row>
    <row r="258" spans="1:15" x14ac:dyDescent="0.25">
      <c r="A258" s="8" t="s">
        <v>10</v>
      </c>
      <c r="B258" s="9" t="s">
        <v>8</v>
      </c>
      <c r="C258" s="9" t="s">
        <v>11</v>
      </c>
      <c r="D258" s="10">
        <v>16078</v>
      </c>
      <c r="E258" s="10">
        <v>13841</v>
      </c>
      <c r="F258" s="10">
        <v>11655</v>
      </c>
      <c r="G258" s="10"/>
      <c r="H258" s="10"/>
      <c r="I258" s="10"/>
      <c r="J258" s="11">
        <f t="shared" si="54"/>
        <v>62.196790645602682</v>
      </c>
      <c r="K258" s="11">
        <f t="shared" si="55"/>
        <v>72.249114948341884</v>
      </c>
      <c r="L258" s="11">
        <f t="shared" si="56"/>
        <v>85.800085800085796</v>
      </c>
      <c r="M258" s="11" t="str">
        <f t="shared" si="57"/>
        <v/>
      </c>
      <c r="N258" s="11" t="str">
        <f t="shared" si="58"/>
        <v/>
      </c>
      <c r="O258" s="11" t="str">
        <f t="shared" si="59"/>
        <v/>
      </c>
    </row>
    <row r="259" spans="1:15" x14ac:dyDescent="0.25">
      <c r="A259" s="9" t="s">
        <v>12</v>
      </c>
      <c r="B259" s="9" t="s">
        <v>13</v>
      </c>
      <c r="C259" s="9" t="s">
        <v>9</v>
      </c>
      <c r="D259" s="10">
        <v>49088</v>
      </c>
      <c r="E259" s="10">
        <v>38194</v>
      </c>
      <c r="F259" s="10">
        <v>19055</v>
      </c>
      <c r="G259" s="10"/>
      <c r="H259" s="10"/>
      <c r="I259" s="10"/>
      <c r="J259" s="11">
        <f t="shared" si="54"/>
        <v>20.371577574967404</v>
      </c>
      <c r="K259" s="11">
        <f t="shared" si="55"/>
        <v>26.182122846520397</v>
      </c>
      <c r="L259" s="11">
        <f t="shared" si="56"/>
        <v>52.479664130149565</v>
      </c>
      <c r="M259" s="11" t="str">
        <f t="shared" si="57"/>
        <v/>
      </c>
      <c r="N259" s="11" t="str">
        <f t="shared" si="58"/>
        <v/>
      </c>
      <c r="O259" s="11" t="str">
        <f t="shared" si="59"/>
        <v/>
      </c>
    </row>
    <row r="260" spans="1:15" x14ac:dyDescent="0.25">
      <c r="A260" s="9" t="s">
        <v>14</v>
      </c>
      <c r="B260" s="9" t="s">
        <v>13</v>
      </c>
      <c r="C260" s="9" t="s">
        <v>11</v>
      </c>
      <c r="D260" s="10">
        <v>15302</v>
      </c>
      <c r="E260" s="10">
        <v>14165</v>
      </c>
      <c r="F260" s="10">
        <v>10500</v>
      </c>
      <c r="G260" s="10"/>
      <c r="H260" s="10"/>
      <c r="I260" s="10"/>
      <c r="J260" s="11">
        <f t="shared" si="54"/>
        <v>65.350934518363616</v>
      </c>
      <c r="K260" s="11">
        <f t="shared" si="55"/>
        <v>70.596540769502298</v>
      </c>
      <c r="L260" s="11">
        <f t="shared" si="56"/>
        <v>95.238095238095241</v>
      </c>
      <c r="M260" s="11" t="str">
        <f t="shared" si="57"/>
        <v/>
      </c>
      <c r="N260" s="11" t="str">
        <f t="shared" si="58"/>
        <v/>
      </c>
      <c r="O260" s="11" t="str">
        <f t="shared" si="59"/>
        <v/>
      </c>
    </row>
    <row r="261" spans="1:15" x14ac:dyDescent="0.25">
      <c r="A261" s="9" t="s">
        <v>15</v>
      </c>
      <c r="B261" s="9" t="s">
        <v>16</v>
      </c>
      <c r="C261" s="9" t="s">
        <v>11</v>
      </c>
      <c r="D261" s="20">
        <v>13720</v>
      </c>
      <c r="E261" s="20">
        <v>14598</v>
      </c>
      <c r="F261" s="20">
        <v>11151</v>
      </c>
      <c r="G261" s="10"/>
      <c r="H261" s="10"/>
      <c r="I261" s="10"/>
      <c r="J261" s="11">
        <f t="shared" si="54"/>
        <v>72.886297376093296</v>
      </c>
      <c r="K261" s="11">
        <f t="shared" si="55"/>
        <v>68.50253459377997</v>
      </c>
      <c r="L261" s="11">
        <f t="shared" si="56"/>
        <v>89.678055779750693</v>
      </c>
      <c r="M261" s="11" t="str">
        <f t="shared" si="57"/>
        <v/>
      </c>
      <c r="N261" s="11" t="str">
        <f t="shared" si="58"/>
        <v/>
      </c>
      <c r="O261" s="11" t="str">
        <f t="shared" si="59"/>
        <v/>
      </c>
    </row>
    <row r="262" spans="1:15" x14ac:dyDescent="0.25">
      <c r="A262" s="9" t="s">
        <v>17</v>
      </c>
      <c r="B262" s="8" t="s">
        <v>18</v>
      </c>
      <c r="C262" s="9" t="s">
        <v>11</v>
      </c>
      <c r="D262" s="20">
        <v>11040</v>
      </c>
      <c r="E262" s="20">
        <v>14043</v>
      </c>
      <c r="F262" s="20">
        <v>11151</v>
      </c>
      <c r="G262" s="10"/>
      <c r="H262" s="10"/>
      <c r="I262" s="10"/>
      <c r="J262" s="11">
        <f t="shared" si="54"/>
        <v>90.579710144927532</v>
      </c>
      <c r="K262" s="11">
        <f t="shared" si="55"/>
        <v>71.209855443993447</v>
      </c>
      <c r="L262" s="11">
        <f t="shared" si="56"/>
        <v>89.678055779750693</v>
      </c>
      <c r="M262" s="11" t="str">
        <f t="shared" si="57"/>
        <v/>
      </c>
      <c r="N262" s="11" t="str">
        <f t="shared" si="58"/>
        <v/>
      </c>
      <c r="O262" s="11" t="str">
        <f t="shared" si="59"/>
        <v/>
      </c>
    </row>
    <row r="263" spans="1:15" x14ac:dyDescent="0.25">
      <c r="A263" s="102" t="s">
        <v>73</v>
      </c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</row>
    <row r="264" spans="1:15" ht="18.75" x14ac:dyDescent="0.3">
      <c r="A264" s="75" t="s">
        <v>61</v>
      </c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93"/>
    </row>
    <row r="265" spans="1:15" x14ac:dyDescent="0.25">
      <c r="A265" s="72" t="s">
        <v>1</v>
      </c>
      <c r="B265" s="72"/>
      <c r="C265" s="72"/>
      <c r="D265" s="73" t="s">
        <v>19</v>
      </c>
      <c r="E265" s="73"/>
      <c r="F265" s="73"/>
      <c r="G265" s="73"/>
      <c r="H265" s="73"/>
      <c r="I265" s="73"/>
      <c r="J265" s="73" t="s">
        <v>22</v>
      </c>
      <c r="K265" s="73"/>
      <c r="L265" s="73"/>
      <c r="M265" s="73"/>
      <c r="N265" s="73"/>
      <c r="O265" s="73"/>
    </row>
    <row r="266" spans="1:15" x14ac:dyDescent="0.25">
      <c r="A266" s="6" t="s">
        <v>4</v>
      </c>
      <c r="B266" s="6" t="s">
        <v>5</v>
      </c>
      <c r="C266" s="6" t="s">
        <v>6</v>
      </c>
      <c r="D266" s="7">
        <v>1</v>
      </c>
      <c r="E266" s="7">
        <v>4</v>
      </c>
      <c r="F266" s="7">
        <v>16</v>
      </c>
      <c r="G266" s="7">
        <v>32</v>
      </c>
      <c r="H266" s="7">
        <v>64</v>
      </c>
      <c r="I266" s="7">
        <v>80</v>
      </c>
      <c r="J266" s="7">
        <v>1</v>
      </c>
      <c r="K266" s="7">
        <v>4</v>
      </c>
      <c r="L266" s="7">
        <v>16</v>
      </c>
      <c r="M266" s="7">
        <v>32</v>
      </c>
      <c r="N266" s="7">
        <v>64</v>
      </c>
      <c r="O266" s="7">
        <v>80</v>
      </c>
    </row>
    <row r="267" spans="1:15" x14ac:dyDescent="0.25">
      <c r="A267" s="8" t="s">
        <v>7</v>
      </c>
      <c r="B267" s="9" t="s">
        <v>8</v>
      </c>
      <c r="C267" s="9" t="s">
        <v>9</v>
      </c>
      <c r="D267" s="12">
        <f>IF(D257="","",(D257-'2015'!D35)/'2015'!D35)</f>
        <v>0</v>
      </c>
      <c r="E267" s="12">
        <f>IF(E257="","",(E257-'2015'!E35)/'2015'!E35)</f>
        <v>3.7366010184388586E-2</v>
      </c>
      <c r="F267" s="12">
        <f>IF(F257="","",(F257-'2015'!F35)/'2015'!F35)</f>
        <v>0</v>
      </c>
      <c r="G267" s="12" t="str">
        <f>IF(G257="","",(G257-#REF!)/#REF!)</f>
        <v/>
      </c>
      <c r="H267" s="12" t="str">
        <f>IF(H257="","",(H257-#REF!)/#REF!)</f>
        <v/>
      </c>
      <c r="I267" s="12" t="str">
        <f>IF(I257="","",(I257-#REF!)/#REF!)</f>
        <v/>
      </c>
      <c r="J267" s="11">
        <f>J257-'2015'!J57</f>
        <v>26.221433187445509</v>
      </c>
      <c r="K267" s="11">
        <f>K257-'2015'!K57</f>
        <v>25.723844759315742</v>
      </c>
      <c r="L267" s="11">
        <f>L257-'2015'!L57</f>
        <v>51.31536104887271</v>
      </c>
      <c r="M267" s="11" t="str">
        <f>IF(G267="","",M257-((1/Comparisons!G128)*1000000))</f>
        <v/>
      </c>
      <c r="N267" s="11" t="str">
        <f>IF(H267="","",N257-((1/Comparisons!H128)*1000000))</f>
        <v/>
      </c>
      <c r="O267" s="11" t="str">
        <f>IF(I267="","",O257-((1/Comparisons!I128)*1000000))</f>
        <v/>
      </c>
    </row>
    <row r="268" spans="1:15" x14ac:dyDescent="0.25">
      <c r="A268" s="8" t="s">
        <v>10</v>
      </c>
      <c r="B268" s="9" t="s">
        <v>8</v>
      </c>
      <c r="C268" s="9" t="s">
        <v>11</v>
      </c>
      <c r="D268" s="12">
        <f>IF(D258="","",(D258-'2015'!D36)/'2015'!D36)</f>
        <v>-1.2043750768096349E-2</v>
      </c>
      <c r="E268" s="12">
        <f>IF(E258="","",(E258-'2015'!E36)/'2015'!E36)</f>
        <v>-9.4649398220826797E-2</v>
      </c>
      <c r="F268" s="12">
        <f>IF(F258="","",(F258-'2015'!F36)/'2015'!F36)</f>
        <v>-4.5610874549623322E-2</v>
      </c>
      <c r="G268" s="12" t="str">
        <f>IF(G258="","",(G258-#REF!)/#REF!)</f>
        <v/>
      </c>
      <c r="H268" s="12" t="str">
        <f>IF(H258="","",(H258-#REF!)/#REF!)</f>
        <v/>
      </c>
      <c r="I268" s="12" t="str">
        <f>IF(I258="","",(I258-#REF!)/#REF!)</f>
        <v/>
      </c>
      <c r="J268" s="11">
        <f>J258-'2015'!J58</f>
        <v>70.912208346391566</v>
      </c>
      <c r="K268" s="11">
        <f>K258-'2015'!K58</f>
        <v>84.452497266592445</v>
      </c>
      <c r="L268" s="11">
        <f>L258-'2015'!L58</f>
        <v>97.276854300533813</v>
      </c>
      <c r="M268" s="11" t="str">
        <f>IF(G268="","",M258-((1/Comparisons!G129)*1000000))</f>
        <v/>
      </c>
      <c r="N268" s="11" t="str">
        <f>IF(H268="","",N258-((1/Comparisons!H129)*1000000))</f>
        <v/>
      </c>
      <c r="O268" s="11" t="str">
        <f>IF(I268="","",O258-((1/Comparisons!I129)*1000000))</f>
        <v/>
      </c>
    </row>
    <row r="269" spans="1:15" x14ac:dyDescent="0.25">
      <c r="A269" s="9" t="s">
        <v>12</v>
      </c>
      <c r="B269" s="9" t="s">
        <v>13</v>
      </c>
      <c r="C269" s="9" t="s">
        <v>9</v>
      </c>
      <c r="D269" s="12">
        <f>IF(D259="","",(D259-'2015'!D37)/'2015'!D37)</f>
        <v>-1.6548463356973995E-2</v>
      </c>
      <c r="E269" s="12">
        <f>IF(E259="","",(E259-'2015'!E37)/'2015'!E37)</f>
        <v>2.9210455402856373E-2</v>
      </c>
      <c r="F269" s="12">
        <f>IF(F259="","",(F259-'2015'!F37)/'2015'!F37)</f>
        <v>1.2611003100204928E-3</v>
      </c>
      <c r="G269" s="12" t="str">
        <f>IF(G259="","",(G259-#REF!)/#REF!)</f>
        <v/>
      </c>
      <c r="H269" s="12" t="str">
        <f>IF(H259="","",(H259-#REF!)/#REF!)</f>
        <v/>
      </c>
      <c r="I269" s="12" t="str">
        <f>IF(I259="","",(I259-#REF!)/#REF!)</f>
        <v/>
      </c>
      <c r="J269" s="11">
        <f>J259-'2015'!J59</f>
        <v>36.067207447321934</v>
      </c>
      <c r="K269" s="11">
        <f>K259-'2015'!K59</f>
        <v>39.729424047803221</v>
      </c>
      <c r="L269" s="11">
        <f>L259-'2015'!L59</f>
        <v>58.370434800040421</v>
      </c>
      <c r="M269" s="11" t="str">
        <f>IF(G269="","",M259-((1/Comparisons!G130)*1000000))</f>
        <v/>
      </c>
      <c r="N269" s="11" t="str">
        <f>IF(H269="","",N259-((1/Comparisons!H130)*1000000))</f>
        <v/>
      </c>
      <c r="O269" s="11" t="str">
        <f>IF(I269="","",O259-((1/Comparisons!I130)*1000000))</f>
        <v/>
      </c>
    </row>
    <row r="270" spans="1:15" x14ac:dyDescent="0.25">
      <c r="A270" s="9" t="s">
        <v>14</v>
      </c>
      <c r="B270" s="9" t="s">
        <v>13</v>
      </c>
      <c r="C270" s="9" t="s">
        <v>11</v>
      </c>
      <c r="D270" s="12">
        <f>IF(D260="","",(D260-'2015'!D38)/'2015'!D38)</f>
        <v>4.3318456287739565E-3</v>
      </c>
      <c r="E270" s="12">
        <f>IF(E260="","",(E260-'2015'!E38)/'2015'!E38)</f>
        <v>-1.6251128550593793E-2</v>
      </c>
      <c r="F270" s="12">
        <f>IF(F260="","",(F260-'2015'!F38)/'2015'!F38)</f>
        <v>-3.1633311814073597E-2</v>
      </c>
      <c r="G270" s="12" t="str">
        <f>IF(G260="","",(G260-#REF!)/#REF!)</f>
        <v/>
      </c>
      <c r="H270" s="12" t="str">
        <f>IF(H260="","",(H260-#REF!)/#REF!)</f>
        <v/>
      </c>
      <c r="I270" s="12" t="str">
        <f>IF(I260="","",(I260-#REF!)/#REF!)</f>
        <v/>
      </c>
      <c r="J270" s="11">
        <f>J260-'2015'!J60</f>
        <v>61.347397739658362</v>
      </c>
      <c r="K270" s="11">
        <f>K260-'2015'!K60</f>
        <v>93.971343537345291</v>
      </c>
      <c r="L270" s="11">
        <f>L260-'2015'!L60</f>
        <v>100.9778670846068</v>
      </c>
      <c r="M270" s="11" t="str">
        <f>IF(G270="","",M260-((1/Comparisons!G131)*1000000))</f>
        <v/>
      </c>
      <c r="N270" s="11" t="str">
        <f>IF(H270="","",N260-((1/Comparisons!H131)*1000000))</f>
        <v/>
      </c>
      <c r="O270" s="11" t="str">
        <f>IF(I270="","",O260-((1/Comparisons!I131)*1000000))</f>
        <v/>
      </c>
    </row>
    <row r="271" spans="1:15" x14ac:dyDescent="0.25">
      <c r="A271" s="9" t="s">
        <v>15</v>
      </c>
      <c r="B271" s="9" t="s">
        <v>16</v>
      </c>
      <c r="C271" s="9" t="s">
        <v>11</v>
      </c>
      <c r="D271" s="12">
        <f>IF(D261="","",(D261-'2015'!D39)/'2015'!D39)</f>
        <v>7.6923076923076927E-2</v>
      </c>
      <c r="E271" s="12">
        <f>IF(E261="","",(E261-'2015'!E39)/'2015'!E39)</f>
        <v>6.7885881492318945E-2</v>
      </c>
      <c r="F271" s="12">
        <f>IF(F261="","",(F261-'2015'!F39)/'2015'!F39)</f>
        <v>2.8405422853453842E-2</v>
      </c>
      <c r="G271" s="12" t="str">
        <f>IF(G261="","",(G261-#REF!)/#REF!)</f>
        <v/>
      </c>
      <c r="H271" s="12" t="str">
        <f>IF(H261="","",(H261-#REF!)/#REF!)</f>
        <v/>
      </c>
      <c r="I271" s="12" t="str">
        <f>IF(I261="","",(I261-#REF!)/#REF!)</f>
        <v/>
      </c>
      <c r="J271" s="11">
        <f>J261-'2015'!J61</f>
        <v>72.886297376093296</v>
      </c>
      <c r="K271" s="11">
        <f>K261-'2015'!K61</f>
        <v>68.50253459377997</v>
      </c>
      <c r="L271" s="11">
        <f>L261-'2015'!L61</f>
        <v>89.678055779750693</v>
      </c>
      <c r="M271" s="11" t="str">
        <f>IF(G271="","",M261-((1/Comparisons!G132)*1000000))</f>
        <v/>
      </c>
      <c r="N271" s="11" t="str">
        <f>IF(H271="","",N261-((1/Comparisons!H132)*1000000))</f>
        <v/>
      </c>
      <c r="O271" s="11" t="str">
        <f>IF(I271="","",O261-((1/Comparisons!I132)*1000000))</f>
        <v/>
      </c>
    </row>
    <row r="272" spans="1:15" x14ac:dyDescent="0.25">
      <c r="A272" s="9" t="s">
        <v>17</v>
      </c>
      <c r="B272" s="8" t="s">
        <v>18</v>
      </c>
      <c r="C272" s="9" t="s">
        <v>11</v>
      </c>
      <c r="D272" s="12">
        <f>IF(D262="","",(D262-'2015'!D40)/'2015'!D40)</f>
        <v>5.5651176133103844E-2</v>
      </c>
      <c r="E272" s="12">
        <f>IF(E262="","",(E262-'2015'!E40)/'2015'!E40)</f>
        <v>8.2395560351472177E-2</v>
      </c>
      <c r="F272" s="12">
        <f>IF(F262="","",(F262-'2015'!F40)/'2015'!F40)</f>
        <v>9.9628656824562994E-3</v>
      </c>
      <c r="G272" s="12" t="str">
        <f>IF(G262="","",(G262-#REF!)/#REF!)</f>
        <v/>
      </c>
      <c r="H272" s="12" t="str">
        <f>IF(H262="","",(H262-#REF!)/#REF!)</f>
        <v/>
      </c>
      <c r="I272" s="12" t="str">
        <f>IF(I262="","",(I262-#REF!)/#REF!)</f>
        <v/>
      </c>
      <c r="J272" s="11">
        <f>J262-'2015'!J62</f>
        <v>90.579710144927532</v>
      </c>
      <c r="K272" s="11">
        <f>K262-'2015'!K62</f>
        <v>71.209855443993447</v>
      </c>
      <c r="L272" s="11">
        <f>L262-'2015'!L62</f>
        <v>89.678055779750693</v>
      </c>
      <c r="M272" s="11" t="str">
        <f>IF(G272="","",M262-((1/Comparisons!G133)*1000000))</f>
        <v/>
      </c>
      <c r="N272" s="11" t="str">
        <f>IF(H272="","",N262-((1/Comparisons!H133)*1000000))</f>
        <v/>
      </c>
      <c r="O272" s="11" t="str">
        <f>IF(I272="","",O262-((1/Comparisons!I133)*1000000))</f>
        <v/>
      </c>
    </row>
    <row r="273" spans="1:15" ht="18.75" x14ac:dyDescent="0.25">
      <c r="A273" s="77" t="s">
        <v>70</v>
      </c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84"/>
    </row>
    <row r="274" spans="1:15" ht="15.75" x14ac:dyDescent="0.25">
      <c r="A274" s="79" t="s">
        <v>71</v>
      </c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92"/>
    </row>
    <row r="275" spans="1:15" x14ac:dyDescent="0.25">
      <c r="A275" s="72" t="s">
        <v>1</v>
      </c>
      <c r="B275" s="72"/>
      <c r="C275" s="72"/>
      <c r="D275" s="73" t="s">
        <v>2</v>
      </c>
      <c r="E275" s="73"/>
      <c r="F275" s="73"/>
      <c r="G275" s="73"/>
      <c r="H275" s="73"/>
      <c r="I275" s="73"/>
      <c r="J275" s="73" t="s">
        <v>3</v>
      </c>
      <c r="K275" s="73"/>
      <c r="L275" s="73"/>
      <c r="M275" s="73"/>
      <c r="N275" s="73"/>
      <c r="O275" s="73"/>
    </row>
    <row r="276" spans="1:15" x14ac:dyDescent="0.25">
      <c r="A276" s="6" t="s">
        <v>26</v>
      </c>
      <c r="B276" s="6" t="s">
        <v>5</v>
      </c>
      <c r="C276" s="6" t="s">
        <v>6</v>
      </c>
      <c r="D276" s="7">
        <v>1</v>
      </c>
      <c r="E276" s="7">
        <v>4</v>
      </c>
      <c r="F276" s="7">
        <v>16</v>
      </c>
      <c r="G276" s="7">
        <v>32</v>
      </c>
      <c r="H276" s="7">
        <v>64</v>
      </c>
      <c r="I276" s="7">
        <v>80</v>
      </c>
      <c r="J276" s="7">
        <v>1</v>
      </c>
      <c r="K276" s="7">
        <v>4</v>
      </c>
      <c r="L276" s="7">
        <v>16</v>
      </c>
      <c r="M276" s="7">
        <v>32</v>
      </c>
      <c r="N276" s="7">
        <v>64</v>
      </c>
      <c r="O276" s="7">
        <v>80</v>
      </c>
    </row>
    <row r="277" spans="1:15" x14ac:dyDescent="0.25">
      <c r="A277" s="8" t="s">
        <v>7</v>
      </c>
      <c r="B277" s="9" t="s">
        <v>8</v>
      </c>
      <c r="C277" s="9" t="s">
        <v>9</v>
      </c>
      <c r="D277" s="10">
        <v>42666</v>
      </c>
      <c r="E277" s="10">
        <v>44670</v>
      </c>
      <c r="F277" s="10">
        <v>20641</v>
      </c>
      <c r="G277" s="10"/>
      <c r="H277" s="10"/>
      <c r="I277" s="10"/>
      <c r="J277" s="11">
        <f t="shared" ref="J277:O282" si="60">IF(D277="","",(1/D277)*1000000)</f>
        <v>23.437866216659636</v>
      </c>
      <c r="K277" s="11">
        <f t="shared" si="60"/>
        <v>22.386389075442132</v>
      </c>
      <c r="L277" s="11">
        <f t="shared" si="60"/>
        <v>48.447265151882178</v>
      </c>
      <c r="M277" s="11" t="str">
        <f t="shared" si="60"/>
        <v/>
      </c>
      <c r="N277" s="11" t="str">
        <f t="shared" si="60"/>
        <v/>
      </c>
      <c r="O277" s="11" t="str">
        <f t="shared" si="60"/>
        <v/>
      </c>
    </row>
    <row r="278" spans="1:15" x14ac:dyDescent="0.25">
      <c r="A278" s="8" t="s">
        <v>10</v>
      </c>
      <c r="B278" s="9" t="s">
        <v>8</v>
      </c>
      <c r="C278" s="9" t="s">
        <v>11</v>
      </c>
      <c r="D278" s="10">
        <v>16609</v>
      </c>
      <c r="E278" s="10">
        <v>16532</v>
      </c>
      <c r="F278" s="10">
        <v>12397</v>
      </c>
      <c r="G278" s="10"/>
      <c r="H278" s="10"/>
      <c r="I278" s="10"/>
      <c r="J278" s="11">
        <f t="shared" si="60"/>
        <v>60.208320789933168</v>
      </c>
      <c r="K278" s="11">
        <f t="shared" si="60"/>
        <v>60.488749092668762</v>
      </c>
      <c r="L278" s="11">
        <f t="shared" si="60"/>
        <v>80.664676937968864</v>
      </c>
      <c r="M278" s="11" t="str">
        <f t="shared" si="60"/>
        <v/>
      </c>
      <c r="N278" s="11" t="str">
        <f t="shared" si="60"/>
        <v/>
      </c>
      <c r="O278" s="11" t="str">
        <f t="shared" si="60"/>
        <v/>
      </c>
    </row>
    <row r="279" spans="1:15" x14ac:dyDescent="0.25">
      <c r="A279" s="9" t="s">
        <v>12</v>
      </c>
      <c r="B279" s="9" t="s">
        <v>13</v>
      </c>
      <c r="C279" s="9" t="s">
        <v>9</v>
      </c>
      <c r="D279" s="10">
        <v>50508</v>
      </c>
      <c r="E279" s="10">
        <v>38579</v>
      </c>
      <c r="F279" s="10">
        <v>18959</v>
      </c>
      <c r="G279" s="10"/>
      <c r="H279" s="10"/>
      <c r="I279" s="10"/>
      <c r="J279" s="11">
        <f t="shared" si="60"/>
        <v>19.798843747525144</v>
      </c>
      <c r="K279" s="11">
        <f t="shared" si="60"/>
        <v>25.920837761476452</v>
      </c>
      <c r="L279" s="11">
        <f t="shared" si="60"/>
        <v>52.745397964027639</v>
      </c>
      <c r="M279" s="11" t="str">
        <f t="shared" si="60"/>
        <v/>
      </c>
      <c r="N279" s="11" t="str">
        <f t="shared" si="60"/>
        <v/>
      </c>
      <c r="O279" s="11" t="str">
        <f t="shared" si="60"/>
        <v/>
      </c>
    </row>
    <row r="280" spans="1:15" x14ac:dyDescent="0.25">
      <c r="A280" s="9" t="s">
        <v>14</v>
      </c>
      <c r="B280" s="9" t="s">
        <v>13</v>
      </c>
      <c r="C280" s="9" t="s">
        <v>11</v>
      </c>
      <c r="D280" s="10">
        <v>17201</v>
      </c>
      <c r="E280" s="10">
        <v>15772</v>
      </c>
      <c r="F280" s="10">
        <v>11151</v>
      </c>
      <c r="G280" s="10"/>
      <c r="H280" s="10"/>
      <c r="I280" s="10"/>
      <c r="J280" s="11">
        <f t="shared" si="60"/>
        <v>58.136154874716588</v>
      </c>
      <c r="K280" s="11">
        <f t="shared" si="60"/>
        <v>63.403499873192999</v>
      </c>
      <c r="L280" s="11">
        <f t="shared" si="60"/>
        <v>89.678055779750693</v>
      </c>
      <c r="M280" s="11" t="str">
        <f t="shared" si="60"/>
        <v/>
      </c>
      <c r="N280" s="11" t="str">
        <f t="shared" si="60"/>
        <v/>
      </c>
      <c r="O280" s="11" t="str">
        <f t="shared" si="60"/>
        <v/>
      </c>
    </row>
    <row r="281" spans="1:15" x14ac:dyDescent="0.25">
      <c r="A281" s="9" t="s">
        <v>15</v>
      </c>
      <c r="B281" s="9" t="s">
        <v>16</v>
      </c>
      <c r="C281" s="9" t="s">
        <v>11</v>
      </c>
      <c r="D281" s="20">
        <v>12740</v>
      </c>
      <c r="E281" s="20">
        <v>14554</v>
      </c>
      <c r="F281" s="20">
        <v>11151</v>
      </c>
      <c r="G281" s="10"/>
      <c r="H281" s="10"/>
      <c r="I281" s="10"/>
      <c r="J281" s="11">
        <f t="shared" si="60"/>
        <v>78.492935635792776</v>
      </c>
      <c r="K281" s="11">
        <f t="shared" si="60"/>
        <v>68.709633090559308</v>
      </c>
      <c r="L281" s="11">
        <f t="shared" si="60"/>
        <v>89.678055779750693</v>
      </c>
      <c r="M281" s="11" t="str">
        <f t="shared" si="60"/>
        <v/>
      </c>
      <c r="N281" s="11" t="str">
        <f t="shared" si="60"/>
        <v/>
      </c>
      <c r="O281" s="11" t="str">
        <f t="shared" si="60"/>
        <v/>
      </c>
    </row>
    <row r="282" spans="1:15" x14ac:dyDescent="0.25">
      <c r="A282" s="9" t="s">
        <v>17</v>
      </c>
      <c r="B282" s="8" t="s">
        <v>18</v>
      </c>
      <c r="C282" s="9" t="s">
        <v>11</v>
      </c>
      <c r="D282" s="20">
        <v>10617</v>
      </c>
      <c r="E282" s="20">
        <v>13305</v>
      </c>
      <c r="F282" s="20">
        <v>11151</v>
      </c>
      <c r="G282" s="10"/>
      <c r="H282" s="10"/>
      <c r="I282" s="10"/>
      <c r="J282" s="11">
        <f t="shared" si="60"/>
        <v>94.188565508147306</v>
      </c>
      <c r="K282" s="11">
        <f t="shared" si="60"/>
        <v>75.159714393085295</v>
      </c>
      <c r="L282" s="11">
        <f t="shared" si="60"/>
        <v>89.678055779750693</v>
      </c>
      <c r="M282" s="11" t="str">
        <f t="shared" si="60"/>
        <v/>
      </c>
      <c r="N282" s="11" t="str">
        <f t="shared" si="60"/>
        <v/>
      </c>
      <c r="O282" s="11" t="str">
        <f t="shared" si="60"/>
        <v/>
      </c>
    </row>
    <row r="283" spans="1:15" x14ac:dyDescent="0.25">
      <c r="A283" s="102" t="s">
        <v>72</v>
      </c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</row>
    <row r="284" spans="1:15" ht="18.75" x14ac:dyDescent="0.3">
      <c r="A284" s="75" t="s">
        <v>61</v>
      </c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93"/>
    </row>
    <row r="285" spans="1:15" x14ac:dyDescent="0.25">
      <c r="A285" s="72" t="s">
        <v>1</v>
      </c>
      <c r="B285" s="72"/>
      <c r="C285" s="72"/>
      <c r="D285" s="73" t="s">
        <v>19</v>
      </c>
      <c r="E285" s="73"/>
      <c r="F285" s="73"/>
      <c r="G285" s="73"/>
      <c r="H285" s="73"/>
      <c r="I285" s="73"/>
      <c r="J285" s="73" t="s">
        <v>22</v>
      </c>
      <c r="K285" s="73"/>
      <c r="L285" s="73"/>
      <c r="M285" s="73"/>
      <c r="N285" s="73"/>
      <c r="O285" s="73"/>
    </row>
    <row r="286" spans="1:15" x14ac:dyDescent="0.25">
      <c r="A286" s="6" t="s">
        <v>4</v>
      </c>
      <c r="B286" s="6" t="s">
        <v>5</v>
      </c>
      <c r="C286" s="6" t="s">
        <v>6</v>
      </c>
      <c r="D286" s="7">
        <v>1</v>
      </c>
      <c r="E286" s="7">
        <v>4</v>
      </c>
      <c r="F286" s="7">
        <v>16</v>
      </c>
      <c r="G286" s="7">
        <v>32</v>
      </c>
      <c r="H286" s="7">
        <v>64</v>
      </c>
      <c r="I286" s="7">
        <v>80</v>
      </c>
      <c r="J286" s="7">
        <v>1</v>
      </c>
      <c r="K286" s="7">
        <v>4</v>
      </c>
      <c r="L286" s="7">
        <v>16</v>
      </c>
      <c r="M286" s="7">
        <v>32</v>
      </c>
      <c r="N286" s="7">
        <v>64</v>
      </c>
      <c r="O286" s="7">
        <v>80</v>
      </c>
    </row>
    <row r="287" spans="1:15" x14ac:dyDescent="0.25">
      <c r="A287" s="8" t="s">
        <v>7</v>
      </c>
      <c r="B287" s="9" t="s">
        <v>8</v>
      </c>
      <c r="C287" s="9" t="s">
        <v>9</v>
      </c>
      <c r="D287" s="12">
        <f>IF(D277="","",(D277-'2015'!D35)/'2015'!D35)</f>
        <v>0</v>
      </c>
      <c r="E287" s="12">
        <f>IF(E277="","",(E277-'2015'!E35)/'2015'!E35)</f>
        <v>3.866812379380101E-2</v>
      </c>
      <c r="F287" s="12">
        <f>IF(F277="","",(F277-'2015'!F35)/'2015'!F35)</f>
        <v>0</v>
      </c>
      <c r="G287" s="12" t="str">
        <f>IF(G277="","",(G277-#REF!)/#REF!)</f>
        <v/>
      </c>
      <c r="H287" s="12" t="str">
        <f>IF(H277="","",(H277-#REF!)/#REF!)</f>
        <v/>
      </c>
      <c r="I287" s="12" t="str">
        <f>IF(I277="","",(I277-#REF!)/#REF!)</f>
        <v/>
      </c>
      <c r="J287" s="11">
        <f>J277-'2015'!J77</f>
        <v>14.808489423878626</v>
      </c>
      <c r="K287" s="11">
        <f>K277-'2015'!K77</f>
        <v>15.548053823594238</v>
      </c>
      <c r="L287" s="11">
        <f>L277-'2015'!L77</f>
        <v>38.573978046972201</v>
      </c>
      <c r="M287" s="11" t="str">
        <f>IF(G287="","",M277-((1/Comparisons!G148)*1000000))</f>
        <v/>
      </c>
      <c r="N287" s="11" t="str">
        <f>IF(H287="","",N277-((1/Comparisons!H148)*1000000))</f>
        <v/>
      </c>
      <c r="O287" s="11" t="str">
        <f>IF(I287="","",O277-((1/Comparisons!I148)*1000000))</f>
        <v/>
      </c>
    </row>
    <row r="288" spans="1:15" x14ac:dyDescent="0.25">
      <c r="A288" s="8" t="s">
        <v>10</v>
      </c>
      <c r="B288" s="9" t="s">
        <v>8</v>
      </c>
      <c r="C288" s="9" t="s">
        <v>11</v>
      </c>
      <c r="D288" s="12">
        <f>IF(D278="","",(D278-'2015'!D36)/'2015'!D36)</f>
        <v>2.058498218016468E-2</v>
      </c>
      <c r="E288" s="12">
        <f>IF(E278="","",(E278-'2015'!E36)/'2015'!E36)</f>
        <v>8.137100994243851E-2</v>
      </c>
      <c r="F288" s="12">
        <f>IF(F278="","",(F278-'2015'!F36)/'2015'!F36)</f>
        <v>1.5149033737307567E-2</v>
      </c>
      <c r="G288" s="12" t="str">
        <f>IF(G278="","",(G278-#REF!)/#REF!)</f>
        <v/>
      </c>
      <c r="H288" s="12" t="str">
        <f>IF(H278="","",(H278-#REF!)/#REF!)</f>
        <v/>
      </c>
      <c r="I288" s="12" t="str">
        <f>IF(I278="","",(I278-#REF!)/#REF!)</f>
        <v/>
      </c>
      <c r="J288" s="11">
        <f>J278-'2015'!J78</f>
        <v>59.941509200321661</v>
      </c>
      <c r="K288" s="11">
        <f>K278-'2015'!K78</f>
        <v>60.488749092668762</v>
      </c>
      <c r="L288" s="11">
        <f>L278-'2015'!L78</f>
        <v>80.526259978243729</v>
      </c>
      <c r="M288" s="11" t="str">
        <f>IF(G288="","",M278-((1/Comparisons!G149)*1000000))</f>
        <v/>
      </c>
      <c r="N288" s="11" t="str">
        <f>IF(H288="","",N278-((1/Comparisons!H149)*1000000))</f>
        <v/>
      </c>
      <c r="O288" s="11" t="str">
        <f>IF(I288="","",O278-((1/Comparisons!I149)*1000000))</f>
        <v/>
      </c>
    </row>
    <row r="289" spans="1:15" x14ac:dyDescent="0.25">
      <c r="A289" s="9" t="s">
        <v>12</v>
      </c>
      <c r="B289" s="9" t="s">
        <v>13</v>
      </c>
      <c r="C289" s="9" t="s">
        <v>9</v>
      </c>
      <c r="D289" s="12">
        <f>IF(D279="","",(D279-'2015'!D37)/'2015'!D37)</f>
        <v>1.1900468806346917E-2</v>
      </c>
      <c r="E289" s="12">
        <f>IF(E279="","",(E279-'2015'!E37)/'2015'!E37)</f>
        <v>3.9585017515494474E-2</v>
      </c>
      <c r="F289" s="12">
        <f>IF(F279="","",(F279-'2015'!F37)/'2015'!F37)</f>
        <v>-3.7833009300614786E-3</v>
      </c>
      <c r="G289" s="12" t="str">
        <f>IF(G279="","",(G279-#REF!)/#REF!)</f>
        <v/>
      </c>
      <c r="H289" s="12" t="str">
        <f>IF(H279="","",(H279-#REF!)/#REF!)</f>
        <v/>
      </c>
      <c r="I289" s="12" t="str">
        <f>IF(I279="","",(I279-#REF!)/#REF!)</f>
        <v/>
      </c>
      <c r="J289" s="11">
        <f>J279-'2015'!J79</f>
        <v>15.114325426129387</v>
      </c>
      <c r="K289" s="11">
        <f>K279-'2015'!K79</f>
        <v>16.086825915280418</v>
      </c>
      <c r="L289" s="11">
        <f>L279-'2015'!L79</f>
        <v>44.52885228283116</v>
      </c>
      <c r="M289" s="11" t="str">
        <f>IF(G289="","",M279-((1/Comparisons!G150)*1000000))</f>
        <v/>
      </c>
      <c r="N289" s="11" t="str">
        <f>IF(H289="","",N279-((1/Comparisons!H150)*1000000))</f>
        <v/>
      </c>
      <c r="O289" s="11" t="str">
        <f>IF(I289="","",O279-((1/Comparisons!I150)*1000000))</f>
        <v/>
      </c>
    </row>
    <row r="290" spans="1:15" x14ac:dyDescent="0.25">
      <c r="A290" s="9" t="s">
        <v>14</v>
      </c>
      <c r="B290" s="9" t="s">
        <v>13</v>
      </c>
      <c r="C290" s="9" t="s">
        <v>11</v>
      </c>
      <c r="D290" s="12">
        <f>IF(D280="","",(D280-'2015'!D38)/'2015'!D38)</f>
        <v>0.12897085849304279</v>
      </c>
      <c r="E290" s="12">
        <f>IF(E280="","",(E280-'2015'!E38)/'2015'!E38)</f>
        <v>9.5353844016945619E-2</v>
      </c>
      <c r="F290" s="12">
        <f>IF(F280="","",(F280-'2015'!F38)/'2015'!F38)</f>
        <v>2.8405422853453842E-2</v>
      </c>
      <c r="G290" s="12" t="str">
        <f>IF(G280="","",(G280-#REF!)/#REF!)</f>
        <v/>
      </c>
      <c r="H290" s="12" t="str">
        <f>IF(H280="","",(H280-#REF!)/#REF!)</f>
        <v/>
      </c>
      <c r="I290" s="12" t="str">
        <f>IF(I280="","",(I280-#REF!)/#REF!)</f>
        <v/>
      </c>
      <c r="J290" s="11">
        <f>J280-'2015'!J80</f>
        <v>64.379975562167488</v>
      </c>
      <c r="K290" s="11">
        <f>K280-'2015'!K80</f>
        <v>66.738613806660595</v>
      </c>
      <c r="L290" s="11">
        <f>L280-'2015'!L80</f>
        <v>91.471188422009035</v>
      </c>
      <c r="M290" s="11" t="str">
        <f>IF(G290="","",M280-((1/Comparisons!G151)*1000000))</f>
        <v/>
      </c>
      <c r="N290" s="11" t="str">
        <f>IF(H290="","",N280-((1/Comparisons!H151)*1000000))</f>
        <v/>
      </c>
      <c r="O290" s="11" t="str">
        <f>IF(I290="","",O280-((1/Comparisons!I151)*1000000))</f>
        <v/>
      </c>
    </row>
    <row r="291" spans="1:15" x14ac:dyDescent="0.25">
      <c r="A291" s="9" t="s">
        <v>15</v>
      </c>
      <c r="B291" s="9" t="s">
        <v>16</v>
      </c>
      <c r="C291" s="9" t="s">
        <v>11</v>
      </c>
      <c r="D291" s="12">
        <f>IF(D281="","",(D281-'2015'!D39)/'2015'!D39)</f>
        <v>0</v>
      </c>
      <c r="E291" s="12">
        <f>IF(E281="","",(E281-'2015'!E39)/'2015'!E39)</f>
        <v>6.4667154352596928E-2</v>
      </c>
      <c r="F291" s="12">
        <f>IF(F281="","",(F281-'2015'!F39)/'2015'!F39)</f>
        <v>2.8405422853453842E-2</v>
      </c>
      <c r="G291" s="12" t="str">
        <f>IF(G281="","",(G281-#REF!)/#REF!)</f>
        <v/>
      </c>
      <c r="H291" s="12" t="str">
        <f>IF(H281="","",(H281-#REF!)/#REF!)</f>
        <v/>
      </c>
      <c r="I291" s="12" t="str">
        <f>IF(I281="","",(I281-#REF!)/#REF!)</f>
        <v/>
      </c>
      <c r="J291" s="11">
        <f>J281-'2015'!J81</f>
        <v>82.193299929186409</v>
      </c>
      <c r="K291" s="11">
        <f>K281-'2015'!K81</f>
        <v>72.224998947498122</v>
      </c>
      <c r="L291" s="11">
        <f>L281-'2015'!L81</f>
        <v>90.571506204148179</v>
      </c>
      <c r="M291" s="11" t="str">
        <f>IF(G291="","",M281-((1/Comparisons!G152)*1000000))</f>
        <v/>
      </c>
      <c r="N291" s="11" t="str">
        <f>IF(H291="","",N281-((1/Comparisons!H152)*1000000))</f>
        <v/>
      </c>
      <c r="O291" s="11" t="str">
        <f>IF(I291="","",O281-((1/Comparisons!I152)*1000000))</f>
        <v/>
      </c>
    </row>
    <row r="292" spans="1:15" x14ac:dyDescent="0.25">
      <c r="A292" s="9" t="s">
        <v>17</v>
      </c>
      <c r="B292" s="8" t="s">
        <v>18</v>
      </c>
      <c r="C292" s="9" t="s">
        <v>11</v>
      </c>
      <c r="D292" s="12">
        <f>IF(D282="","",(D282-'2015'!D40)/'2015'!D40)</f>
        <v>1.5203671830177854E-2</v>
      </c>
      <c r="E292" s="12">
        <f>IF(E282="","",(E282-'2015'!E40)/'2015'!E40)</f>
        <v>2.5512563588715894E-2</v>
      </c>
      <c r="F292" s="12">
        <f>IF(F282="","",(F282-'2015'!F40)/'2015'!F40)</f>
        <v>9.9628656824562994E-3</v>
      </c>
      <c r="G292" s="12" t="str">
        <f>IF(G282="","",(G282-#REF!)/#REF!)</f>
        <v/>
      </c>
      <c r="H292" s="12" t="str">
        <f>IF(H282="","",(H282-#REF!)/#REF!)</f>
        <v/>
      </c>
      <c r="I292" s="12" t="str">
        <f>IF(I282="","",(I282-#REF!)/#REF!)</f>
        <v/>
      </c>
      <c r="J292" s="11">
        <f>J282-'2015'!J82</f>
        <v>94.188565508147306</v>
      </c>
      <c r="K292" s="11">
        <f>K282-'2015'!K82</f>
        <v>75.159714393085295</v>
      </c>
      <c r="L292" s="11">
        <f>L282-'2015'!L82</f>
        <v>89.678055779750693</v>
      </c>
      <c r="M292" s="11" t="str">
        <f>IF(G292="","",M282-((1/Comparisons!G153)*1000000))</f>
        <v/>
      </c>
      <c r="N292" s="11" t="str">
        <f>IF(H292="","",N282-((1/Comparisons!H153)*1000000))</f>
        <v/>
      </c>
      <c r="O292" s="11" t="str">
        <f>IF(I292="","",O282-((1/Comparisons!I153)*1000000))</f>
        <v/>
      </c>
    </row>
    <row r="294" spans="1:15" ht="18.75" x14ac:dyDescent="0.25">
      <c r="A294" s="77" t="s">
        <v>70</v>
      </c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84"/>
    </row>
    <row r="295" spans="1:15" ht="15.75" x14ac:dyDescent="0.25">
      <c r="A295" s="79" t="s">
        <v>134</v>
      </c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92"/>
    </row>
    <row r="296" spans="1:15" x14ac:dyDescent="0.25">
      <c r="A296" s="87" t="s">
        <v>1</v>
      </c>
      <c r="B296" s="88"/>
      <c r="C296" s="89"/>
      <c r="D296" s="105" t="s">
        <v>2</v>
      </c>
      <c r="E296" s="106"/>
      <c r="F296" s="106"/>
      <c r="G296" s="106"/>
      <c r="H296" s="106"/>
      <c r="I296" s="107"/>
      <c r="J296" s="105" t="s">
        <v>3</v>
      </c>
      <c r="K296" s="106"/>
      <c r="L296" s="106"/>
      <c r="M296" s="106"/>
      <c r="N296" s="106"/>
      <c r="O296" s="107"/>
    </row>
    <row r="297" spans="1:15" x14ac:dyDescent="0.25">
      <c r="A297" s="6" t="s">
        <v>26</v>
      </c>
      <c r="B297" s="6" t="s">
        <v>5</v>
      </c>
      <c r="C297" s="6" t="s">
        <v>6</v>
      </c>
      <c r="D297" s="7">
        <v>1</v>
      </c>
      <c r="E297" s="7">
        <v>4</v>
      </c>
      <c r="F297" s="7">
        <v>16</v>
      </c>
      <c r="G297" s="7">
        <v>32</v>
      </c>
      <c r="H297" s="7">
        <v>64</v>
      </c>
      <c r="I297" s="7">
        <v>80</v>
      </c>
      <c r="J297" s="7">
        <v>1</v>
      </c>
      <c r="K297" s="7">
        <v>4</v>
      </c>
      <c r="L297" s="7">
        <v>16</v>
      </c>
      <c r="M297" s="7">
        <v>32</v>
      </c>
      <c r="N297" s="7">
        <v>64</v>
      </c>
      <c r="O297" s="7">
        <v>80</v>
      </c>
    </row>
    <row r="298" spans="1:15" x14ac:dyDescent="0.25">
      <c r="A298" s="8" t="s">
        <v>7</v>
      </c>
      <c r="B298" s="9" t="s">
        <v>8</v>
      </c>
      <c r="C298" s="9" t="s">
        <v>9</v>
      </c>
      <c r="D298" s="10">
        <v>44298</v>
      </c>
      <c r="E298" s="10">
        <v>19770</v>
      </c>
      <c r="F298" s="10">
        <v>5837</v>
      </c>
      <c r="G298" s="10"/>
      <c r="H298" s="10"/>
      <c r="I298" s="10"/>
      <c r="J298" s="11">
        <f t="shared" ref="J298:J303" si="61">IF(D298="","",(1/D298)*1000000)</f>
        <v>22.574382590636144</v>
      </c>
      <c r="K298" s="11">
        <f t="shared" ref="K298:K303" si="62">IF(E298="","",(1/E298)*1000000)</f>
        <v>50.581689428426905</v>
      </c>
      <c r="L298" s="11">
        <f t="shared" ref="L298:L303" si="63">IF(F298="","",(1/F298)*1000000)</f>
        <v>171.32088401576152</v>
      </c>
      <c r="M298" s="11" t="str">
        <f t="shared" ref="M298:M303" si="64">IF(G298="","",(1/G298)*1000000)</f>
        <v/>
      </c>
      <c r="N298" s="11" t="str">
        <f t="shared" ref="N298:N303" si="65">IF(H298="","",(1/H298)*1000000)</f>
        <v/>
      </c>
      <c r="O298" s="11" t="str">
        <f t="shared" ref="O298:O303" si="66">IF(I298="","",(1/I298)*1000000)</f>
        <v/>
      </c>
    </row>
    <row r="299" spans="1:15" x14ac:dyDescent="0.25">
      <c r="A299" s="8" t="s">
        <v>10</v>
      </c>
      <c r="B299" s="9" t="s">
        <v>8</v>
      </c>
      <c r="C299" s="9" t="s">
        <v>11</v>
      </c>
      <c r="D299" s="10">
        <v>14335</v>
      </c>
      <c r="E299" s="10">
        <v>10427</v>
      </c>
      <c r="F299" s="10">
        <v>4713</v>
      </c>
      <c r="G299" s="10"/>
      <c r="H299" s="10"/>
      <c r="I299" s="10"/>
      <c r="J299" s="11">
        <f t="shared" si="61"/>
        <v>69.759330310429007</v>
      </c>
      <c r="K299" s="11">
        <f t="shared" si="62"/>
        <v>95.904862376522502</v>
      </c>
      <c r="L299" s="11">
        <f t="shared" si="63"/>
        <v>212.17907914279652</v>
      </c>
      <c r="M299" s="11" t="str">
        <f t="shared" si="64"/>
        <v/>
      </c>
      <c r="N299" s="11" t="str">
        <f t="shared" si="65"/>
        <v/>
      </c>
      <c r="O299" s="11" t="str">
        <f t="shared" si="66"/>
        <v/>
      </c>
    </row>
    <row r="300" spans="1:15" x14ac:dyDescent="0.25">
      <c r="A300" s="9" t="s">
        <v>12</v>
      </c>
      <c r="B300" s="9" t="s">
        <v>13</v>
      </c>
      <c r="C300" s="9" t="s">
        <v>9</v>
      </c>
      <c r="D300" s="10">
        <v>43171</v>
      </c>
      <c r="E300" s="10">
        <v>18254</v>
      </c>
      <c r="F300" s="10">
        <v>5617</v>
      </c>
      <c r="G300" s="10"/>
      <c r="H300" s="10"/>
      <c r="I300" s="10"/>
      <c r="J300" s="11">
        <f t="shared" si="61"/>
        <v>23.16369785272521</v>
      </c>
      <c r="K300" s="11">
        <f t="shared" si="62"/>
        <v>54.782513421715791</v>
      </c>
      <c r="L300" s="11">
        <f t="shared" si="63"/>
        <v>178.03097739006589</v>
      </c>
      <c r="M300" s="11" t="str">
        <f t="shared" si="64"/>
        <v/>
      </c>
      <c r="N300" s="11" t="str">
        <f t="shared" si="65"/>
        <v/>
      </c>
      <c r="O300" s="11" t="str">
        <f t="shared" si="66"/>
        <v/>
      </c>
    </row>
    <row r="301" spans="1:15" x14ac:dyDescent="0.25">
      <c r="A301" s="9" t="s">
        <v>14</v>
      </c>
      <c r="B301" s="9" t="s">
        <v>13</v>
      </c>
      <c r="C301" s="9" t="s">
        <v>11</v>
      </c>
      <c r="D301" s="10">
        <v>14793</v>
      </c>
      <c r="E301" s="10">
        <v>10146</v>
      </c>
      <c r="F301" s="10">
        <v>4549</v>
      </c>
      <c r="G301" s="10"/>
      <c r="H301" s="10"/>
      <c r="I301" s="10"/>
      <c r="J301" s="11">
        <f t="shared" si="61"/>
        <v>67.599540323125808</v>
      </c>
      <c r="K301" s="11">
        <f t="shared" si="62"/>
        <v>98.561009264734878</v>
      </c>
      <c r="L301" s="11">
        <f t="shared" si="63"/>
        <v>219.82853374367994</v>
      </c>
      <c r="M301" s="11" t="str">
        <f t="shared" si="64"/>
        <v/>
      </c>
      <c r="N301" s="11" t="str">
        <f t="shared" si="65"/>
        <v/>
      </c>
      <c r="O301" s="11" t="str">
        <f t="shared" si="66"/>
        <v/>
      </c>
    </row>
    <row r="302" spans="1:15" x14ac:dyDescent="0.25">
      <c r="A302" s="9" t="s">
        <v>15</v>
      </c>
      <c r="B302" s="9" t="s">
        <v>16</v>
      </c>
      <c r="C302" s="9" t="s">
        <v>11</v>
      </c>
      <c r="D302" s="10">
        <v>12740</v>
      </c>
      <c r="E302" s="10">
        <v>9955</v>
      </c>
      <c r="F302" s="10">
        <v>4619</v>
      </c>
      <c r="G302" s="10"/>
      <c r="H302" s="10"/>
      <c r="I302" s="10"/>
      <c r="J302" s="11">
        <f t="shared" si="61"/>
        <v>78.492935635792776</v>
      </c>
      <c r="K302" s="11">
        <f t="shared" si="62"/>
        <v>100.45203415369161</v>
      </c>
      <c r="L302" s="11">
        <f t="shared" si="63"/>
        <v>216.4970772894566</v>
      </c>
      <c r="M302" s="11" t="str">
        <f t="shared" si="64"/>
        <v/>
      </c>
      <c r="N302" s="11" t="str">
        <f t="shared" si="65"/>
        <v/>
      </c>
      <c r="O302" s="11" t="str">
        <f t="shared" si="66"/>
        <v/>
      </c>
    </row>
    <row r="303" spans="1:15" x14ac:dyDescent="0.25">
      <c r="A303" s="9" t="s">
        <v>17</v>
      </c>
      <c r="B303" s="8" t="s">
        <v>18</v>
      </c>
      <c r="C303" s="9" t="s">
        <v>11</v>
      </c>
      <c r="D303" s="10">
        <v>12098</v>
      </c>
      <c r="E303" s="10">
        <v>9945</v>
      </c>
      <c r="F303" s="10">
        <v>4641</v>
      </c>
      <c r="G303" s="10"/>
      <c r="H303" s="10"/>
      <c r="I303" s="10"/>
      <c r="J303" s="11">
        <f t="shared" si="61"/>
        <v>82.658290626549842</v>
      </c>
      <c r="K303" s="11">
        <f t="shared" si="62"/>
        <v>100.55304172951232</v>
      </c>
      <c r="L303" s="11">
        <f t="shared" si="63"/>
        <v>215.47080370609783</v>
      </c>
      <c r="M303" s="11" t="str">
        <f t="shared" si="64"/>
        <v/>
      </c>
      <c r="N303" s="11" t="str">
        <f t="shared" si="65"/>
        <v/>
      </c>
      <c r="O303" s="11" t="str">
        <f t="shared" si="66"/>
        <v/>
      </c>
    </row>
    <row r="304" spans="1:15" x14ac:dyDescent="0.25">
      <c r="A304" s="102" t="s">
        <v>135</v>
      </c>
      <c r="B304" s="102"/>
      <c r="C304" s="102"/>
      <c r="D304" s="102"/>
      <c r="E304" s="103" t="s">
        <v>91</v>
      </c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</row>
    <row r="305" spans="1:15" ht="18.75" x14ac:dyDescent="0.3">
      <c r="A305" s="75" t="s">
        <v>61</v>
      </c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93"/>
    </row>
    <row r="306" spans="1:15" x14ac:dyDescent="0.25">
      <c r="A306" s="87" t="s">
        <v>1</v>
      </c>
      <c r="B306" s="88"/>
      <c r="C306" s="89"/>
      <c r="D306" s="105" t="s">
        <v>19</v>
      </c>
      <c r="E306" s="106"/>
      <c r="F306" s="106"/>
      <c r="G306" s="106"/>
      <c r="H306" s="106"/>
      <c r="I306" s="107"/>
      <c r="J306" s="105" t="s">
        <v>22</v>
      </c>
      <c r="K306" s="106"/>
      <c r="L306" s="106"/>
      <c r="M306" s="106"/>
      <c r="N306" s="106"/>
      <c r="O306" s="107"/>
    </row>
    <row r="307" spans="1:15" x14ac:dyDescent="0.25">
      <c r="A307" s="6" t="s">
        <v>4</v>
      </c>
      <c r="B307" s="6" t="s">
        <v>5</v>
      </c>
      <c r="C307" s="6" t="s">
        <v>6</v>
      </c>
      <c r="D307" s="7">
        <v>1</v>
      </c>
      <c r="E307" s="7">
        <v>4</v>
      </c>
      <c r="F307" s="7">
        <v>16</v>
      </c>
      <c r="G307" s="7">
        <v>32</v>
      </c>
      <c r="H307" s="7">
        <v>64</v>
      </c>
      <c r="I307" s="7">
        <v>80</v>
      </c>
      <c r="J307" s="7">
        <v>1</v>
      </c>
      <c r="K307" s="7">
        <v>4</v>
      </c>
      <c r="L307" s="7">
        <v>16</v>
      </c>
      <c r="M307" s="7">
        <v>32</v>
      </c>
      <c r="N307" s="7">
        <v>64</v>
      </c>
      <c r="O307" s="7">
        <v>80</v>
      </c>
    </row>
    <row r="308" spans="1:15" x14ac:dyDescent="0.25">
      <c r="A308" s="8" t="s">
        <v>7</v>
      </c>
      <c r="B308" s="9" t="s">
        <v>8</v>
      </c>
      <c r="C308" s="9" t="s">
        <v>9</v>
      </c>
      <c r="D308" s="12">
        <f>IF(D298="","",(D298-'2015'!D35)/'2015'!D35)</f>
        <v>3.8250597665588526E-2</v>
      </c>
      <c r="E308" s="12">
        <f>IF(E298="","",(E298-'2015'!E35)/'2015'!E35)</f>
        <v>-0.54030739181993626</v>
      </c>
      <c r="F308" s="12">
        <f>IF(F298="","",(F298-'2015'!F35)/'2015'!F35)</f>
        <v>-0.71721331330846372</v>
      </c>
      <c r="G308" s="12" t="str">
        <f>IF(G298="","",(G298-#REF!)/#REF!)</f>
        <v/>
      </c>
      <c r="H308" s="12" t="str">
        <f>IF(H298="","",(H298-#REF!)/#REF!)</f>
        <v/>
      </c>
      <c r="I308" s="12" t="str">
        <f>IF(I298="","",(I298-#REF!)/#REF!)</f>
        <v/>
      </c>
      <c r="J308" s="11">
        <f>J298-'2015'!J328</f>
        <v>22.574382590636144</v>
      </c>
      <c r="K308" s="11">
        <f>K298-'2015'!K328</f>
        <v>50.581689428426905</v>
      </c>
      <c r="L308" s="11">
        <f>L298-'2015'!L328</f>
        <v>171.32088401576152</v>
      </c>
      <c r="M308" s="11" t="str">
        <f>IF(G308="","",M298-((1/Comparisons!#REF!)*1000000))</f>
        <v/>
      </c>
      <c r="N308" s="11" t="str">
        <f>IF(H308="","",N298-((1/Comparisons!#REF!)*1000000))</f>
        <v/>
      </c>
      <c r="O308" s="11" t="str">
        <f>IF(I308="","",O298-((1/Comparisons!#REF!)*1000000))</f>
        <v/>
      </c>
    </row>
    <row r="309" spans="1:15" x14ac:dyDescent="0.25">
      <c r="A309" s="8" t="s">
        <v>10</v>
      </c>
      <c r="B309" s="9" t="s">
        <v>8</v>
      </c>
      <c r="C309" s="9" t="s">
        <v>11</v>
      </c>
      <c r="D309" s="12">
        <f>IF(D299="","",(D299-'2015'!D36)/'2015'!D36)</f>
        <v>-0.11914710581295318</v>
      </c>
      <c r="E309" s="12">
        <f>IF(E299="","",(E299-'2015'!E36)/'2015'!E36)</f>
        <v>-0.31796180010465724</v>
      </c>
      <c r="F309" s="12">
        <f>IF(F299="","",(F299-'2015'!F36)/'2015'!F36)</f>
        <v>-0.61406812970848346</v>
      </c>
      <c r="G309" s="12" t="str">
        <f>IF(G299="","",(G299-#REF!)/#REF!)</f>
        <v/>
      </c>
      <c r="H309" s="12" t="str">
        <f>IF(H299="","",(H299-#REF!)/#REF!)</f>
        <v/>
      </c>
      <c r="I309" s="12" t="str">
        <f>IF(I299="","",(I299-#REF!)/#REF!)</f>
        <v/>
      </c>
      <c r="J309" s="11">
        <f>J299-'2015'!J329</f>
        <v>69.759330310429007</v>
      </c>
      <c r="K309" s="11">
        <f>K299-'2015'!K329</f>
        <v>95.904862376522502</v>
      </c>
      <c r="L309" s="11">
        <f>L299-'2015'!L329</f>
        <v>212.17907914279652</v>
      </c>
      <c r="M309" s="11" t="str">
        <f>IF(G309="","",M299-((1/Comparisons!#REF!)*1000000))</f>
        <v/>
      </c>
      <c r="N309" s="11" t="str">
        <f>IF(H309="","",N299-((1/Comparisons!#REF!)*1000000))</f>
        <v/>
      </c>
      <c r="O309" s="11" t="str">
        <f>IF(I309="","",O299-((1/Comparisons!#REF!)*1000000))</f>
        <v/>
      </c>
    </row>
    <row r="310" spans="1:15" x14ac:dyDescent="0.25">
      <c r="A310" s="9" t="s">
        <v>12</v>
      </c>
      <c r="B310" s="9" t="s">
        <v>13</v>
      </c>
      <c r="C310" s="9" t="s">
        <v>9</v>
      </c>
      <c r="D310" s="12">
        <f>IF(D300="","",(D300-'2015'!D37)/'2015'!D37)</f>
        <v>-0.13509235885723445</v>
      </c>
      <c r="E310" s="12">
        <f>IF(E300="","",(E300-'2015'!E37)/'2015'!E37)</f>
        <v>-0.50811102128806251</v>
      </c>
      <c r="F310" s="12">
        <f>IF(F300="","",(F300-'2015'!F37)/'2015'!F37)</f>
        <v>-0.70484998160895385</v>
      </c>
      <c r="G310" s="12" t="str">
        <f>IF(G300="","",(G300-#REF!)/#REF!)</f>
        <v/>
      </c>
      <c r="H310" s="12" t="str">
        <f>IF(H300="","",(H300-#REF!)/#REF!)</f>
        <v/>
      </c>
      <c r="I310" s="12" t="str">
        <f>IF(I300="","",(I300-#REF!)/#REF!)</f>
        <v/>
      </c>
      <c r="J310" s="11">
        <f>J300-'2015'!J330</f>
        <v>23.16369785272521</v>
      </c>
      <c r="K310" s="11">
        <f>K300-'2015'!K330</f>
        <v>54.782513421715791</v>
      </c>
      <c r="L310" s="11">
        <f>L300-'2015'!L330</f>
        <v>178.03097739006589</v>
      </c>
      <c r="M310" s="11" t="str">
        <f>IF(G310="","",M300-((1/Comparisons!#REF!)*1000000))</f>
        <v/>
      </c>
      <c r="N310" s="11" t="str">
        <f>IF(H310="","",N300-((1/Comparisons!#REF!)*1000000))</f>
        <v/>
      </c>
      <c r="O310" s="11" t="str">
        <f>IF(I310="","",O300-((1/Comparisons!#REF!)*1000000))</f>
        <v/>
      </c>
    </row>
    <row r="311" spans="1:15" x14ac:dyDescent="0.25">
      <c r="A311" s="9" t="s">
        <v>14</v>
      </c>
      <c r="B311" s="9" t="s">
        <v>13</v>
      </c>
      <c r="C311" s="9" t="s">
        <v>11</v>
      </c>
      <c r="D311" s="12">
        <f>IF(D301="","",(D301-'2015'!D38)/'2015'!D38)</f>
        <v>-2.9075872932528224E-2</v>
      </c>
      <c r="E311" s="12">
        <f>IF(E301="","",(E301-'2015'!E38)/'2015'!E38)</f>
        <v>-0.29536773387040766</v>
      </c>
      <c r="F311" s="12">
        <f>IF(F301="","",(F301-'2015'!F38)/'2015'!F38)</f>
        <v>-0.58046666051830675</v>
      </c>
      <c r="G311" s="12" t="str">
        <f>IF(G301="","",(G301-#REF!)/#REF!)</f>
        <v/>
      </c>
      <c r="H311" s="12" t="str">
        <f>IF(H301="","",(H301-#REF!)/#REF!)</f>
        <v/>
      </c>
      <c r="I311" s="12" t="str">
        <f>IF(I301="","",(I301-#REF!)/#REF!)</f>
        <v/>
      </c>
      <c r="J311" s="11">
        <f>J301-'2015'!J331</f>
        <v>67.599540323125808</v>
      </c>
      <c r="K311" s="11">
        <f>K301-'2015'!K331</f>
        <v>98.561009264734878</v>
      </c>
      <c r="L311" s="11">
        <f>L301-'2015'!L331</f>
        <v>219.82853374367994</v>
      </c>
      <c r="M311" s="11" t="str">
        <f>IF(G311="","",M301-((1/Comparisons!#REF!)*1000000))</f>
        <v/>
      </c>
      <c r="N311" s="11" t="str">
        <f>IF(H311="","",N301-((1/Comparisons!#REF!)*1000000))</f>
        <v/>
      </c>
      <c r="O311" s="11" t="str">
        <f>IF(I311="","",O301-((1/Comparisons!#REF!)*1000000))</f>
        <v/>
      </c>
    </row>
    <row r="312" spans="1:15" x14ac:dyDescent="0.25">
      <c r="A312" s="9" t="s">
        <v>15</v>
      </c>
      <c r="B312" s="9" t="s">
        <v>16</v>
      </c>
      <c r="C312" s="9" t="s">
        <v>11</v>
      </c>
      <c r="D312" s="12">
        <f>IF(D302="","",(D302-'2015'!D39)/'2015'!D39)</f>
        <v>0</v>
      </c>
      <c r="E312" s="12">
        <f>IF(E302="","",(E302-'2015'!E39)/'2015'!E39)</f>
        <v>-0.27176298463789322</v>
      </c>
      <c r="F312" s="12">
        <f>IF(F302="","",(F302-'2015'!F39)/'2015'!F39)</f>
        <v>-0.57401088259706723</v>
      </c>
      <c r="G312" s="12" t="str">
        <f>IF(G302="","",(G302-#REF!)/#REF!)</f>
        <v/>
      </c>
      <c r="H312" s="12" t="str">
        <f>IF(H302="","",(H302-#REF!)/#REF!)</f>
        <v/>
      </c>
      <c r="I312" s="12" t="str">
        <f>IF(I302="","",(I302-#REF!)/#REF!)</f>
        <v/>
      </c>
      <c r="J312" s="11">
        <f>J302-'2015'!J332</f>
        <v>78.492935635792776</v>
      </c>
      <c r="K312" s="11">
        <f>K302-'2015'!K332</f>
        <v>100.45203415369161</v>
      </c>
      <c r="L312" s="11">
        <f>L302-'2015'!L332</f>
        <v>216.4970772894566</v>
      </c>
      <c r="M312" s="11" t="str">
        <f>IF(G312="","",M302-((1/Comparisons!#REF!)*1000000))</f>
        <v/>
      </c>
      <c r="N312" s="11" t="str">
        <f>IF(H312="","",N302-((1/Comparisons!#REF!)*1000000))</f>
        <v/>
      </c>
      <c r="O312" s="11" t="str">
        <f>IF(I312="","",O302-((1/Comparisons!#REF!)*1000000))</f>
        <v/>
      </c>
    </row>
    <row r="313" spans="1:15" x14ac:dyDescent="0.25">
      <c r="A313" s="9" t="s">
        <v>17</v>
      </c>
      <c r="B313" s="8" t="s">
        <v>18</v>
      </c>
      <c r="C313" s="9" t="s">
        <v>11</v>
      </c>
      <c r="D313" s="12">
        <f>IF(D303="","",(D303-'2015'!D40)/'2015'!D40)</f>
        <v>0.15681774717919297</v>
      </c>
      <c r="E313" s="12">
        <f>IF(E303="","",(E303-'2015'!E40)/'2015'!E40)</f>
        <v>-0.23346693386773548</v>
      </c>
      <c r="F313" s="12">
        <f>IF(F303="","",(F303-'2015'!F40)/'2015'!F40)</f>
        <v>-0.57965763970654827</v>
      </c>
      <c r="G313" s="12" t="str">
        <f>IF(G303="","",(G303-#REF!)/#REF!)</f>
        <v/>
      </c>
      <c r="H313" s="12" t="str">
        <f>IF(H303="","",(H303-#REF!)/#REF!)</f>
        <v/>
      </c>
      <c r="I313" s="12" t="str">
        <f>IF(I303="","",(I303-#REF!)/#REF!)</f>
        <v/>
      </c>
      <c r="J313" s="11">
        <f>J303-'2015'!J333</f>
        <v>82.658290626549842</v>
      </c>
      <c r="K313" s="11">
        <f>K303-'2015'!K333</f>
        <v>100.55304172951232</v>
      </c>
      <c r="L313" s="11">
        <f>L303-'2015'!L333</f>
        <v>215.47080370609783</v>
      </c>
      <c r="M313" s="11" t="str">
        <f>IF(G313="","",M303-((1/Comparisons!#REF!)*1000000))</f>
        <v/>
      </c>
      <c r="N313" s="11" t="str">
        <f>IF(H313="","",N303-((1/Comparisons!#REF!)*1000000))</f>
        <v/>
      </c>
      <c r="O313" s="11" t="str">
        <f>IF(I313="","",O303-((1/Comparisons!#REF!)*1000000))</f>
        <v/>
      </c>
    </row>
  </sheetData>
  <mergeCells count="156">
    <mergeCell ref="A294:O294"/>
    <mergeCell ref="A295:O295"/>
    <mergeCell ref="A296:C296"/>
    <mergeCell ref="D296:I296"/>
    <mergeCell ref="J296:O296"/>
    <mergeCell ref="A304:D304"/>
    <mergeCell ref="E304:O304"/>
    <mergeCell ref="A305:O305"/>
    <mergeCell ref="A306:C306"/>
    <mergeCell ref="D306:I306"/>
    <mergeCell ref="J306:O306"/>
    <mergeCell ref="A50:O50"/>
    <mergeCell ref="A51:C51"/>
    <mergeCell ref="D51:I51"/>
    <mergeCell ref="J51:O51"/>
    <mergeCell ref="A59:O59"/>
    <mergeCell ref="A60:O60"/>
    <mergeCell ref="A61:C61"/>
    <mergeCell ref="D61:I61"/>
    <mergeCell ref="A32:C32"/>
    <mergeCell ref="D32:I32"/>
    <mergeCell ref="J32:O32"/>
    <mergeCell ref="A40:E40"/>
    <mergeCell ref="F40:I40"/>
    <mergeCell ref="A41:O41"/>
    <mergeCell ref="A42:C42"/>
    <mergeCell ref="D42:I42"/>
    <mergeCell ref="J42:O42"/>
    <mergeCell ref="A148:C148"/>
    <mergeCell ref="D148:I148"/>
    <mergeCell ref="J148:O148"/>
    <mergeCell ref="A166:O166"/>
    <mergeCell ref="A167:C167"/>
    <mergeCell ref="D167:I167"/>
    <mergeCell ref="J167:O167"/>
    <mergeCell ref="A156:O156"/>
    <mergeCell ref="A157:O157"/>
    <mergeCell ref="A158:C158"/>
    <mergeCell ref="D158:I158"/>
    <mergeCell ref="J158:O158"/>
    <mergeCell ref="A253:O253"/>
    <mergeCell ref="A254:O254"/>
    <mergeCell ref="A255:C255"/>
    <mergeCell ref="D255:I255"/>
    <mergeCell ref="J255:O255"/>
    <mergeCell ref="A263:O263"/>
    <mergeCell ref="A264:O264"/>
    <mergeCell ref="A265:C265"/>
    <mergeCell ref="D265:I265"/>
    <mergeCell ref="J265:O265"/>
    <mergeCell ref="A285:C285"/>
    <mergeCell ref="D285:I285"/>
    <mergeCell ref="J285:O285"/>
    <mergeCell ref="A273:O273"/>
    <mergeCell ref="A274:O274"/>
    <mergeCell ref="A284:O284"/>
    <mergeCell ref="A283:O283"/>
    <mergeCell ref="A275:C275"/>
    <mergeCell ref="D275:I275"/>
    <mergeCell ref="J275:O275"/>
    <mergeCell ref="A243:O243"/>
    <mergeCell ref="A244:O244"/>
    <mergeCell ref="A245:C245"/>
    <mergeCell ref="D245:I245"/>
    <mergeCell ref="J245:O245"/>
    <mergeCell ref="A233:O233"/>
    <mergeCell ref="A234:O234"/>
    <mergeCell ref="A235:C235"/>
    <mergeCell ref="D235:I235"/>
    <mergeCell ref="J235:O235"/>
    <mergeCell ref="A204:O204"/>
    <mergeCell ref="A205:O205"/>
    <mergeCell ref="A206:C206"/>
    <mergeCell ref="D206:I206"/>
    <mergeCell ref="J206:O206"/>
    <mergeCell ref="A224:O224"/>
    <mergeCell ref="A225:C225"/>
    <mergeCell ref="D225:I225"/>
    <mergeCell ref="J225:O225"/>
    <mergeCell ref="A214:O214"/>
    <mergeCell ref="A215:O215"/>
    <mergeCell ref="A216:C216"/>
    <mergeCell ref="D216:I216"/>
    <mergeCell ref="J216:O216"/>
    <mergeCell ref="A79:O79"/>
    <mergeCell ref="A80:C80"/>
    <mergeCell ref="D80:I80"/>
    <mergeCell ref="J80:O80"/>
    <mergeCell ref="A195:O195"/>
    <mergeCell ref="A196:C196"/>
    <mergeCell ref="D196:I196"/>
    <mergeCell ref="J196:O196"/>
    <mergeCell ref="A185:O185"/>
    <mergeCell ref="A186:O186"/>
    <mergeCell ref="A187:C187"/>
    <mergeCell ref="D187:I187"/>
    <mergeCell ref="J187:O187"/>
    <mergeCell ref="A175:O175"/>
    <mergeCell ref="A176:O176"/>
    <mergeCell ref="A177:C177"/>
    <mergeCell ref="D177:I177"/>
    <mergeCell ref="J177:O177"/>
    <mergeCell ref="A108:O108"/>
    <mergeCell ref="A109:C109"/>
    <mergeCell ref="D109:I109"/>
    <mergeCell ref="J109:O109"/>
    <mergeCell ref="A146:O146"/>
    <mergeCell ref="A147:O147"/>
    <mergeCell ref="A117:O117"/>
    <mergeCell ref="A118:O118"/>
    <mergeCell ref="A119:C119"/>
    <mergeCell ref="D119:I119"/>
    <mergeCell ref="J119:O119"/>
    <mergeCell ref="A88:O88"/>
    <mergeCell ref="A89:O89"/>
    <mergeCell ref="A90:C90"/>
    <mergeCell ref="D90:I90"/>
    <mergeCell ref="J90:O90"/>
    <mergeCell ref="A98:O98"/>
    <mergeCell ref="A99:O99"/>
    <mergeCell ref="A100:C100"/>
    <mergeCell ref="D100:I100"/>
    <mergeCell ref="J100:O100"/>
    <mergeCell ref="A137:O137"/>
    <mergeCell ref="A138:C138"/>
    <mergeCell ref="D138:I138"/>
    <mergeCell ref="J138:O138"/>
    <mergeCell ref="A127:O127"/>
    <mergeCell ref="A128:O128"/>
    <mergeCell ref="A129:C129"/>
    <mergeCell ref="D129:I129"/>
    <mergeCell ref="J129:O129"/>
    <mergeCell ref="A11:D11"/>
    <mergeCell ref="E11:O11"/>
    <mergeCell ref="A70:O70"/>
    <mergeCell ref="A71:C71"/>
    <mergeCell ref="D71:I71"/>
    <mergeCell ref="J71:O71"/>
    <mergeCell ref="A69:E69"/>
    <mergeCell ref="F69:I69"/>
    <mergeCell ref="A1:O1"/>
    <mergeCell ref="A2:O2"/>
    <mergeCell ref="A3:C3"/>
    <mergeCell ref="D3:I3"/>
    <mergeCell ref="J3:O3"/>
    <mergeCell ref="A12:O12"/>
    <mergeCell ref="A13:C13"/>
    <mergeCell ref="D13:I13"/>
    <mergeCell ref="J13:O13"/>
    <mergeCell ref="A21:O21"/>
    <mergeCell ref="A22:C22"/>
    <mergeCell ref="D22:I22"/>
    <mergeCell ref="J22:O22"/>
    <mergeCell ref="J61:O61"/>
    <mergeCell ref="A30:O30"/>
    <mergeCell ref="A31:O31"/>
  </mergeCells>
  <conditionalFormatting sqref="D287:I292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7:I272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7:I252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8:I223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7:I232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9:I194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8:I203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0:I165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9:I174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1:I136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0:I145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2:I107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1:I116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3:I78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2:I87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:I49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3:I58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I2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:I29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8:I313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283" r:id="rId1" xr:uid="{00000000-0004-0000-0300-000000000000}"/>
    <hyperlink ref="A283:O283" r:id="rId2" display="9033_sp_online_int_reboots_16.0a12" xr:uid="{00000000-0004-0000-0300-000001000000}"/>
    <hyperlink ref="A263" r:id="rId3" display="9033_sp_online_int_reboots_16.0a12" xr:uid="{00000000-0004-0000-0300-000002000000}"/>
    <hyperlink ref="A263:O263" r:id="rId4" display="9033_sp_online_int_reboots_16.0b2" xr:uid="{00000000-0004-0000-0300-000003000000}"/>
    <hyperlink ref="A243" r:id="rId5" display="9033_sp_online_int_reboots_16.0a12" xr:uid="{00000000-0004-0000-0300-000004000000}"/>
    <hyperlink ref="A243:O243" r:id="rId6" location="TSsummary" display="9033_sp_online_int_reboots_16.0b16" xr:uid="{00000000-0004-0000-0300-000005000000}"/>
    <hyperlink ref="A214" r:id="rId7" display="9033_sp_online_int_reboots_16.0a12" xr:uid="{00000000-0004-0000-0300-000006000000}"/>
    <hyperlink ref="A214:O214" r:id="rId8" display="9033_sp_online_int_reboots_16.0b16" xr:uid="{00000000-0004-0000-0300-000007000000}"/>
    <hyperlink ref="A185" r:id="rId9" display="9033_sp_online_int_reboots_16.0a12" xr:uid="{00000000-0004-0000-0300-000008000000}"/>
    <hyperlink ref="A185:O185" r:id="rId10" display="9033_sp_online_int_reboots_16.0b53" xr:uid="{00000000-0004-0000-0300-000009000000}"/>
    <hyperlink ref="A156" r:id="rId11" display="9033_sp_online_int_reboots_16.0a12" xr:uid="{00000000-0004-0000-0300-00000A000000}"/>
    <hyperlink ref="A156:O156" r:id="rId12" display="9033_sp_online_int_reboots_16.0b56" xr:uid="{00000000-0004-0000-0300-00000B000000}"/>
    <hyperlink ref="A127" r:id="rId13" display="9033_sp_online_int_reboots_16.0a12" xr:uid="{00000000-0004-0000-0300-00000C000000}"/>
    <hyperlink ref="A127:O127" r:id="rId14" display="9033_sp_online_int_reboots_16.0b57 T3 and T4 cases were run again since in first run it error due to autotest VIs broken" xr:uid="{00000000-0004-0000-0300-00000D000000}"/>
    <hyperlink ref="A98" r:id="rId15" display="9033_sp_online_int_reboots_16.0a12" xr:uid="{00000000-0004-0000-0300-00000E000000}"/>
    <hyperlink ref="A98:O98" r:id="rId16" display="9033_sp_online_int_reboots_16.0b57" xr:uid="{00000000-0004-0000-0300-00000F000000}"/>
    <hyperlink ref="A69" r:id="rId17" display="9033_sp_online_int_reboots_16.0a12" xr:uid="{00000000-0004-0000-0300-000010000000}"/>
    <hyperlink ref="A69:E69" r:id="rId18" display="9033_sp_online_int_reboots_16.0b57_2016_FPGAbitfiles" xr:uid="{00000000-0004-0000-0300-000011000000}"/>
    <hyperlink ref="F69:I69" r:id="rId19" display="T3 and T4 cases were run again" xr:uid="{00000000-0004-0000-0300-000012000000}"/>
    <hyperlink ref="A40" r:id="rId20" display="9033_sp_online_int_reboots_16.0a12" xr:uid="{00000000-0004-0000-0300-000013000000}"/>
    <hyperlink ref="A40:E40" r:id="rId21" display="9033_sp_online_int_reboots_16.0b75" xr:uid="{00000000-0004-0000-0300-000014000000}"/>
    <hyperlink ref="A11" r:id="rId22" display="9033_sp_online_int_reboots_16.0a12" xr:uid="{00000000-0004-0000-0300-000015000000}"/>
    <hyperlink ref="A11:D11" r:id="rId23" display="9033_sp_online_int_reboots_16.0" xr:uid="{00000000-0004-0000-0300-000016000000}"/>
    <hyperlink ref="A304" r:id="rId24" display="9033_sp_online_int_reboots_16.0a12" xr:uid="{00000000-0004-0000-0300-000017000000}"/>
    <hyperlink ref="A304:D304" r:id="rId25" location="Test_cRIO-Benchmark.lvproj%5CRT%20Target%5CAI-AO%5CTest_cRIO_AI-AO_01_INT.vi" display="9033_sp_online_int_reboots_16.0 Rerun" xr:uid="{00000000-0004-0000-0300-000018000000}"/>
  </hyperlinks>
  <pageMargins left="0.7" right="0.7" top="0.75" bottom="0.75" header="0.3" footer="0.3"/>
  <pageSetup paperSize="9"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72"/>
  <sheetViews>
    <sheetView topLeftCell="A541" zoomScaleNormal="100" workbookViewId="0">
      <selection activeCell="E498" sqref="E498:E503"/>
    </sheetView>
  </sheetViews>
  <sheetFormatPr defaultRowHeight="15" x14ac:dyDescent="0.25"/>
  <cols>
    <col min="4" max="4" width="11.140625" bestFit="1" customWidth="1"/>
    <col min="5" max="5" width="9.85546875" bestFit="1" customWidth="1"/>
  </cols>
  <sheetData>
    <row r="1" spans="1:15" ht="18.75" x14ac:dyDescent="0.25">
      <c r="A1" s="77" t="s">
        <v>93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84"/>
    </row>
    <row r="2" spans="1:15" ht="15.75" x14ac:dyDescent="0.25">
      <c r="A2" s="79" t="s">
        <v>94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92"/>
    </row>
    <row r="3" spans="1:15" x14ac:dyDescent="0.25">
      <c r="A3" s="87" t="s">
        <v>1</v>
      </c>
      <c r="B3" s="88"/>
      <c r="C3" s="89"/>
      <c r="D3" s="105" t="s">
        <v>2</v>
      </c>
      <c r="E3" s="106"/>
      <c r="F3" s="106"/>
      <c r="G3" s="106"/>
      <c r="H3" s="106"/>
      <c r="I3" s="107"/>
      <c r="J3" s="105" t="s">
        <v>3</v>
      </c>
      <c r="K3" s="106"/>
      <c r="L3" s="106"/>
      <c r="M3" s="106"/>
      <c r="N3" s="106"/>
      <c r="O3" s="107"/>
    </row>
    <row r="4" spans="1:15" x14ac:dyDescent="0.25">
      <c r="A4" s="6" t="s">
        <v>26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10">
        <v>45213</v>
      </c>
      <c r="E5" s="10">
        <v>20154</v>
      </c>
      <c r="F5" s="10">
        <v>5837</v>
      </c>
      <c r="G5" s="10"/>
      <c r="H5" s="10"/>
      <c r="I5" s="10"/>
      <c r="J5" s="11">
        <f t="shared" ref="J5:O10" si="0">IF(D5="","",(1/D5)*1000000)</f>
        <v>22.117532568066707</v>
      </c>
      <c r="K5" s="11">
        <f t="shared" si="0"/>
        <v>49.617941847772151</v>
      </c>
      <c r="L5" s="11">
        <f t="shared" si="0"/>
        <v>171.32088401576152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10</v>
      </c>
      <c r="B6" s="9" t="s">
        <v>8</v>
      </c>
      <c r="C6" s="9" t="s">
        <v>11</v>
      </c>
      <c r="D6" s="10">
        <v>14899</v>
      </c>
      <c r="E6" s="10">
        <v>10681</v>
      </c>
      <c r="F6" s="10">
        <v>4777</v>
      </c>
      <c r="G6" s="10"/>
      <c r="H6" s="10"/>
      <c r="I6" s="10"/>
      <c r="J6" s="11">
        <f t="shared" si="0"/>
        <v>67.11859856366199</v>
      </c>
      <c r="K6" s="11">
        <f t="shared" si="0"/>
        <v>93.624192491339755</v>
      </c>
      <c r="L6" s="11">
        <f t="shared" si="0"/>
        <v>209.33640360058615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12</v>
      </c>
      <c r="B7" s="9" t="s">
        <v>13</v>
      </c>
      <c r="C7" s="9" t="s">
        <v>9</v>
      </c>
      <c r="D7" s="10">
        <v>43297</v>
      </c>
      <c r="E7" s="10">
        <v>18305</v>
      </c>
      <c r="F7" s="10">
        <v>5637</v>
      </c>
      <c r="G7" s="10"/>
      <c r="H7" s="10"/>
      <c r="I7" s="10"/>
      <c r="J7" s="11">
        <f t="shared" si="0"/>
        <v>23.09628842644987</v>
      </c>
      <c r="K7" s="11">
        <f t="shared" si="0"/>
        <v>54.629882545752523</v>
      </c>
      <c r="L7" s="11">
        <f t="shared" si="0"/>
        <v>177.39932588256164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14</v>
      </c>
      <c r="B8" s="9" t="s">
        <v>13</v>
      </c>
      <c r="C8" s="9" t="s">
        <v>11</v>
      </c>
      <c r="D8" s="10">
        <v>14663</v>
      </c>
      <c r="E8" s="10">
        <v>9955</v>
      </c>
      <c r="F8" s="10">
        <v>4481</v>
      </c>
      <c r="G8" s="10"/>
      <c r="H8" s="10"/>
      <c r="I8" s="10"/>
      <c r="J8" s="11">
        <f t="shared" si="0"/>
        <v>68.198867898792884</v>
      </c>
      <c r="K8" s="11">
        <f t="shared" si="0"/>
        <v>100.45203415369161</v>
      </c>
      <c r="L8" s="11">
        <f t="shared" si="0"/>
        <v>223.1644722160232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15</v>
      </c>
      <c r="B9" s="9" t="s">
        <v>16</v>
      </c>
      <c r="C9" s="9" t="s">
        <v>11</v>
      </c>
      <c r="D9" s="10">
        <v>13381</v>
      </c>
      <c r="E9" s="10">
        <v>10011</v>
      </c>
      <c r="F9" s="10">
        <v>4634</v>
      </c>
      <c r="G9" s="10"/>
      <c r="H9" s="10"/>
      <c r="I9" s="10"/>
      <c r="J9" s="11">
        <f t="shared" si="0"/>
        <v>74.732830132277101</v>
      </c>
      <c r="K9" s="11">
        <f t="shared" si="0"/>
        <v>99.890120867046249</v>
      </c>
      <c r="L9" s="11">
        <f t="shared" si="0"/>
        <v>215.79628830384118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17</v>
      </c>
      <c r="B10" s="8" t="s">
        <v>18</v>
      </c>
      <c r="C10" s="9" t="s">
        <v>11</v>
      </c>
      <c r="D10" s="10">
        <v>11534</v>
      </c>
      <c r="E10" s="10">
        <v>9955</v>
      </c>
      <c r="F10" s="10">
        <v>4587</v>
      </c>
      <c r="G10" s="10"/>
      <c r="H10" s="10"/>
      <c r="I10" s="10"/>
      <c r="J10" s="11">
        <f t="shared" si="0"/>
        <v>86.700190740419629</v>
      </c>
      <c r="K10" s="11">
        <f t="shared" si="0"/>
        <v>100.45203415369161</v>
      </c>
      <c r="L10" s="11">
        <f t="shared" si="0"/>
        <v>218.00741225201656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102" t="s">
        <v>96</v>
      </c>
      <c r="B11" s="102"/>
      <c r="C11" s="102"/>
      <c r="D11" s="102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</row>
    <row r="12" spans="1:15" ht="18.75" x14ac:dyDescent="0.3">
      <c r="A12" s="75" t="s">
        <v>95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3"/>
    </row>
    <row r="13" spans="1:15" x14ac:dyDescent="0.25">
      <c r="A13" s="87" t="s">
        <v>1</v>
      </c>
      <c r="B13" s="88"/>
      <c r="C13" s="89"/>
      <c r="D13" s="105" t="s">
        <v>19</v>
      </c>
      <c r="E13" s="106"/>
      <c r="F13" s="106"/>
      <c r="G13" s="106"/>
      <c r="H13" s="106"/>
      <c r="I13" s="107"/>
      <c r="J13" s="105" t="s">
        <v>22</v>
      </c>
      <c r="K13" s="106"/>
      <c r="L13" s="106"/>
      <c r="M13" s="106"/>
      <c r="N13" s="106"/>
      <c r="O13" s="107"/>
    </row>
    <row r="14" spans="1:15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7</v>
      </c>
      <c r="B15" s="9" t="s">
        <v>8</v>
      </c>
      <c r="C15" s="9" t="s">
        <v>9</v>
      </c>
      <c r="D15" s="12">
        <f>IF(D5="","",(D5-'2016'!D5)/'2016'!D5)</f>
        <v>8.9034676663542651E-3</v>
      </c>
      <c r="E15" s="12">
        <f>IF(E5="","",(E5-'2016'!E5)/'2016'!E5)</f>
        <v>2.9859659599880562E-3</v>
      </c>
      <c r="F15" s="12">
        <f>IF(F5="","",(F5-'2016'!F5)/'2016'!F5)</f>
        <v>-1.0268697586856067E-3</v>
      </c>
      <c r="G15" s="12" t="str">
        <f>IF(G5="","",(G5-#REF!)/#REF!)</f>
        <v/>
      </c>
      <c r="H15" s="12" t="str">
        <f>IF(H5="","",(H5-#REF!)/#REF!)</f>
        <v/>
      </c>
      <c r="I15" s="12" t="str">
        <f>IF(I5="","",(I5-#REF!)/#REF!)</f>
        <v/>
      </c>
      <c r="J15" s="11">
        <f>J5-'2015'!J35</f>
        <v>-1.3203336485929285</v>
      </c>
      <c r="K15" s="11">
        <f>K5-'2015'!K35</f>
        <v>26.365913108264628</v>
      </c>
      <c r="L15" s="11">
        <f>L5-'2015'!L35</f>
        <v>122.87361886387934</v>
      </c>
      <c r="M15" s="11" t="str">
        <f>IF(G15="","",M5-((1/Comparisons!#REF!)*1000000))</f>
        <v/>
      </c>
      <c r="N15" s="11" t="str">
        <f>IF(H15="","",N5-((1/Comparisons!#REF!)*1000000))</f>
        <v/>
      </c>
      <c r="O15" s="11" t="str">
        <f>IF(I15="","",O5-((1/Comparisons!#REF!)*1000000))</f>
        <v/>
      </c>
    </row>
    <row r="16" spans="1:15" x14ac:dyDescent="0.25">
      <c r="A16" s="8" t="s">
        <v>10</v>
      </c>
      <c r="B16" s="9" t="s">
        <v>8</v>
      </c>
      <c r="C16" s="9" t="s">
        <v>11</v>
      </c>
      <c r="D16" s="12">
        <f>IF(D6="","",(D6-'2016'!D6)/'2016'!D6)</f>
        <v>-1.005766393992222E-3</v>
      </c>
      <c r="E16" s="12">
        <f>IF(E6="","",(E6-'2016'!E6)/'2016'!E6)</f>
        <v>-1.3940177252584934E-2</v>
      </c>
      <c r="F16" s="12">
        <f>IF(F6="","",(F6-'2016'!F6)/'2016'!F6)</f>
        <v>0</v>
      </c>
      <c r="G16" s="12" t="str">
        <f>IF(G6="","",(G6-#REF!)/#REF!)</f>
        <v/>
      </c>
      <c r="H16" s="12" t="str">
        <f>IF(H6="","",(H6-#REF!)/#REF!)</f>
        <v/>
      </c>
      <c r="I16" s="12" t="str">
        <f>IF(I6="","",(I6-#REF!)/#REF!)</f>
        <v/>
      </c>
      <c r="J16" s="11">
        <f>J6-'2015'!J36</f>
        <v>5.6708905631704098</v>
      </c>
      <c r="K16" s="11">
        <f>K6-'2015'!K36</f>
        <v>28.213412794845766</v>
      </c>
      <c r="L16" s="11">
        <f>L6-'2015'!L36</f>
        <v>127.44973475027498</v>
      </c>
      <c r="M16" s="11" t="str">
        <f>IF(G16="","",M6-((1/Comparisons!#REF!)*1000000))</f>
        <v/>
      </c>
      <c r="N16" s="11" t="str">
        <f>IF(H16="","",N6-((1/Comparisons!#REF!)*1000000))</f>
        <v/>
      </c>
      <c r="O16" s="11" t="str">
        <f>IF(I16="","",O6-((1/Comparisons!#REF!)*1000000))</f>
        <v/>
      </c>
    </row>
    <row r="17" spans="1:15" x14ac:dyDescent="0.25">
      <c r="A17" s="9" t="s">
        <v>12</v>
      </c>
      <c r="B17" s="9" t="s">
        <v>13</v>
      </c>
      <c r="C17" s="9" t="s">
        <v>9</v>
      </c>
      <c r="D17" s="12">
        <f>IF(D7="","",(D7-'2016'!D7)/'2016'!D7)</f>
        <v>-3.1312596412865793E-3</v>
      </c>
      <c r="E17" s="12">
        <f>IF(E7="","",(E7-'2016'!E7)/'2016'!E7)</f>
        <v>-2.1804306350504225E-3</v>
      </c>
      <c r="F17" s="12">
        <f>IF(F7="","",(F7-'2016'!F7)/'2016'!F7)</f>
        <v>0</v>
      </c>
      <c r="G17" s="12" t="str">
        <f>IF(G7="","",(G7-#REF!)/#REF!)</f>
        <v/>
      </c>
      <c r="H17" s="12" t="str">
        <f>IF(H7="","",(H7-#REF!)/#REF!)</f>
        <v/>
      </c>
      <c r="I17" s="12" t="str">
        <f>IF(I7="","",(I7-#REF!)/#REF!)</f>
        <v/>
      </c>
      <c r="J17" s="11">
        <f>J7-'2015'!J37</f>
        <v>3.0618291565055671</v>
      </c>
      <c r="K17" s="11">
        <f>K7-'2015'!K37</f>
        <v>27.682967967471736</v>
      </c>
      <c r="L17" s="11">
        <f>L7-'2015'!L37</f>
        <v>124.85347963170777</v>
      </c>
      <c r="M17" s="11" t="str">
        <f>IF(G17="","",M7-((1/Comparisons!#REF!)*1000000))</f>
        <v/>
      </c>
      <c r="N17" s="11" t="str">
        <f>IF(H17="","",N7-((1/Comparisons!#REF!)*1000000))</f>
        <v/>
      </c>
      <c r="O17" s="11" t="str">
        <f>IF(I17="","",O7-((1/Comparisons!#REF!)*1000000))</f>
        <v/>
      </c>
    </row>
    <row r="18" spans="1:15" x14ac:dyDescent="0.25">
      <c r="A18" s="9" t="s">
        <v>14</v>
      </c>
      <c r="B18" s="9" t="s">
        <v>13</v>
      </c>
      <c r="C18" s="9" t="s">
        <v>11</v>
      </c>
      <c r="D18" s="12">
        <f>IF(D8="","",(D8-'2016'!D8)/'2016'!D8)</f>
        <v>1.6287773773218741E-2</v>
      </c>
      <c r="E18" s="12">
        <f>IF(E8="","",(E8-'2016'!E8)/'2016'!E8)</f>
        <v>-2.7262067617744773E-2</v>
      </c>
      <c r="F18" s="12">
        <f>IF(F8="","",(F8-'2016'!F8)/'2016'!F8)</f>
        <v>-2.0332313073895932E-2</v>
      </c>
      <c r="G18" s="12" t="str">
        <f>IF(G8="","",(G8-#REF!)/#REF!)</f>
        <v/>
      </c>
      <c r="H18" s="12" t="str">
        <f>IF(H8="","",(H8-#REF!)/#REF!)</f>
        <v/>
      </c>
      <c r="I18" s="12" t="str">
        <f>IF(I8="","",(I8-#REF!)/#REF!)</f>
        <v/>
      </c>
      <c r="J18" s="11">
        <f>J8-'2015'!J38</f>
        <v>2.5648432203995952</v>
      </c>
      <c r="K18" s="11">
        <f>K8-'2015'!K38</f>
        <v>31.002766843461728</v>
      </c>
      <c r="L18" s="11">
        <f>L8-'2015'!L38</f>
        <v>130.93907334117307</v>
      </c>
      <c r="M18" s="11" t="str">
        <f>IF(G18="","",M8-((1/Comparisons!#REF!)*1000000))</f>
        <v/>
      </c>
      <c r="N18" s="11" t="str">
        <f>IF(H18="","",N8-((1/Comparisons!#REF!)*1000000))</f>
        <v/>
      </c>
      <c r="O18" s="11" t="str">
        <f>IF(I18="","",O8-((1/Comparisons!#REF!)*1000000))</f>
        <v/>
      </c>
    </row>
    <row r="19" spans="1:15" x14ac:dyDescent="0.25">
      <c r="A19" s="9" t="s">
        <v>15</v>
      </c>
      <c r="B19" s="9" t="s">
        <v>16</v>
      </c>
      <c r="C19" s="9" t="s">
        <v>11</v>
      </c>
      <c r="D19" s="12">
        <f>IF(D9="","",(D9-'2016'!D9)/'2016'!D9)</f>
        <v>-7.8594201823978648E-3</v>
      </c>
      <c r="E19" s="12">
        <f>IF(E9="","",(E9-'2016'!E9)/'2016'!E9)</f>
        <v>-8.9100089100089108E-3</v>
      </c>
      <c r="F19" s="12">
        <f>IF(F9="","",(F9-'2016'!F9)/'2016'!F9)</f>
        <v>4.117009750812568E-3</v>
      </c>
      <c r="G19" s="12" t="str">
        <f>IF(G9="","",(G9-#REF!)/#REF!)</f>
        <v/>
      </c>
      <c r="H19" s="12" t="str">
        <f>IF(H9="","",(H9-#REF!)/#REF!)</f>
        <v/>
      </c>
      <c r="I19" s="12" t="str">
        <f>IF(I9="","",(I9-#REF!)/#REF!)</f>
        <v/>
      </c>
      <c r="J19" s="11">
        <f>J9-'2015'!J39</f>
        <v>-3.7601055035156747</v>
      </c>
      <c r="K19" s="11">
        <f>K9-'2015'!K39</f>
        <v>26.737231327909441</v>
      </c>
      <c r="L19" s="11">
        <f>L9-'2015'!L39</f>
        <v>123.57088942899105</v>
      </c>
      <c r="M19" s="11" t="str">
        <f>IF(G19="","",M9-((1/Comparisons!#REF!)*1000000))</f>
        <v/>
      </c>
      <c r="N19" s="11" t="str">
        <f>IF(H19="","",N9-((1/Comparisons!#REF!)*1000000))</f>
        <v/>
      </c>
      <c r="O19" s="11" t="str">
        <f>IF(I19="","",O9-((1/Comparisons!#REF!)*1000000))</f>
        <v/>
      </c>
    </row>
    <row r="20" spans="1:15" x14ac:dyDescent="0.25">
      <c r="A20" s="9" t="s">
        <v>17</v>
      </c>
      <c r="B20" s="8" t="s">
        <v>18</v>
      </c>
      <c r="C20" s="9" t="s">
        <v>11</v>
      </c>
      <c r="D20" s="12">
        <f>IF(D10="","",(D10-'2016'!D10)/'2016'!D10)</f>
        <v>-6.6979453162918617E-2</v>
      </c>
      <c r="E20" s="12">
        <f>IF(E10="","",(E10-'2016'!E10)/'2016'!E10)</f>
        <v>-9.5512884290120392E-3</v>
      </c>
      <c r="F20" s="12">
        <f>IF(F10="","",(F10-'2016'!F10)/'2016'!F10)</f>
        <v>-1.1635423400129283E-2</v>
      </c>
      <c r="G20" s="12" t="str">
        <f>IF(G10="","",(G10-#REF!)/#REF!)</f>
        <v/>
      </c>
      <c r="H20" s="12" t="str">
        <f>IF(H10="","",(H10-#REF!)/#REF!)</f>
        <v/>
      </c>
      <c r="I20" s="12" t="str">
        <f>IF(I10="","",(I10-#REF!)/#REF!)</f>
        <v/>
      </c>
      <c r="J20" s="11">
        <f>J10-'2015'!J40</f>
        <v>-8.9203868078687663</v>
      </c>
      <c r="K20" s="11">
        <f>K10-'2015'!K40</f>
        <v>23.374802767842993</v>
      </c>
      <c r="L20" s="11">
        <f>L10-'2015'!L40</f>
        <v>127.43590604786839</v>
      </c>
      <c r="M20" s="11" t="str">
        <f>IF(G20="","",M10-((1/Comparisons!#REF!)*1000000))</f>
        <v/>
      </c>
      <c r="N20" s="11" t="str">
        <f>IF(H20="","",N10-((1/Comparisons!#REF!)*1000000))</f>
        <v/>
      </c>
      <c r="O20" s="11" t="str">
        <f>IF(I20="","",O10-((1/Comparisons!#REF!)*1000000))</f>
        <v/>
      </c>
    </row>
    <row r="22" spans="1:15" ht="18.75" x14ac:dyDescent="0.25">
      <c r="A22" s="77" t="s">
        <v>93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84"/>
    </row>
    <row r="23" spans="1:15" ht="15.75" x14ac:dyDescent="0.25">
      <c r="A23" s="79" t="s">
        <v>97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92"/>
    </row>
    <row r="24" spans="1:15" x14ac:dyDescent="0.25">
      <c r="A24" s="87" t="s">
        <v>1</v>
      </c>
      <c r="B24" s="88"/>
      <c r="C24" s="89"/>
      <c r="D24" s="105" t="s">
        <v>2</v>
      </c>
      <c r="E24" s="106"/>
      <c r="F24" s="106"/>
      <c r="G24" s="106"/>
      <c r="H24" s="106"/>
      <c r="I24" s="107"/>
      <c r="J24" s="105" t="s">
        <v>3</v>
      </c>
      <c r="K24" s="106"/>
      <c r="L24" s="106"/>
      <c r="M24" s="106"/>
      <c r="N24" s="106"/>
      <c r="O24" s="107"/>
    </row>
    <row r="25" spans="1:15" x14ac:dyDescent="0.25">
      <c r="A25" s="6" t="s">
        <v>26</v>
      </c>
      <c r="B25" s="6" t="s">
        <v>5</v>
      </c>
      <c r="C25" s="6" t="s">
        <v>6</v>
      </c>
      <c r="D25" s="7">
        <v>1</v>
      </c>
      <c r="E25" s="7">
        <v>4</v>
      </c>
      <c r="F25" s="7">
        <v>16</v>
      </c>
      <c r="G25" s="7">
        <v>32</v>
      </c>
      <c r="H25" s="7">
        <v>64</v>
      </c>
      <c r="I25" s="7">
        <v>80</v>
      </c>
      <c r="J25" s="7">
        <v>1</v>
      </c>
      <c r="K25" s="7">
        <v>4</v>
      </c>
      <c r="L25" s="7">
        <v>16</v>
      </c>
      <c r="M25" s="7">
        <v>32</v>
      </c>
      <c r="N25" s="7">
        <v>64</v>
      </c>
      <c r="O25" s="7">
        <v>80</v>
      </c>
    </row>
    <row r="26" spans="1:15" x14ac:dyDescent="0.25">
      <c r="A26" s="8" t="s">
        <v>7</v>
      </c>
      <c r="B26" s="9" t="s">
        <v>8</v>
      </c>
      <c r="C26" s="9" t="s">
        <v>9</v>
      </c>
      <c r="D26" s="24">
        <v>38045</v>
      </c>
      <c r="E26" s="24">
        <v>18154</v>
      </c>
      <c r="F26" s="24">
        <v>5814</v>
      </c>
      <c r="G26" s="10"/>
      <c r="H26" s="10"/>
      <c r="I26" s="10"/>
      <c r="J26" s="11">
        <f t="shared" ref="J26:J31" si="1">IF(D26="","",(1/D26)*1000000)</f>
        <v>26.284662899198317</v>
      </c>
      <c r="K26" s="11">
        <f t="shared" ref="K26:K31" si="2">IF(E26="","",(1/E26)*1000000)</f>
        <v>55.084278946788586</v>
      </c>
      <c r="L26" s="11">
        <f t="shared" ref="L26:L31" si="3">IF(F26="","",(1/F26)*1000000)</f>
        <v>171.99862401100791</v>
      </c>
      <c r="M26" s="11" t="str">
        <f t="shared" ref="M26:M31" si="4">IF(G26="","",(1/G26)*1000000)</f>
        <v/>
      </c>
      <c r="N26" s="11" t="str">
        <f t="shared" ref="N26:N31" si="5">IF(H26="","",(1/H26)*1000000)</f>
        <v/>
      </c>
      <c r="O26" s="11" t="str">
        <f t="shared" ref="O26:O31" si="6">IF(I26="","",(1/I26)*1000000)</f>
        <v/>
      </c>
    </row>
    <row r="27" spans="1:15" x14ac:dyDescent="0.25">
      <c r="A27" s="8" t="s">
        <v>10</v>
      </c>
      <c r="B27" s="9" t="s">
        <v>8</v>
      </c>
      <c r="C27" s="9" t="s">
        <v>11</v>
      </c>
      <c r="D27" s="24">
        <v>16116</v>
      </c>
      <c r="E27" s="24">
        <v>10933</v>
      </c>
      <c r="F27" s="24">
        <v>4789</v>
      </c>
      <c r="G27" s="10"/>
      <c r="H27" s="10"/>
      <c r="I27" s="10"/>
      <c r="J27" s="11">
        <f t="shared" si="1"/>
        <v>62.050136510300327</v>
      </c>
      <c r="K27" s="11">
        <f t="shared" si="2"/>
        <v>91.466203237903599</v>
      </c>
      <c r="L27" s="11">
        <f t="shared" si="3"/>
        <v>208.81186051367717</v>
      </c>
      <c r="M27" s="11" t="str">
        <f t="shared" si="4"/>
        <v/>
      </c>
      <c r="N27" s="11" t="str">
        <f t="shared" si="5"/>
        <v/>
      </c>
      <c r="O27" s="11" t="str">
        <f t="shared" si="6"/>
        <v/>
      </c>
    </row>
    <row r="28" spans="1:15" x14ac:dyDescent="0.25">
      <c r="A28" s="9" t="s">
        <v>12</v>
      </c>
      <c r="B28" s="9" t="s">
        <v>13</v>
      </c>
      <c r="C28" s="9" t="s">
        <v>9</v>
      </c>
      <c r="D28" s="24" t="s">
        <v>99</v>
      </c>
      <c r="E28" s="24" t="s">
        <v>99</v>
      </c>
      <c r="F28" s="24" t="s">
        <v>99</v>
      </c>
      <c r="G28" s="10"/>
      <c r="H28" s="10"/>
      <c r="I28" s="10"/>
      <c r="J28" s="11" t="e">
        <f t="shared" si="1"/>
        <v>#VALUE!</v>
      </c>
      <c r="K28" s="11" t="e">
        <f t="shared" si="2"/>
        <v>#VALUE!</v>
      </c>
      <c r="L28" s="11" t="e">
        <f t="shared" si="3"/>
        <v>#VALUE!</v>
      </c>
      <c r="M28" s="11" t="str">
        <f t="shared" si="4"/>
        <v/>
      </c>
      <c r="N28" s="11" t="str">
        <f t="shared" si="5"/>
        <v/>
      </c>
      <c r="O28" s="11" t="str">
        <f t="shared" si="6"/>
        <v/>
      </c>
    </row>
    <row r="29" spans="1:15" x14ac:dyDescent="0.25">
      <c r="A29" s="9" t="s">
        <v>14</v>
      </c>
      <c r="B29" s="9" t="s">
        <v>13</v>
      </c>
      <c r="C29" s="9" t="s">
        <v>11</v>
      </c>
      <c r="D29" s="24" t="s">
        <v>99</v>
      </c>
      <c r="E29" s="24" t="s">
        <v>99</v>
      </c>
      <c r="F29" s="24" t="s">
        <v>99</v>
      </c>
      <c r="G29" s="10"/>
      <c r="H29" s="10"/>
      <c r="I29" s="10"/>
      <c r="J29" s="11">
        <f>IF(D30="","",(1/D30)*1000000)</f>
        <v>70.791448393034116</v>
      </c>
      <c r="K29" s="11" t="e">
        <f t="shared" si="2"/>
        <v>#VALUE!</v>
      </c>
      <c r="L29" s="11" t="e">
        <f t="shared" si="3"/>
        <v>#VALUE!</v>
      </c>
      <c r="M29" s="11" t="str">
        <f t="shared" si="4"/>
        <v/>
      </c>
      <c r="N29" s="11" t="str">
        <f t="shared" si="5"/>
        <v/>
      </c>
      <c r="O29" s="11" t="str">
        <f t="shared" si="6"/>
        <v/>
      </c>
    </row>
    <row r="30" spans="1:15" x14ac:dyDescent="0.25">
      <c r="A30" s="9" t="s">
        <v>15</v>
      </c>
      <c r="B30" s="9" t="s">
        <v>16</v>
      </c>
      <c r="C30" s="9" t="s">
        <v>11</v>
      </c>
      <c r="D30" s="24">
        <v>14126</v>
      </c>
      <c r="E30" s="25" t="s">
        <v>99</v>
      </c>
      <c r="F30" s="24" t="s">
        <v>99</v>
      </c>
      <c r="G30" s="10"/>
      <c r="H30" s="10"/>
      <c r="I30" s="10"/>
      <c r="J30" s="11" t="e">
        <f>IF(#REF!="","",(1/#REF!)*1000000)</f>
        <v>#REF!</v>
      </c>
      <c r="K30" s="11" t="e">
        <f t="shared" si="2"/>
        <v>#VALUE!</v>
      </c>
      <c r="L30" s="11" t="e">
        <f t="shared" si="3"/>
        <v>#VALUE!</v>
      </c>
      <c r="M30" s="11" t="str">
        <f t="shared" si="4"/>
        <v/>
      </c>
      <c r="N30" s="11" t="str">
        <f t="shared" si="5"/>
        <v/>
      </c>
      <c r="O30" s="11" t="str">
        <f t="shared" si="6"/>
        <v/>
      </c>
    </row>
    <row r="31" spans="1:15" x14ac:dyDescent="0.25">
      <c r="A31" s="9" t="s">
        <v>17</v>
      </c>
      <c r="B31" s="8" t="s">
        <v>18</v>
      </c>
      <c r="C31" s="9" t="s">
        <v>11</v>
      </c>
      <c r="D31" s="24">
        <v>11534</v>
      </c>
      <c r="E31" s="24" t="s">
        <v>99</v>
      </c>
      <c r="F31" s="24" t="s">
        <v>99</v>
      </c>
      <c r="G31" s="10"/>
      <c r="H31" s="10"/>
      <c r="I31" s="10"/>
      <c r="J31" s="11">
        <f t="shared" si="1"/>
        <v>86.700190740419629</v>
      </c>
      <c r="K31" s="11" t="e">
        <f t="shared" si="2"/>
        <v>#VALUE!</v>
      </c>
      <c r="L31" s="11" t="e">
        <f t="shared" si="3"/>
        <v>#VALUE!</v>
      </c>
      <c r="M31" s="11" t="str">
        <f t="shared" si="4"/>
        <v/>
      </c>
      <c r="N31" s="11" t="str">
        <f t="shared" si="5"/>
        <v/>
      </c>
      <c r="O31" s="11" t="str">
        <f t="shared" si="6"/>
        <v/>
      </c>
    </row>
    <row r="32" spans="1:15" x14ac:dyDescent="0.25">
      <c r="A32" s="102" t="s">
        <v>98</v>
      </c>
      <c r="B32" s="102"/>
      <c r="C32" s="102"/>
      <c r="D32" s="102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</row>
    <row r="33" spans="1:15" ht="18.75" x14ac:dyDescent="0.3">
      <c r="A33" s="75" t="s">
        <v>95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93"/>
    </row>
    <row r="34" spans="1:15" x14ac:dyDescent="0.25">
      <c r="A34" s="87" t="s">
        <v>1</v>
      </c>
      <c r="B34" s="88"/>
      <c r="C34" s="89"/>
      <c r="D34" s="105" t="s">
        <v>19</v>
      </c>
      <c r="E34" s="106"/>
      <c r="F34" s="106"/>
      <c r="G34" s="106"/>
      <c r="H34" s="106"/>
      <c r="I34" s="107"/>
      <c r="J34" s="105" t="s">
        <v>22</v>
      </c>
      <c r="K34" s="106"/>
      <c r="L34" s="106"/>
      <c r="M34" s="106"/>
      <c r="N34" s="106"/>
      <c r="O34" s="107"/>
    </row>
    <row r="35" spans="1:15" x14ac:dyDescent="0.25">
      <c r="A35" s="6" t="s">
        <v>4</v>
      </c>
      <c r="B35" s="6" t="s">
        <v>5</v>
      </c>
      <c r="C35" s="6" t="s">
        <v>6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7">
        <v>80</v>
      </c>
    </row>
    <row r="36" spans="1:15" x14ac:dyDescent="0.25">
      <c r="A36" s="8" t="s">
        <v>7</v>
      </c>
      <c r="B36" s="9" t="s">
        <v>8</v>
      </c>
      <c r="C36" s="9" t="s">
        <v>9</v>
      </c>
      <c r="D36" s="12">
        <f>IF(D26="","",(D26-'2016'!D5)/'2016'!D5)</f>
        <v>-0.15104654795376446</v>
      </c>
      <c r="E36" s="12">
        <f>IF(E26="","",(E26-'2016'!E5)/'2016'!E5)</f>
        <v>-9.6546232706280488E-2</v>
      </c>
      <c r="F36" s="12">
        <f>IF(F26="","",(F26-'2016'!F5)/'2016'!F5)</f>
        <v>-4.9632038336470995E-3</v>
      </c>
      <c r="G36" s="12" t="str">
        <f>IF(G26="","",(G26-#REF!)/#REF!)</f>
        <v/>
      </c>
      <c r="H36" s="12" t="str">
        <f>IF(H26="","",(H26-#REF!)/#REF!)</f>
        <v/>
      </c>
      <c r="I36" s="12" t="str">
        <f>IF(I26="","",(I26-#REF!)/#REF!)</f>
        <v/>
      </c>
      <c r="J36" s="11">
        <f>J26-'2015'!J56</f>
        <v>39.569785030983837</v>
      </c>
      <c r="K36" s="11">
        <f>K26-'2015'!K56</f>
        <v>66.989101538836422</v>
      </c>
      <c r="L36" s="11">
        <f>L26-'2015'!L56</f>
        <v>185.94329200784574</v>
      </c>
      <c r="M36" s="11" t="str">
        <f>IF(G36="","",M26-((1/Comparisons!#REF!)*1000000))</f>
        <v/>
      </c>
      <c r="N36" s="11" t="str">
        <f>IF(H36="","",N26-((1/Comparisons!#REF!)*1000000))</f>
        <v/>
      </c>
      <c r="O36" s="11" t="str">
        <f>IF(I36="","",O26-((1/Comparisons!#REF!)*1000000))</f>
        <v/>
      </c>
    </row>
    <row r="37" spans="1:15" x14ac:dyDescent="0.25">
      <c r="A37" s="8" t="s">
        <v>10</v>
      </c>
      <c r="B37" s="9" t="s">
        <v>8</v>
      </c>
      <c r="C37" s="9" t="s">
        <v>11</v>
      </c>
      <c r="D37" s="12">
        <f>IF(D27="","",(D27-'2016'!D6)/'2016'!D6)</f>
        <v>8.0595413705243396E-2</v>
      </c>
      <c r="E37" s="12">
        <f>IF(E27="","",(E27-'2016'!E6)/'2016'!E6)</f>
        <v>9.3242245199409157E-3</v>
      </c>
      <c r="F37" s="12">
        <f>IF(F27="","",(F27-'2016'!F6)/'2016'!F6)</f>
        <v>2.5120368432070338E-3</v>
      </c>
      <c r="G37" s="12" t="str">
        <f>IF(G27="","",(G27-#REF!)/#REF!)</f>
        <v/>
      </c>
      <c r="H37" s="12" t="str">
        <f>IF(H27="","",(H27-#REF!)/#REF!)</f>
        <v/>
      </c>
      <c r="I37" s="12" t="str">
        <f>IF(I27="","",(I27-#REF!)/#REF!)</f>
        <v/>
      </c>
      <c r="J37" s="11">
        <f>J27-'2015'!J57</f>
        <v>64.833703481086204</v>
      </c>
      <c r="K37" s="11">
        <f>K27-'2015'!K57</f>
        <v>94.775559271707166</v>
      </c>
      <c r="L37" s="11">
        <f>L27-'2015'!L57</f>
        <v>211.6799564106677</v>
      </c>
      <c r="M37" s="11" t="str">
        <f>IF(G37="","",M27-((1/Comparisons!#REF!)*1000000))</f>
        <v/>
      </c>
      <c r="N37" s="11" t="str">
        <f>IF(H37="","",N27-((1/Comparisons!#REF!)*1000000))</f>
        <v/>
      </c>
      <c r="O37" s="11" t="str">
        <f>IF(I37="","",O27-((1/Comparisons!#REF!)*1000000))</f>
        <v/>
      </c>
    </row>
    <row r="38" spans="1:15" x14ac:dyDescent="0.25">
      <c r="A38" s="9" t="s">
        <v>12</v>
      </c>
      <c r="B38" s="9" t="s">
        <v>13</v>
      </c>
      <c r="C38" s="9" t="s">
        <v>9</v>
      </c>
      <c r="D38" s="12" t="e">
        <f>IF(D28="","",(D28-'2016'!D7)/'2016'!D7)</f>
        <v>#VALUE!</v>
      </c>
      <c r="E38" s="12" t="e">
        <f>IF(E28="","",(E28-'2016'!E7)/'2016'!E7)</f>
        <v>#VALUE!</v>
      </c>
      <c r="F38" s="12" t="e">
        <f>IF(F28="","",(F28-'2016'!F7)/'2016'!F7)</f>
        <v>#VALUE!</v>
      </c>
      <c r="G38" s="12" t="str">
        <f>IF(G28="","",(G28-#REF!)/#REF!)</f>
        <v/>
      </c>
      <c r="H38" s="12" t="str">
        <f>IF(H28="","",(H28-#REF!)/#REF!)</f>
        <v/>
      </c>
      <c r="I38" s="12" t="str">
        <f>IF(I28="","",(I28-#REF!)/#REF!)</f>
        <v/>
      </c>
      <c r="J38" s="11" t="e">
        <f>J28-'2015'!J58</f>
        <v>#VALUE!</v>
      </c>
      <c r="K38" s="11" t="e">
        <f>K28-'2015'!K58</f>
        <v>#VALUE!</v>
      </c>
      <c r="L38" s="11" t="e">
        <f>L28-'2015'!L58</f>
        <v>#VALUE!</v>
      </c>
      <c r="M38" s="11" t="str">
        <f>IF(G38="","",M28-((1/Comparisons!#REF!)*1000000))</f>
        <v/>
      </c>
      <c r="N38" s="11" t="str">
        <f>IF(H38="","",N28-((1/Comparisons!#REF!)*1000000))</f>
        <v/>
      </c>
      <c r="O38" s="11" t="str">
        <f>IF(I38="","",O28-((1/Comparisons!#REF!)*1000000))</f>
        <v/>
      </c>
    </row>
    <row r="39" spans="1:15" x14ac:dyDescent="0.25">
      <c r="A39" s="9" t="s">
        <v>14</v>
      </c>
      <c r="B39" s="9" t="s">
        <v>13</v>
      </c>
      <c r="C39" s="9" t="s">
        <v>11</v>
      </c>
      <c r="D39" s="12">
        <f>IF(D30="","",(D30-'2016'!D8)/'2016'!D8)</f>
        <v>-2.0931522040476852E-2</v>
      </c>
      <c r="E39" s="12" t="e">
        <f>IF(E29="","",(E29-'2016'!E8)/'2016'!E8)</f>
        <v>#VALUE!</v>
      </c>
      <c r="F39" s="12" t="e">
        <f>IF(F29="","",(F29-'2016'!F8)/'2016'!F8)</f>
        <v>#VALUE!</v>
      </c>
      <c r="G39" s="12" t="str">
        <f>IF(G29="","",(G29-#REF!)/#REF!)</f>
        <v/>
      </c>
      <c r="H39" s="12" t="str">
        <f>IF(H29="","",(H29-#REF!)/#REF!)</f>
        <v/>
      </c>
      <c r="I39" s="12" t="str">
        <f>IF(I29="","",(I29-#REF!)/#REF!)</f>
        <v/>
      </c>
      <c r="J39" s="11">
        <f>J29-'2015'!J59</f>
        <v>86.487078265388647</v>
      </c>
      <c r="K39" s="11" t="e">
        <f>K29-'2015'!K59</f>
        <v>#VALUE!</v>
      </c>
      <c r="L39" s="11" t="e">
        <f>L29-'2015'!L59</f>
        <v>#VALUE!</v>
      </c>
      <c r="M39" s="11" t="str">
        <f>IF(G39="","",M29-((1/Comparisons!#REF!)*1000000))</f>
        <v/>
      </c>
      <c r="N39" s="11" t="str">
        <f>IF(H39="","",N29-((1/Comparisons!#REF!)*1000000))</f>
        <v/>
      </c>
      <c r="O39" s="11" t="str">
        <f>IF(I39="","",O29-((1/Comparisons!#REF!)*1000000))</f>
        <v/>
      </c>
    </row>
    <row r="40" spans="1:15" x14ac:dyDescent="0.25">
      <c r="A40" s="9" t="s">
        <v>15</v>
      </c>
      <c r="B40" s="9" t="s">
        <v>16</v>
      </c>
      <c r="C40" s="9" t="s">
        <v>11</v>
      </c>
      <c r="D40" s="12" t="e">
        <f>IF(#REF!="","",(#REF!-'2016'!D9)/'2016'!D9)</f>
        <v>#REF!</v>
      </c>
      <c r="E40" s="12" t="e">
        <f>IF(E30="","",(E30-'2016'!E9)/'2016'!E9)</f>
        <v>#VALUE!</v>
      </c>
      <c r="F40" s="12" t="e">
        <f>IF(F30="","",(F30-'2016'!F9)/'2016'!F9)</f>
        <v>#VALUE!</v>
      </c>
      <c r="G40" s="12" t="str">
        <f>IF(G30="","",(G30-#REF!)/#REF!)</f>
        <v/>
      </c>
      <c r="H40" s="12" t="str">
        <f>IF(H30="","",(H30-#REF!)/#REF!)</f>
        <v/>
      </c>
      <c r="I40" s="12" t="str">
        <f>IF(I30="","",(I30-#REF!)/#REF!)</f>
        <v/>
      </c>
      <c r="J40" s="11" t="e">
        <f>J30-'2015'!J60</f>
        <v>#REF!</v>
      </c>
      <c r="K40" s="11" t="e">
        <f>K30-'2015'!K60</f>
        <v>#VALUE!</v>
      </c>
      <c r="L40" s="11" t="e">
        <f>L30-'2015'!L60</f>
        <v>#VALUE!</v>
      </c>
      <c r="M40" s="11" t="str">
        <f>IF(G40="","",M30-((1/Comparisons!#REF!)*1000000))</f>
        <v/>
      </c>
      <c r="N40" s="11" t="str">
        <f>IF(H40="","",N30-((1/Comparisons!#REF!)*1000000))</f>
        <v/>
      </c>
      <c r="O40" s="11" t="str">
        <f>IF(I40="","",O30-((1/Comparisons!#REF!)*1000000))</f>
        <v/>
      </c>
    </row>
    <row r="41" spans="1:15" x14ac:dyDescent="0.25">
      <c r="A41" s="9" t="s">
        <v>17</v>
      </c>
      <c r="B41" s="8" t="s">
        <v>18</v>
      </c>
      <c r="C41" s="9" t="s">
        <v>11</v>
      </c>
      <c r="D41" s="12">
        <f>IF(D31="","",(D31-'2016'!D10)/'2016'!D10)</f>
        <v>-6.6979453162918617E-2</v>
      </c>
      <c r="E41" s="12" t="e">
        <f>IF(E31="","",(E31-'2016'!E10)/'2016'!E10)</f>
        <v>#VALUE!</v>
      </c>
      <c r="F41" s="12" t="e">
        <f>IF(F31="","",(F31-'2016'!F10)/'2016'!F10)</f>
        <v>#VALUE!</v>
      </c>
      <c r="G41" s="12" t="str">
        <f>IF(G31="","",(G31-#REF!)/#REF!)</f>
        <v/>
      </c>
      <c r="H41" s="12" t="str">
        <f>IF(H31="","",(H31-#REF!)/#REF!)</f>
        <v/>
      </c>
      <c r="I41" s="12" t="str">
        <f>IF(I31="","",(I31-#REF!)/#REF!)</f>
        <v/>
      </c>
      <c r="J41" s="11">
        <f>J31-'2015'!J61</f>
        <v>86.700190740419629</v>
      </c>
      <c r="K41" s="11" t="e">
        <f>K31-'2015'!K61</f>
        <v>#VALUE!</v>
      </c>
      <c r="L41" s="11" t="e">
        <f>L31-'2015'!L61</f>
        <v>#VALUE!</v>
      </c>
      <c r="M41" s="11" t="str">
        <f>IF(G41="","",M31-((1/Comparisons!#REF!)*1000000))</f>
        <v/>
      </c>
      <c r="N41" s="11" t="str">
        <f>IF(H41="","",N31-((1/Comparisons!#REF!)*1000000))</f>
        <v/>
      </c>
      <c r="O41" s="11" t="str">
        <f>IF(I41="","",O31-((1/Comparisons!#REF!)*1000000))</f>
        <v/>
      </c>
    </row>
    <row r="43" spans="1:15" ht="18.75" x14ac:dyDescent="0.25">
      <c r="A43" s="77" t="s">
        <v>93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84"/>
    </row>
    <row r="44" spans="1:15" ht="15.75" x14ac:dyDescent="0.25">
      <c r="A44" s="79" t="s">
        <v>100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92"/>
    </row>
    <row r="45" spans="1:15" x14ac:dyDescent="0.25">
      <c r="A45" s="87" t="s">
        <v>1</v>
      </c>
      <c r="B45" s="88"/>
      <c r="C45" s="89"/>
      <c r="D45" s="105" t="s">
        <v>2</v>
      </c>
      <c r="E45" s="106"/>
      <c r="F45" s="106"/>
      <c r="G45" s="106"/>
      <c r="H45" s="106"/>
      <c r="I45" s="107"/>
      <c r="J45" s="105" t="s">
        <v>3</v>
      </c>
      <c r="K45" s="106"/>
      <c r="L45" s="106"/>
      <c r="M45" s="106"/>
      <c r="N45" s="106"/>
      <c r="O45" s="107"/>
    </row>
    <row r="46" spans="1:15" x14ac:dyDescent="0.25">
      <c r="A46" s="6" t="s">
        <v>26</v>
      </c>
      <c r="B46" s="6" t="s">
        <v>5</v>
      </c>
      <c r="C46" s="6" t="s">
        <v>6</v>
      </c>
      <c r="D46" s="7">
        <v>1</v>
      </c>
      <c r="E46" s="7">
        <v>4</v>
      </c>
      <c r="F46" s="7">
        <v>16</v>
      </c>
      <c r="G46" s="7">
        <v>32</v>
      </c>
      <c r="H46" s="7">
        <v>64</v>
      </c>
      <c r="I46" s="7">
        <v>80</v>
      </c>
      <c r="J46" s="7">
        <v>1</v>
      </c>
      <c r="K46" s="7">
        <v>4</v>
      </c>
      <c r="L46" s="7">
        <v>16</v>
      </c>
      <c r="M46" s="7">
        <v>32</v>
      </c>
      <c r="N46" s="7">
        <v>64</v>
      </c>
      <c r="O46" s="7">
        <v>80</v>
      </c>
    </row>
    <row r="47" spans="1:15" x14ac:dyDescent="0.25">
      <c r="A47" s="8" t="s">
        <v>7</v>
      </c>
      <c r="B47" s="9" t="s">
        <v>8</v>
      </c>
      <c r="C47" s="9" t="s">
        <v>9</v>
      </c>
      <c r="D47" s="24">
        <v>38236</v>
      </c>
      <c r="E47" s="24">
        <v>19350</v>
      </c>
      <c r="F47" s="24">
        <v>5837</v>
      </c>
      <c r="G47" s="10"/>
      <c r="H47" s="10"/>
      <c r="I47" s="10"/>
      <c r="J47" s="11">
        <f t="shared" ref="J47:J49" si="7">IF(D47="","",(1/D47)*1000000)</f>
        <v>26.153363322523276</v>
      </c>
      <c r="K47" s="11">
        <f t="shared" ref="K47:K52" si="8">IF(E47="","",(1/E47)*1000000)</f>
        <v>51.679586563307495</v>
      </c>
      <c r="L47" s="11">
        <f t="shared" ref="L47:L52" si="9">IF(F47="","",(1/F47)*1000000)</f>
        <v>171.32088401576152</v>
      </c>
      <c r="M47" s="11" t="str">
        <f t="shared" ref="M47:M52" si="10">IF(G47="","",(1/G47)*1000000)</f>
        <v/>
      </c>
      <c r="N47" s="11" t="str">
        <f t="shared" ref="N47:N52" si="11">IF(H47="","",(1/H47)*1000000)</f>
        <v/>
      </c>
      <c r="O47" s="11" t="str">
        <f t="shared" ref="O47:O52" si="12">IF(I47="","",(1/I47)*1000000)</f>
        <v/>
      </c>
    </row>
    <row r="48" spans="1:15" x14ac:dyDescent="0.25">
      <c r="A48" s="8" t="s">
        <v>10</v>
      </c>
      <c r="B48" s="9" t="s">
        <v>8</v>
      </c>
      <c r="C48" s="9" t="s">
        <v>11</v>
      </c>
      <c r="D48" s="24">
        <v>15897</v>
      </c>
      <c r="E48" s="24">
        <v>11246</v>
      </c>
      <c r="F48" s="24">
        <v>4876</v>
      </c>
      <c r="G48" s="10"/>
      <c r="H48" s="10"/>
      <c r="I48" s="10"/>
      <c r="J48" s="11">
        <f t="shared" si="7"/>
        <v>62.904950619613764</v>
      </c>
      <c r="K48" s="11">
        <f t="shared" si="8"/>
        <v>88.920505068468785</v>
      </c>
      <c r="L48" s="11">
        <f t="shared" si="9"/>
        <v>205.08613617719445</v>
      </c>
      <c r="M48" s="11" t="str">
        <f t="shared" si="10"/>
        <v/>
      </c>
      <c r="N48" s="11" t="str">
        <f t="shared" si="11"/>
        <v/>
      </c>
      <c r="O48" s="11" t="str">
        <f t="shared" si="12"/>
        <v/>
      </c>
    </row>
    <row r="49" spans="1:15" x14ac:dyDescent="0.25">
      <c r="A49" s="9" t="s">
        <v>12</v>
      </c>
      <c r="B49" s="9" t="s">
        <v>13</v>
      </c>
      <c r="C49" s="9" t="s">
        <v>9</v>
      </c>
      <c r="D49" s="24" t="s">
        <v>99</v>
      </c>
      <c r="E49" s="24" t="s">
        <v>99</v>
      </c>
      <c r="F49" s="24" t="s">
        <v>99</v>
      </c>
      <c r="G49" s="10"/>
      <c r="H49" s="10"/>
      <c r="I49" s="10"/>
      <c r="J49" s="11" t="e">
        <f t="shared" si="7"/>
        <v>#VALUE!</v>
      </c>
      <c r="K49" s="11" t="e">
        <f t="shared" si="8"/>
        <v>#VALUE!</v>
      </c>
      <c r="L49" s="11" t="e">
        <f t="shared" si="9"/>
        <v>#VALUE!</v>
      </c>
      <c r="M49" s="11" t="str">
        <f t="shared" si="10"/>
        <v/>
      </c>
      <c r="N49" s="11" t="str">
        <f t="shared" si="11"/>
        <v/>
      </c>
      <c r="O49" s="11" t="str">
        <f t="shared" si="12"/>
        <v/>
      </c>
    </row>
    <row r="50" spans="1:15" x14ac:dyDescent="0.25">
      <c r="A50" s="9" t="s">
        <v>14</v>
      </c>
      <c r="B50" s="9" t="s">
        <v>13</v>
      </c>
      <c r="C50" s="9" t="s">
        <v>11</v>
      </c>
      <c r="D50" s="24" t="s">
        <v>99</v>
      </c>
      <c r="E50" s="24" t="s">
        <v>99</v>
      </c>
      <c r="F50" s="24" t="s">
        <v>99</v>
      </c>
      <c r="G50" s="10"/>
      <c r="H50" s="10"/>
      <c r="I50" s="10"/>
      <c r="J50" s="11">
        <f>IF(D51="","",(1/D51)*1000000)</f>
        <v>73.346046648085661</v>
      </c>
      <c r="K50" s="11" t="e">
        <f t="shared" si="8"/>
        <v>#VALUE!</v>
      </c>
      <c r="L50" s="11" t="e">
        <f t="shared" si="9"/>
        <v>#VALUE!</v>
      </c>
      <c r="M50" s="11" t="str">
        <f t="shared" si="10"/>
        <v/>
      </c>
      <c r="N50" s="11" t="str">
        <f t="shared" si="11"/>
        <v/>
      </c>
      <c r="O50" s="11" t="str">
        <f t="shared" si="12"/>
        <v/>
      </c>
    </row>
    <row r="51" spans="1:15" x14ac:dyDescent="0.25">
      <c r="A51" s="9" t="s">
        <v>15</v>
      </c>
      <c r="B51" s="9" t="s">
        <v>16</v>
      </c>
      <c r="C51" s="9" t="s">
        <v>11</v>
      </c>
      <c r="D51" s="24">
        <v>13634</v>
      </c>
      <c r="E51" s="24" t="s">
        <v>99</v>
      </c>
      <c r="F51" s="24" t="s">
        <v>99</v>
      </c>
      <c r="G51" s="10"/>
      <c r="H51" s="10"/>
      <c r="I51" s="10"/>
      <c r="J51" s="11" t="e">
        <f>IF(#REF!="","",(1/#REF!)*1000000)</f>
        <v>#REF!</v>
      </c>
      <c r="K51" s="11" t="e">
        <f t="shared" si="8"/>
        <v>#VALUE!</v>
      </c>
      <c r="L51" s="11" t="e">
        <f t="shared" si="9"/>
        <v>#VALUE!</v>
      </c>
      <c r="M51" s="11" t="str">
        <f t="shared" si="10"/>
        <v/>
      </c>
      <c r="N51" s="11" t="str">
        <f t="shared" si="11"/>
        <v/>
      </c>
      <c r="O51" s="11" t="str">
        <f t="shared" si="12"/>
        <v/>
      </c>
    </row>
    <row r="52" spans="1:15" x14ac:dyDescent="0.25">
      <c r="A52" s="9" t="s">
        <v>17</v>
      </c>
      <c r="B52" s="8" t="s">
        <v>18</v>
      </c>
      <c r="C52" s="9" t="s">
        <v>11</v>
      </c>
      <c r="D52" s="25" t="s">
        <v>99</v>
      </c>
      <c r="E52" s="24" t="s">
        <v>99</v>
      </c>
      <c r="F52" s="24" t="s">
        <v>99</v>
      </c>
      <c r="G52" s="10"/>
      <c r="H52" s="10"/>
      <c r="I52" s="10"/>
      <c r="J52" s="11" t="e">
        <f t="shared" ref="J52" si="13">IF(D52="","",(1/D52)*1000000)</f>
        <v>#VALUE!</v>
      </c>
      <c r="K52" s="11" t="e">
        <f t="shared" si="8"/>
        <v>#VALUE!</v>
      </c>
      <c r="L52" s="11" t="e">
        <f t="shared" si="9"/>
        <v>#VALUE!</v>
      </c>
      <c r="M52" s="11" t="str">
        <f t="shared" si="10"/>
        <v/>
      </c>
      <c r="N52" s="11" t="str">
        <f t="shared" si="11"/>
        <v/>
      </c>
      <c r="O52" s="11" t="str">
        <f t="shared" si="12"/>
        <v/>
      </c>
    </row>
    <row r="53" spans="1:15" x14ac:dyDescent="0.25">
      <c r="A53" s="102" t="s">
        <v>101</v>
      </c>
      <c r="B53" s="102"/>
      <c r="C53" s="102"/>
      <c r="D53" s="102"/>
      <c r="E53" s="133" t="s">
        <v>107</v>
      </c>
      <c r="F53" s="133"/>
      <c r="G53" s="133"/>
      <c r="H53" s="133"/>
      <c r="I53" s="133"/>
      <c r="J53" s="133"/>
      <c r="K53" s="133"/>
      <c r="L53" s="133"/>
      <c r="M53" s="133"/>
      <c r="N53" s="133"/>
      <c r="O53" s="133"/>
    </row>
    <row r="54" spans="1:15" ht="18.75" x14ac:dyDescent="0.3">
      <c r="A54" s="75" t="s">
        <v>95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93"/>
    </row>
    <row r="55" spans="1:15" x14ac:dyDescent="0.25">
      <c r="A55" s="87" t="s">
        <v>1</v>
      </c>
      <c r="B55" s="88"/>
      <c r="C55" s="89"/>
      <c r="D55" s="105" t="s">
        <v>19</v>
      </c>
      <c r="E55" s="106"/>
      <c r="F55" s="106"/>
      <c r="G55" s="106"/>
      <c r="H55" s="106"/>
      <c r="I55" s="107"/>
      <c r="J55" s="105" t="s">
        <v>22</v>
      </c>
      <c r="K55" s="106"/>
      <c r="L55" s="106"/>
      <c r="M55" s="106"/>
      <c r="N55" s="106"/>
      <c r="O55" s="107"/>
    </row>
    <row r="56" spans="1:15" x14ac:dyDescent="0.25">
      <c r="A56" s="6" t="s">
        <v>4</v>
      </c>
      <c r="B56" s="6" t="s">
        <v>5</v>
      </c>
      <c r="C56" s="6" t="s">
        <v>6</v>
      </c>
      <c r="D56" s="7">
        <v>1</v>
      </c>
      <c r="E56" s="7">
        <v>4</v>
      </c>
      <c r="F56" s="7">
        <v>16</v>
      </c>
      <c r="G56" s="7">
        <v>32</v>
      </c>
      <c r="H56" s="7">
        <v>64</v>
      </c>
      <c r="I56" s="7">
        <v>80</v>
      </c>
      <c r="J56" s="7">
        <v>1</v>
      </c>
      <c r="K56" s="7">
        <v>4</v>
      </c>
      <c r="L56" s="7">
        <v>16</v>
      </c>
      <c r="M56" s="7">
        <v>32</v>
      </c>
      <c r="N56" s="7">
        <v>64</v>
      </c>
      <c r="O56" s="7">
        <v>80</v>
      </c>
    </row>
    <row r="57" spans="1:15" x14ac:dyDescent="0.25">
      <c r="A57" s="8" t="s">
        <v>7</v>
      </c>
      <c r="B57" s="9" t="s">
        <v>8</v>
      </c>
      <c r="C57" s="9" t="s">
        <v>9</v>
      </c>
      <c r="D57" s="12">
        <f>IF(D47="","",(D47-'2016'!D5)/'2016'!D5)</f>
        <v>-0.14678448699067256</v>
      </c>
      <c r="E57" s="12">
        <f>IF(E47="","",(E47-'2016'!E5)/'2016'!E5)</f>
        <v>-3.7025977903851898E-2</v>
      </c>
      <c r="F57" s="12">
        <f>IF(F47="","",(F47-'2016'!F5)/'2016'!F5)</f>
        <v>-1.0268697586856067E-3</v>
      </c>
      <c r="G57" s="12" t="str">
        <f>IF(G47="","",(G47-#REF!)/#REF!)</f>
        <v/>
      </c>
      <c r="H57" s="12" t="str">
        <f>IF(H47="","",(H47-#REF!)/#REF!)</f>
        <v/>
      </c>
      <c r="I57" s="12" t="str">
        <f>IF(I47="","",(I47-#REF!)/#REF!)</f>
        <v/>
      </c>
      <c r="J57" s="11">
        <f>J47-'2015'!J77</f>
        <v>17.523986529742267</v>
      </c>
      <c r="K57" s="11">
        <f>K47-'2015'!K77</f>
        <v>44.841251311459601</v>
      </c>
      <c r="L57" s="11">
        <f>L47-'2015'!L77</f>
        <v>161.44759691085153</v>
      </c>
      <c r="M57" s="11" t="str">
        <f>IF(G57="","",M47-((1/Comparisons!#REF!)*1000000))</f>
        <v/>
      </c>
      <c r="N57" s="11" t="str">
        <f>IF(H57="","",N47-((1/Comparisons!#REF!)*1000000))</f>
        <v/>
      </c>
      <c r="O57" s="11" t="str">
        <f>IF(I57="","",O47-((1/Comparisons!#REF!)*1000000))</f>
        <v/>
      </c>
    </row>
    <row r="58" spans="1:15" x14ac:dyDescent="0.25">
      <c r="A58" s="8" t="s">
        <v>10</v>
      </c>
      <c r="B58" s="9" t="s">
        <v>8</v>
      </c>
      <c r="C58" s="9" t="s">
        <v>11</v>
      </c>
      <c r="D58" s="12">
        <f>IF(D48="","",(D48-'2016'!D6)/'2016'!D6)</f>
        <v>6.591122435295696E-2</v>
      </c>
      <c r="E58" s="12">
        <f>IF(E48="","",(E48-'2016'!E6)/'2016'!E6)</f>
        <v>3.8220088626292469E-2</v>
      </c>
      <c r="F58" s="12">
        <f>IF(F48="","",(F48-'2016'!F6)/'2016'!F6)</f>
        <v>2.0724303956458027E-2</v>
      </c>
      <c r="G58" s="12" t="str">
        <f>IF(G48="","",(G48-#REF!)/#REF!)</f>
        <v/>
      </c>
      <c r="H58" s="12" t="str">
        <f>IF(H48="","",(H48-#REF!)/#REF!)</f>
        <v/>
      </c>
      <c r="I58" s="12" t="str">
        <f>IF(I48="","",(I48-#REF!)/#REF!)</f>
        <v/>
      </c>
      <c r="J58" s="11">
        <f>J48-'2015'!J78</f>
        <v>62.638139030002264</v>
      </c>
      <c r="K58" s="11">
        <f>K48-'2015'!K78</f>
        <v>88.920505068468785</v>
      </c>
      <c r="L58" s="11">
        <f>L48-'2015'!L78</f>
        <v>204.94771921746931</v>
      </c>
      <c r="M58" s="11" t="str">
        <f>IF(G58="","",M48-((1/Comparisons!#REF!)*1000000))</f>
        <v/>
      </c>
      <c r="N58" s="11" t="str">
        <f>IF(H58="","",N48-((1/Comparisons!#REF!)*1000000))</f>
        <v/>
      </c>
      <c r="O58" s="11" t="str">
        <f>IF(I58="","",O48-((1/Comparisons!#REF!)*1000000))</f>
        <v/>
      </c>
    </row>
    <row r="59" spans="1:15" x14ac:dyDescent="0.25">
      <c r="A59" s="9" t="s">
        <v>12</v>
      </c>
      <c r="B59" s="9" t="s">
        <v>13</v>
      </c>
      <c r="C59" s="9" t="s">
        <v>9</v>
      </c>
      <c r="D59" s="12" t="e">
        <f>IF(D49="","",(D49-'2016'!D7)/'2016'!D7)</f>
        <v>#VALUE!</v>
      </c>
      <c r="E59" s="12" t="e">
        <f>IF(E49="","",(E49-'2016'!E28)/'2016'!E28)</f>
        <v>#VALUE!</v>
      </c>
      <c r="F59" s="12" t="e">
        <f>IF(F49="","",(F49-'2016'!F28)/'2016'!F28)</f>
        <v>#VALUE!</v>
      </c>
      <c r="G59" s="12" t="str">
        <f>IF(G49="","",(G49-#REF!)/#REF!)</f>
        <v/>
      </c>
      <c r="H59" s="12" t="str">
        <f>IF(H49="","",(H49-#REF!)/#REF!)</f>
        <v/>
      </c>
      <c r="I59" s="12" t="str">
        <f>IF(I49="","",(I49-#REF!)/#REF!)</f>
        <v/>
      </c>
      <c r="J59" s="11" t="e">
        <f>J49-'2015'!J79</f>
        <v>#VALUE!</v>
      </c>
      <c r="K59" s="11" t="e">
        <f>K49-'2015'!K79</f>
        <v>#VALUE!</v>
      </c>
      <c r="L59" s="11" t="e">
        <f>L49-'2015'!L79</f>
        <v>#VALUE!</v>
      </c>
      <c r="M59" s="11" t="str">
        <f>IF(G59="","",M49-((1/Comparisons!#REF!)*1000000))</f>
        <v/>
      </c>
      <c r="N59" s="11" t="str">
        <f>IF(H59="","",N49-((1/Comparisons!#REF!)*1000000))</f>
        <v/>
      </c>
      <c r="O59" s="11" t="str">
        <f>IF(I59="","",O49-((1/Comparisons!#REF!)*1000000))</f>
        <v/>
      </c>
    </row>
    <row r="60" spans="1:15" x14ac:dyDescent="0.25">
      <c r="A60" s="9" t="s">
        <v>14</v>
      </c>
      <c r="B60" s="9" t="s">
        <v>13</v>
      </c>
      <c r="C60" s="9" t="s">
        <v>11</v>
      </c>
      <c r="D60" s="12" t="e">
        <f>IF(D50="","",(D50-'2016'!D8)/'2016'!D8)</f>
        <v>#VALUE!</v>
      </c>
      <c r="E60" s="12" t="e">
        <f>IF(E50="","",(E50-'2016'!E29)/'2016'!E29)</f>
        <v>#VALUE!</v>
      </c>
      <c r="F60" s="12" t="e">
        <f>IF(F50="","",(F50-'2016'!F29)/'2016'!F29)</f>
        <v>#VALUE!</v>
      </c>
      <c r="G60" s="12" t="str">
        <f>IF(G50="","",(G50-#REF!)/#REF!)</f>
        <v/>
      </c>
      <c r="H60" s="12" t="str">
        <f>IF(H50="","",(H50-#REF!)/#REF!)</f>
        <v/>
      </c>
      <c r="I60" s="12" t="str">
        <f>IF(I50="","",(I50-#REF!)/#REF!)</f>
        <v/>
      </c>
      <c r="J60" s="11">
        <f>J50-'2015'!J80</f>
        <v>79.589867335536553</v>
      </c>
      <c r="K60" s="11" t="e">
        <f>K50-'2015'!K80</f>
        <v>#VALUE!</v>
      </c>
      <c r="L60" s="11" t="e">
        <f>L50-'2015'!L80</f>
        <v>#VALUE!</v>
      </c>
      <c r="M60" s="11" t="str">
        <f>IF(G60="","",M50-((1/Comparisons!#REF!)*1000000))</f>
        <v/>
      </c>
      <c r="N60" s="11" t="str">
        <f>IF(H60="","",N50-((1/Comparisons!#REF!)*1000000))</f>
        <v/>
      </c>
      <c r="O60" s="11" t="str">
        <f>IF(I60="","",O50-((1/Comparisons!#REF!)*1000000))</f>
        <v/>
      </c>
    </row>
    <row r="61" spans="1:15" x14ac:dyDescent="0.25">
      <c r="A61" s="9" t="s">
        <v>15</v>
      </c>
      <c r="B61" s="9" t="s">
        <v>16</v>
      </c>
      <c r="C61" s="9" t="s">
        <v>11</v>
      </c>
      <c r="D61" s="12">
        <f>IF(D51="","",(D51-'2016'!D9)/'2016'!D9)</f>
        <v>1.0899384592570624E-2</v>
      </c>
      <c r="E61" s="12" t="e">
        <f>IF(E51="","",(E51-'2016'!E30)/'2016'!E30)</f>
        <v>#VALUE!</v>
      </c>
      <c r="F61" s="12" t="e">
        <f>IF(F51="","",(F51-'2016'!F30)/'2016'!F30)</f>
        <v>#VALUE!</v>
      </c>
      <c r="G61" s="12" t="str">
        <f>IF(G51="","",(G51-#REF!)/#REF!)</f>
        <v/>
      </c>
      <c r="H61" s="12" t="str">
        <f>IF(H51="","",(H51-#REF!)/#REF!)</f>
        <v/>
      </c>
      <c r="I61" s="12" t="str">
        <f>IF(I51="","",(I51-#REF!)/#REF!)</f>
        <v/>
      </c>
      <c r="J61" s="11" t="e">
        <f>J51-'2015'!J81</f>
        <v>#REF!</v>
      </c>
      <c r="K61" s="11" t="e">
        <f>K51-'2015'!K81</f>
        <v>#VALUE!</v>
      </c>
      <c r="L61" s="11" t="e">
        <f>L51-'2015'!L81</f>
        <v>#VALUE!</v>
      </c>
      <c r="M61" s="11" t="str">
        <f>IF(G61="","",M51-((1/Comparisons!#REF!)*1000000))</f>
        <v/>
      </c>
      <c r="N61" s="11" t="str">
        <f>IF(H61="","",N51-((1/Comparisons!#REF!)*1000000))</f>
        <v/>
      </c>
      <c r="O61" s="11" t="str">
        <f>IF(I61="","",O51-((1/Comparisons!#REF!)*1000000))</f>
        <v/>
      </c>
    </row>
    <row r="62" spans="1:15" x14ac:dyDescent="0.25">
      <c r="A62" s="9" t="s">
        <v>17</v>
      </c>
      <c r="B62" s="8" t="s">
        <v>18</v>
      </c>
      <c r="C62" s="9" t="s">
        <v>11</v>
      </c>
      <c r="D62" s="12" t="e">
        <f>IF(D52="","",(D52-'2016'!D10)/'2016'!D10)</f>
        <v>#VALUE!</v>
      </c>
      <c r="E62" s="12" t="e">
        <f>IF(E52="","",(E52-'2016'!E31)/'2016'!E31)</f>
        <v>#VALUE!</v>
      </c>
      <c r="F62" s="12" t="e">
        <f>IF(F52="","",(F52-'2016'!F31)/'2016'!F31)</f>
        <v>#VALUE!</v>
      </c>
      <c r="G62" s="12" t="str">
        <f>IF(G52="","",(G52-#REF!)/#REF!)</f>
        <v/>
      </c>
      <c r="H62" s="12" t="str">
        <f>IF(H52="","",(H52-#REF!)/#REF!)</f>
        <v/>
      </c>
      <c r="I62" s="12" t="str">
        <f>IF(I52="","",(I52-#REF!)/#REF!)</f>
        <v/>
      </c>
      <c r="J62" s="11" t="e">
        <f>J52-'2015'!J82</f>
        <v>#VALUE!</v>
      </c>
      <c r="K62" s="11" t="e">
        <f>K52-'2015'!K82</f>
        <v>#VALUE!</v>
      </c>
      <c r="L62" s="11" t="e">
        <f>L52-'2015'!L82</f>
        <v>#VALUE!</v>
      </c>
      <c r="M62" s="11" t="str">
        <f>IF(G62="","",M52-((1/Comparisons!#REF!)*1000000))</f>
        <v/>
      </c>
      <c r="N62" s="11" t="str">
        <f>IF(H62="","",N52-((1/Comparisons!#REF!)*1000000))</f>
        <v/>
      </c>
      <c r="O62" s="11" t="str">
        <f>IF(I62="","",O52-((1/Comparisons!#REF!)*1000000))</f>
        <v/>
      </c>
    </row>
    <row r="64" spans="1:15" ht="18.75" x14ac:dyDescent="0.25">
      <c r="A64" s="77" t="s">
        <v>93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84"/>
    </row>
    <row r="65" spans="1:15" ht="15.75" x14ac:dyDescent="0.25">
      <c r="A65" s="79" t="s">
        <v>102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92"/>
    </row>
    <row r="66" spans="1:15" x14ac:dyDescent="0.25">
      <c r="A66" s="87" t="s">
        <v>1</v>
      </c>
      <c r="B66" s="88"/>
      <c r="C66" s="89"/>
      <c r="D66" s="105" t="s">
        <v>2</v>
      </c>
      <c r="E66" s="106"/>
      <c r="F66" s="106"/>
      <c r="G66" s="106"/>
      <c r="H66" s="106"/>
      <c r="I66" s="107"/>
      <c r="J66" s="105" t="s">
        <v>3</v>
      </c>
      <c r="K66" s="106"/>
      <c r="L66" s="106"/>
      <c r="M66" s="106"/>
      <c r="N66" s="106"/>
      <c r="O66" s="107"/>
    </row>
    <row r="67" spans="1:15" x14ac:dyDescent="0.25">
      <c r="A67" s="6" t="s">
        <v>26</v>
      </c>
      <c r="B67" s="6" t="s">
        <v>5</v>
      </c>
      <c r="C67" s="6" t="s">
        <v>6</v>
      </c>
      <c r="D67" s="7">
        <v>1</v>
      </c>
      <c r="E67" s="7">
        <v>4</v>
      </c>
      <c r="F67" s="7">
        <v>16</v>
      </c>
      <c r="G67" s="7">
        <v>32</v>
      </c>
      <c r="H67" s="7">
        <v>64</v>
      </c>
      <c r="I67" s="7">
        <v>80</v>
      </c>
      <c r="J67" s="7">
        <v>1</v>
      </c>
      <c r="K67" s="7">
        <v>4</v>
      </c>
      <c r="L67" s="7">
        <v>16</v>
      </c>
      <c r="M67" s="7">
        <v>32</v>
      </c>
      <c r="N67" s="7">
        <v>64</v>
      </c>
      <c r="O67" s="7">
        <v>80</v>
      </c>
    </row>
    <row r="68" spans="1:15" x14ac:dyDescent="0.25">
      <c r="A68" s="8" t="s">
        <v>7</v>
      </c>
      <c r="B68" s="9" t="s">
        <v>8</v>
      </c>
      <c r="C68" s="9" t="s">
        <v>9</v>
      </c>
      <c r="D68" s="24">
        <v>40670</v>
      </c>
      <c r="E68" s="24">
        <v>19671</v>
      </c>
      <c r="F68" s="24">
        <v>5843</v>
      </c>
      <c r="G68" s="10"/>
      <c r="H68" s="10"/>
      <c r="I68" s="10"/>
      <c r="J68" s="11">
        <f t="shared" ref="J68:J70" si="14">IF(D68="","",(1/D68)*1000000)</f>
        <v>24.588148512417014</v>
      </c>
      <c r="K68" s="11">
        <f t="shared" ref="K68:K73" si="15">IF(E68="","",(1/E68)*1000000)</f>
        <v>50.836256418077369</v>
      </c>
      <c r="L68" s="11">
        <f t="shared" ref="L68:L73" si="16">IF(F68="","",(1/F68)*1000000)</f>
        <v>171.14495978093444</v>
      </c>
      <c r="M68" s="11" t="str">
        <f t="shared" ref="M68:M73" si="17">IF(G68="","",(1/G68)*1000000)</f>
        <v/>
      </c>
      <c r="N68" s="11" t="str">
        <f t="shared" ref="N68:N73" si="18">IF(H68="","",(1/H68)*1000000)</f>
        <v/>
      </c>
      <c r="O68" s="11" t="str">
        <f t="shared" ref="O68:O73" si="19">IF(I68="","",(1/I68)*1000000)</f>
        <v/>
      </c>
    </row>
    <row r="69" spans="1:15" x14ac:dyDescent="0.25">
      <c r="A69" s="8" t="s">
        <v>10</v>
      </c>
      <c r="B69" s="9" t="s">
        <v>8</v>
      </c>
      <c r="C69" s="9" t="s">
        <v>11</v>
      </c>
      <c r="D69" s="24">
        <v>15977</v>
      </c>
      <c r="E69" s="24">
        <v>11023</v>
      </c>
      <c r="F69" s="24">
        <v>4780</v>
      </c>
      <c r="G69" s="10"/>
      <c r="H69" s="10"/>
      <c r="I69" s="10"/>
      <c r="J69" s="11">
        <f t="shared" si="14"/>
        <v>62.589973086311566</v>
      </c>
      <c r="K69" s="11">
        <f t="shared" si="15"/>
        <v>90.719404880703976</v>
      </c>
      <c r="L69" s="11">
        <f t="shared" si="16"/>
        <v>209.20502092050208</v>
      </c>
      <c r="M69" s="11" t="str">
        <f t="shared" si="17"/>
        <v/>
      </c>
      <c r="N69" s="11" t="str">
        <f t="shared" si="18"/>
        <v/>
      </c>
      <c r="O69" s="11" t="str">
        <f t="shared" si="19"/>
        <v/>
      </c>
    </row>
    <row r="70" spans="1:15" x14ac:dyDescent="0.25">
      <c r="A70" s="9" t="s">
        <v>12</v>
      </c>
      <c r="B70" s="9" t="s">
        <v>13</v>
      </c>
      <c r="C70" s="9" t="s">
        <v>9</v>
      </c>
      <c r="D70" s="24" t="s">
        <v>99</v>
      </c>
      <c r="E70" s="24" t="s">
        <v>99</v>
      </c>
      <c r="F70" s="24" t="s">
        <v>99</v>
      </c>
      <c r="G70" s="10"/>
      <c r="H70" s="10"/>
      <c r="I70" s="10"/>
      <c r="J70" s="11" t="e">
        <f t="shared" si="14"/>
        <v>#VALUE!</v>
      </c>
      <c r="K70" s="11" t="e">
        <f t="shared" si="15"/>
        <v>#VALUE!</v>
      </c>
      <c r="L70" s="11" t="e">
        <f t="shared" si="16"/>
        <v>#VALUE!</v>
      </c>
      <c r="M70" s="11" t="str">
        <f t="shared" si="17"/>
        <v/>
      </c>
      <c r="N70" s="11" t="str">
        <f t="shared" si="18"/>
        <v/>
      </c>
      <c r="O70" s="11" t="str">
        <f t="shared" si="19"/>
        <v/>
      </c>
    </row>
    <row r="71" spans="1:15" x14ac:dyDescent="0.25">
      <c r="A71" s="9" t="s">
        <v>14</v>
      </c>
      <c r="B71" s="9" t="s">
        <v>13</v>
      </c>
      <c r="C71" s="9" t="s">
        <v>11</v>
      </c>
      <c r="D71" s="24" t="s">
        <v>99</v>
      </c>
      <c r="E71" s="24" t="s">
        <v>99</v>
      </c>
      <c r="F71" s="24" t="s">
        <v>99</v>
      </c>
      <c r="G71" s="10"/>
      <c r="H71" s="10"/>
      <c r="I71" s="10"/>
      <c r="J71" s="11">
        <f>IF(D72="","",(1/D72)*1000000)</f>
        <v>71.89072609633358</v>
      </c>
      <c r="K71" s="11" t="e">
        <f t="shared" si="15"/>
        <v>#VALUE!</v>
      </c>
      <c r="L71" s="11" t="e">
        <f t="shared" si="16"/>
        <v>#VALUE!</v>
      </c>
      <c r="M71" s="11" t="str">
        <f t="shared" si="17"/>
        <v/>
      </c>
      <c r="N71" s="11" t="str">
        <f t="shared" si="18"/>
        <v/>
      </c>
      <c r="O71" s="11" t="str">
        <f t="shared" si="19"/>
        <v/>
      </c>
    </row>
    <row r="72" spans="1:15" x14ac:dyDescent="0.25">
      <c r="A72" s="9" t="s">
        <v>15</v>
      </c>
      <c r="B72" s="9" t="s">
        <v>16</v>
      </c>
      <c r="C72" s="9" t="s">
        <v>11</v>
      </c>
      <c r="D72" s="24">
        <v>13910</v>
      </c>
      <c r="E72" s="24" t="s">
        <v>99</v>
      </c>
      <c r="F72" s="24" t="s">
        <v>99</v>
      </c>
      <c r="G72" s="10"/>
      <c r="H72" s="10"/>
      <c r="I72" s="10"/>
      <c r="J72" s="11" t="e">
        <f>IF(#REF!="","",(1/#REF!)*1000000)</f>
        <v>#REF!</v>
      </c>
      <c r="K72" s="11" t="e">
        <f t="shared" si="15"/>
        <v>#VALUE!</v>
      </c>
      <c r="L72" s="11" t="e">
        <f t="shared" si="16"/>
        <v>#VALUE!</v>
      </c>
      <c r="M72" s="11" t="str">
        <f t="shared" si="17"/>
        <v/>
      </c>
      <c r="N72" s="11" t="str">
        <f t="shared" si="18"/>
        <v/>
      </c>
      <c r="O72" s="11" t="str">
        <f t="shared" si="19"/>
        <v/>
      </c>
    </row>
    <row r="73" spans="1:15" x14ac:dyDescent="0.25">
      <c r="A73" s="9" t="s">
        <v>17</v>
      </c>
      <c r="B73" s="8" t="s">
        <v>18</v>
      </c>
      <c r="C73" s="9" t="s">
        <v>11</v>
      </c>
      <c r="D73" s="24" t="s">
        <v>99</v>
      </c>
      <c r="E73" s="24" t="s">
        <v>99</v>
      </c>
      <c r="F73" s="24" t="s">
        <v>99</v>
      </c>
      <c r="G73" s="10"/>
      <c r="H73" s="10"/>
      <c r="I73" s="10"/>
      <c r="J73" s="11" t="e">
        <f t="shared" ref="J73" si="20">IF(D73="","",(1/D73)*1000000)</f>
        <v>#VALUE!</v>
      </c>
      <c r="K73" s="11" t="e">
        <f t="shared" si="15"/>
        <v>#VALUE!</v>
      </c>
      <c r="L73" s="11" t="e">
        <f t="shared" si="16"/>
        <v>#VALUE!</v>
      </c>
      <c r="M73" s="11" t="str">
        <f t="shared" si="17"/>
        <v/>
      </c>
      <c r="N73" s="11" t="str">
        <f t="shared" si="18"/>
        <v/>
      </c>
      <c r="O73" s="11" t="str">
        <f t="shared" si="19"/>
        <v/>
      </c>
    </row>
    <row r="74" spans="1:15" x14ac:dyDescent="0.25">
      <c r="A74" s="102" t="s">
        <v>103</v>
      </c>
      <c r="B74" s="102"/>
      <c r="C74" s="102"/>
      <c r="D74" s="102"/>
      <c r="E74" s="133" t="s">
        <v>106</v>
      </c>
      <c r="F74" s="133"/>
      <c r="G74" s="133"/>
      <c r="H74" s="133"/>
      <c r="I74" s="133"/>
      <c r="J74" s="133"/>
      <c r="K74" s="133"/>
      <c r="L74" s="133"/>
      <c r="M74" s="133"/>
      <c r="N74" s="133"/>
      <c r="O74" s="133"/>
    </row>
    <row r="75" spans="1:15" ht="18.75" x14ac:dyDescent="0.3">
      <c r="A75" s="75" t="s">
        <v>95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93"/>
    </row>
    <row r="76" spans="1:15" x14ac:dyDescent="0.25">
      <c r="A76" s="87" t="s">
        <v>1</v>
      </c>
      <c r="B76" s="88"/>
      <c r="C76" s="89"/>
      <c r="D76" s="105" t="s">
        <v>19</v>
      </c>
      <c r="E76" s="106"/>
      <c r="F76" s="106"/>
      <c r="G76" s="106"/>
      <c r="H76" s="106"/>
      <c r="I76" s="107"/>
      <c r="J76" s="105" t="s">
        <v>22</v>
      </c>
      <c r="K76" s="106"/>
      <c r="L76" s="106"/>
      <c r="M76" s="106"/>
      <c r="N76" s="106"/>
      <c r="O76" s="107"/>
    </row>
    <row r="77" spans="1:15" x14ac:dyDescent="0.25">
      <c r="A77" s="6" t="s">
        <v>4</v>
      </c>
      <c r="B77" s="6" t="s">
        <v>5</v>
      </c>
      <c r="C77" s="6" t="s">
        <v>6</v>
      </c>
      <c r="D77" s="7">
        <v>1</v>
      </c>
      <c r="E77" s="7">
        <v>4</v>
      </c>
      <c r="F77" s="7">
        <v>16</v>
      </c>
      <c r="G77" s="7">
        <v>32</v>
      </c>
      <c r="H77" s="7">
        <v>64</v>
      </c>
      <c r="I77" s="7">
        <v>80</v>
      </c>
      <c r="J77" s="7">
        <v>1</v>
      </c>
      <c r="K77" s="7">
        <v>4</v>
      </c>
      <c r="L77" s="7">
        <v>16</v>
      </c>
      <c r="M77" s="7">
        <v>32</v>
      </c>
      <c r="N77" s="7">
        <v>64</v>
      </c>
      <c r="O77" s="7">
        <v>80</v>
      </c>
    </row>
    <row r="78" spans="1:15" x14ac:dyDescent="0.25">
      <c r="A78" s="8" t="s">
        <v>7</v>
      </c>
      <c r="B78" s="9" t="s">
        <v>8</v>
      </c>
      <c r="C78" s="9" t="s">
        <v>9</v>
      </c>
      <c r="D78" s="12">
        <f>IF(D68="","",(D68-'2016'!D5)/'2016'!D5)</f>
        <v>-9.2471102780381134E-2</v>
      </c>
      <c r="E78" s="12">
        <f>IF(E68="","",(E68-'2016'!E5)/'2016'!E5)</f>
        <v>-2.1051060017915797E-2</v>
      </c>
      <c r="F78" s="12">
        <f>IF(F68="","",(F68-'2016'!F5)/'2016'!F5)</f>
        <v>0</v>
      </c>
      <c r="G78" s="12" t="str">
        <f>IF(G68="","",(G68-#REF!)/#REF!)</f>
        <v/>
      </c>
      <c r="H78" s="12" t="str">
        <f>IF(H68="","",(H68-#REF!)/#REF!)</f>
        <v/>
      </c>
      <c r="I78" s="12" t="str">
        <f>IF(I68="","",(I68-#REF!)/#REF!)</f>
        <v/>
      </c>
      <c r="J78" s="11">
        <f>J68-'2015'!J98</f>
        <v>24.458065114189033</v>
      </c>
      <c r="K78" s="11">
        <f>K68-'2015'!K98</f>
        <v>51.570164102337344</v>
      </c>
      <c r="L78" s="11">
        <f>L68-'2015'!L98</f>
        <v>170.80034218242037</v>
      </c>
      <c r="M78" s="11" t="str">
        <f>IF(G78="","",M68-((1/Comparisons!#REF!)*1000000))</f>
        <v/>
      </c>
      <c r="N78" s="11" t="str">
        <f>IF(H78="","",N68-((1/Comparisons!#REF!)*1000000))</f>
        <v/>
      </c>
      <c r="O78" s="11" t="str">
        <f>IF(I78="","",O68-((1/Comparisons!#REF!)*1000000))</f>
        <v/>
      </c>
    </row>
    <row r="79" spans="1:15" x14ac:dyDescent="0.25">
      <c r="A79" s="8" t="s">
        <v>10</v>
      </c>
      <c r="B79" s="9" t="s">
        <v>8</v>
      </c>
      <c r="C79" s="9" t="s">
        <v>11</v>
      </c>
      <c r="D79" s="12">
        <f>IF(D69="","",(D69-'2016'!D6)/'2016'!D6)</f>
        <v>7.1275311787582132E-2</v>
      </c>
      <c r="E79" s="12">
        <f>IF(E69="","",(E69-'2016'!E6)/'2016'!E6)</f>
        <v>1.7632939438700149E-2</v>
      </c>
      <c r="F79" s="12">
        <f>IF(F69="","",(F69-'2016'!F6)/'2016'!F6)</f>
        <v>6.2800921080175844E-4</v>
      </c>
      <c r="G79" s="12" t="str">
        <f>IF(G69="","",(G69-#REF!)/#REF!)</f>
        <v/>
      </c>
      <c r="H79" s="12" t="str">
        <f>IF(H69="","",(H69-#REF!)/#REF!)</f>
        <v/>
      </c>
      <c r="I79" s="12" t="str">
        <f>IF(I69="","",(I69-#REF!)/#REF!)</f>
        <v/>
      </c>
      <c r="J79" s="11">
        <f>J69-'2015'!J99</f>
        <v>55.612902789392628</v>
      </c>
      <c r="K79" s="11">
        <f>K69-'2015'!K99</f>
        <v>84.070962731988573</v>
      </c>
      <c r="L79" s="11">
        <f>L69-'2015'!L99</f>
        <v>197.39379890479873</v>
      </c>
      <c r="M79" s="11" t="str">
        <f>IF(G79="","",M69-((1/Comparisons!#REF!)*1000000))</f>
        <v/>
      </c>
      <c r="N79" s="11" t="str">
        <f>IF(H79="","",N69-((1/Comparisons!#REF!)*1000000))</f>
        <v/>
      </c>
      <c r="O79" s="11" t="str">
        <f>IF(I79="","",O69-((1/Comparisons!#REF!)*1000000))</f>
        <v/>
      </c>
    </row>
    <row r="80" spans="1:15" x14ac:dyDescent="0.25">
      <c r="A80" s="9" t="s">
        <v>12</v>
      </c>
      <c r="B80" s="9" t="s">
        <v>13</v>
      </c>
      <c r="C80" s="9" t="s">
        <v>9</v>
      </c>
      <c r="D80" s="12" t="e">
        <f>IF(D70="","",(D70-'2016'!D7)/'2016'!D7)</f>
        <v>#VALUE!</v>
      </c>
      <c r="E80" s="12" t="e">
        <f>IF(E70="","",(E70-'2016'!E7)/'2016'!E7)</f>
        <v>#VALUE!</v>
      </c>
      <c r="F80" s="12" t="e">
        <f>IF(F70="","",(F70-'2016'!F49)/'2016'!F49)</f>
        <v>#VALUE!</v>
      </c>
      <c r="G80" s="12" t="str">
        <f>IF(G70="","",(G70-#REF!)/#REF!)</f>
        <v/>
      </c>
      <c r="H80" s="12" t="str">
        <f>IF(H70="","",(H70-#REF!)/#REF!)</f>
        <v/>
      </c>
      <c r="I80" s="12" t="str">
        <f>IF(I70="","",(I70-#REF!)/#REF!)</f>
        <v/>
      </c>
      <c r="J80" s="11" t="e">
        <f>J70-'2015'!J100</f>
        <v>#VALUE!</v>
      </c>
      <c r="K80" s="11" t="e">
        <f>K70-'2015'!K100</f>
        <v>#VALUE!</v>
      </c>
      <c r="L80" s="11" t="e">
        <f>L70-'2015'!L100</f>
        <v>#VALUE!</v>
      </c>
      <c r="M80" s="11" t="str">
        <f>IF(G80="","",M70-((1/Comparisons!#REF!)*1000000))</f>
        <v/>
      </c>
      <c r="N80" s="11" t="str">
        <f>IF(H80="","",N70-((1/Comparisons!#REF!)*1000000))</f>
        <v/>
      </c>
      <c r="O80" s="11" t="str">
        <f>IF(I80="","",O70-((1/Comparisons!#REF!)*1000000))</f>
        <v/>
      </c>
    </row>
    <row r="81" spans="1:15" x14ac:dyDescent="0.25">
      <c r="A81" s="9" t="s">
        <v>14</v>
      </c>
      <c r="B81" s="9" t="s">
        <v>13</v>
      </c>
      <c r="C81" s="9" t="s">
        <v>11</v>
      </c>
      <c r="D81" s="12" t="e">
        <f>IF(D71="","",(D71-'2016'!D8)/'2016'!D8)</f>
        <v>#VALUE!</v>
      </c>
      <c r="E81" s="12" t="e">
        <f>IF(E71="","",(E71-'2016'!E8)/'2016'!E8)</f>
        <v>#VALUE!</v>
      </c>
      <c r="F81" s="12" t="e">
        <f>IF(F71="","",(F71-'2016'!F50)/'2016'!F50)</f>
        <v>#VALUE!</v>
      </c>
      <c r="G81" s="12" t="str">
        <f>IF(G71="","",(G71-#REF!)/#REF!)</f>
        <v/>
      </c>
      <c r="H81" s="12" t="str">
        <f>IF(H71="","",(H71-#REF!)/#REF!)</f>
        <v/>
      </c>
      <c r="I81" s="12" t="str">
        <f>IF(I71="","",(I71-#REF!)/#REF!)</f>
        <v/>
      </c>
      <c r="J81" s="11">
        <f>J71-'2015'!J101</f>
        <v>77.833247864871282</v>
      </c>
      <c r="K81" s="11" t="e">
        <f>K71-'2015'!K101</f>
        <v>#VALUE!</v>
      </c>
      <c r="L81" s="11" t="e">
        <f>L71-'2015'!L101</f>
        <v>#VALUE!</v>
      </c>
      <c r="M81" s="11" t="str">
        <f>IF(G81="","",M71-((1/Comparisons!#REF!)*1000000))</f>
        <v/>
      </c>
      <c r="N81" s="11" t="str">
        <f>IF(H81="","",N71-((1/Comparisons!#REF!)*1000000))</f>
        <v/>
      </c>
      <c r="O81" s="11" t="str">
        <f>IF(I81="","",O71-((1/Comparisons!#REF!)*1000000))</f>
        <v/>
      </c>
    </row>
    <row r="82" spans="1:15" x14ac:dyDescent="0.25">
      <c r="A82" s="9" t="s">
        <v>15</v>
      </c>
      <c r="B82" s="9" t="s">
        <v>16</v>
      </c>
      <c r="C82" s="9" t="s">
        <v>11</v>
      </c>
      <c r="D82" s="12">
        <f>IF(D72="","",(D72-'2016'!D9)/'2016'!D9)</f>
        <v>3.1363535256172609E-2</v>
      </c>
      <c r="E82" s="12" t="e">
        <f>IF(E72="","",(E72-'2016'!E9)/'2016'!E9)</f>
        <v>#VALUE!</v>
      </c>
      <c r="F82" s="12" t="e">
        <f>IF(F72="","",(F72-'2016'!F51)/'2016'!F51)</f>
        <v>#VALUE!</v>
      </c>
      <c r="G82" s="12" t="str">
        <f>IF(G72="","",(G72-#REF!)/#REF!)</f>
        <v/>
      </c>
      <c r="H82" s="12" t="str">
        <f>IF(H72="","",(H72-#REF!)/#REF!)</f>
        <v/>
      </c>
      <c r="I82" s="12" t="str">
        <f>IF(I72="","",(I72-#REF!)/#REF!)</f>
        <v/>
      </c>
      <c r="J82" s="11" t="e">
        <f>J72-'2015'!J102</f>
        <v>#REF!</v>
      </c>
      <c r="K82" s="11" t="e">
        <f>K72-'2015'!K102</f>
        <v>#VALUE!</v>
      </c>
      <c r="L82" s="11" t="e">
        <f>L72-'2015'!L102</f>
        <v>#VALUE!</v>
      </c>
      <c r="M82" s="11" t="str">
        <f>IF(G82="","",M72-((1/Comparisons!#REF!)*1000000))</f>
        <v/>
      </c>
      <c r="N82" s="11" t="str">
        <f>IF(H82="","",N72-((1/Comparisons!#REF!)*1000000))</f>
        <v/>
      </c>
      <c r="O82" s="11" t="str">
        <f>IF(I82="","",O72-((1/Comparisons!#REF!)*1000000))</f>
        <v/>
      </c>
    </row>
    <row r="83" spans="1:15" x14ac:dyDescent="0.25">
      <c r="A83" s="9" t="s">
        <v>17</v>
      </c>
      <c r="B83" s="8" t="s">
        <v>18</v>
      </c>
      <c r="C83" s="9" t="s">
        <v>11</v>
      </c>
      <c r="D83" s="12" t="e">
        <f>IF(D73="","",(D73-'2016'!D10)/'2016'!D10)</f>
        <v>#VALUE!</v>
      </c>
      <c r="E83" s="12" t="e">
        <f>IF(E73="","",(E73-'2016'!E10)/'2016'!E10)</f>
        <v>#VALUE!</v>
      </c>
      <c r="F83" s="12" t="e">
        <f>IF(F73="","",(F73-'2016'!F52)/'2016'!F52)</f>
        <v>#VALUE!</v>
      </c>
      <c r="G83" s="12" t="str">
        <f>IF(G73="","",(G73-#REF!)/#REF!)</f>
        <v/>
      </c>
      <c r="H83" s="12" t="str">
        <f>IF(H73="","",(H73-#REF!)/#REF!)</f>
        <v/>
      </c>
      <c r="I83" s="12" t="str">
        <f>IF(I73="","",(I73-#REF!)/#REF!)</f>
        <v/>
      </c>
      <c r="J83" s="11" t="e">
        <f>J73-'2015'!J103</f>
        <v>#VALUE!</v>
      </c>
      <c r="K83" s="11" t="e">
        <f>K73-'2015'!K103</f>
        <v>#VALUE!</v>
      </c>
      <c r="L83" s="11" t="e">
        <f>L73-'2015'!L103</f>
        <v>#VALUE!</v>
      </c>
      <c r="M83" s="11" t="str">
        <f>IF(G83="","",M73-((1/Comparisons!#REF!)*1000000))</f>
        <v/>
      </c>
      <c r="N83" s="11" t="str">
        <f>IF(H83="","",N73-((1/Comparisons!#REF!)*1000000))</f>
        <v/>
      </c>
      <c r="O83" s="11" t="str">
        <f>IF(I83="","",O73-((1/Comparisons!#REF!)*1000000))</f>
        <v/>
      </c>
    </row>
    <row r="85" spans="1:15" ht="18.75" x14ac:dyDescent="0.25">
      <c r="A85" s="77" t="s">
        <v>93</v>
      </c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84"/>
    </row>
    <row r="86" spans="1:15" ht="15.75" x14ac:dyDescent="0.25">
      <c r="A86" s="79" t="s">
        <v>109</v>
      </c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92"/>
    </row>
    <row r="87" spans="1:15" x14ac:dyDescent="0.25">
      <c r="A87" s="87" t="s">
        <v>1</v>
      </c>
      <c r="B87" s="88"/>
      <c r="C87" s="89"/>
      <c r="D87" s="105" t="s">
        <v>2</v>
      </c>
      <c r="E87" s="106"/>
      <c r="F87" s="106"/>
      <c r="G87" s="106"/>
      <c r="H87" s="106"/>
      <c r="I87" s="107"/>
      <c r="J87" s="105" t="s">
        <v>3</v>
      </c>
      <c r="K87" s="106"/>
      <c r="L87" s="106"/>
      <c r="M87" s="106"/>
      <c r="N87" s="106"/>
      <c r="O87" s="107"/>
    </row>
    <row r="88" spans="1:15" x14ac:dyDescent="0.25">
      <c r="A88" s="6" t="s">
        <v>26</v>
      </c>
      <c r="B88" s="6" t="s">
        <v>5</v>
      </c>
      <c r="C88" s="6" t="s">
        <v>6</v>
      </c>
      <c r="D88" s="7">
        <v>1</v>
      </c>
      <c r="E88" s="7">
        <v>4</v>
      </c>
      <c r="F88" s="7">
        <v>16</v>
      </c>
      <c r="G88" s="7">
        <v>32</v>
      </c>
      <c r="H88" s="7">
        <v>64</v>
      </c>
      <c r="I88" s="7">
        <v>80</v>
      </c>
      <c r="J88" s="7">
        <v>1</v>
      </c>
      <c r="K88" s="7">
        <v>4</v>
      </c>
      <c r="L88" s="7">
        <v>16</v>
      </c>
      <c r="M88" s="7">
        <v>32</v>
      </c>
      <c r="N88" s="7">
        <v>64</v>
      </c>
      <c r="O88" s="7">
        <v>80</v>
      </c>
    </row>
    <row r="89" spans="1:15" x14ac:dyDescent="0.25">
      <c r="A89" s="8" t="s">
        <v>7</v>
      </c>
      <c r="B89" s="9" t="s">
        <v>8</v>
      </c>
      <c r="C89" s="9" t="s">
        <v>9</v>
      </c>
      <c r="D89" s="24">
        <v>42333</v>
      </c>
      <c r="E89" s="24">
        <v>19596</v>
      </c>
      <c r="F89" s="24">
        <v>5837</v>
      </c>
      <c r="G89" s="10"/>
      <c r="H89" s="10"/>
      <c r="I89" s="10"/>
      <c r="J89" s="11">
        <f t="shared" ref="J89:J91" si="21">IF(D89="","",(1/D89)*1000000)</f>
        <v>23.622233245931067</v>
      </c>
      <c r="K89" s="11">
        <f t="shared" ref="K89:K94" si="22">IF(E89="","",(1/E89)*1000000)</f>
        <v>51.03082261686059</v>
      </c>
      <c r="L89" s="11">
        <f t="shared" ref="L89:L94" si="23">IF(F89="","",(1/F89)*1000000)</f>
        <v>171.32088401576152</v>
      </c>
      <c r="M89" s="11" t="str">
        <f t="shared" ref="M89:M94" si="24">IF(G89="","",(1/G89)*1000000)</f>
        <v/>
      </c>
      <c r="N89" s="11" t="str">
        <f t="shared" ref="N89:N94" si="25">IF(H89="","",(1/H89)*1000000)</f>
        <v/>
      </c>
      <c r="O89" s="11" t="str">
        <f t="shared" ref="O89:O94" si="26">IF(I89="","",(1/I89)*1000000)</f>
        <v/>
      </c>
    </row>
    <row r="90" spans="1:15" x14ac:dyDescent="0.25">
      <c r="A90" s="8" t="s">
        <v>10</v>
      </c>
      <c r="B90" s="9" t="s">
        <v>8</v>
      </c>
      <c r="C90" s="9" t="s">
        <v>11</v>
      </c>
      <c r="D90" s="24">
        <v>16440</v>
      </c>
      <c r="E90" s="24">
        <v>11095</v>
      </c>
      <c r="F90" s="24">
        <v>4876</v>
      </c>
      <c r="G90" s="10"/>
      <c r="H90" s="10"/>
      <c r="I90" s="10"/>
      <c r="J90" s="11">
        <f t="shared" si="21"/>
        <v>60.827250608272507</v>
      </c>
      <c r="K90" s="11">
        <f t="shared" si="22"/>
        <v>90.130689499774675</v>
      </c>
      <c r="L90" s="11">
        <f t="shared" si="23"/>
        <v>205.08613617719445</v>
      </c>
      <c r="M90" s="11" t="str">
        <f t="shared" si="24"/>
        <v/>
      </c>
      <c r="N90" s="11" t="str">
        <f t="shared" si="25"/>
        <v/>
      </c>
      <c r="O90" s="11" t="str">
        <f t="shared" si="26"/>
        <v/>
      </c>
    </row>
    <row r="91" spans="1:15" x14ac:dyDescent="0.25">
      <c r="A91" s="9" t="s">
        <v>12</v>
      </c>
      <c r="B91" s="9" t="s">
        <v>13</v>
      </c>
      <c r="C91" s="9" t="s">
        <v>9</v>
      </c>
      <c r="D91" s="24">
        <v>38177</v>
      </c>
      <c r="E91" s="24">
        <v>17967</v>
      </c>
      <c r="F91" s="24">
        <v>5608</v>
      </c>
      <c r="G91" s="10"/>
      <c r="H91" s="10"/>
      <c r="I91" s="10"/>
      <c r="J91" s="11">
        <f t="shared" si="21"/>
        <v>26.19378159624905</v>
      </c>
      <c r="K91" s="11">
        <f t="shared" si="22"/>
        <v>55.657594478766626</v>
      </c>
      <c r="L91" s="11">
        <f t="shared" si="23"/>
        <v>178.31669044222539</v>
      </c>
      <c r="M91" s="11" t="str">
        <f t="shared" si="24"/>
        <v/>
      </c>
      <c r="N91" s="11" t="str">
        <f t="shared" si="25"/>
        <v/>
      </c>
      <c r="O91" s="11" t="str">
        <f t="shared" si="26"/>
        <v/>
      </c>
    </row>
    <row r="92" spans="1:15" x14ac:dyDescent="0.25">
      <c r="A92" s="9" t="s">
        <v>14</v>
      </c>
      <c r="B92" s="9" t="s">
        <v>13</v>
      </c>
      <c r="C92" s="9" t="s">
        <v>11</v>
      </c>
      <c r="D92" s="24">
        <v>14909</v>
      </c>
      <c r="E92" s="24">
        <v>10357</v>
      </c>
      <c r="F92" s="24">
        <v>4635</v>
      </c>
      <c r="G92" s="10"/>
      <c r="H92" s="10"/>
      <c r="I92" s="10"/>
      <c r="J92" s="11">
        <f>IF(D93="","",(1/D93)*1000000)</f>
        <v>74.732830132277101</v>
      </c>
      <c r="K92" s="11">
        <f t="shared" si="22"/>
        <v>96.553055904219377</v>
      </c>
      <c r="L92" s="11">
        <f t="shared" si="23"/>
        <v>215.7497303128371</v>
      </c>
      <c r="M92" s="11" t="str">
        <f t="shared" si="24"/>
        <v/>
      </c>
      <c r="N92" s="11" t="str">
        <f t="shared" si="25"/>
        <v/>
      </c>
      <c r="O92" s="11" t="str">
        <f t="shared" si="26"/>
        <v/>
      </c>
    </row>
    <row r="93" spans="1:15" x14ac:dyDescent="0.25">
      <c r="A93" s="9" t="s">
        <v>15</v>
      </c>
      <c r="B93" s="9" t="s">
        <v>16</v>
      </c>
      <c r="C93" s="9" t="s">
        <v>11</v>
      </c>
      <c r="D93" s="24">
        <v>13381</v>
      </c>
      <c r="E93" s="24" t="s">
        <v>99</v>
      </c>
      <c r="F93" s="24" t="s">
        <v>99</v>
      </c>
      <c r="G93" s="10"/>
      <c r="H93" s="10"/>
      <c r="I93" s="10"/>
      <c r="J93" s="11" t="e">
        <f>IF(#REF!="","",(1/#REF!)*1000000)</f>
        <v>#REF!</v>
      </c>
      <c r="K93" s="11" t="e">
        <f t="shared" si="22"/>
        <v>#VALUE!</v>
      </c>
      <c r="L93" s="11" t="e">
        <f t="shared" si="23"/>
        <v>#VALUE!</v>
      </c>
      <c r="M93" s="11" t="str">
        <f t="shared" si="24"/>
        <v/>
      </c>
      <c r="N93" s="11" t="str">
        <f t="shared" si="25"/>
        <v/>
      </c>
      <c r="O93" s="11" t="str">
        <f t="shared" si="26"/>
        <v/>
      </c>
    </row>
    <row r="94" spans="1:15" x14ac:dyDescent="0.25">
      <c r="A94" s="9" t="s">
        <v>17</v>
      </c>
      <c r="B94" s="8" t="s">
        <v>18</v>
      </c>
      <c r="C94" s="9" t="s">
        <v>11</v>
      </c>
      <c r="D94" s="24" t="s">
        <v>99</v>
      </c>
      <c r="E94" s="24" t="s">
        <v>99</v>
      </c>
      <c r="F94" s="24" t="s">
        <v>99</v>
      </c>
      <c r="G94" s="10"/>
      <c r="H94" s="10"/>
      <c r="I94" s="10"/>
      <c r="J94" s="11" t="e">
        <f t="shared" ref="J94" si="27">IF(D94="","",(1/D94)*1000000)</f>
        <v>#VALUE!</v>
      </c>
      <c r="K94" s="11" t="e">
        <f t="shared" si="22"/>
        <v>#VALUE!</v>
      </c>
      <c r="L94" s="11" t="e">
        <f t="shared" si="23"/>
        <v>#VALUE!</v>
      </c>
      <c r="M94" s="11" t="str">
        <f t="shared" si="24"/>
        <v/>
      </c>
      <c r="N94" s="11" t="str">
        <f t="shared" si="25"/>
        <v/>
      </c>
      <c r="O94" s="11" t="str">
        <f t="shared" si="26"/>
        <v/>
      </c>
    </row>
    <row r="95" spans="1:15" x14ac:dyDescent="0.25">
      <c r="A95" s="102" t="s">
        <v>110</v>
      </c>
      <c r="B95" s="102"/>
      <c r="C95" s="102"/>
      <c r="D95" s="102"/>
      <c r="E95" s="132" t="s">
        <v>105</v>
      </c>
      <c r="F95" s="132"/>
      <c r="G95" s="132"/>
      <c r="H95" s="132" t="s">
        <v>106</v>
      </c>
      <c r="I95" s="132"/>
      <c r="J95" s="19"/>
      <c r="K95" s="19"/>
      <c r="L95" s="19"/>
      <c r="M95" s="19"/>
      <c r="N95" s="19"/>
      <c r="O95" s="19"/>
    </row>
    <row r="96" spans="1:15" ht="18.75" x14ac:dyDescent="0.3">
      <c r="A96" s="75" t="s">
        <v>95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93"/>
    </row>
    <row r="97" spans="1:15" x14ac:dyDescent="0.25">
      <c r="A97" s="87" t="s">
        <v>1</v>
      </c>
      <c r="B97" s="88"/>
      <c r="C97" s="89"/>
      <c r="D97" s="105" t="s">
        <v>19</v>
      </c>
      <c r="E97" s="106"/>
      <c r="F97" s="106"/>
      <c r="G97" s="106"/>
      <c r="H97" s="106"/>
      <c r="I97" s="107"/>
      <c r="J97" s="105" t="s">
        <v>22</v>
      </c>
      <c r="K97" s="106"/>
      <c r="L97" s="106"/>
      <c r="M97" s="106"/>
      <c r="N97" s="106"/>
      <c r="O97" s="107"/>
    </row>
    <row r="98" spans="1:15" x14ac:dyDescent="0.25">
      <c r="A98" s="6" t="s">
        <v>4</v>
      </c>
      <c r="B98" s="6" t="s">
        <v>5</v>
      </c>
      <c r="C98" s="6" t="s">
        <v>6</v>
      </c>
      <c r="D98" s="7">
        <v>1</v>
      </c>
      <c r="E98" s="7">
        <v>4</v>
      </c>
      <c r="F98" s="7">
        <v>16</v>
      </c>
      <c r="G98" s="7">
        <v>32</v>
      </c>
      <c r="H98" s="7">
        <v>64</v>
      </c>
      <c r="I98" s="7">
        <v>80</v>
      </c>
      <c r="J98" s="7">
        <v>1</v>
      </c>
      <c r="K98" s="7">
        <v>4</v>
      </c>
      <c r="L98" s="7">
        <v>16</v>
      </c>
      <c r="M98" s="7">
        <v>32</v>
      </c>
      <c r="N98" s="7">
        <v>64</v>
      </c>
      <c r="O98" s="7">
        <v>80</v>
      </c>
    </row>
    <row r="99" spans="1:15" x14ac:dyDescent="0.25">
      <c r="A99" s="8" t="s">
        <v>7</v>
      </c>
      <c r="B99" s="9" t="s">
        <v>8</v>
      </c>
      <c r="C99" s="9" t="s">
        <v>9</v>
      </c>
      <c r="D99" s="12">
        <f>IF(D89="","",(D89-'2016'!D5)/'2016'!D5)</f>
        <v>-5.536216360958629E-2</v>
      </c>
      <c r="E99" s="12">
        <f>IF(E89="","",(E89-'2016'!E5)/'2016'!E5)</f>
        <v>-2.4783517467900865E-2</v>
      </c>
      <c r="F99" s="12">
        <f>IF(F89="","",(F89-'2016'!F5)/'2016'!F5)</f>
        <v>-1.0268697586856067E-3</v>
      </c>
      <c r="G99" s="12" t="str">
        <f>IF(G89="","",(G89-#REF!)/#REF!)</f>
        <v/>
      </c>
      <c r="H99" s="12" t="str">
        <f>IF(H89="","",(H89-#REF!)/#REF!)</f>
        <v/>
      </c>
      <c r="I99" s="12" t="str">
        <f>IF(I89="","",(I89-#REF!)/#REF!)</f>
        <v/>
      </c>
      <c r="J99" s="11">
        <f>J89-'2015'!J119</f>
        <v>26.666284838012789</v>
      </c>
      <c r="K99" s="11">
        <f>K89-'2015'!K119</f>
        <v>52.866837729659778</v>
      </c>
      <c r="L99" s="11">
        <f>L89-'2015'!L119</f>
        <v>174.30837462718137</v>
      </c>
      <c r="M99" s="11" t="str">
        <f>IF(G99="","",M89-((1/Comparisons!#REF!)*1000000))</f>
        <v/>
      </c>
      <c r="N99" s="11" t="str">
        <f>IF(H99="","",N89-((1/Comparisons!#REF!)*1000000))</f>
        <v/>
      </c>
      <c r="O99" s="11" t="str">
        <f>IF(I99="","",O89-((1/Comparisons!#REF!)*1000000))</f>
        <v/>
      </c>
    </row>
    <row r="100" spans="1:15" x14ac:dyDescent="0.25">
      <c r="A100" s="8" t="s">
        <v>10</v>
      </c>
      <c r="B100" s="9" t="s">
        <v>8</v>
      </c>
      <c r="C100" s="9" t="s">
        <v>11</v>
      </c>
      <c r="D100" s="12">
        <f>IF(D90="","",(D90-'2016'!D6)/'2016'!D6)</f>
        <v>0.10231996781547539</v>
      </c>
      <c r="E100" s="12">
        <f>IF(E90="","",(E90-'2016'!E6)/'2016'!E6)</f>
        <v>2.4279911373707535E-2</v>
      </c>
      <c r="F100" s="12">
        <f>IF(F90="","",(F90-'2016'!F6)/'2016'!F6)</f>
        <v>2.0724303956458027E-2</v>
      </c>
      <c r="G100" s="12" t="str">
        <f>IF(G90="","",(G90-#REF!)/#REF!)</f>
        <v/>
      </c>
      <c r="H100" s="12" t="str">
        <f>IF(H90="","",(H90-#REF!)/#REF!)</f>
        <v/>
      </c>
      <c r="I100" s="12" t="str">
        <f>IF(I90="","",(I90-#REF!)/#REF!)</f>
        <v/>
      </c>
      <c r="J100" s="11">
        <f>J90-'2015'!J120</f>
        <v>67.071071295723399</v>
      </c>
      <c r="K100" s="11">
        <f>K90-'2015'!K120</f>
        <v>95.0847111401186</v>
      </c>
      <c r="L100" s="11">
        <f>L90-'2015'!L120</f>
        <v>207.63347927229387</v>
      </c>
      <c r="M100" s="11" t="str">
        <f>IF(G100="","",M90-((1/Comparisons!#REF!)*1000000))</f>
        <v/>
      </c>
      <c r="N100" s="11" t="str">
        <f>IF(H100="","",N90-((1/Comparisons!#REF!)*1000000))</f>
        <v/>
      </c>
      <c r="O100" s="11" t="str">
        <f>IF(I100="","",O90-((1/Comparisons!#REF!)*1000000))</f>
        <v/>
      </c>
    </row>
    <row r="101" spans="1:15" x14ac:dyDescent="0.25">
      <c r="A101" s="9" t="s">
        <v>12</v>
      </c>
      <c r="B101" s="9" t="s">
        <v>13</v>
      </c>
      <c r="C101" s="9" t="s">
        <v>9</v>
      </c>
      <c r="D101" s="12">
        <f>IF(D91="","",(D91-'2016'!D7)/'2016'!D7)</f>
        <v>-0.12101397554854604</v>
      </c>
      <c r="E101" s="12">
        <f>IF(E91="","",(E91-'2016'!E7)/'2016'!E7)</f>
        <v>-2.0605069501226491E-2</v>
      </c>
      <c r="F101" s="12">
        <f>IF(F91="","",(F91-'2016'!F7)/'2016'!F7)</f>
        <v>-5.1445804505942877E-3</v>
      </c>
      <c r="G101" s="12" t="str">
        <f>IF(G91="","",(G91-#REF!)/#REF!)</f>
        <v/>
      </c>
      <c r="H101" s="12" t="str">
        <f>IF(H91="","",(H91-#REF!)/#REF!)</f>
        <v/>
      </c>
      <c r="I101" s="12" t="str">
        <f>IF(I91="","",(I91-#REF!)/#REF!)</f>
        <v/>
      </c>
      <c r="J101" s="11">
        <f>J91-'2015'!J121</f>
        <v>27.625793636390139</v>
      </c>
      <c r="K101" s="11">
        <f>K91-'2015'!K121</f>
        <v>38.54626035646794</v>
      </c>
      <c r="L101" s="11">
        <f>L91-'2015'!L121</f>
        <v>182.47271099134417</v>
      </c>
      <c r="M101" s="11" t="str">
        <f>IF(G101="","",M91-((1/Comparisons!#REF!)*1000000))</f>
        <v/>
      </c>
      <c r="N101" s="11" t="str">
        <f>IF(H101="","",N91-((1/Comparisons!#REF!)*1000000))</f>
        <v/>
      </c>
      <c r="O101" s="11" t="str">
        <f>IF(I101="","",O91-((1/Comparisons!#REF!)*1000000))</f>
        <v/>
      </c>
    </row>
    <row r="102" spans="1:15" x14ac:dyDescent="0.25">
      <c r="A102" s="9" t="s">
        <v>14</v>
      </c>
      <c r="B102" s="9" t="s">
        <v>13</v>
      </c>
      <c r="C102" s="9" t="s">
        <v>11</v>
      </c>
      <c r="D102" s="12">
        <f>IF(D92="","",(D92-'2016'!D8)/'2016'!D8)</f>
        <v>3.3337953978375384E-2</v>
      </c>
      <c r="E102" s="12">
        <f>IF(E92="","",(E92-'2016'!E8)/'2016'!E8)</f>
        <v>1.20187609927692E-2</v>
      </c>
      <c r="F102" s="12">
        <f>IF(F92="","",(F92-'2016'!F8)/'2016'!F8)</f>
        <v>1.3336248360297332E-2</v>
      </c>
      <c r="G102" s="12" t="str">
        <f>IF(G92="","",(G92-#REF!)/#REF!)</f>
        <v/>
      </c>
      <c r="H102" s="12" t="str">
        <f>IF(H92="","",(H92-#REF!)/#REF!)</f>
        <v/>
      </c>
      <c r="I102" s="12" t="str">
        <f>IF(I92="","",(I92-#REF!)/#REF!)</f>
        <v/>
      </c>
      <c r="J102" s="11">
        <f>J92-'2015'!J122</f>
        <v>74.732830132277101</v>
      </c>
      <c r="K102" s="11">
        <f>K92-'2015'!K122</f>
        <v>96.553055904219377</v>
      </c>
      <c r="L102" s="11">
        <f>L92-'2015'!L122</f>
        <v>215.7497303128371</v>
      </c>
      <c r="M102" s="11" t="str">
        <f>IF(G102="","",M92-((1/Comparisons!#REF!)*1000000))</f>
        <v/>
      </c>
      <c r="N102" s="11" t="str">
        <f>IF(H102="","",N92-((1/Comparisons!#REF!)*1000000))</f>
        <v/>
      </c>
      <c r="O102" s="11" t="str">
        <f>IF(I102="","",O92-((1/Comparisons!#REF!)*1000000))</f>
        <v/>
      </c>
    </row>
    <row r="103" spans="1:15" x14ac:dyDescent="0.25">
      <c r="A103" s="9" t="s">
        <v>15</v>
      </c>
      <c r="B103" s="9" t="s">
        <v>16</v>
      </c>
      <c r="C103" s="9" t="s">
        <v>11</v>
      </c>
      <c r="D103" s="12">
        <f>IF(D93="","",(D93-'2016'!D9)/'2016'!D9)</f>
        <v>-7.8594201823978648E-3</v>
      </c>
      <c r="E103" s="12" t="e">
        <f>IF(E93="","",(E93-'2016'!E9)/'2016'!E9)</f>
        <v>#VALUE!</v>
      </c>
      <c r="F103" s="12" t="e">
        <f>IF(F93="","",(F93-'2016'!F9)/'2016'!F9)</f>
        <v>#VALUE!</v>
      </c>
      <c r="G103" s="12" t="str">
        <f>IF(G93="","",(G93-#REF!)/#REF!)</f>
        <v/>
      </c>
      <c r="H103" s="12" t="str">
        <f>IF(H93="","",(H93-#REF!)/#REF!)</f>
        <v/>
      </c>
      <c r="I103" s="12" t="str">
        <f>IF(I93="","",(I93-#REF!)/#REF!)</f>
        <v/>
      </c>
      <c r="J103" s="11" t="e">
        <f>J93-'2015'!J123</f>
        <v>#REF!</v>
      </c>
      <c r="K103" s="11" t="e">
        <f>K93-'2015'!K123</f>
        <v>#VALUE!</v>
      </c>
      <c r="L103" s="11" t="e">
        <f>L93-'2015'!L123</f>
        <v>#VALUE!</v>
      </c>
      <c r="M103" s="11" t="str">
        <f>IF(G103="","",M93-((1/Comparisons!#REF!)*1000000))</f>
        <v/>
      </c>
      <c r="N103" s="11" t="str">
        <f>IF(H103="","",N93-((1/Comparisons!#REF!)*1000000))</f>
        <v/>
      </c>
      <c r="O103" s="11" t="str">
        <f>IF(I103="","",O93-((1/Comparisons!#REF!)*1000000))</f>
        <v/>
      </c>
    </row>
    <row r="104" spans="1:15" x14ac:dyDescent="0.25">
      <c r="A104" s="9" t="s">
        <v>17</v>
      </c>
      <c r="B104" s="8" t="s">
        <v>18</v>
      </c>
      <c r="C104" s="9" t="s">
        <v>11</v>
      </c>
      <c r="D104" s="12" t="e">
        <f>IF(D94="","",(D94-'2016'!D10)/'2016'!D10)</f>
        <v>#VALUE!</v>
      </c>
      <c r="E104" s="12" t="e">
        <f>IF(E94="","",(E94-'2016'!E10)/'2016'!E10)</f>
        <v>#VALUE!</v>
      </c>
      <c r="F104" s="12" t="e">
        <f>IF(F94="","",(F94-'2016'!F10)/'2016'!F10)</f>
        <v>#VALUE!</v>
      </c>
      <c r="G104" s="12" t="str">
        <f>IF(G94="","",(G94-#REF!)/#REF!)</f>
        <v/>
      </c>
      <c r="H104" s="12" t="str">
        <f>IF(H94="","",(H94-#REF!)/#REF!)</f>
        <v/>
      </c>
      <c r="I104" s="12" t="str">
        <f>IF(I94="","",(I94-#REF!)/#REF!)</f>
        <v/>
      </c>
      <c r="J104" s="11" t="e">
        <f>J94-'2015'!J124</f>
        <v>#VALUE!</v>
      </c>
      <c r="K104" s="11" t="e">
        <f>K94-'2015'!K124</f>
        <v>#VALUE!</v>
      </c>
      <c r="L104" s="11" t="e">
        <f>L94-'2015'!L124</f>
        <v>#VALUE!</v>
      </c>
      <c r="M104" s="11" t="str">
        <f>IF(G104="","",M94-((1/Comparisons!#REF!)*1000000))</f>
        <v/>
      </c>
      <c r="N104" s="11" t="str">
        <f>IF(H104="","",N94-((1/Comparisons!#REF!)*1000000))</f>
        <v/>
      </c>
      <c r="O104" s="11" t="str">
        <f>IF(I104="","",O94-((1/Comparisons!#REF!)*1000000))</f>
        <v/>
      </c>
    </row>
    <row r="106" spans="1:15" ht="18.75" x14ac:dyDescent="0.25">
      <c r="A106" s="77" t="s">
        <v>93</v>
      </c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84"/>
    </row>
    <row r="107" spans="1:15" ht="15.75" x14ac:dyDescent="0.25">
      <c r="A107" s="79" t="s">
        <v>111</v>
      </c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92"/>
    </row>
    <row r="108" spans="1:15" x14ac:dyDescent="0.25">
      <c r="A108" s="87" t="s">
        <v>1</v>
      </c>
      <c r="B108" s="88"/>
      <c r="C108" s="89"/>
      <c r="D108" s="105" t="s">
        <v>2</v>
      </c>
      <c r="E108" s="106"/>
      <c r="F108" s="106"/>
      <c r="G108" s="106"/>
      <c r="H108" s="106"/>
      <c r="I108" s="107"/>
      <c r="J108" s="105" t="s">
        <v>3</v>
      </c>
      <c r="K108" s="106"/>
      <c r="L108" s="106"/>
      <c r="M108" s="106"/>
      <c r="N108" s="106"/>
      <c r="O108" s="107"/>
    </row>
    <row r="109" spans="1:15" x14ac:dyDescent="0.25">
      <c r="A109" s="6" t="s">
        <v>26</v>
      </c>
      <c r="B109" s="6" t="s">
        <v>5</v>
      </c>
      <c r="C109" s="6" t="s">
        <v>6</v>
      </c>
      <c r="D109" s="7">
        <v>1</v>
      </c>
      <c r="E109" s="7">
        <v>4</v>
      </c>
      <c r="F109" s="7">
        <v>16</v>
      </c>
      <c r="G109" s="7">
        <v>32</v>
      </c>
      <c r="H109" s="7">
        <v>64</v>
      </c>
      <c r="I109" s="7">
        <v>80</v>
      </c>
      <c r="J109" s="7">
        <v>1</v>
      </c>
      <c r="K109" s="7">
        <v>4</v>
      </c>
      <c r="L109" s="7">
        <v>16</v>
      </c>
      <c r="M109" s="7">
        <v>32</v>
      </c>
      <c r="N109" s="7">
        <v>64</v>
      </c>
      <c r="O109" s="7">
        <v>80</v>
      </c>
    </row>
    <row r="110" spans="1:15" x14ac:dyDescent="0.25">
      <c r="A110" s="8" t="s">
        <v>7</v>
      </c>
      <c r="B110" s="9" t="s">
        <v>8</v>
      </c>
      <c r="C110" s="9" t="s">
        <v>9</v>
      </c>
      <c r="D110" s="24">
        <v>40619</v>
      </c>
      <c r="E110" s="24">
        <v>19447</v>
      </c>
      <c r="F110" s="24">
        <v>5837</v>
      </c>
      <c r="G110" s="10"/>
      <c r="H110" s="10"/>
      <c r="I110" s="10"/>
      <c r="J110" s="11">
        <f t="shared" ref="J110:J112" si="28">IF(D110="","",(1/D110)*1000000)</f>
        <v>24.61902065535833</v>
      </c>
      <c r="K110" s="11">
        <f t="shared" ref="K110:K115" si="29">IF(E110="","",(1/E110)*1000000)</f>
        <v>51.421813133131074</v>
      </c>
      <c r="L110" s="11">
        <f t="shared" ref="L110:L115" si="30">IF(F110="","",(1/F110)*1000000)</f>
        <v>171.32088401576152</v>
      </c>
      <c r="M110" s="11" t="str">
        <f t="shared" ref="M110:M115" si="31">IF(G110="","",(1/G110)*1000000)</f>
        <v/>
      </c>
      <c r="N110" s="11" t="str">
        <f t="shared" ref="N110:N115" si="32">IF(H110="","",(1/H110)*1000000)</f>
        <v/>
      </c>
      <c r="O110" s="11" t="str">
        <f t="shared" ref="O110:O115" si="33">IF(I110="","",(1/I110)*1000000)</f>
        <v/>
      </c>
    </row>
    <row r="111" spans="1:15" x14ac:dyDescent="0.25">
      <c r="A111" s="8" t="s">
        <v>10</v>
      </c>
      <c r="B111" s="9" t="s">
        <v>8</v>
      </c>
      <c r="C111" s="9" t="s">
        <v>11</v>
      </c>
      <c r="D111" s="24">
        <v>13381</v>
      </c>
      <c r="E111" s="24">
        <v>9841</v>
      </c>
      <c r="F111" s="24">
        <v>4505</v>
      </c>
      <c r="G111" s="10"/>
      <c r="H111" s="10"/>
      <c r="I111" s="10"/>
      <c r="J111" s="11">
        <f t="shared" si="28"/>
        <v>74.732830132277101</v>
      </c>
      <c r="K111" s="11">
        <f t="shared" si="29"/>
        <v>101.61568946245301</v>
      </c>
      <c r="L111" s="11">
        <f t="shared" si="30"/>
        <v>221.97558268590456</v>
      </c>
      <c r="M111" s="11" t="str">
        <f t="shared" si="31"/>
        <v/>
      </c>
      <c r="N111" s="11" t="str">
        <f t="shared" si="32"/>
        <v/>
      </c>
      <c r="O111" s="11" t="str">
        <f t="shared" si="33"/>
        <v/>
      </c>
    </row>
    <row r="112" spans="1:15" x14ac:dyDescent="0.25">
      <c r="A112" s="9" t="s">
        <v>12</v>
      </c>
      <c r="B112" s="9" t="s">
        <v>13</v>
      </c>
      <c r="C112" s="9" t="s">
        <v>9</v>
      </c>
      <c r="D112" s="24" t="s">
        <v>99</v>
      </c>
      <c r="E112" s="24" t="s">
        <v>99</v>
      </c>
      <c r="F112" s="24" t="s">
        <v>99</v>
      </c>
      <c r="G112" s="10"/>
      <c r="H112" s="10"/>
      <c r="I112" s="10"/>
      <c r="J112" s="11" t="e">
        <f t="shared" si="28"/>
        <v>#VALUE!</v>
      </c>
      <c r="K112" s="11" t="e">
        <f t="shared" si="29"/>
        <v>#VALUE!</v>
      </c>
      <c r="L112" s="11" t="e">
        <f t="shared" si="30"/>
        <v>#VALUE!</v>
      </c>
      <c r="M112" s="11" t="str">
        <f t="shared" si="31"/>
        <v/>
      </c>
      <c r="N112" s="11" t="str">
        <f t="shared" si="32"/>
        <v/>
      </c>
      <c r="O112" s="11" t="str">
        <f t="shared" si="33"/>
        <v/>
      </c>
    </row>
    <row r="113" spans="1:15" x14ac:dyDescent="0.25">
      <c r="A113" s="9" t="s">
        <v>14</v>
      </c>
      <c r="B113" s="9" t="s">
        <v>13</v>
      </c>
      <c r="C113" s="9" t="s">
        <v>11</v>
      </c>
      <c r="D113" s="24" t="s">
        <v>99</v>
      </c>
      <c r="E113" s="24" t="s">
        <v>99</v>
      </c>
      <c r="F113" s="24" t="s">
        <v>99</v>
      </c>
      <c r="G113" s="10"/>
      <c r="H113" s="10"/>
      <c r="I113" s="10"/>
      <c r="J113" s="11">
        <f>IF(D114="","",(1/D114)*1000000)</f>
        <v>73.746312684365776</v>
      </c>
      <c r="K113" s="11" t="e">
        <f t="shared" si="29"/>
        <v>#VALUE!</v>
      </c>
      <c r="L113" s="11" t="e">
        <f t="shared" si="30"/>
        <v>#VALUE!</v>
      </c>
      <c r="M113" s="11" t="str">
        <f t="shared" si="31"/>
        <v/>
      </c>
      <c r="N113" s="11" t="str">
        <f t="shared" si="32"/>
        <v/>
      </c>
      <c r="O113" s="11" t="str">
        <f t="shared" si="33"/>
        <v/>
      </c>
    </row>
    <row r="114" spans="1:15" x14ac:dyDescent="0.25">
      <c r="A114" s="9" t="s">
        <v>15</v>
      </c>
      <c r="B114" s="9" t="s">
        <v>16</v>
      </c>
      <c r="C114" s="9" t="s">
        <v>11</v>
      </c>
      <c r="D114" s="24">
        <v>13560</v>
      </c>
      <c r="E114" s="24" t="s">
        <v>99</v>
      </c>
      <c r="F114" s="24" t="s">
        <v>99</v>
      </c>
      <c r="G114" s="10"/>
      <c r="H114" s="10"/>
      <c r="I114" s="10"/>
      <c r="J114" s="11" t="e">
        <f>IF(#REF!="","",(1/#REF!)*1000000)</f>
        <v>#REF!</v>
      </c>
      <c r="K114" s="11" t="e">
        <f t="shared" si="29"/>
        <v>#VALUE!</v>
      </c>
      <c r="L114" s="11" t="e">
        <f t="shared" si="30"/>
        <v>#VALUE!</v>
      </c>
      <c r="M114" s="11" t="str">
        <f t="shared" si="31"/>
        <v/>
      </c>
      <c r="N114" s="11" t="str">
        <f t="shared" si="32"/>
        <v/>
      </c>
      <c r="O114" s="11" t="str">
        <f t="shared" si="33"/>
        <v/>
      </c>
    </row>
    <row r="115" spans="1:15" x14ac:dyDescent="0.25">
      <c r="A115" s="9" t="s">
        <v>17</v>
      </c>
      <c r="B115" s="8" t="s">
        <v>18</v>
      </c>
      <c r="C115" s="9" t="s">
        <v>11</v>
      </c>
      <c r="D115" s="24" t="s">
        <v>99</v>
      </c>
      <c r="E115" s="24" t="s">
        <v>99</v>
      </c>
      <c r="F115" s="24" t="s">
        <v>99</v>
      </c>
      <c r="G115" s="10"/>
      <c r="H115" s="10"/>
      <c r="I115" s="10"/>
      <c r="J115" s="11" t="e">
        <f t="shared" ref="J115" si="34">IF(D115="","",(1/D115)*1000000)</f>
        <v>#VALUE!</v>
      </c>
      <c r="K115" s="11" t="e">
        <f t="shared" si="29"/>
        <v>#VALUE!</v>
      </c>
      <c r="L115" s="11" t="e">
        <f t="shared" si="30"/>
        <v>#VALUE!</v>
      </c>
      <c r="M115" s="11" t="str">
        <f t="shared" si="31"/>
        <v/>
      </c>
      <c r="N115" s="11" t="str">
        <f t="shared" si="32"/>
        <v/>
      </c>
      <c r="O115" s="11" t="str">
        <f t="shared" si="33"/>
        <v/>
      </c>
    </row>
    <row r="116" spans="1:15" x14ac:dyDescent="0.25">
      <c r="A116" s="102" t="s">
        <v>114</v>
      </c>
      <c r="B116" s="102"/>
      <c r="C116" s="102"/>
      <c r="D116" s="102"/>
      <c r="E116" s="132"/>
      <c r="F116" s="132"/>
      <c r="G116" s="132"/>
      <c r="H116" s="132" t="s">
        <v>106</v>
      </c>
      <c r="I116" s="132"/>
      <c r="J116" s="19"/>
      <c r="K116" s="19"/>
      <c r="L116" s="19"/>
      <c r="M116" s="19"/>
      <c r="N116" s="19"/>
      <c r="O116" s="19"/>
    </row>
    <row r="117" spans="1:15" ht="18.75" x14ac:dyDescent="0.3">
      <c r="A117" s="75" t="s">
        <v>95</v>
      </c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93"/>
    </row>
    <row r="118" spans="1:15" x14ac:dyDescent="0.25">
      <c r="A118" s="87" t="s">
        <v>1</v>
      </c>
      <c r="B118" s="88"/>
      <c r="C118" s="89"/>
      <c r="D118" s="105" t="s">
        <v>19</v>
      </c>
      <c r="E118" s="106"/>
      <c r="F118" s="106"/>
      <c r="G118" s="106"/>
      <c r="H118" s="106"/>
      <c r="I118" s="107"/>
      <c r="J118" s="105" t="s">
        <v>22</v>
      </c>
      <c r="K118" s="106"/>
      <c r="L118" s="106"/>
      <c r="M118" s="106"/>
      <c r="N118" s="106"/>
      <c r="O118" s="107"/>
    </row>
    <row r="119" spans="1:15" x14ac:dyDescent="0.25">
      <c r="A119" s="6" t="s">
        <v>4</v>
      </c>
      <c r="B119" s="6" t="s">
        <v>5</v>
      </c>
      <c r="C119" s="6" t="s">
        <v>6</v>
      </c>
      <c r="D119" s="7">
        <v>1</v>
      </c>
      <c r="E119" s="7">
        <v>4</v>
      </c>
      <c r="F119" s="7">
        <v>16</v>
      </c>
      <c r="G119" s="7">
        <v>32</v>
      </c>
      <c r="H119" s="7">
        <v>64</v>
      </c>
      <c r="I119" s="7">
        <v>80</v>
      </c>
      <c r="J119" s="7">
        <v>1</v>
      </c>
      <c r="K119" s="7">
        <v>4</v>
      </c>
      <c r="L119" s="7">
        <v>16</v>
      </c>
      <c r="M119" s="7">
        <v>32</v>
      </c>
      <c r="N119" s="7">
        <v>64</v>
      </c>
      <c r="O119" s="7">
        <v>80</v>
      </c>
    </row>
    <row r="120" spans="1:15" x14ac:dyDescent="0.25">
      <c r="A120" s="8" t="s">
        <v>7</v>
      </c>
      <c r="B120" s="9" t="s">
        <v>8</v>
      </c>
      <c r="C120" s="9" t="s">
        <v>9</v>
      </c>
      <c r="D120" s="12">
        <f>IF(D110="","",(D110-'2016'!D5)/'2016'!D5)</f>
        <v>-9.3609140000892585E-2</v>
      </c>
      <c r="E120" s="12">
        <f>IF(E110="","",(E110-'2016'!E5)/'2016'!E5)</f>
        <v>-3.2198666268537873E-2</v>
      </c>
      <c r="F120" s="12">
        <f>IF(F110="","",(F110-'2016'!F5)/'2016'!F5)</f>
        <v>-1.0268697586856067E-3</v>
      </c>
      <c r="G120" s="12" t="str">
        <f>IF(G110="","",(G110-#REF!)/#REF!)</f>
        <v/>
      </c>
      <c r="H120" s="12" t="str">
        <f>IF(H110="","",(H110-#REF!)/#REF!)</f>
        <v/>
      </c>
      <c r="I120" s="12" t="str">
        <f>IF(I110="","",(I110-#REF!)/#REF!)</f>
        <v/>
      </c>
      <c r="J120" s="11">
        <f>J110-'2015'!J140</f>
        <v>-49.545883613300944</v>
      </c>
      <c r="K120" s="11">
        <f>K110-'2015'!K140</f>
        <v>-28.197506568316932</v>
      </c>
      <c r="L120" s="11">
        <f>L110-'2015'!L140</f>
        <v>72.44145796182751</v>
      </c>
      <c r="M120" s="11" t="str">
        <f>IF(G120="","",M110-((1/Comparisons!#REF!)*1000000))</f>
        <v/>
      </c>
      <c r="N120" s="11" t="str">
        <f>IF(H120="","",N110-((1/Comparisons!#REF!)*1000000))</f>
        <v/>
      </c>
      <c r="O120" s="11" t="str">
        <f>IF(I120="","",O110-((1/Comparisons!#REF!)*1000000))</f>
        <v/>
      </c>
    </row>
    <row r="121" spans="1:15" x14ac:dyDescent="0.25">
      <c r="A121" s="8" t="s">
        <v>10</v>
      </c>
      <c r="B121" s="9" t="s">
        <v>8</v>
      </c>
      <c r="C121" s="9" t="s">
        <v>11</v>
      </c>
      <c r="D121" s="12">
        <f>IF(D111="","",(D111-'2016'!D6)/'2016'!D6)</f>
        <v>-0.1027893254660051</v>
      </c>
      <c r="E121" s="12">
        <f>IF(E111="","",(E111-'2016'!E6)/'2016'!E6)</f>
        <v>-9.1488183161004433E-2</v>
      </c>
      <c r="F121" s="12">
        <f>IF(F111="","",(F111-'2016'!F6)/'2016'!F6)</f>
        <v>-5.6939501779359428E-2</v>
      </c>
      <c r="G121" s="12" t="str">
        <f>IF(G111="","",(G111-#REF!)/#REF!)</f>
        <v/>
      </c>
      <c r="H121" s="12" t="str">
        <f>IF(H111="","",(H111-#REF!)/#REF!)</f>
        <v/>
      </c>
      <c r="I121" s="12" t="str">
        <f>IF(I111="","",(I111-#REF!)/#REF!)</f>
        <v/>
      </c>
      <c r="J121" s="11">
        <f>J111-'2015'!J141</f>
        <v>6.487251962640471</v>
      </c>
      <c r="K121" s="11">
        <f>K111-'2015'!K141</f>
        <v>9.2896352293959268</v>
      </c>
      <c r="L121" s="11">
        <f>L111-'2015'!L141</f>
        <v>127.33902001354181</v>
      </c>
      <c r="M121" s="11" t="str">
        <f>IF(G121="","",M111-((1/Comparisons!#REF!)*1000000))</f>
        <v/>
      </c>
      <c r="N121" s="11" t="str">
        <f>IF(H121="","",N111-((1/Comparisons!#REF!)*1000000))</f>
        <v/>
      </c>
      <c r="O121" s="11" t="str">
        <f>IF(I121="","",O111-((1/Comparisons!#REF!)*1000000))</f>
        <v/>
      </c>
    </row>
    <row r="122" spans="1:15" x14ac:dyDescent="0.25">
      <c r="A122" s="9" t="s">
        <v>12</v>
      </c>
      <c r="B122" s="9" t="s">
        <v>13</v>
      </c>
      <c r="C122" s="9" t="s">
        <v>9</v>
      </c>
      <c r="D122" s="12" t="e">
        <f>IF(D112="","",(D112-'2016'!D7)/'2016'!D7)</f>
        <v>#VALUE!</v>
      </c>
      <c r="E122" s="12" t="e">
        <f>IF(E112="","",(E112-'2016'!E7)/'2016'!E7)</f>
        <v>#VALUE!</v>
      </c>
      <c r="F122" s="12" t="e">
        <f>IF(F112="","",(F112-'2016'!F7)/'2016'!F7)</f>
        <v>#VALUE!</v>
      </c>
      <c r="G122" s="12" t="str">
        <f>IF(G112="","",(G112-#REF!)/#REF!)</f>
        <v/>
      </c>
      <c r="H122" s="12" t="str">
        <f>IF(H112="","",(H112-#REF!)/#REF!)</f>
        <v/>
      </c>
      <c r="I122" s="12" t="str">
        <f>IF(I112="","",(I112-#REF!)/#REF!)</f>
        <v/>
      </c>
      <c r="J122" s="11" t="e">
        <f>J112-'2015'!J142</f>
        <v>#VALUE!</v>
      </c>
      <c r="K122" s="11" t="e">
        <f>K112-'2015'!K142</f>
        <v>#VALUE!</v>
      </c>
      <c r="L122" s="11" t="e">
        <f>L112-'2015'!L142</f>
        <v>#VALUE!</v>
      </c>
      <c r="M122" s="11" t="str">
        <f>IF(G122="","",M112-((1/Comparisons!#REF!)*1000000))</f>
        <v/>
      </c>
      <c r="N122" s="11" t="str">
        <f>IF(H122="","",N112-((1/Comparisons!#REF!)*1000000))</f>
        <v/>
      </c>
      <c r="O122" s="11" t="str">
        <f>IF(I122="","",O112-((1/Comparisons!#REF!)*1000000))</f>
        <v/>
      </c>
    </row>
    <row r="123" spans="1:15" x14ac:dyDescent="0.25">
      <c r="A123" s="9" t="s">
        <v>14</v>
      </c>
      <c r="B123" s="9" t="s">
        <v>13</v>
      </c>
      <c r="C123" s="9" t="s">
        <v>11</v>
      </c>
      <c r="D123" s="12" t="e">
        <f>IF(D113="","",(D113-'2016'!D8)/'2016'!D8)</f>
        <v>#VALUE!</v>
      </c>
      <c r="E123" s="12" t="e">
        <f>IF(E113="","",(E113-'2016'!E8)/'2016'!E8)</f>
        <v>#VALUE!</v>
      </c>
      <c r="F123" s="12" t="e">
        <f>IF(F113="","",(F113-'2016'!F8)/'2016'!F8)</f>
        <v>#VALUE!</v>
      </c>
      <c r="G123" s="12" t="str">
        <f>IF(G113="","",(G113-#REF!)/#REF!)</f>
        <v/>
      </c>
      <c r="H123" s="12" t="str">
        <f>IF(H113="","",(H113-#REF!)/#REF!)</f>
        <v/>
      </c>
      <c r="I123" s="12" t="str">
        <f>IF(I113="","",(I113-#REF!)/#REF!)</f>
        <v/>
      </c>
      <c r="J123" s="11">
        <f>J113-'2015'!J143</f>
        <v>73.746312684365776</v>
      </c>
      <c r="K123" s="11" t="e">
        <f>K113-'2015'!K143</f>
        <v>#VALUE!</v>
      </c>
      <c r="L123" s="11" t="e">
        <f>L113-'2015'!L143</f>
        <v>#VALUE!</v>
      </c>
      <c r="M123" s="11" t="str">
        <f>IF(G123="","",M113-((1/Comparisons!#REF!)*1000000))</f>
        <v/>
      </c>
      <c r="N123" s="11" t="str">
        <f>IF(H123="","",N113-((1/Comparisons!#REF!)*1000000))</f>
        <v/>
      </c>
      <c r="O123" s="11" t="str">
        <f>IF(I123="","",O113-((1/Comparisons!#REF!)*1000000))</f>
        <v/>
      </c>
    </row>
    <row r="124" spans="1:15" x14ac:dyDescent="0.25">
      <c r="A124" s="9" t="s">
        <v>15</v>
      </c>
      <c r="B124" s="9" t="s">
        <v>16</v>
      </c>
      <c r="C124" s="9" t="s">
        <v>11</v>
      </c>
      <c r="D124" s="12">
        <f>IF(D114="","",(D114-'2016'!D9)/'2016'!D9)</f>
        <v>5.4126195595758878E-3</v>
      </c>
      <c r="E124" s="12" t="e">
        <f>IF(E114="","",(E114-'2016'!E9)/'2016'!E9)</f>
        <v>#VALUE!</v>
      </c>
      <c r="F124" s="12" t="e">
        <f>IF(F114="","",(F114-'2016'!F9)/'2016'!F9)</f>
        <v>#VALUE!</v>
      </c>
      <c r="G124" s="12" t="str">
        <f>IF(G114="","",(G114-#REF!)/#REF!)</f>
        <v/>
      </c>
      <c r="H124" s="12" t="str">
        <f>IF(H114="","",(H114-#REF!)/#REF!)</f>
        <v/>
      </c>
      <c r="I124" s="12" t="str">
        <f>IF(I114="","",(I114-#REF!)/#REF!)</f>
        <v/>
      </c>
      <c r="J124" s="11" t="e">
        <f>J114-'2015'!J144</f>
        <v>#REF!</v>
      </c>
      <c r="K124" s="11" t="e">
        <f>K114-'2015'!K144</f>
        <v>#VALUE!</v>
      </c>
      <c r="L124" s="11" t="e">
        <f>L114-'2015'!L144</f>
        <v>#VALUE!</v>
      </c>
      <c r="M124" s="11" t="str">
        <f>IF(G124="","",M114-((1/Comparisons!#REF!)*1000000))</f>
        <v/>
      </c>
      <c r="N124" s="11" t="str">
        <f>IF(H124="","",N114-((1/Comparisons!#REF!)*1000000))</f>
        <v/>
      </c>
      <c r="O124" s="11" t="str">
        <f>IF(I124="","",O114-((1/Comparisons!#REF!)*1000000))</f>
        <v/>
      </c>
    </row>
    <row r="125" spans="1:15" x14ac:dyDescent="0.25">
      <c r="A125" s="9" t="s">
        <v>17</v>
      </c>
      <c r="B125" s="8" t="s">
        <v>18</v>
      </c>
      <c r="C125" s="9" t="s">
        <v>11</v>
      </c>
      <c r="D125" s="12" t="e">
        <f>IF(D115="","",(D115-'2016'!D10)/'2016'!D10)</f>
        <v>#VALUE!</v>
      </c>
      <c r="E125" s="12" t="e">
        <f>IF(E115="","",(E115-'2016'!E10)/'2016'!E10)</f>
        <v>#VALUE!</v>
      </c>
      <c r="F125" s="12" t="e">
        <f>IF(F115="","",(F115-'2016'!F10)/'2016'!F10)</f>
        <v>#VALUE!</v>
      </c>
      <c r="G125" s="12" t="str">
        <f>IF(G115="","",(G115-#REF!)/#REF!)</f>
        <v/>
      </c>
      <c r="H125" s="12" t="str">
        <f>IF(H115="","",(H115-#REF!)/#REF!)</f>
        <v/>
      </c>
      <c r="I125" s="12" t="str">
        <f>IF(I115="","",(I115-#REF!)/#REF!)</f>
        <v/>
      </c>
      <c r="J125" s="11" t="e">
        <f>J115-'2015'!J145</f>
        <v>#VALUE!</v>
      </c>
      <c r="K125" s="11" t="e">
        <f>K115-'2015'!K145</f>
        <v>#VALUE!</v>
      </c>
      <c r="L125" s="11" t="e">
        <f>L115-'2015'!L145</f>
        <v>#VALUE!</v>
      </c>
      <c r="M125" s="11" t="str">
        <f>IF(G125="","",M115-((1/Comparisons!#REF!)*1000000))</f>
        <v/>
      </c>
      <c r="N125" s="11" t="str">
        <f>IF(H125="","",N115-((1/Comparisons!#REF!)*1000000))</f>
        <v/>
      </c>
      <c r="O125" s="11" t="str">
        <f>IF(I125="","",O115-((1/Comparisons!#REF!)*1000000))</f>
        <v/>
      </c>
    </row>
    <row r="127" spans="1:15" ht="18.75" x14ac:dyDescent="0.25">
      <c r="A127" s="77" t="s">
        <v>93</v>
      </c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84"/>
    </row>
    <row r="128" spans="1:15" ht="15.75" x14ac:dyDescent="0.25">
      <c r="A128" s="79" t="s">
        <v>112</v>
      </c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92"/>
    </row>
    <row r="129" spans="1:15" x14ac:dyDescent="0.25">
      <c r="A129" s="87" t="s">
        <v>1</v>
      </c>
      <c r="B129" s="88"/>
      <c r="C129" s="89"/>
      <c r="D129" s="105" t="s">
        <v>2</v>
      </c>
      <c r="E129" s="106"/>
      <c r="F129" s="106"/>
      <c r="G129" s="106"/>
      <c r="H129" s="106"/>
      <c r="I129" s="107"/>
      <c r="J129" s="105" t="s">
        <v>3</v>
      </c>
      <c r="K129" s="106"/>
      <c r="L129" s="106"/>
      <c r="M129" s="106"/>
      <c r="N129" s="106"/>
      <c r="O129" s="107"/>
    </row>
    <row r="130" spans="1:15" x14ac:dyDescent="0.25">
      <c r="A130" s="6" t="s">
        <v>26</v>
      </c>
      <c r="B130" s="6" t="s">
        <v>5</v>
      </c>
      <c r="C130" s="6" t="s">
        <v>6</v>
      </c>
      <c r="D130" s="7">
        <v>1</v>
      </c>
      <c r="E130" s="7">
        <v>4</v>
      </c>
      <c r="F130" s="7">
        <v>16</v>
      </c>
      <c r="G130" s="7">
        <v>32</v>
      </c>
      <c r="H130" s="7">
        <v>64</v>
      </c>
      <c r="I130" s="7">
        <v>80</v>
      </c>
      <c r="J130" s="7">
        <v>1</v>
      </c>
      <c r="K130" s="7">
        <v>4</v>
      </c>
      <c r="L130" s="7">
        <v>16</v>
      </c>
      <c r="M130" s="7">
        <v>32</v>
      </c>
      <c r="N130" s="7">
        <v>64</v>
      </c>
      <c r="O130" s="7">
        <v>80</v>
      </c>
    </row>
    <row r="131" spans="1:15" x14ac:dyDescent="0.25">
      <c r="A131" s="8" t="s">
        <v>7</v>
      </c>
      <c r="B131" s="9" t="s">
        <v>8</v>
      </c>
      <c r="C131" s="9" t="s">
        <v>9</v>
      </c>
      <c r="D131" s="24">
        <v>42148</v>
      </c>
      <c r="E131" s="24">
        <v>19536</v>
      </c>
      <c r="F131" s="24">
        <v>5837</v>
      </c>
      <c r="G131" s="10"/>
      <c r="H131" s="10"/>
      <c r="I131" s="10"/>
      <c r="J131" s="11">
        <f t="shared" ref="J131:J133" si="35">IF(D131="","",(1/D131)*1000000)</f>
        <v>23.725918193034072</v>
      </c>
      <c r="K131" s="11">
        <f t="shared" ref="K131:K136" si="36">IF(E131="","",(1/E131)*1000000)</f>
        <v>51.187551187551193</v>
      </c>
      <c r="L131" s="11">
        <f t="shared" ref="L131:L136" si="37">IF(F131="","",(1/F131)*1000000)</f>
        <v>171.32088401576152</v>
      </c>
      <c r="M131" s="11" t="str">
        <f t="shared" ref="M131:M136" si="38">IF(G131="","",(1/G131)*1000000)</f>
        <v/>
      </c>
      <c r="N131" s="11" t="str">
        <f t="shared" ref="N131:N136" si="39">IF(H131="","",(1/H131)*1000000)</f>
        <v/>
      </c>
      <c r="O131" s="11" t="str">
        <f t="shared" ref="O131:O136" si="40">IF(I131="","",(1/I131)*1000000)</f>
        <v/>
      </c>
    </row>
    <row r="132" spans="1:15" x14ac:dyDescent="0.25">
      <c r="A132" s="8" t="s">
        <v>10</v>
      </c>
      <c r="B132" s="9" t="s">
        <v>8</v>
      </c>
      <c r="C132" s="9" t="s">
        <v>11</v>
      </c>
      <c r="D132" s="24">
        <v>13381</v>
      </c>
      <c r="E132" s="24">
        <v>9792</v>
      </c>
      <c r="F132" s="24">
        <v>4471</v>
      </c>
      <c r="G132" s="10"/>
      <c r="H132" s="10"/>
      <c r="I132" s="10"/>
      <c r="J132" s="11">
        <f t="shared" si="35"/>
        <v>74.732830132277101</v>
      </c>
      <c r="K132" s="11">
        <f t="shared" si="36"/>
        <v>102.12418300653594</v>
      </c>
      <c r="L132" s="11">
        <f t="shared" si="37"/>
        <v>223.66360993066428</v>
      </c>
      <c r="M132" s="11" t="str">
        <f t="shared" si="38"/>
        <v/>
      </c>
      <c r="N132" s="11" t="str">
        <f t="shared" si="39"/>
        <v/>
      </c>
      <c r="O132" s="11" t="str">
        <f t="shared" si="40"/>
        <v/>
      </c>
    </row>
    <row r="133" spans="1:15" x14ac:dyDescent="0.25">
      <c r="A133" s="9" t="s">
        <v>12</v>
      </c>
      <c r="B133" s="9" t="s">
        <v>13</v>
      </c>
      <c r="C133" s="9" t="s">
        <v>9</v>
      </c>
      <c r="D133" s="24">
        <v>39956</v>
      </c>
      <c r="E133" s="24">
        <v>17738</v>
      </c>
      <c r="F133" s="24">
        <v>5580</v>
      </c>
      <c r="G133" s="10"/>
      <c r="H133" s="10"/>
      <c r="I133" s="10"/>
      <c r="J133" s="11">
        <f t="shared" si="35"/>
        <v>25.027530283311641</v>
      </c>
      <c r="K133" s="11">
        <f t="shared" si="36"/>
        <v>56.376141616867741</v>
      </c>
      <c r="L133" s="11">
        <f t="shared" si="37"/>
        <v>179.21146953405017</v>
      </c>
      <c r="M133" s="11" t="str">
        <f t="shared" si="38"/>
        <v/>
      </c>
      <c r="N133" s="11" t="str">
        <f t="shared" si="39"/>
        <v/>
      </c>
      <c r="O133" s="11" t="str">
        <f t="shared" si="40"/>
        <v/>
      </c>
    </row>
    <row r="134" spans="1:15" x14ac:dyDescent="0.25">
      <c r="A134" s="9" t="s">
        <v>14</v>
      </c>
      <c r="B134" s="9" t="s">
        <v>13</v>
      </c>
      <c r="C134" s="9" t="s">
        <v>11</v>
      </c>
      <c r="D134" s="24">
        <v>13361</v>
      </c>
      <c r="E134" s="24">
        <v>9374</v>
      </c>
      <c r="F134" s="24">
        <v>4358</v>
      </c>
      <c r="G134" s="10"/>
      <c r="H134" s="10"/>
      <c r="I134" s="10"/>
      <c r="J134" s="11">
        <f>IF(D135="","",(1/D135)*1000000)</f>
        <v>74.732830132277101</v>
      </c>
      <c r="K134" s="11">
        <f t="shared" si="36"/>
        <v>106.67804565820354</v>
      </c>
      <c r="L134" s="11">
        <f t="shared" si="37"/>
        <v>229.4630564479119</v>
      </c>
      <c r="M134" s="11" t="str">
        <f t="shared" si="38"/>
        <v/>
      </c>
      <c r="N134" s="11" t="str">
        <f t="shared" si="39"/>
        <v/>
      </c>
      <c r="O134" s="11" t="str">
        <f t="shared" si="40"/>
        <v/>
      </c>
    </row>
    <row r="135" spans="1:15" x14ac:dyDescent="0.25">
      <c r="A135" s="9" t="s">
        <v>15</v>
      </c>
      <c r="B135" s="9" t="s">
        <v>16</v>
      </c>
      <c r="C135" s="9" t="s">
        <v>11</v>
      </c>
      <c r="D135" s="24">
        <v>13381</v>
      </c>
      <c r="E135" s="24" t="s">
        <v>99</v>
      </c>
      <c r="F135" s="24" t="s">
        <v>99</v>
      </c>
      <c r="G135" s="10"/>
      <c r="H135" s="10"/>
      <c r="I135" s="10"/>
      <c r="J135" s="11" t="e">
        <f>IF(#REF!="","",(1/#REF!)*1000000)</f>
        <v>#REF!</v>
      </c>
      <c r="K135" s="11" t="e">
        <f t="shared" si="36"/>
        <v>#VALUE!</v>
      </c>
      <c r="L135" s="11" t="e">
        <f t="shared" si="37"/>
        <v>#VALUE!</v>
      </c>
      <c r="M135" s="11" t="str">
        <f t="shared" si="38"/>
        <v/>
      </c>
      <c r="N135" s="11" t="str">
        <f t="shared" si="39"/>
        <v/>
      </c>
      <c r="O135" s="11" t="str">
        <f t="shared" si="40"/>
        <v/>
      </c>
    </row>
    <row r="136" spans="1:15" x14ac:dyDescent="0.25">
      <c r="A136" s="9" t="s">
        <v>17</v>
      </c>
      <c r="B136" s="8" t="s">
        <v>18</v>
      </c>
      <c r="C136" s="9" t="s">
        <v>11</v>
      </c>
      <c r="D136" s="24" t="s">
        <v>99</v>
      </c>
      <c r="E136" s="24" t="s">
        <v>99</v>
      </c>
      <c r="F136" s="24" t="s">
        <v>99</v>
      </c>
      <c r="G136" s="10"/>
      <c r="H136" s="10"/>
      <c r="I136" s="10"/>
      <c r="J136" s="11" t="e">
        <f t="shared" ref="J136" si="41">IF(D136="","",(1/D136)*1000000)</f>
        <v>#VALUE!</v>
      </c>
      <c r="K136" s="11" t="e">
        <f t="shared" si="36"/>
        <v>#VALUE!</v>
      </c>
      <c r="L136" s="11" t="e">
        <f t="shared" si="37"/>
        <v>#VALUE!</v>
      </c>
      <c r="M136" s="11" t="str">
        <f t="shared" si="38"/>
        <v/>
      </c>
      <c r="N136" s="11" t="str">
        <f t="shared" si="39"/>
        <v/>
      </c>
      <c r="O136" s="11" t="str">
        <f t="shared" si="40"/>
        <v/>
      </c>
    </row>
    <row r="137" spans="1:15" x14ac:dyDescent="0.25">
      <c r="A137" s="102" t="s">
        <v>113</v>
      </c>
      <c r="B137" s="102"/>
      <c r="C137" s="102"/>
      <c r="D137" s="102"/>
      <c r="E137" s="132" t="s">
        <v>105</v>
      </c>
      <c r="F137" s="132"/>
      <c r="G137" s="132"/>
      <c r="H137" s="132" t="s">
        <v>106</v>
      </c>
      <c r="I137" s="132"/>
      <c r="J137" s="19"/>
      <c r="K137" s="19"/>
      <c r="L137" s="19"/>
      <c r="M137" s="19"/>
      <c r="N137" s="19"/>
      <c r="O137" s="19"/>
    </row>
    <row r="138" spans="1:15" ht="18.75" x14ac:dyDescent="0.3">
      <c r="A138" s="75" t="s">
        <v>95</v>
      </c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93"/>
    </row>
    <row r="139" spans="1:15" x14ac:dyDescent="0.25">
      <c r="A139" s="87" t="s">
        <v>1</v>
      </c>
      <c r="B139" s="88"/>
      <c r="C139" s="89"/>
      <c r="D139" s="105" t="s">
        <v>19</v>
      </c>
      <c r="E139" s="106"/>
      <c r="F139" s="106"/>
      <c r="G139" s="106"/>
      <c r="H139" s="106"/>
      <c r="I139" s="107"/>
      <c r="J139" s="105" t="s">
        <v>22</v>
      </c>
      <c r="K139" s="106"/>
      <c r="L139" s="106"/>
      <c r="M139" s="106"/>
      <c r="N139" s="106"/>
      <c r="O139" s="107"/>
    </row>
    <row r="140" spans="1:15" x14ac:dyDescent="0.25">
      <c r="A140" s="6" t="s">
        <v>4</v>
      </c>
      <c r="B140" s="6" t="s">
        <v>5</v>
      </c>
      <c r="C140" s="6" t="s">
        <v>6</v>
      </c>
      <c r="D140" s="7">
        <v>1</v>
      </c>
      <c r="E140" s="7">
        <v>4</v>
      </c>
      <c r="F140" s="7">
        <v>16</v>
      </c>
      <c r="G140" s="7">
        <v>32</v>
      </c>
      <c r="H140" s="7">
        <v>64</v>
      </c>
      <c r="I140" s="7">
        <v>80</v>
      </c>
      <c r="J140" s="7">
        <v>1</v>
      </c>
      <c r="K140" s="7">
        <v>4</v>
      </c>
      <c r="L140" s="7">
        <v>16</v>
      </c>
      <c r="M140" s="7">
        <v>32</v>
      </c>
      <c r="N140" s="7">
        <v>64</v>
      </c>
      <c r="O140" s="7">
        <v>80</v>
      </c>
    </row>
    <row r="141" spans="1:15" x14ac:dyDescent="0.25">
      <c r="A141" s="8" t="s">
        <v>7</v>
      </c>
      <c r="B141" s="9" t="s">
        <v>8</v>
      </c>
      <c r="C141" s="9" t="s">
        <v>9</v>
      </c>
      <c r="D141" s="12">
        <f>IF(D131="","",(D131-'2016'!D5)/'2016'!D5)</f>
        <v>-5.9490337840853308E-2</v>
      </c>
      <c r="E141" s="12">
        <f>IF(E131="","",(E131-'2016'!E5)/'2016'!E5)</f>
        <v>-2.7769483427888923E-2</v>
      </c>
      <c r="F141" s="12">
        <f>IF(F131="","",(F131-'2016'!F5)/'2016'!F5)</f>
        <v>-1.0268697586856067E-3</v>
      </c>
      <c r="G141" s="12" t="str">
        <f>IF(G131="","",(G131-#REF!)/#REF!)</f>
        <v/>
      </c>
      <c r="H141" s="12" t="str">
        <f>IF(H131="","",(H131-#REF!)/#REF!)</f>
        <v/>
      </c>
      <c r="I141" s="12" t="str">
        <f>IF(I131="","",(I131-#REF!)/#REF!)</f>
        <v/>
      </c>
      <c r="J141" s="11">
        <f>J131-'2015'!J161</f>
        <v>23.725918193034072</v>
      </c>
      <c r="K141" s="11">
        <f>K131-'2015'!K161</f>
        <v>51.187551187551193</v>
      </c>
      <c r="L141" s="11">
        <f>L131-'2015'!L161</f>
        <v>171.32088401576152</v>
      </c>
      <c r="M141" s="11" t="str">
        <f>IF(G141="","",M131-((1/Comparisons!#REF!)*1000000))</f>
        <v/>
      </c>
      <c r="N141" s="11" t="str">
        <f>IF(H141="","",N131-((1/Comparisons!#REF!)*1000000))</f>
        <v/>
      </c>
      <c r="O141" s="11" t="str">
        <f>IF(I141="","",O131-((1/Comparisons!#REF!)*1000000))</f>
        <v/>
      </c>
    </row>
    <row r="142" spans="1:15" x14ac:dyDescent="0.25">
      <c r="A142" s="8" t="s">
        <v>10</v>
      </c>
      <c r="B142" s="9" t="s">
        <v>8</v>
      </c>
      <c r="C142" s="9" t="s">
        <v>11</v>
      </c>
      <c r="D142" s="12">
        <f>IF(D132="","",(D132-'2016'!D6)/'2016'!D6)</f>
        <v>-0.1027893254660051</v>
      </c>
      <c r="E142" s="12">
        <f>IF(E132="","",(E132-'2016'!E6)/'2016'!E6)</f>
        <v>-9.6011816838995567E-2</v>
      </c>
      <c r="F142" s="12">
        <f>IF(F132="","",(F132-'2016'!F6)/'2016'!F6)</f>
        <v>-6.4056939501779361E-2</v>
      </c>
      <c r="G142" s="12" t="str">
        <f>IF(G132="","",(G132-#REF!)/#REF!)</f>
        <v/>
      </c>
      <c r="H142" s="12" t="str">
        <f>IF(H132="","",(H132-#REF!)/#REF!)</f>
        <v/>
      </c>
      <c r="I142" s="12" t="str">
        <f>IF(I132="","",(I132-#REF!)/#REF!)</f>
        <v/>
      </c>
      <c r="J142" s="11">
        <f>J132-'2015'!J162</f>
        <v>74.732830132277101</v>
      </c>
      <c r="K142" s="11">
        <f>K132-'2015'!K162</f>
        <v>102.12418300653594</v>
      </c>
      <c r="L142" s="11">
        <f>L132-'2015'!L162</f>
        <v>223.66360993066428</v>
      </c>
      <c r="M142" s="11" t="str">
        <f>IF(G142="","",M132-((1/Comparisons!#REF!)*1000000))</f>
        <v/>
      </c>
      <c r="N142" s="11" t="str">
        <f>IF(H142="","",N132-((1/Comparisons!#REF!)*1000000))</f>
        <v/>
      </c>
      <c r="O142" s="11" t="str">
        <f>IF(I142="","",O132-((1/Comparisons!#REF!)*1000000))</f>
        <v/>
      </c>
    </row>
    <row r="143" spans="1:15" x14ac:dyDescent="0.25">
      <c r="A143" s="9" t="s">
        <v>12</v>
      </c>
      <c r="B143" s="9" t="s">
        <v>13</v>
      </c>
      <c r="C143" s="9" t="s">
        <v>9</v>
      </c>
      <c r="D143" s="12">
        <f>IF(D133="","",(D133-'2016'!D7)/'2016'!D7)</f>
        <v>-8.0054336564363504E-2</v>
      </c>
      <c r="E143" s="12">
        <f>IF(E133="","",(E133-'2016'!E7)/'2016'!E7)</f>
        <v>-3.3088034886890161E-2</v>
      </c>
      <c r="F143" s="12">
        <f>IF(F133="","",(F133-'2016'!F7)/'2016'!F7)</f>
        <v>-1.0111761575306013E-2</v>
      </c>
      <c r="G143" s="12" t="str">
        <f>IF(G133="","",(G133-#REF!)/#REF!)</f>
        <v/>
      </c>
      <c r="H143" s="12" t="str">
        <f>IF(H133="","",(H133-#REF!)/#REF!)</f>
        <v/>
      </c>
      <c r="I143" s="12" t="str">
        <f>IF(I133="","",(I133-#REF!)/#REF!)</f>
        <v/>
      </c>
      <c r="J143" s="11">
        <f>J133-'2015'!J163</f>
        <v>25.027530283311641</v>
      </c>
      <c r="K143" s="11">
        <f>K133-'2015'!K163</f>
        <v>56.376141616867741</v>
      </c>
      <c r="L143" s="11">
        <f>L133-'2015'!L163</f>
        <v>179.21146953405017</v>
      </c>
      <c r="M143" s="11" t="str">
        <f>IF(G143="","",M133-((1/Comparisons!#REF!)*1000000))</f>
        <v/>
      </c>
      <c r="N143" s="11" t="str">
        <f>IF(H143="","",N133-((1/Comparisons!#REF!)*1000000))</f>
        <v/>
      </c>
      <c r="O143" s="11" t="str">
        <f>IF(I143="","",O133-((1/Comparisons!#REF!)*1000000))</f>
        <v/>
      </c>
    </row>
    <row r="144" spans="1:15" x14ac:dyDescent="0.25">
      <c r="A144" s="9" t="s">
        <v>14</v>
      </c>
      <c r="B144" s="9" t="s">
        <v>13</v>
      </c>
      <c r="C144" s="9" t="s">
        <v>11</v>
      </c>
      <c r="D144" s="12">
        <f>IF(D134="","",(D134-'2016'!D8)/'2016'!D8)</f>
        <v>-7.3953423897976156E-2</v>
      </c>
      <c r="E144" s="12">
        <f>IF(E134="","",(E134-'2016'!E8)/'2016'!E8)</f>
        <v>-8.4033613445378158E-2</v>
      </c>
      <c r="F144" s="12">
        <f>IF(F134="","",(F134-'2016'!F8)/'2016'!F8)</f>
        <v>-4.7223436816790552E-2</v>
      </c>
      <c r="G144" s="12" t="str">
        <f>IF(G134="","",(G134-#REF!)/#REF!)</f>
        <v/>
      </c>
      <c r="H144" s="12" t="str">
        <f>IF(H134="","",(H134-#REF!)/#REF!)</f>
        <v/>
      </c>
      <c r="I144" s="12" t="str">
        <f>IF(I134="","",(I134-#REF!)/#REF!)</f>
        <v/>
      </c>
      <c r="J144" s="11">
        <f>J134-'2015'!J164</f>
        <v>74.732830132277101</v>
      </c>
      <c r="K144" s="11">
        <f>K134-'2015'!K164</f>
        <v>106.67804565820354</v>
      </c>
      <c r="L144" s="11">
        <f>L134-'2015'!L164</f>
        <v>229.4630564479119</v>
      </c>
      <c r="M144" s="11" t="str">
        <f>IF(G144="","",M134-((1/Comparisons!#REF!)*1000000))</f>
        <v/>
      </c>
      <c r="N144" s="11" t="str">
        <f>IF(H144="","",N134-((1/Comparisons!#REF!)*1000000))</f>
        <v/>
      </c>
      <c r="O144" s="11" t="str">
        <f>IF(I144="","",O134-((1/Comparisons!#REF!)*1000000))</f>
        <v/>
      </c>
    </row>
    <row r="145" spans="1:15" x14ac:dyDescent="0.25">
      <c r="A145" s="9" t="s">
        <v>15</v>
      </c>
      <c r="B145" s="9" t="s">
        <v>16</v>
      </c>
      <c r="C145" s="9" t="s">
        <v>11</v>
      </c>
      <c r="D145" s="12">
        <f>IF(D135="","",(D135-'2016'!D9)/'2016'!D9)</f>
        <v>-7.8594201823978648E-3</v>
      </c>
      <c r="E145" s="12" t="e">
        <f>IF(E135="","",(E135-'2016'!E9)/'2016'!E9)</f>
        <v>#VALUE!</v>
      </c>
      <c r="F145" s="12" t="e">
        <f>IF(F135="","",(F135-'2016'!F9)/'2016'!F9)</f>
        <v>#VALUE!</v>
      </c>
      <c r="G145" s="12" t="str">
        <f>IF(G135="","",(G135-#REF!)/#REF!)</f>
        <v/>
      </c>
      <c r="H145" s="12" t="str">
        <f>IF(H135="","",(H135-#REF!)/#REF!)</f>
        <v/>
      </c>
      <c r="I145" s="12" t="str">
        <f>IF(I135="","",(I135-#REF!)/#REF!)</f>
        <v/>
      </c>
      <c r="J145" s="11" t="e">
        <f>J135-'2015'!J165</f>
        <v>#REF!</v>
      </c>
      <c r="K145" s="11" t="e">
        <f>K135-'2015'!K165</f>
        <v>#VALUE!</v>
      </c>
      <c r="L145" s="11" t="e">
        <f>L135-'2015'!L165</f>
        <v>#VALUE!</v>
      </c>
      <c r="M145" s="11" t="str">
        <f>IF(G145="","",M135-((1/Comparisons!#REF!)*1000000))</f>
        <v/>
      </c>
      <c r="N145" s="11" t="str">
        <f>IF(H145="","",N135-((1/Comparisons!#REF!)*1000000))</f>
        <v/>
      </c>
      <c r="O145" s="11" t="str">
        <f>IF(I145="","",O135-((1/Comparisons!#REF!)*1000000))</f>
        <v/>
      </c>
    </row>
    <row r="146" spans="1:15" x14ac:dyDescent="0.25">
      <c r="A146" s="9" t="s">
        <v>17</v>
      </c>
      <c r="B146" s="8" t="s">
        <v>18</v>
      </c>
      <c r="C146" s="9" t="s">
        <v>11</v>
      </c>
      <c r="D146" s="12" t="e">
        <f>IF(D136="","",(D136-'2016'!D10)/'2016'!D10)</f>
        <v>#VALUE!</v>
      </c>
      <c r="E146" s="12" t="e">
        <f>IF(E136="","",(E136-'2016'!E10)/'2016'!E10)</f>
        <v>#VALUE!</v>
      </c>
      <c r="F146" s="12" t="e">
        <f>IF(F136="","",(F136-'2016'!F10)/'2016'!F10)</f>
        <v>#VALUE!</v>
      </c>
      <c r="G146" s="12" t="str">
        <f>IF(G136="","",(G136-#REF!)/#REF!)</f>
        <v/>
      </c>
      <c r="H146" s="12" t="str">
        <f>IF(H136="","",(H136-#REF!)/#REF!)</f>
        <v/>
      </c>
      <c r="I146" s="12" t="str">
        <f>IF(I136="","",(I136-#REF!)/#REF!)</f>
        <v/>
      </c>
      <c r="J146" s="11" t="e">
        <f>J136-'2015'!J166</f>
        <v>#VALUE!</v>
      </c>
      <c r="K146" s="11" t="e">
        <f>K136-'2015'!K166</f>
        <v>#VALUE!</v>
      </c>
      <c r="L146" s="11" t="e">
        <f>L136-'2015'!L166</f>
        <v>#VALUE!</v>
      </c>
      <c r="M146" s="11" t="str">
        <f>IF(G146="","",M136-((1/Comparisons!#REF!)*1000000))</f>
        <v/>
      </c>
      <c r="N146" s="11" t="str">
        <f>IF(H146="","",N136-((1/Comparisons!#REF!)*1000000))</f>
        <v/>
      </c>
      <c r="O146" s="11" t="str">
        <f>IF(I146="","",O136-((1/Comparisons!#REF!)*1000000))</f>
        <v/>
      </c>
    </row>
    <row r="147" spans="1:15" ht="15.75" thickBot="1" x14ac:dyDescent="0.3"/>
    <row r="148" spans="1:15" ht="18.75" x14ac:dyDescent="0.25">
      <c r="A148" s="126" t="s">
        <v>93</v>
      </c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8"/>
    </row>
    <row r="149" spans="1:15" ht="15.75" x14ac:dyDescent="0.25">
      <c r="A149" s="129" t="s">
        <v>116</v>
      </c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130"/>
    </row>
    <row r="150" spans="1:15" x14ac:dyDescent="0.25">
      <c r="A150" s="122" t="s">
        <v>1</v>
      </c>
      <c r="B150" s="88"/>
      <c r="C150" s="89"/>
      <c r="D150" s="105" t="s">
        <v>2</v>
      </c>
      <c r="E150" s="106"/>
      <c r="F150" s="106"/>
      <c r="G150" s="106"/>
      <c r="H150" s="106"/>
      <c r="I150" s="107"/>
      <c r="J150" s="105" t="s">
        <v>3</v>
      </c>
      <c r="K150" s="106"/>
      <c r="L150" s="106"/>
      <c r="M150" s="106"/>
      <c r="N150" s="106"/>
      <c r="O150" s="123"/>
    </row>
    <row r="151" spans="1:15" x14ac:dyDescent="0.25">
      <c r="A151" s="26" t="s">
        <v>26</v>
      </c>
      <c r="B151" s="6" t="s">
        <v>5</v>
      </c>
      <c r="C151" s="6" t="s">
        <v>6</v>
      </c>
      <c r="D151" s="7">
        <v>1</v>
      </c>
      <c r="E151" s="7">
        <v>4</v>
      </c>
      <c r="F151" s="7">
        <v>16</v>
      </c>
      <c r="G151" s="7">
        <v>32</v>
      </c>
      <c r="H151" s="7">
        <v>64</v>
      </c>
      <c r="I151" s="7">
        <v>80</v>
      </c>
      <c r="J151" s="7">
        <v>1</v>
      </c>
      <c r="K151" s="7">
        <v>4</v>
      </c>
      <c r="L151" s="7">
        <v>16</v>
      </c>
      <c r="M151" s="7">
        <v>32</v>
      </c>
      <c r="N151" s="7">
        <v>64</v>
      </c>
      <c r="O151" s="27">
        <v>80</v>
      </c>
    </row>
    <row r="152" spans="1:15" x14ac:dyDescent="0.25">
      <c r="A152" s="28" t="s">
        <v>7</v>
      </c>
      <c r="B152" s="9" t="s">
        <v>8</v>
      </c>
      <c r="C152" s="9" t="s">
        <v>9</v>
      </c>
      <c r="D152" s="24">
        <v>42240</v>
      </c>
      <c r="E152" s="24">
        <v>18154</v>
      </c>
      <c r="F152" s="24">
        <v>5832</v>
      </c>
      <c r="G152" s="10"/>
      <c r="H152" s="10"/>
      <c r="I152" s="10"/>
      <c r="J152" s="11">
        <f t="shared" ref="J152:J154" si="42">IF(D152="","",(1/D152)*1000000)</f>
        <v>23.674242424242426</v>
      </c>
      <c r="K152" s="11">
        <f t="shared" ref="K152:K157" si="43">IF(E152="","",(1/E152)*1000000)</f>
        <v>55.084278946788586</v>
      </c>
      <c r="L152" s="11">
        <f t="shared" ref="L152:L157" si="44">IF(F152="","",(1/F152)*1000000)</f>
        <v>171.46776406035664</v>
      </c>
      <c r="M152" s="11" t="str">
        <f t="shared" ref="M152:M157" si="45">IF(G152="","",(1/G152)*1000000)</f>
        <v/>
      </c>
      <c r="N152" s="11" t="str">
        <f t="shared" ref="N152:N157" si="46">IF(H152="","",(1/H152)*1000000)</f>
        <v/>
      </c>
      <c r="O152" s="29" t="str">
        <f t="shared" ref="O152:O157" si="47">IF(I152="","",(1/I152)*1000000)</f>
        <v/>
      </c>
    </row>
    <row r="153" spans="1:15" x14ac:dyDescent="0.25">
      <c r="A153" s="28" t="s">
        <v>10</v>
      </c>
      <c r="B153" s="9" t="s">
        <v>8</v>
      </c>
      <c r="C153" s="9" t="s">
        <v>11</v>
      </c>
      <c r="D153" s="24">
        <v>13381</v>
      </c>
      <c r="E153" s="24">
        <v>9811</v>
      </c>
      <c r="F153" s="24">
        <v>4569</v>
      </c>
      <c r="G153" s="10"/>
      <c r="H153" s="10"/>
      <c r="I153" s="10"/>
      <c r="J153" s="11">
        <f t="shared" si="42"/>
        <v>74.732830132277101</v>
      </c>
      <c r="K153" s="11">
        <f t="shared" si="43"/>
        <v>101.92640913260625</v>
      </c>
      <c r="L153" s="11">
        <f t="shared" si="44"/>
        <v>218.8662727073758</v>
      </c>
      <c r="M153" s="11" t="str">
        <f t="shared" si="45"/>
        <v/>
      </c>
      <c r="N153" s="11" t="str">
        <f t="shared" si="46"/>
        <v/>
      </c>
      <c r="O153" s="29" t="str">
        <f t="shared" si="47"/>
        <v/>
      </c>
    </row>
    <row r="154" spans="1:15" x14ac:dyDescent="0.25">
      <c r="A154" s="30" t="s">
        <v>12</v>
      </c>
      <c r="B154" s="9" t="s">
        <v>13</v>
      </c>
      <c r="C154" s="9" t="s">
        <v>9</v>
      </c>
      <c r="D154" s="25" t="s">
        <v>99</v>
      </c>
      <c r="E154" s="25" t="s">
        <v>99</v>
      </c>
      <c r="F154" s="25" t="s">
        <v>99</v>
      </c>
      <c r="G154" s="10"/>
      <c r="H154" s="10"/>
      <c r="I154" s="10"/>
      <c r="J154" s="11" t="e">
        <f t="shared" si="42"/>
        <v>#VALUE!</v>
      </c>
      <c r="K154" s="11" t="e">
        <f t="shared" si="43"/>
        <v>#VALUE!</v>
      </c>
      <c r="L154" s="11" t="e">
        <f t="shared" si="44"/>
        <v>#VALUE!</v>
      </c>
      <c r="M154" s="11" t="str">
        <f t="shared" si="45"/>
        <v/>
      </c>
      <c r="N154" s="11" t="str">
        <f t="shared" si="46"/>
        <v/>
      </c>
      <c r="O154" s="29" t="str">
        <f t="shared" si="47"/>
        <v/>
      </c>
    </row>
    <row r="155" spans="1:15" x14ac:dyDescent="0.25">
      <c r="A155" s="30" t="s">
        <v>14</v>
      </c>
      <c r="B155" s="9" t="s">
        <v>13</v>
      </c>
      <c r="C155" s="9" t="s">
        <v>11</v>
      </c>
      <c r="D155" s="25" t="s">
        <v>99</v>
      </c>
      <c r="E155" s="25" t="s">
        <v>99</v>
      </c>
      <c r="F155" s="25" t="s">
        <v>99</v>
      </c>
      <c r="G155" s="10"/>
      <c r="H155" s="10"/>
      <c r="I155" s="10"/>
      <c r="J155" s="11">
        <f>IF(D156="","",(1/D156)*1000000)</f>
        <v>71.994240460763137</v>
      </c>
      <c r="K155" s="11" t="e">
        <f t="shared" si="43"/>
        <v>#VALUE!</v>
      </c>
      <c r="L155" s="11" t="e">
        <f t="shared" si="44"/>
        <v>#VALUE!</v>
      </c>
      <c r="M155" s="11" t="str">
        <f t="shared" si="45"/>
        <v/>
      </c>
      <c r="N155" s="11" t="str">
        <f t="shared" si="46"/>
        <v/>
      </c>
      <c r="O155" s="29" t="str">
        <f t="shared" si="47"/>
        <v/>
      </c>
    </row>
    <row r="156" spans="1:15" x14ac:dyDescent="0.25">
      <c r="A156" s="30" t="s">
        <v>15</v>
      </c>
      <c r="B156" s="9" t="s">
        <v>16</v>
      </c>
      <c r="C156" s="9" t="s">
        <v>11</v>
      </c>
      <c r="D156" s="24">
        <v>13890</v>
      </c>
      <c r="E156" s="24" t="s">
        <v>99</v>
      </c>
      <c r="F156" s="24" t="s">
        <v>99</v>
      </c>
      <c r="G156" s="10"/>
      <c r="H156" s="10"/>
      <c r="I156" s="10"/>
      <c r="J156" s="11" t="e">
        <f>IF(#REF!="","",(1/#REF!)*1000000)</f>
        <v>#REF!</v>
      </c>
      <c r="K156" s="11" t="e">
        <f t="shared" si="43"/>
        <v>#VALUE!</v>
      </c>
      <c r="L156" s="11" t="e">
        <f t="shared" si="44"/>
        <v>#VALUE!</v>
      </c>
      <c r="M156" s="11" t="str">
        <f t="shared" si="45"/>
        <v/>
      </c>
      <c r="N156" s="11" t="str">
        <f t="shared" si="46"/>
        <v/>
      </c>
      <c r="O156" s="29" t="str">
        <f t="shared" si="47"/>
        <v/>
      </c>
    </row>
    <row r="157" spans="1:15" x14ac:dyDescent="0.25">
      <c r="A157" s="30" t="s">
        <v>17</v>
      </c>
      <c r="B157" s="8" t="s">
        <v>18</v>
      </c>
      <c r="C157" s="9" t="s">
        <v>11</v>
      </c>
      <c r="D157" s="24" t="s">
        <v>99</v>
      </c>
      <c r="E157" s="24" t="s">
        <v>99</v>
      </c>
      <c r="F157" s="24" t="s">
        <v>99</v>
      </c>
      <c r="G157" s="10"/>
      <c r="H157" s="10"/>
      <c r="I157" s="10"/>
      <c r="J157" s="11" t="e">
        <f t="shared" ref="J157" si="48">IF(D157="","",(1/D157)*1000000)</f>
        <v>#VALUE!</v>
      </c>
      <c r="K157" s="11" t="e">
        <f t="shared" si="43"/>
        <v>#VALUE!</v>
      </c>
      <c r="L157" s="11" t="e">
        <f t="shared" si="44"/>
        <v>#VALUE!</v>
      </c>
      <c r="M157" s="11" t="str">
        <f t="shared" si="45"/>
        <v/>
      </c>
      <c r="N157" s="11" t="str">
        <f t="shared" si="46"/>
        <v/>
      </c>
      <c r="O157" s="29" t="str">
        <f t="shared" si="47"/>
        <v/>
      </c>
    </row>
    <row r="158" spans="1:15" x14ac:dyDescent="0.25">
      <c r="A158" s="131" t="s">
        <v>115</v>
      </c>
      <c r="B158" s="102"/>
      <c r="C158" s="102"/>
      <c r="D158" s="102"/>
      <c r="E158" s="132"/>
      <c r="F158" s="132"/>
      <c r="G158" s="132"/>
      <c r="H158" s="132" t="s">
        <v>106</v>
      </c>
      <c r="I158" s="132"/>
      <c r="J158" s="19"/>
      <c r="K158" s="19"/>
      <c r="L158" s="19"/>
      <c r="M158" s="19"/>
      <c r="N158" s="19"/>
      <c r="O158" s="31"/>
    </row>
    <row r="159" spans="1:15" ht="18.75" x14ac:dyDescent="0.3">
      <c r="A159" s="124" t="s">
        <v>95</v>
      </c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125"/>
    </row>
    <row r="160" spans="1:15" x14ac:dyDescent="0.25">
      <c r="A160" s="122" t="s">
        <v>1</v>
      </c>
      <c r="B160" s="88"/>
      <c r="C160" s="89"/>
      <c r="D160" s="105" t="s">
        <v>19</v>
      </c>
      <c r="E160" s="106"/>
      <c r="F160" s="106"/>
      <c r="G160" s="106"/>
      <c r="H160" s="106"/>
      <c r="I160" s="107"/>
      <c r="J160" s="105" t="s">
        <v>22</v>
      </c>
      <c r="K160" s="106"/>
      <c r="L160" s="106"/>
      <c r="M160" s="106"/>
      <c r="N160" s="106"/>
      <c r="O160" s="123"/>
    </row>
    <row r="161" spans="1:15" x14ac:dyDescent="0.25">
      <c r="A161" s="26" t="s">
        <v>4</v>
      </c>
      <c r="B161" s="6" t="s">
        <v>5</v>
      </c>
      <c r="C161" s="6" t="s">
        <v>6</v>
      </c>
      <c r="D161" s="7">
        <v>1</v>
      </c>
      <c r="E161" s="7">
        <v>4</v>
      </c>
      <c r="F161" s="7">
        <v>16</v>
      </c>
      <c r="G161" s="7">
        <v>32</v>
      </c>
      <c r="H161" s="7">
        <v>64</v>
      </c>
      <c r="I161" s="7">
        <v>80</v>
      </c>
      <c r="J161" s="7">
        <v>1</v>
      </c>
      <c r="K161" s="7">
        <v>4</v>
      </c>
      <c r="L161" s="7">
        <v>16</v>
      </c>
      <c r="M161" s="7">
        <v>32</v>
      </c>
      <c r="N161" s="7">
        <v>64</v>
      </c>
      <c r="O161" s="27">
        <v>80</v>
      </c>
    </row>
    <row r="162" spans="1:15" x14ac:dyDescent="0.25">
      <c r="A162" s="28" t="s">
        <v>7</v>
      </c>
      <c r="B162" s="9" t="s">
        <v>8</v>
      </c>
      <c r="C162" s="9" t="s">
        <v>9</v>
      </c>
      <c r="D162" s="12">
        <f>IF(D152="","",(D152-'2016'!D5)/'2016'!D5)</f>
        <v>-5.7437407952871868E-2</v>
      </c>
      <c r="E162" s="12">
        <f>IF(E152="","",(E152-'2016'!E5)/'2016'!E5)</f>
        <v>-9.6546232706280488E-2</v>
      </c>
      <c r="F162" s="12">
        <f>IF(F152="","",(F152-'2016'!F5)/'2016'!F5)</f>
        <v>-1.8825945575902789E-3</v>
      </c>
      <c r="G162" s="12" t="str">
        <f>IF(G152="","",(G152-#REF!)/#REF!)</f>
        <v/>
      </c>
      <c r="H162" s="12" t="str">
        <f>IF(H152="","",(H152-#REF!)/#REF!)</f>
        <v/>
      </c>
      <c r="I162" s="12" t="str">
        <f>IF(I152="","",(I152-#REF!)/#REF!)</f>
        <v/>
      </c>
      <c r="J162" s="11">
        <f>J152-'2015'!J182</f>
        <v>23.674242424242426</v>
      </c>
      <c r="K162" s="11">
        <f>K152-'2015'!K182</f>
        <v>55.084278946788586</v>
      </c>
      <c r="L162" s="11">
        <f>L152-'2015'!L182</f>
        <v>171.46776406035664</v>
      </c>
      <c r="M162" s="11" t="str">
        <f>IF(G162="","",M152-((1/Comparisons!#REF!)*1000000))</f>
        <v/>
      </c>
      <c r="N162" s="11" t="str">
        <f>IF(H162="","",N152-((1/Comparisons!#REF!)*1000000))</f>
        <v/>
      </c>
      <c r="O162" s="29" t="str">
        <f>IF(I162="","",O152-((1/Comparisons!#REF!)*1000000))</f>
        <v/>
      </c>
    </row>
    <row r="163" spans="1:15" x14ac:dyDescent="0.25">
      <c r="A163" s="28" t="s">
        <v>10</v>
      </c>
      <c r="B163" s="9" t="s">
        <v>8</v>
      </c>
      <c r="C163" s="9" t="s">
        <v>11</v>
      </c>
      <c r="D163" s="12">
        <f>IF(D153="","",(D153-'2016'!D6)/'2016'!D6)</f>
        <v>-0.1027893254660051</v>
      </c>
      <c r="E163" s="12">
        <f>IF(E153="","",(E153-'2016'!E6)/'2016'!E6)</f>
        <v>-9.4257754800590843E-2</v>
      </c>
      <c r="F163" s="12">
        <f>IF(F153="","",(F153-'2016'!F6)/'2016'!F6)</f>
        <v>-4.3541971948921919E-2</v>
      </c>
      <c r="G163" s="12" t="str">
        <f>IF(G153="","",(G153-#REF!)/#REF!)</f>
        <v/>
      </c>
      <c r="H163" s="12" t="str">
        <f>IF(H153="","",(H153-#REF!)/#REF!)</f>
        <v/>
      </c>
      <c r="I163" s="12" t="str">
        <f>IF(I153="","",(I153-#REF!)/#REF!)</f>
        <v/>
      </c>
      <c r="J163" s="11">
        <f>J153-'2015'!J183</f>
        <v>74.732830132277101</v>
      </c>
      <c r="K163" s="11">
        <f>K153-'2015'!K183</f>
        <v>101.92640913260625</v>
      </c>
      <c r="L163" s="11">
        <f>L153-'2015'!L183</f>
        <v>218.8662727073758</v>
      </c>
      <c r="M163" s="11" t="str">
        <f>IF(G163="","",M153-((1/Comparisons!#REF!)*1000000))</f>
        <v/>
      </c>
      <c r="N163" s="11" t="str">
        <f>IF(H163="","",N153-((1/Comparisons!#REF!)*1000000))</f>
        <v/>
      </c>
      <c r="O163" s="29" t="str">
        <f>IF(I163="","",O153-((1/Comparisons!#REF!)*1000000))</f>
        <v/>
      </c>
    </row>
    <row r="164" spans="1:15" x14ac:dyDescent="0.25">
      <c r="A164" s="30" t="s">
        <v>12</v>
      </c>
      <c r="B164" s="9" t="s">
        <v>13</v>
      </c>
      <c r="C164" s="9" t="s">
        <v>9</v>
      </c>
      <c r="D164" s="12" t="e">
        <f>IF(D154="","",(D154-'2016'!D7)/'2016'!D7)</f>
        <v>#VALUE!</v>
      </c>
      <c r="E164" s="12" t="e">
        <f>IF(E154="","",(E154-'2016'!E28)/'2016'!E28)</f>
        <v>#VALUE!</v>
      </c>
      <c r="F164" s="12" t="e">
        <f>IF(F154="","",(F154-'2016'!F28)/'2016'!F28)</f>
        <v>#VALUE!</v>
      </c>
      <c r="G164" s="12" t="str">
        <f>IF(G154="","",(G154-#REF!)/#REF!)</f>
        <v/>
      </c>
      <c r="H164" s="12" t="str">
        <f>IF(H154="","",(H154-#REF!)/#REF!)</f>
        <v/>
      </c>
      <c r="I164" s="12" t="str">
        <f>IF(I154="","",(I154-#REF!)/#REF!)</f>
        <v/>
      </c>
      <c r="J164" s="11" t="e">
        <f>J154-'2015'!J184</f>
        <v>#VALUE!</v>
      </c>
      <c r="K164" s="11" t="e">
        <f>K154-'2015'!K184</f>
        <v>#VALUE!</v>
      </c>
      <c r="L164" s="11" t="e">
        <f>L154-'2015'!L184</f>
        <v>#VALUE!</v>
      </c>
      <c r="M164" s="11" t="str">
        <f>IF(G164="","",M154-((1/Comparisons!#REF!)*1000000))</f>
        <v/>
      </c>
      <c r="N164" s="11" t="str">
        <f>IF(H164="","",N154-((1/Comparisons!#REF!)*1000000))</f>
        <v/>
      </c>
      <c r="O164" s="29" t="str">
        <f>IF(I164="","",O154-((1/Comparisons!#REF!)*1000000))</f>
        <v/>
      </c>
    </row>
    <row r="165" spans="1:15" x14ac:dyDescent="0.25">
      <c r="A165" s="30" t="s">
        <v>14</v>
      </c>
      <c r="B165" s="9" t="s">
        <v>13</v>
      </c>
      <c r="C165" s="9" t="s">
        <v>11</v>
      </c>
      <c r="D165" s="12" t="e">
        <f>IF(D155="","",(D155-'2016'!D8)/'2016'!D8)</f>
        <v>#VALUE!</v>
      </c>
      <c r="E165" s="12" t="e">
        <f>IF(E155="","",(E155-'2016'!E29)/'2016'!E29)</f>
        <v>#VALUE!</v>
      </c>
      <c r="F165" s="12" t="e">
        <f>IF(F155="","",(F155-'2016'!F29)/'2016'!F29)</f>
        <v>#VALUE!</v>
      </c>
      <c r="G165" s="12" t="str">
        <f>IF(G155="","",(G155-#REF!)/#REF!)</f>
        <v/>
      </c>
      <c r="H165" s="12" t="str">
        <f>IF(H155="","",(H155-#REF!)/#REF!)</f>
        <v/>
      </c>
      <c r="I165" s="12" t="str">
        <f>IF(I155="","",(I155-#REF!)/#REF!)</f>
        <v/>
      </c>
      <c r="J165" s="11">
        <f>J155-'2015'!J185</f>
        <v>71.994240460763137</v>
      </c>
      <c r="K165" s="11" t="e">
        <f>K155-'2015'!K185</f>
        <v>#VALUE!</v>
      </c>
      <c r="L165" s="11" t="e">
        <f>L155-'2015'!L185</f>
        <v>#VALUE!</v>
      </c>
      <c r="M165" s="11" t="str">
        <f>IF(G165="","",M155-((1/Comparisons!#REF!)*1000000))</f>
        <v/>
      </c>
      <c r="N165" s="11" t="str">
        <f>IF(H165="","",N155-((1/Comparisons!#REF!)*1000000))</f>
        <v/>
      </c>
      <c r="O165" s="29" t="str">
        <f>IF(I165="","",O155-((1/Comparisons!#REF!)*1000000))</f>
        <v/>
      </c>
    </row>
    <row r="166" spans="1:15" x14ac:dyDescent="0.25">
      <c r="A166" s="30" t="s">
        <v>15</v>
      </c>
      <c r="B166" s="9" t="s">
        <v>16</v>
      </c>
      <c r="C166" s="9" t="s">
        <v>11</v>
      </c>
      <c r="D166" s="12">
        <f>IF(D156="","",(D156-'2016'!D9)/'2016'!D9)</f>
        <v>2.9880625787795656E-2</v>
      </c>
      <c r="E166" s="12" t="e">
        <f>IF(E156="","",(E156-'2016'!E30)/'2016'!E30)</f>
        <v>#VALUE!</v>
      </c>
      <c r="F166" s="12" t="e">
        <f>IF(F156="","",(F156-'2016'!F30)/'2016'!F30)</f>
        <v>#VALUE!</v>
      </c>
      <c r="G166" s="12" t="str">
        <f>IF(G156="","",(G156-#REF!)/#REF!)</f>
        <v/>
      </c>
      <c r="H166" s="12" t="str">
        <f>IF(H156="","",(H156-#REF!)/#REF!)</f>
        <v/>
      </c>
      <c r="I166" s="12" t="str">
        <f>IF(I156="","",(I156-#REF!)/#REF!)</f>
        <v/>
      </c>
      <c r="J166" s="11" t="e">
        <f>J156-'2015'!J186</f>
        <v>#REF!</v>
      </c>
      <c r="K166" s="11" t="e">
        <f>K156-'2015'!K186</f>
        <v>#VALUE!</v>
      </c>
      <c r="L166" s="11" t="e">
        <f>L156-'2015'!L186</f>
        <v>#VALUE!</v>
      </c>
      <c r="M166" s="11" t="str">
        <f>IF(G166="","",M156-((1/Comparisons!#REF!)*1000000))</f>
        <v/>
      </c>
      <c r="N166" s="11" t="str">
        <f>IF(H166="","",N156-((1/Comparisons!#REF!)*1000000))</f>
        <v/>
      </c>
      <c r="O166" s="29" t="str">
        <f>IF(I166="","",O156-((1/Comparisons!#REF!)*1000000))</f>
        <v/>
      </c>
    </row>
    <row r="167" spans="1:15" ht="15.75" thickBot="1" x14ac:dyDescent="0.3">
      <c r="A167" s="32" t="s">
        <v>17</v>
      </c>
      <c r="B167" s="33" t="s">
        <v>18</v>
      </c>
      <c r="C167" s="34" t="s">
        <v>11</v>
      </c>
      <c r="D167" s="35" t="e">
        <f>IF(D157="","",(D157-'2016'!D10)/'2016'!D10)</f>
        <v>#VALUE!</v>
      </c>
      <c r="E167" s="35" t="e">
        <f>IF(E157="","",(E157-'2016'!E31)/'2016'!E31)</f>
        <v>#VALUE!</v>
      </c>
      <c r="F167" s="35" t="e">
        <f>IF(F157="","",(F157-'2016'!F31)/'2016'!F31)</f>
        <v>#VALUE!</v>
      </c>
      <c r="G167" s="35" t="str">
        <f>IF(G157="","",(G157-#REF!)/#REF!)</f>
        <v/>
      </c>
      <c r="H167" s="35" t="str">
        <f>IF(H157="","",(H157-#REF!)/#REF!)</f>
        <v/>
      </c>
      <c r="I167" s="35" t="str">
        <f>IF(I157="","",(I157-#REF!)/#REF!)</f>
        <v/>
      </c>
      <c r="J167" s="36" t="e">
        <f>J157-'2015'!J187</f>
        <v>#VALUE!</v>
      </c>
      <c r="K167" s="36" t="e">
        <f>K157-'2015'!K187</f>
        <v>#VALUE!</v>
      </c>
      <c r="L167" s="36" t="e">
        <f>L157-'2015'!L187</f>
        <v>#VALUE!</v>
      </c>
      <c r="M167" s="36" t="str">
        <f>IF(G167="","",M157-((1/Comparisons!#REF!)*1000000))</f>
        <v/>
      </c>
      <c r="N167" s="36" t="str">
        <f>IF(H167="","",N157-((1/Comparisons!#REF!)*1000000))</f>
        <v/>
      </c>
      <c r="O167" s="37" t="str">
        <f>IF(I167="","",O157-((1/Comparisons!#REF!)*1000000))</f>
        <v/>
      </c>
    </row>
    <row r="168" spans="1:15" ht="15.75" thickBot="1" x14ac:dyDescent="0.3"/>
    <row r="169" spans="1:15" ht="18.75" x14ac:dyDescent="0.25">
      <c r="A169" s="126" t="s">
        <v>93</v>
      </c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8"/>
    </row>
    <row r="170" spans="1:15" ht="15.75" x14ac:dyDescent="0.25">
      <c r="A170" s="129" t="s">
        <v>117</v>
      </c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130"/>
    </row>
    <row r="171" spans="1:15" x14ac:dyDescent="0.25">
      <c r="A171" s="122" t="s">
        <v>1</v>
      </c>
      <c r="B171" s="88"/>
      <c r="C171" s="89"/>
      <c r="D171" s="105" t="s">
        <v>2</v>
      </c>
      <c r="E171" s="106"/>
      <c r="F171" s="106"/>
      <c r="G171" s="106"/>
      <c r="H171" s="106"/>
      <c r="I171" s="107"/>
      <c r="J171" s="105" t="s">
        <v>3</v>
      </c>
      <c r="K171" s="106"/>
      <c r="L171" s="106"/>
      <c r="M171" s="106"/>
      <c r="N171" s="106"/>
      <c r="O171" s="123"/>
    </row>
    <row r="172" spans="1:15" x14ac:dyDescent="0.25">
      <c r="A172" s="26" t="s">
        <v>26</v>
      </c>
      <c r="B172" s="6" t="s">
        <v>5</v>
      </c>
      <c r="C172" s="6" t="s">
        <v>6</v>
      </c>
      <c r="D172" s="7">
        <v>1</v>
      </c>
      <c r="E172" s="7">
        <v>4</v>
      </c>
      <c r="F172" s="7">
        <v>16</v>
      </c>
      <c r="G172" s="7">
        <v>32</v>
      </c>
      <c r="H172" s="7">
        <v>64</v>
      </c>
      <c r="I172" s="7">
        <v>80</v>
      </c>
      <c r="J172" s="7">
        <v>1</v>
      </c>
      <c r="K172" s="7">
        <v>4</v>
      </c>
      <c r="L172" s="7">
        <v>16</v>
      </c>
      <c r="M172" s="7">
        <v>32</v>
      </c>
      <c r="N172" s="7">
        <v>64</v>
      </c>
      <c r="O172" s="27">
        <v>80</v>
      </c>
    </row>
    <row r="173" spans="1:15" x14ac:dyDescent="0.25">
      <c r="A173" s="28" t="s">
        <v>7</v>
      </c>
      <c r="B173" s="9" t="s">
        <v>8</v>
      </c>
      <c r="C173" s="9" t="s">
        <v>9</v>
      </c>
      <c r="D173" s="24">
        <v>42240</v>
      </c>
      <c r="E173" s="24">
        <v>19447</v>
      </c>
      <c r="F173" s="24">
        <v>5843</v>
      </c>
      <c r="G173" s="10"/>
      <c r="H173" s="10"/>
      <c r="I173" s="10"/>
      <c r="J173" s="11">
        <f>IF(D174="","",(1/D174)*1000000)</f>
        <v>74.732830132277101</v>
      </c>
      <c r="K173" s="11">
        <f t="shared" ref="K173:K178" si="49">IF(E173="","",(1/E173)*1000000)</f>
        <v>51.421813133131074</v>
      </c>
      <c r="L173" s="11">
        <f t="shared" ref="L173:L178" si="50">IF(F173="","",(1/F173)*1000000)</f>
        <v>171.14495978093444</v>
      </c>
      <c r="M173" s="11" t="str">
        <f t="shared" ref="M173:M178" si="51">IF(G173="","",(1/G173)*1000000)</f>
        <v/>
      </c>
      <c r="N173" s="11" t="str">
        <f t="shared" ref="N173:N178" si="52">IF(H173="","",(1/H173)*1000000)</f>
        <v/>
      </c>
      <c r="O173" s="29" t="str">
        <f t="shared" ref="O173:O178" si="53">IF(I173="","",(1/I173)*1000000)</f>
        <v/>
      </c>
    </row>
    <row r="174" spans="1:15" x14ac:dyDescent="0.25">
      <c r="A174" s="28" t="s">
        <v>10</v>
      </c>
      <c r="B174" s="9" t="s">
        <v>8</v>
      </c>
      <c r="C174" s="9" t="s">
        <v>11</v>
      </c>
      <c r="D174" s="24">
        <v>13381</v>
      </c>
      <c r="E174" s="24">
        <v>9791</v>
      </c>
      <c r="F174" s="24">
        <v>4475</v>
      </c>
      <c r="G174" s="10"/>
      <c r="H174" s="10"/>
      <c r="I174" s="10"/>
      <c r="J174" s="11" t="e">
        <f>IF(#REF!="","",(1/#REF!)*1000000)</f>
        <v>#REF!</v>
      </c>
      <c r="K174" s="11">
        <f t="shared" si="49"/>
        <v>102.13461342048819</v>
      </c>
      <c r="L174" s="11">
        <f t="shared" si="50"/>
        <v>223.46368715083798</v>
      </c>
      <c r="M174" s="11" t="str">
        <f t="shared" si="51"/>
        <v/>
      </c>
      <c r="N174" s="11" t="str">
        <f t="shared" si="52"/>
        <v/>
      </c>
      <c r="O174" s="29" t="str">
        <f t="shared" si="53"/>
        <v/>
      </c>
    </row>
    <row r="175" spans="1:15" x14ac:dyDescent="0.25">
      <c r="A175" s="30" t="s">
        <v>12</v>
      </c>
      <c r="B175" s="9" t="s">
        <v>13</v>
      </c>
      <c r="C175" s="9" t="s">
        <v>9</v>
      </c>
      <c r="D175" s="24">
        <v>39956</v>
      </c>
      <c r="E175" s="24">
        <v>17725</v>
      </c>
      <c r="F175" s="24">
        <v>5589</v>
      </c>
      <c r="G175" s="10"/>
      <c r="H175" s="10"/>
      <c r="I175" s="10"/>
      <c r="J175" s="11">
        <f t="shared" ref="J175" si="54">IF(D175="","",(1/D175)*1000000)</f>
        <v>25.027530283311641</v>
      </c>
      <c r="K175" s="11">
        <f t="shared" si="49"/>
        <v>56.417489421720731</v>
      </c>
      <c r="L175" s="11">
        <f t="shared" si="50"/>
        <v>178.92288423689388</v>
      </c>
      <c r="M175" s="11" t="str">
        <f t="shared" si="51"/>
        <v/>
      </c>
      <c r="N175" s="11" t="str">
        <f t="shared" si="52"/>
        <v/>
      </c>
      <c r="O175" s="29" t="str">
        <f t="shared" si="53"/>
        <v/>
      </c>
    </row>
    <row r="176" spans="1:15" x14ac:dyDescent="0.25">
      <c r="A176" s="30" t="s">
        <v>14</v>
      </c>
      <c r="B176" s="9" t="s">
        <v>13</v>
      </c>
      <c r="C176" s="9" t="s">
        <v>11</v>
      </c>
      <c r="D176" s="24">
        <v>13314</v>
      </c>
      <c r="E176" s="24">
        <v>9434</v>
      </c>
      <c r="F176" s="24">
        <v>4300</v>
      </c>
      <c r="G176" s="10"/>
      <c r="H176" s="10"/>
      <c r="I176" s="10"/>
      <c r="J176" s="11">
        <f>IF(D177="","",(1/D177)*1000000)</f>
        <v>84.132592966515233</v>
      </c>
      <c r="K176" s="11">
        <f t="shared" si="49"/>
        <v>105.999576001696</v>
      </c>
      <c r="L176" s="11">
        <f t="shared" si="50"/>
        <v>232.55813953488374</v>
      </c>
      <c r="M176" s="11" t="str">
        <f t="shared" si="51"/>
        <v/>
      </c>
      <c r="N176" s="11" t="str">
        <f t="shared" si="52"/>
        <v/>
      </c>
      <c r="O176" s="29" t="str">
        <f t="shared" si="53"/>
        <v/>
      </c>
    </row>
    <row r="177" spans="1:15" x14ac:dyDescent="0.25">
      <c r="A177" s="30" t="s">
        <v>15</v>
      </c>
      <c r="B177" s="9" t="s">
        <v>16</v>
      </c>
      <c r="C177" s="9" t="s">
        <v>11</v>
      </c>
      <c r="D177" s="24">
        <v>11886</v>
      </c>
      <c r="E177" s="24" t="s">
        <v>99</v>
      </c>
      <c r="F177" s="24" t="s">
        <v>99</v>
      </c>
      <c r="G177" s="10"/>
      <c r="H177" s="10"/>
      <c r="I177" s="10"/>
      <c r="J177" s="11" t="e">
        <f>IF(#REF!="","",(1/#REF!)*1000000)</f>
        <v>#REF!</v>
      </c>
      <c r="K177" s="11" t="e">
        <f t="shared" si="49"/>
        <v>#VALUE!</v>
      </c>
      <c r="L177" s="11" t="e">
        <f t="shared" si="50"/>
        <v>#VALUE!</v>
      </c>
      <c r="M177" s="11" t="str">
        <f t="shared" si="51"/>
        <v/>
      </c>
      <c r="N177" s="11" t="str">
        <f t="shared" si="52"/>
        <v/>
      </c>
      <c r="O177" s="29" t="str">
        <f t="shared" si="53"/>
        <v/>
      </c>
    </row>
    <row r="178" spans="1:15" x14ac:dyDescent="0.25">
      <c r="A178" s="30" t="s">
        <v>17</v>
      </c>
      <c r="B178" s="8" t="s">
        <v>18</v>
      </c>
      <c r="C178" s="9" t="s">
        <v>11</v>
      </c>
      <c r="D178" s="24" t="s">
        <v>99</v>
      </c>
      <c r="E178" s="24" t="s">
        <v>99</v>
      </c>
      <c r="F178" s="24" t="s">
        <v>99</v>
      </c>
      <c r="G178" s="10"/>
      <c r="H178" s="10"/>
      <c r="I178" s="10"/>
      <c r="J178" s="11" t="e">
        <f t="shared" ref="J178" si="55">IF(D178="","",(1/D178)*1000000)</f>
        <v>#VALUE!</v>
      </c>
      <c r="K178" s="11" t="e">
        <f t="shared" si="49"/>
        <v>#VALUE!</v>
      </c>
      <c r="L178" s="11" t="e">
        <f t="shared" si="50"/>
        <v>#VALUE!</v>
      </c>
      <c r="M178" s="11" t="str">
        <f t="shared" si="51"/>
        <v/>
      </c>
      <c r="N178" s="11" t="str">
        <f t="shared" si="52"/>
        <v/>
      </c>
      <c r="O178" s="29" t="str">
        <f t="shared" si="53"/>
        <v/>
      </c>
    </row>
    <row r="179" spans="1:15" x14ac:dyDescent="0.25">
      <c r="A179" s="131" t="s">
        <v>118</v>
      </c>
      <c r="B179" s="102"/>
      <c r="C179" s="102"/>
      <c r="D179" s="102"/>
      <c r="E179" s="132" t="s">
        <v>105</v>
      </c>
      <c r="F179" s="132"/>
      <c r="G179" s="132"/>
      <c r="H179" s="132" t="s">
        <v>106</v>
      </c>
      <c r="I179" s="132"/>
      <c r="J179" s="19"/>
      <c r="K179" s="19"/>
      <c r="L179" s="19"/>
      <c r="M179" s="19"/>
      <c r="N179" s="19"/>
      <c r="O179" s="31"/>
    </row>
    <row r="180" spans="1:15" ht="18.75" x14ac:dyDescent="0.3">
      <c r="A180" s="124" t="s">
        <v>95</v>
      </c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125"/>
    </row>
    <row r="181" spans="1:15" x14ac:dyDescent="0.25">
      <c r="A181" s="122" t="s">
        <v>1</v>
      </c>
      <c r="B181" s="88"/>
      <c r="C181" s="89"/>
      <c r="D181" s="105" t="s">
        <v>19</v>
      </c>
      <c r="E181" s="106"/>
      <c r="F181" s="106"/>
      <c r="G181" s="106"/>
      <c r="H181" s="106"/>
      <c r="I181" s="107"/>
      <c r="J181" s="105" t="s">
        <v>22</v>
      </c>
      <c r="K181" s="106"/>
      <c r="L181" s="106"/>
      <c r="M181" s="106"/>
      <c r="N181" s="106"/>
      <c r="O181" s="123"/>
    </row>
    <row r="182" spans="1:15" x14ac:dyDescent="0.25">
      <c r="A182" s="26" t="s">
        <v>4</v>
      </c>
      <c r="B182" s="6" t="s">
        <v>5</v>
      </c>
      <c r="C182" s="6" t="s">
        <v>6</v>
      </c>
      <c r="D182" s="7">
        <v>1</v>
      </c>
      <c r="E182" s="7">
        <v>4</v>
      </c>
      <c r="F182" s="7">
        <v>16</v>
      </c>
      <c r="G182" s="7">
        <v>32</v>
      </c>
      <c r="H182" s="7">
        <v>64</v>
      </c>
      <c r="I182" s="7">
        <v>80</v>
      </c>
      <c r="J182" s="7">
        <v>1</v>
      </c>
      <c r="K182" s="7">
        <v>4</v>
      </c>
      <c r="L182" s="7">
        <v>16</v>
      </c>
      <c r="M182" s="7">
        <v>32</v>
      </c>
      <c r="N182" s="7">
        <v>64</v>
      </c>
      <c r="O182" s="27">
        <v>80</v>
      </c>
    </row>
    <row r="183" spans="1:15" x14ac:dyDescent="0.25">
      <c r="A183" s="28" t="s">
        <v>7</v>
      </c>
      <c r="B183" s="9" t="s">
        <v>8</v>
      </c>
      <c r="C183" s="9" t="s">
        <v>9</v>
      </c>
      <c r="D183" s="12">
        <f>IF(D173="","",(D173-'2016'!D5)/'2016'!D5)</f>
        <v>-5.7437407952871868E-2</v>
      </c>
      <c r="E183" s="12">
        <f>IF(E173="","",(E173-'2016'!E5)/'2016'!E5)</f>
        <v>-3.2198666268537873E-2</v>
      </c>
      <c r="F183" s="12">
        <f>IF(F173="","",(F173-'2016'!F5)/'2016'!F5)</f>
        <v>0</v>
      </c>
      <c r="G183" s="12" t="str">
        <f>IF(G173="","",(G173-#REF!)/#REF!)</f>
        <v/>
      </c>
      <c r="H183" s="12" t="str">
        <f>IF(H173="","",(H173-#REF!)/#REF!)</f>
        <v/>
      </c>
      <c r="I183" s="12" t="str">
        <f>IF(I173="","",(I173-#REF!)/#REF!)</f>
        <v/>
      </c>
      <c r="J183" s="11">
        <f>J173-'2015'!J203</f>
        <v>74.732830132277101</v>
      </c>
      <c r="K183" s="11">
        <f>K173-'2015'!K203</f>
        <v>51.421813133131074</v>
      </c>
      <c r="L183" s="11">
        <f>L173-'2015'!L203</f>
        <v>171.14495978093444</v>
      </c>
      <c r="M183" s="11" t="str">
        <f>IF(G183="","",M173-((1/Comparisons!#REF!)*1000000))</f>
        <v/>
      </c>
      <c r="N183" s="11" t="str">
        <f>IF(H183="","",N173-((1/Comparisons!#REF!)*1000000))</f>
        <v/>
      </c>
      <c r="O183" s="29" t="str">
        <f>IF(I183="","",O173-((1/Comparisons!#REF!)*1000000))</f>
        <v/>
      </c>
    </row>
    <row r="184" spans="1:15" x14ac:dyDescent="0.25">
      <c r="A184" s="28" t="s">
        <v>10</v>
      </c>
      <c r="B184" s="9" t="s">
        <v>8</v>
      </c>
      <c r="C184" s="9" t="s">
        <v>11</v>
      </c>
      <c r="D184" s="12">
        <f>IF(D174="","",(D174-'2016'!D6)/'2016'!D6)</f>
        <v>-0.1027893254660051</v>
      </c>
      <c r="E184" s="12">
        <f>IF(E174="","",(E174-'2016'!E6)/'2016'!E6)</f>
        <v>-9.6104135893648454E-2</v>
      </c>
      <c r="F184" s="12">
        <f>IF(F174="","",(F174-'2016'!F6)/'2016'!F6)</f>
        <v>-6.321959388737701E-2</v>
      </c>
      <c r="G184" s="12" t="str">
        <f>IF(G174="","",(G174-#REF!)/#REF!)</f>
        <v/>
      </c>
      <c r="H184" s="12" t="str">
        <f>IF(H174="","",(H174-#REF!)/#REF!)</f>
        <v/>
      </c>
      <c r="I184" s="12" t="str">
        <f>IF(I174="","",(I174-#REF!)/#REF!)</f>
        <v/>
      </c>
      <c r="J184" s="11" t="e">
        <f>J174-'2015'!J204</f>
        <v>#REF!</v>
      </c>
      <c r="K184" s="11">
        <f>K174-'2015'!K204</f>
        <v>102.13461342048819</v>
      </c>
      <c r="L184" s="11">
        <f>L174-'2015'!L204</f>
        <v>223.46368715083798</v>
      </c>
      <c r="M184" s="11" t="str">
        <f>IF(G184="","",M174-((1/Comparisons!#REF!)*1000000))</f>
        <v/>
      </c>
      <c r="N184" s="11" t="str">
        <f>IF(H184="","",N174-((1/Comparisons!#REF!)*1000000))</f>
        <v/>
      </c>
      <c r="O184" s="29" t="str">
        <f>IF(I184="","",O174-((1/Comparisons!#REF!)*1000000))</f>
        <v/>
      </c>
    </row>
    <row r="185" spans="1:15" x14ac:dyDescent="0.25">
      <c r="A185" s="30" t="s">
        <v>12</v>
      </c>
      <c r="B185" s="9" t="s">
        <v>13</v>
      </c>
      <c r="C185" s="9" t="s">
        <v>9</v>
      </c>
      <c r="D185" s="12">
        <f>IF(D175="","",(D175-'2016'!D7)/'2016'!D7)</f>
        <v>-8.0054336564363504E-2</v>
      </c>
      <c r="E185" s="12">
        <f>IF(E175="","",(E175-'2016'!E7)/'2016'!E7)</f>
        <v>-3.3796674843281548E-2</v>
      </c>
      <c r="F185" s="12">
        <f>IF(F175="","",(F175-'2016'!F7)/'2016'!F7)</f>
        <v>-8.5151676423629585E-3</v>
      </c>
      <c r="G185" s="12" t="str">
        <f>IF(G175="","",(G175-#REF!)/#REF!)</f>
        <v/>
      </c>
      <c r="H185" s="12" t="str">
        <f>IF(H175="","",(H175-#REF!)/#REF!)</f>
        <v/>
      </c>
      <c r="I185" s="12" t="str">
        <f>IF(I175="","",(I175-#REF!)/#REF!)</f>
        <v/>
      </c>
      <c r="J185" s="11">
        <f>J175-'2015'!J205</f>
        <v>25.027530283311641</v>
      </c>
      <c r="K185" s="11">
        <f>K175-'2015'!K205</f>
        <v>56.417489421720731</v>
      </c>
      <c r="L185" s="11">
        <f>L175-'2015'!L205</f>
        <v>178.92288423689388</v>
      </c>
      <c r="M185" s="11" t="str">
        <f>IF(G185="","",M175-((1/Comparisons!#REF!)*1000000))</f>
        <v/>
      </c>
      <c r="N185" s="11" t="str">
        <f>IF(H185="","",N175-((1/Comparisons!#REF!)*1000000))</f>
        <v/>
      </c>
      <c r="O185" s="29" t="str">
        <f>IF(I185="","",O175-((1/Comparisons!#REF!)*1000000))</f>
        <v/>
      </c>
    </row>
    <row r="186" spans="1:15" x14ac:dyDescent="0.25">
      <c r="A186" s="30" t="s">
        <v>14</v>
      </c>
      <c r="B186" s="9" t="s">
        <v>13</v>
      </c>
      <c r="C186" s="9" t="s">
        <v>11</v>
      </c>
      <c r="D186" s="12">
        <f>IF(D176="","",(D176-'2016'!D8)/'2016'!D8)</f>
        <v>-7.7210978652619902E-2</v>
      </c>
      <c r="E186" s="12" t="e">
        <f>IF(E177="","",(E177-'2016'!E8)/'2016'!E8)</f>
        <v>#VALUE!</v>
      </c>
      <c r="F186" s="12" t="e">
        <f>IF(F177="","",(F177-'2016'!F8)/'2016'!F8)</f>
        <v>#VALUE!</v>
      </c>
      <c r="G186" s="12" t="str">
        <f>IF(G176="","",(G176-#REF!)/#REF!)</f>
        <v/>
      </c>
      <c r="H186" s="12" t="str">
        <f>IF(H176="","",(H176-#REF!)/#REF!)</f>
        <v/>
      </c>
      <c r="I186" s="12" t="str">
        <f>IF(I176="","",(I176-#REF!)/#REF!)</f>
        <v/>
      </c>
      <c r="J186" s="11">
        <f>J176-'2015'!J206</f>
        <v>84.132592966515233</v>
      </c>
      <c r="K186" s="11">
        <f>K176-'2015'!K206</f>
        <v>105.999576001696</v>
      </c>
      <c r="L186" s="11">
        <f>L176-'2015'!L206</f>
        <v>232.55813953488374</v>
      </c>
      <c r="M186" s="11" t="str">
        <f>IF(G186="","",M176-((1/Comparisons!#REF!)*1000000))</f>
        <v/>
      </c>
      <c r="N186" s="11" t="str">
        <f>IF(H186="","",N176-((1/Comparisons!#REF!)*1000000))</f>
        <v/>
      </c>
      <c r="O186" s="29" t="str">
        <f>IF(I186="","",O176-((1/Comparisons!#REF!)*1000000))</f>
        <v/>
      </c>
    </row>
    <row r="187" spans="1:15" x14ac:dyDescent="0.25">
      <c r="A187" s="30" t="s">
        <v>15</v>
      </c>
      <c r="B187" s="9" t="s">
        <v>16</v>
      </c>
      <c r="C187" s="9" t="s">
        <v>11</v>
      </c>
      <c r="D187" s="12">
        <f>IF(D177="","",(D177-'2016'!D9)/'2016'!D9)</f>
        <v>-0.11870690294357529</v>
      </c>
      <c r="E187" s="12" t="e">
        <f>IF(E178="","",(E178-'2016'!E9)/'2016'!E9)</f>
        <v>#VALUE!</v>
      </c>
      <c r="F187" s="12" t="e">
        <f>IF(F178="","",(F178-'2016'!F9)/'2016'!F9)</f>
        <v>#VALUE!</v>
      </c>
      <c r="G187" s="12" t="str">
        <f>IF(G177="","",(G177-#REF!)/#REF!)</f>
        <v/>
      </c>
      <c r="H187" s="12" t="str">
        <f>IF(H177="","",(H177-#REF!)/#REF!)</f>
        <v/>
      </c>
      <c r="I187" s="12" t="str">
        <f>IF(I177="","",(I177-#REF!)/#REF!)</f>
        <v/>
      </c>
      <c r="J187" s="11" t="e">
        <f>J177-'2015'!J207</f>
        <v>#REF!</v>
      </c>
      <c r="K187" s="11" t="e">
        <f>K177-'2015'!K207</f>
        <v>#VALUE!</v>
      </c>
      <c r="L187" s="11" t="e">
        <f>L177-'2015'!L207</f>
        <v>#VALUE!</v>
      </c>
      <c r="M187" s="11" t="str">
        <f>IF(G187="","",M177-((1/Comparisons!#REF!)*1000000))</f>
        <v/>
      </c>
      <c r="N187" s="11" t="str">
        <f>IF(H187="","",N177-((1/Comparisons!#REF!)*1000000))</f>
        <v/>
      </c>
      <c r="O187" s="29" t="str">
        <f>IF(I187="","",O177-((1/Comparisons!#REF!)*1000000))</f>
        <v/>
      </c>
    </row>
    <row r="188" spans="1:15" ht="15.75" thickBot="1" x14ac:dyDescent="0.3">
      <c r="A188" s="32" t="s">
        <v>17</v>
      </c>
      <c r="B188" s="33" t="s">
        <v>18</v>
      </c>
      <c r="C188" s="34" t="s">
        <v>11</v>
      </c>
      <c r="D188" s="35" t="str">
        <f>IF(D179="","",(D179-'2016'!D10)/'2016'!D10)</f>
        <v/>
      </c>
      <c r="E188" s="35" t="e">
        <f>IF(E179="","",(E179-'2016'!E10)/'2016'!E10)</f>
        <v>#VALUE!</v>
      </c>
      <c r="F188" s="35" t="str">
        <f>IF(F179="","",(F179-'2016'!F10)/'2016'!F10)</f>
        <v/>
      </c>
      <c r="G188" s="35" t="str">
        <f>IF(G178="","",(G178-#REF!)/#REF!)</f>
        <v/>
      </c>
      <c r="H188" s="35" t="str">
        <f>IF(H178="","",(H178-#REF!)/#REF!)</f>
        <v/>
      </c>
      <c r="I188" s="35" t="str">
        <f>IF(I178="","",(I178-#REF!)/#REF!)</f>
        <v/>
      </c>
      <c r="J188" s="36" t="e">
        <f>J178-'2015'!J208</f>
        <v>#VALUE!</v>
      </c>
      <c r="K188" s="36" t="e">
        <f>K178-'2015'!K208</f>
        <v>#VALUE!</v>
      </c>
      <c r="L188" s="36" t="e">
        <f>L178-'2015'!L208</f>
        <v>#VALUE!</v>
      </c>
      <c r="M188" s="36" t="str">
        <f>IF(G188="","",M178-((1/Comparisons!#REF!)*1000000))</f>
        <v/>
      </c>
      <c r="N188" s="36" t="str">
        <f>IF(H188="","",N178-((1/Comparisons!#REF!)*1000000))</f>
        <v/>
      </c>
      <c r="O188" s="37" t="str">
        <f>IF(I188="","",O178-((1/Comparisons!#REF!)*1000000))</f>
        <v/>
      </c>
    </row>
    <row r="189" spans="1:15" ht="15.75" thickBot="1" x14ac:dyDescent="0.3"/>
    <row r="190" spans="1:15" ht="18.75" x14ac:dyDescent="0.25">
      <c r="A190" s="126" t="s">
        <v>93</v>
      </c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8"/>
    </row>
    <row r="191" spans="1:15" ht="15.75" x14ac:dyDescent="0.25">
      <c r="A191" s="129" t="s">
        <v>119</v>
      </c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130"/>
    </row>
    <row r="192" spans="1:15" x14ac:dyDescent="0.25">
      <c r="A192" s="122" t="s">
        <v>1</v>
      </c>
      <c r="B192" s="88"/>
      <c r="C192" s="89"/>
      <c r="D192" s="105" t="s">
        <v>2</v>
      </c>
      <c r="E192" s="106"/>
      <c r="F192" s="106"/>
      <c r="G192" s="106"/>
      <c r="H192" s="106"/>
      <c r="I192" s="107"/>
      <c r="J192" s="105" t="s">
        <v>3</v>
      </c>
      <c r="K192" s="106"/>
      <c r="L192" s="106"/>
      <c r="M192" s="106"/>
      <c r="N192" s="106"/>
      <c r="O192" s="123"/>
    </row>
    <row r="193" spans="1:15" x14ac:dyDescent="0.25">
      <c r="A193" s="26" t="s">
        <v>26</v>
      </c>
      <c r="B193" s="6" t="s">
        <v>5</v>
      </c>
      <c r="C193" s="6" t="s">
        <v>6</v>
      </c>
      <c r="D193" s="7">
        <v>1</v>
      </c>
      <c r="E193" s="7">
        <v>4</v>
      </c>
      <c r="F193" s="7">
        <v>16</v>
      </c>
      <c r="G193" s="7">
        <v>32</v>
      </c>
      <c r="H193" s="7">
        <v>64</v>
      </c>
      <c r="I193" s="7">
        <v>80</v>
      </c>
      <c r="J193" s="7">
        <v>1</v>
      </c>
      <c r="K193" s="7">
        <v>4</v>
      </c>
      <c r="L193" s="7">
        <v>16</v>
      </c>
      <c r="M193" s="7">
        <v>32</v>
      </c>
      <c r="N193" s="7">
        <v>64</v>
      </c>
      <c r="O193" s="27">
        <v>80</v>
      </c>
    </row>
    <row r="194" spans="1:15" x14ac:dyDescent="0.25">
      <c r="A194" s="28" t="s">
        <v>7</v>
      </c>
      <c r="B194" s="9" t="s">
        <v>8</v>
      </c>
      <c r="C194" s="9" t="s">
        <v>9</v>
      </c>
      <c r="D194" s="24">
        <v>37158</v>
      </c>
      <c r="E194" s="24">
        <v>18800</v>
      </c>
      <c r="F194" s="24">
        <v>5843</v>
      </c>
      <c r="G194" s="10"/>
      <c r="H194" s="10"/>
      <c r="I194" s="10"/>
      <c r="J194" s="11">
        <f>IF(D195="","",(1/D195)*1000000)</f>
        <v>65.410779696493989</v>
      </c>
      <c r="K194" s="11">
        <f t="shared" ref="K194:K199" si="56">IF(E194="","",(1/E194)*1000000)</f>
        <v>53.191489361702125</v>
      </c>
      <c r="L194" s="11">
        <f t="shared" ref="L194:L199" si="57">IF(F194="","",(1/F194)*1000000)</f>
        <v>171.14495978093444</v>
      </c>
      <c r="M194" s="11" t="str">
        <f t="shared" ref="M194:M199" si="58">IF(G194="","",(1/G194)*1000000)</f>
        <v/>
      </c>
      <c r="N194" s="11" t="str">
        <f t="shared" ref="N194:N199" si="59">IF(H194="","",(1/H194)*1000000)</f>
        <v/>
      </c>
      <c r="O194" s="29" t="str">
        <f t="shared" ref="O194:O199" si="60">IF(I194="","",(1/I194)*1000000)</f>
        <v/>
      </c>
    </row>
    <row r="195" spans="1:15" x14ac:dyDescent="0.25">
      <c r="A195" s="28" t="s">
        <v>10</v>
      </c>
      <c r="B195" s="9" t="s">
        <v>8</v>
      </c>
      <c r="C195" s="9" t="s">
        <v>11</v>
      </c>
      <c r="D195" s="24">
        <v>15288</v>
      </c>
      <c r="E195" s="24">
        <v>11180</v>
      </c>
      <c r="F195" s="24">
        <v>4837</v>
      </c>
      <c r="G195" s="10"/>
      <c r="H195" s="10"/>
      <c r="I195" s="10"/>
      <c r="J195" s="11" t="e">
        <f>IF(#REF!="","",(1/#REF!)*1000000)</f>
        <v>#REF!</v>
      </c>
      <c r="K195" s="11">
        <f t="shared" si="56"/>
        <v>89.445438282647586</v>
      </c>
      <c r="L195" s="11">
        <f t="shared" si="57"/>
        <v>206.73971469919371</v>
      </c>
      <c r="M195" s="11" t="str">
        <f t="shared" si="58"/>
        <v/>
      </c>
      <c r="N195" s="11" t="str">
        <f t="shared" si="59"/>
        <v/>
      </c>
      <c r="O195" s="29" t="str">
        <f t="shared" si="60"/>
        <v/>
      </c>
    </row>
    <row r="196" spans="1:15" x14ac:dyDescent="0.25">
      <c r="A196" s="30" t="s">
        <v>12</v>
      </c>
      <c r="B196" s="9" t="s">
        <v>13</v>
      </c>
      <c r="C196" s="9" t="s">
        <v>9</v>
      </c>
      <c r="D196" s="24">
        <v>37632</v>
      </c>
      <c r="E196" s="24">
        <v>16915</v>
      </c>
      <c r="F196" s="24">
        <v>5589</v>
      </c>
      <c r="G196" s="10"/>
      <c r="H196" s="10"/>
      <c r="I196" s="10"/>
      <c r="J196" s="11">
        <f t="shared" ref="J196" si="61">IF(D196="","",(1/D196)*1000000)</f>
        <v>26.573129251700678</v>
      </c>
      <c r="K196" s="11">
        <f t="shared" si="56"/>
        <v>59.119125036949448</v>
      </c>
      <c r="L196" s="11">
        <f t="shared" si="57"/>
        <v>178.92288423689388</v>
      </c>
      <c r="M196" s="11" t="str">
        <f t="shared" si="58"/>
        <v/>
      </c>
      <c r="N196" s="11" t="str">
        <f t="shared" si="59"/>
        <v/>
      </c>
      <c r="O196" s="29" t="str">
        <f t="shared" si="60"/>
        <v/>
      </c>
    </row>
    <row r="197" spans="1:15" x14ac:dyDescent="0.25">
      <c r="A197" s="30" t="s">
        <v>14</v>
      </c>
      <c r="B197" s="9" t="s">
        <v>13</v>
      </c>
      <c r="C197" s="9" t="s">
        <v>11</v>
      </c>
      <c r="D197" s="24">
        <v>13841</v>
      </c>
      <c r="E197" s="24">
        <v>9612</v>
      </c>
      <c r="F197" s="24">
        <v>4437</v>
      </c>
      <c r="G197" s="10"/>
      <c r="H197" s="10"/>
      <c r="I197" s="10"/>
      <c r="J197" s="11">
        <f>IF(D198="","",(1/D198)*1000000)</f>
        <v>72.249114948341884</v>
      </c>
      <c r="K197" s="11">
        <f t="shared" si="56"/>
        <v>104.03662089055348</v>
      </c>
      <c r="L197" s="11">
        <f t="shared" si="57"/>
        <v>225.377507324769</v>
      </c>
      <c r="M197" s="11" t="str">
        <f t="shared" si="58"/>
        <v/>
      </c>
      <c r="N197" s="11" t="str">
        <f t="shared" si="59"/>
        <v/>
      </c>
      <c r="O197" s="29" t="str">
        <f t="shared" si="60"/>
        <v/>
      </c>
    </row>
    <row r="198" spans="1:15" x14ac:dyDescent="0.25">
      <c r="A198" s="30" t="s">
        <v>15</v>
      </c>
      <c r="B198" s="9" t="s">
        <v>16</v>
      </c>
      <c r="C198" s="9" t="s">
        <v>11</v>
      </c>
      <c r="D198" s="24">
        <v>13841</v>
      </c>
      <c r="E198" s="24">
        <v>8847</v>
      </c>
      <c r="F198" s="24">
        <v>4528</v>
      </c>
      <c r="G198" s="10"/>
      <c r="H198" s="10"/>
      <c r="I198" s="10"/>
      <c r="J198" s="11" t="e">
        <f>IF(#REF!="","",(1/#REF!)*1000000)</f>
        <v>#REF!</v>
      </c>
      <c r="K198" s="11">
        <f t="shared" si="56"/>
        <v>113.03266644060133</v>
      </c>
      <c r="L198" s="11">
        <f t="shared" si="57"/>
        <v>220.84805653710248</v>
      </c>
      <c r="M198" s="11" t="str">
        <f t="shared" si="58"/>
        <v/>
      </c>
      <c r="N198" s="11" t="str">
        <f t="shared" si="59"/>
        <v/>
      </c>
      <c r="O198" s="29" t="str">
        <f t="shared" si="60"/>
        <v/>
      </c>
    </row>
    <row r="199" spans="1:15" x14ac:dyDescent="0.25">
      <c r="A199" s="30" t="s">
        <v>17</v>
      </c>
      <c r="B199" s="8" t="s">
        <v>18</v>
      </c>
      <c r="C199" s="9" t="s">
        <v>11</v>
      </c>
      <c r="D199" s="24">
        <v>12023</v>
      </c>
      <c r="E199" s="24">
        <v>8631</v>
      </c>
      <c r="F199" s="24">
        <v>4380</v>
      </c>
      <c r="G199" s="10"/>
      <c r="H199" s="10"/>
      <c r="I199" s="10"/>
      <c r="J199" s="11">
        <f t="shared" ref="J199" si="62">IF(D199="","",(1/D199)*1000000)</f>
        <v>83.173916659735497</v>
      </c>
      <c r="K199" s="11">
        <f t="shared" si="56"/>
        <v>115.86142973004287</v>
      </c>
      <c r="L199" s="11">
        <f t="shared" si="57"/>
        <v>228.31050228310502</v>
      </c>
      <c r="M199" s="11" t="str">
        <f t="shared" si="58"/>
        <v/>
      </c>
      <c r="N199" s="11" t="str">
        <f t="shared" si="59"/>
        <v/>
      </c>
      <c r="O199" s="29" t="str">
        <f t="shared" si="60"/>
        <v/>
      </c>
    </row>
    <row r="200" spans="1:15" x14ac:dyDescent="0.25">
      <c r="A200" s="131" t="s">
        <v>120</v>
      </c>
      <c r="B200" s="102"/>
      <c r="C200" s="102"/>
      <c r="D200" s="102"/>
      <c r="E200" s="132"/>
      <c r="F200" s="132"/>
      <c r="G200" s="132"/>
      <c r="H200" s="132" t="s">
        <v>106</v>
      </c>
      <c r="I200" s="132"/>
      <c r="J200" s="19"/>
      <c r="K200" s="19"/>
      <c r="L200" s="19"/>
      <c r="M200" s="19"/>
      <c r="N200" s="19"/>
      <c r="O200" s="31"/>
    </row>
    <row r="201" spans="1:15" ht="18.75" x14ac:dyDescent="0.3">
      <c r="A201" s="124" t="s">
        <v>95</v>
      </c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125"/>
    </row>
    <row r="202" spans="1:15" x14ac:dyDescent="0.25">
      <c r="A202" s="122" t="s">
        <v>1</v>
      </c>
      <c r="B202" s="88"/>
      <c r="C202" s="89"/>
      <c r="D202" s="105" t="s">
        <v>19</v>
      </c>
      <c r="E202" s="106"/>
      <c r="F202" s="106"/>
      <c r="G202" s="106"/>
      <c r="H202" s="106"/>
      <c r="I202" s="107"/>
      <c r="J202" s="105" t="s">
        <v>22</v>
      </c>
      <c r="K202" s="106"/>
      <c r="L202" s="106"/>
      <c r="M202" s="106"/>
      <c r="N202" s="106"/>
      <c r="O202" s="123"/>
    </row>
    <row r="203" spans="1:15" x14ac:dyDescent="0.25">
      <c r="A203" s="26" t="s">
        <v>4</v>
      </c>
      <c r="B203" s="6" t="s">
        <v>5</v>
      </c>
      <c r="C203" s="6" t="s">
        <v>6</v>
      </c>
      <c r="D203" s="7">
        <v>1</v>
      </c>
      <c r="E203" s="7">
        <v>4</v>
      </c>
      <c r="F203" s="7">
        <v>16</v>
      </c>
      <c r="G203" s="7">
        <v>32</v>
      </c>
      <c r="H203" s="7">
        <v>64</v>
      </c>
      <c r="I203" s="7">
        <v>80</v>
      </c>
      <c r="J203" s="7">
        <v>1</v>
      </c>
      <c r="K203" s="7">
        <v>4</v>
      </c>
      <c r="L203" s="7">
        <v>16</v>
      </c>
      <c r="M203" s="7">
        <v>32</v>
      </c>
      <c r="N203" s="7">
        <v>64</v>
      </c>
      <c r="O203" s="27">
        <v>80</v>
      </c>
    </row>
    <row r="204" spans="1:15" x14ac:dyDescent="0.25">
      <c r="A204" s="28" t="s">
        <v>7</v>
      </c>
      <c r="B204" s="9" t="s">
        <v>8</v>
      </c>
      <c r="C204" s="9" t="s">
        <v>9</v>
      </c>
      <c r="D204" s="12">
        <f>IF(D194="","",(D194-'2016'!D5)/'2016'!D5)</f>
        <v>-0.17083946980854198</v>
      </c>
      <c r="E204" s="12">
        <f>IF(E194="","",(E194-'2016'!E5)/'2016'!E5)</f>
        <v>-6.4397332537075747E-2</v>
      </c>
      <c r="F204" s="12">
        <f>IF(F194="","",(F194-'2016'!F5)/'2016'!F5)</f>
        <v>0</v>
      </c>
      <c r="G204" s="12" t="str">
        <f>IF(G194="","",(G194-#REF!)/#REF!)</f>
        <v/>
      </c>
      <c r="H204" s="12" t="str">
        <f>IF(H194="","",(H194-#REF!)/#REF!)</f>
        <v/>
      </c>
      <c r="I204" s="12" t="str">
        <f>IF(I194="","",(I194-#REF!)/#REF!)</f>
        <v/>
      </c>
      <c r="J204" s="11">
        <f>J194-'2015'!J224</f>
        <v>65.410779696493989</v>
      </c>
      <c r="K204" s="11">
        <f>K194-'2015'!K224</f>
        <v>53.191489361702125</v>
      </c>
      <c r="L204" s="11">
        <f>L194-'2015'!L224</f>
        <v>171.14495978093444</v>
      </c>
      <c r="M204" s="11" t="str">
        <f>IF(G204="","",M194-((1/Comparisons!#REF!)*1000000))</f>
        <v/>
      </c>
      <c r="N204" s="11" t="str">
        <f>IF(H204="","",N194-((1/Comparisons!#REF!)*1000000))</f>
        <v/>
      </c>
      <c r="O204" s="29" t="str">
        <f>IF(I204="","",O194-((1/Comparisons!#REF!)*1000000))</f>
        <v/>
      </c>
    </row>
    <row r="205" spans="1:15" x14ac:dyDescent="0.25">
      <c r="A205" s="28" t="s">
        <v>10</v>
      </c>
      <c r="B205" s="9" t="s">
        <v>8</v>
      </c>
      <c r="C205" s="9" t="s">
        <v>11</v>
      </c>
      <c r="D205" s="12">
        <f>IF(D195="","",(D195-'2016'!D6)/'2016'!D6)</f>
        <v>2.5077108756872735E-2</v>
      </c>
      <c r="E205" s="12">
        <f>IF(E195="","",(E195-'2016'!E6)/'2016'!E6)</f>
        <v>3.2127031019202362E-2</v>
      </c>
      <c r="F205" s="12">
        <f>IF(F195="","",(F195-'2016'!F6)/'2016'!F6)</f>
        <v>1.2560184216035169E-2</v>
      </c>
      <c r="G205" s="12" t="str">
        <f>IF(G195="","",(G195-#REF!)/#REF!)</f>
        <v/>
      </c>
      <c r="H205" s="12" t="str">
        <f>IF(H195="","",(H195-#REF!)/#REF!)</f>
        <v/>
      </c>
      <c r="I205" s="12" t="str">
        <f>IF(I195="","",(I195-#REF!)/#REF!)</f>
        <v/>
      </c>
      <c r="J205" s="11" t="e">
        <f>J195-'2015'!J225</f>
        <v>#REF!</v>
      </c>
      <c r="K205" s="11">
        <f>K195-'2015'!K225</f>
        <v>89.445438282647586</v>
      </c>
      <c r="L205" s="11">
        <f>L195-'2015'!L225</f>
        <v>206.73971469919371</v>
      </c>
      <c r="M205" s="11" t="str">
        <f>IF(G205="","",M195-((1/Comparisons!#REF!)*1000000))</f>
        <v/>
      </c>
      <c r="N205" s="11" t="str">
        <f>IF(H205="","",N195-((1/Comparisons!#REF!)*1000000))</f>
        <v/>
      </c>
      <c r="O205" s="29" t="str">
        <f>IF(I205="","",O195-((1/Comparisons!#REF!)*1000000))</f>
        <v/>
      </c>
    </row>
    <row r="206" spans="1:15" x14ac:dyDescent="0.25">
      <c r="A206" s="30" t="s">
        <v>12</v>
      </c>
      <c r="B206" s="9" t="s">
        <v>13</v>
      </c>
      <c r="C206" s="9" t="s">
        <v>9</v>
      </c>
      <c r="D206" s="12">
        <f>IF(D196="","",(D196-'2016'!D7)/'2016'!D7)</f>
        <v>-0.13356203808164299</v>
      </c>
      <c r="E206" s="12">
        <f>IF(E196="","",(E196-'2016'!E7)/'2016'!E7)</f>
        <v>-7.7950395203052608E-2</v>
      </c>
      <c r="F206" s="12">
        <f>IF(F196="","",(F196-'2016'!F7)/'2016'!F7)</f>
        <v>-8.5151676423629585E-3</v>
      </c>
      <c r="G206" s="12" t="str">
        <f>IF(G196="","",(G196-#REF!)/#REF!)</f>
        <v/>
      </c>
      <c r="H206" s="12" t="str">
        <f>IF(H196="","",(H196-#REF!)/#REF!)</f>
        <v/>
      </c>
      <c r="I206" s="12" t="str">
        <f>IF(I196="","",(I196-#REF!)/#REF!)</f>
        <v/>
      </c>
      <c r="J206" s="11">
        <f>J196-'2015'!J226</f>
        <v>26.573129251700678</v>
      </c>
      <c r="K206" s="11">
        <f>K196-'2015'!K226</f>
        <v>59.119125036949448</v>
      </c>
      <c r="L206" s="11">
        <f>L196-'2015'!L226</f>
        <v>178.92288423689388</v>
      </c>
      <c r="M206" s="11" t="str">
        <f>IF(G206="","",M196-((1/Comparisons!#REF!)*1000000))</f>
        <v/>
      </c>
      <c r="N206" s="11" t="str">
        <f>IF(H206="","",N196-((1/Comparisons!#REF!)*1000000))</f>
        <v/>
      </c>
      <c r="O206" s="29" t="str">
        <f>IF(I206="","",O196-((1/Comparisons!#REF!)*1000000))</f>
        <v/>
      </c>
    </row>
    <row r="207" spans="1:15" x14ac:dyDescent="0.25">
      <c r="A207" s="30" t="s">
        <v>14</v>
      </c>
      <c r="B207" s="9" t="s">
        <v>13</v>
      </c>
      <c r="C207" s="9" t="s">
        <v>11</v>
      </c>
      <c r="D207" s="12">
        <f>IF(D197="","",(D197-'2016'!D8)/'2016'!D8)</f>
        <v>-4.0684779595231493E-2</v>
      </c>
      <c r="E207" s="12">
        <f>IF(E197="","",(E197-'2016'!E8)/'2016'!E8)</f>
        <v>-6.0777799491889779E-2</v>
      </c>
      <c r="F207" s="12">
        <f>IF(F197="","",(F197-'2016'!F8)/'2016'!F8)</f>
        <v>-2.9951902055094008E-2</v>
      </c>
      <c r="G207" s="12" t="str">
        <f>IF(G197="","",(G197-#REF!)/#REF!)</f>
        <v/>
      </c>
      <c r="H207" s="12" t="str">
        <f>IF(H197="","",(H197-#REF!)/#REF!)</f>
        <v/>
      </c>
      <c r="I207" s="12" t="str">
        <f>IF(I197="","",(I197-#REF!)/#REF!)</f>
        <v/>
      </c>
      <c r="J207" s="11">
        <f>J197-'2015'!J227</f>
        <v>72.249114948341884</v>
      </c>
      <c r="K207" s="11">
        <f>K197-'2015'!K227</f>
        <v>104.03662089055348</v>
      </c>
      <c r="L207" s="11">
        <f>L197-'2015'!L227</f>
        <v>225.377507324769</v>
      </c>
      <c r="M207" s="11" t="str">
        <f>IF(G207="","",M197-((1/Comparisons!#REF!)*1000000))</f>
        <v/>
      </c>
      <c r="N207" s="11" t="str">
        <f>IF(H207="","",N197-((1/Comparisons!#REF!)*1000000))</f>
        <v/>
      </c>
      <c r="O207" s="29" t="str">
        <f>IF(I207="","",O197-((1/Comparisons!#REF!)*1000000))</f>
        <v/>
      </c>
    </row>
    <row r="208" spans="1:15" x14ac:dyDescent="0.25">
      <c r="A208" s="30" t="s">
        <v>15</v>
      </c>
      <c r="B208" s="9" t="s">
        <v>16</v>
      </c>
      <c r="C208" s="9" t="s">
        <v>11</v>
      </c>
      <c r="D208" s="12">
        <f>IF(D198="","",(D198-'2016'!D9)/'2016'!D9)</f>
        <v>2.6247497590272114E-2</v>
      </c>
      <c r="E208" s="12">
        <f>IF(E198="","",(E198-'2016'!E9)/'2016'!E9)</f>
        <v>-0.12414612414612415</v>
      </c>
      <c r="F208" s="12">
        <f>IF(F198="","",(F198-'2016'!F9)/'2016'!F9)</f>
        <v>-1.8851570964247021E-2</v>
      </c>
      <c r="G208" s="12" t="str">
        <f>IF(G198="","",(G198-#REF!)/#REF!)</f>
        <v/>
      </c>
      <c r="H208" s="12" t="str">
        <f>IF(H198="","",(H198-#REF!)/#REF!)</f>
        <v/>
      </c>
      <c r="I208" s="12" t="str">
        <f>IF(I198="","",(I198-#REF!)/#REF!)</f>
        <v/>
      </c>
      <c r="J208" s="11" t="e">
        <f>J198-'2015'!J228</f>
        <v>#REF!</v>
      </c>
      <c r="K208" s="11">
        <f>K198-'2015'!K228</f>
        <v>113.03266644060133</v>
      </c>
      <c r="L208" s="11">
        <f>L198-'2015'!L228</f>
        <v>220.84805653710248</v>
      </c>
      <c r="M208" s="11" t="str">
        <f>IF(G208="","",M198-((1/Comparisons!#REF!)*1000000))</f>
        <v/>
      </c>
      <c r="N208" s="11" t="str">
        <f>IF(H208="","",N198-((1/Comparisons!#REF!)*1000000))</f>
        <v/>
      </c>
      <c r="O208" s="29" t="str">
        <f>IF(I208="","",O198-((1/Comparisons!#REF!)*1000000))</f>
        <v/>
      </c>
    </row>
    <row r="209" spans="1:15" ht="15.75" thickBot="1" x14ac:dyDescent="0.3">
      <c r="A209" s="32" t="s">
        <v>17</v>
      </c>
      <c r="B209" s="33" t="s">
        <v>18</v>
      </c>
      <c r="C209" s="34" t="s">
        <v>11</v>
      </c>
      <c r="D209" s="35">
        <f>IF(D199="","",(D199-'2016'!D10)/'2016'!D10)</f>
        <v>-2.7422747128296392E-2</v>
      </c>
      <c r="E209" s="35">
        <f>IF(E199="","",(E199-'2016'!E10)/'2016'!E10)</f>
        <v>-0.1412794746791364</v>
      </c>
      <c r="F209" s="35">
        <f>IF(F199="","",(F199-'2016'!F10)/'2016'!F10)</f>
        <v>-5.6237879767291533E-2</v>
      </c>
      <c r="G209" s="35" t="str">
        <f>IF(G199="","",(G199-#REF!)/#REF!)</f>
        <v/>
      </c>
      <c r="H209" s="35" t="str">
        <f>IF(H199="","",(H199-#REF!)/#REF!)</f>
        <v/>
      </c>
      <c r="I209" s="35" t="str">
        <f>IF(I199="","",(I199-#REF!)/#REF!)</f>
        <v/>
      </c>
      <c r="J209" s="36">
        <f>J199-'2015'!J229</f>
        <v>83.173916659735497</v>
      </c>
      <c r="K209" s="36">
        <f>K199-'2015'!K229</f>
        <v>115.86142973004287</v>
      </c>
      <c r="L209" s="36">
        <f>L199-'2015'!L229</f>
        <v>228.31050228310502</v>
      </c>
      <c r="M209" s="36" t="str">
        <f>IF(G209="","",M199-((1/Comparisons!#REF!)*1000000))</f>
        <v/>
      </c>
      <c r="N209" s="36" t="str">
        <f>IF(H209="","",N199-((1/Comparisons!#REF!)*1000000))</f>
        <v/>
      </c>
      <c r="O209" s="37" t="str">
        <f>IF(I209="","",O199-((1/Comparisons!#REF!)*1000000))</f>
        <v/>
      </c>
    </row>
    <row r="210" spans="1:15" ht="18.75" x14ac:dyDescent="0.25">
      <c r="A210" s="126" t="s">
        <v>93</v>
      </c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8"/>
    </row>
    <row r="211" spans="1:15" ht="15.75" x14ac:dyDescent="0.25">
      <c r="A211" s="129" t="s">
        <v>123</v>
      </c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130"/>
    </row>
    <row r="212" spans="1:15" x14ac:dyDescent="0.25">
      <c r="A212" s="122" t="s">
        <v>1</v>
      </c>
      <c r="B212" s="88"/>
      <c r="C212" s="89"/>
      <c r="D212" s="105" t="s">
        <v>2</v>
      </c>
      <c r="E212" s="106"/>
      <c r="F212" s="106"/>
      <c r="G212" s="106"/>
      <c r="H212" s="106"/>
      <c r="I212" s="107"/>
      <c r="J212" s="105" t="s">
        <v>3</v>
      </c>
      <c r="K212" s="106"/>
      <c r="L212" s="106"/>
      <c r="M212" s="106"/>
      <c r="N212" s="106"/>
      <c r="O212" s="123"/>
    </row>
    <row r="213" spans="1:15" x14ac:dyDescent="0.25">
      <c r="A213" s="26" t="s">
        <v>26</v>
      </c>
      <c r="B213" s="6" t="s">
        <v>5</v>
      </c>
      <c r="C213" s="6" t="s">
        <v>6</v>
      </c>
      <c r="D213" s="7">
        <v>1</v>
      </c>
      <c r="E213" s="7">
        <v>4</v>
      </c>
      <c r="F213" s="7">
        <v>16</v>
      </c>
      <c r="G213" s="7">
        <v>32</v>
      </c>
      <c r="H213" s="7">
        <v>64</v>
      </c>
      <c r="I213" s="7">
        <v>80</v>
      </c>
      <c r="J213" s="7">
        <v>1</v>
      </c>
      <c r="K213" s="7">
        <v>4</v>
      </c>
      <c r="L213" s="7">
        <v>16</v>
      </c>
      <c r="M213" s="7">
        <v>32</v>
      </c>
      <c r="N213" s="7">
        <v>64</v>
      </c>
      <c r="O213" s="27">
        <v>80</v>
      </c>
    </row>
    <row r="214" spans="1:15" x14ac:dyDescent="0.25">
      <c r="A214" s="28" t="s">
        <v>7</v>
      </c>
      <c r="B214" s="9" t="s">
        <v>8</v>
      </c>
      <c r="C214" s="9" t="s">
        <v>9</v>
      </c>
      <c r="D214" s="24">
        <v>38628</v>
      </c>
      <c r="E214" s="24">
        <v>19447</v>
      </c>
      <c r="F214" s="24">
        <v>5837</v>
      </c>
      <c r="G214" s="10"/>
      <c r="H214" s="10"/>
      <c r="I214" s="10"/>
      <c r="J214" s="11">
        <f>IF(D215="","",(1/D215)*1000000)</f>
        <v>70.566650201114953</v>
      </c>
      <c r="K214" s="11">
        <f t="shared" ref="K214:K219" si="63">IF(E214="","",(1/E214)*1000000)</f>
        <v>51.421813133131074</v>
      </c>
      <c r="L214" s="11">
        <f t="shared" ref="L214:L219" si="64">IF(F214="","",(1/F214)*1000000)</f>
        <v>171.32088401576152</v>
      </c>
      <c r="M214" s="11" t="str">
        <f t="shared" ref="M214:M219" si="65">IF(G214="","",(1/G214)*1000000)</f>
        <v/>
      </c>
      <c r="N214" s="11" t="str">
        <f t="shared" ref="N214:N219" si="66">IF(H214="","",(1/H214)*1000000)</f>
        <v/>
      </c>
      <c r="O214" s="29" t="str">
        <f t="shared" ref="O214:O219" si="67">IF(I214="","",(1/I214)*1000000)</f>
        <v/>
      </c>
    </row>
    <row r="215" spans="1:15" x14ac:dyDescent="0.25">
      <c r="A215" s="28" t="s">
        <v>10</v>
      </c>
      <c r="B215" s="9" t="s">
        <v>8</v>
      </c>
      <c r="C215" s="9" t="s">
        <v>11</v>
      </c>
      <c r="D215" s="24">
        <v>14171</v>
      </c>
      <c r="E215" s="24">
        <v>10220</v>
      </c>
      <c r="F215" s="24">
        <v>4638</v>
      </c>
      <c r="G215" s="10"/>
      <c r="H215" s="10"/>
      <c r="I215" s="10"/>
      <c r="J215" s="11" t="e">
        <f>IF(#REF!="","",(1/#REF!)*1000000)</f>
        <v>#REF!</v>
      </c>
      <c r="K215" s="11">
        <f t="shared" si="63"/>
        <v>97.847358121330728</v>
      </c>
      <c r="L215" s="11">
        <f t="shared" si="64"/>
        <v>215.61017680034499</v>
      </c>
      <c r="M215" s="11" t="str">
        <f t="shared" si="65"/>
        <v/>
      </c>
      <c r="N215" s="11" t="str">
        <f t="shared" si="66"/>
        <v/>
      </c>
      <c r="O215" s="29" t="str">
        <f t="shared" si="67"/>
        <v/>
      </c>
    </row>
    <row r="216" spans="1:15" x14ac:dyDescent="0.25">
      <c r="A216" s="30" t="s">
        <v>12</v>
      </c>
      <c r="B216" s="9" t="s">
        <v>13</v>
      </c>
      <c r="C216" s="9" t="s">
        <v>9</v>
      </c>
      <c r="D216" s="24">
        <v>39956</v>
      </c>
      <c r="E216" s="24">
        <v>17773</v>
      </c>
      <c r="F216" s="24">
        <v>5561</v>
      </c>
      <c r="G216" s="10"/>
      <c r="H216" s="10"/>
      <c r="I216" s="10"/>
      <c r="J216" s="11">
        <f t="shared" ref="J216" si="68">IF(D216="","",(1/D216)*1000000)</f>
        <v>25.027530283311641</v>
      </c>
      <c r="K216" s="11">
        <f t="shared" si="63"/>
        <v>56.265121251336296</v>
      </c>
      <c r="L216" s="11">
        <f t="shared" si="64"/>
        <v>179.82377270275131</v>
      </c>
      <c r="M216" s="11" t="str">
        <f t="shared" si="65"/>
        <v/>
      </c>
      <c r="N216" s="11" t="str">
        <f t="shared" si="66"/>
        <v/>
      </c>
      <c r="O216" s="29" t="str">
        <f t="shared" si="67"/>
        <v/>
      </c>
    </row>
    <row r="217" spans="1:15" x14ac:dyDescent="0.25">
      <c r="A217" s="30" t="s">
        <v>14</v>
      </c>
      <c r="B217" s="9" t="s">
        <v>13</v>
      </c>
      <c r="C217" s="9" t="s">
        <v>11</v>
      </c>
      <c r="D217" s="24">
        <v>13632</v>
      </c>
      <c r="E217" s="24">
        <v>8847</v>
      </c>
      <c r="F217" s="24">
        <v>4526</v>
      </c>
      <c r="G217" s="10"/>
      <c r="H217" s="10"/>
      <c r="I217" s="10"/>
      <c r="J217" s="11">
        <f>IF(D218="","",(1/D218)*1000000)</f>
        <v>79.063883617963313</v>
      </c>
      <c r="K217" s="11">
        <f t="shared" si="63"/>
        <v>113.03266644060133</v>
      </c>
      <c r="L217" s="11">
        <f t="shared" si="64"/>
        <v>220.9456473707468</v>
      </c>
      <c r="M217" s="11" t="str">
        <f t="shared" si="65"/>
        <v/>
      </c>
      <c r="N217" s="11" t="str">
        <f t="shared" si="66"/>
        <v/>
      </c>
      <c r="O217" s="29" t="str">
        <f t="shared" si="67"/>
        <v/>
      </c>
    </row>
    <row r="218" spans="1:15" x14ac:dyDescent="0.25">
      <c r="A218" s="30" t="s">
        <v>15</v>
      </c>
      <c r="B218" s="9" t="s">
        <v>16</v>
      </c>
      <c r="C218" s="9" t="s">
        <v>11</v>
      </c>
      <c r="D218" s="24">
        <v>12648</v>
      </c>
      <c r="E218" s="24">
        <v>8803</v>
      </c>
      <c r="F218" s="24">
        <v>4392</v>
      </c>
      <c r="G218" s="10"/>
      <c r="H218" s="10"/>
      <c r="I218" s="10"/>
      <c r="J218" s="11" t="e">
        <f>IF(#REF!="","",(1/#REF!)*1000000)</f>
        <v>#REF!</v>
      </c>
      <c r="K218" s="11">
        <f t="shared" si="63"/>
        <v>113.59763716914689</v>
      </c>
      <c r="L218" s="11">
        <f t="shared" si="64"/>
        <v>227.68670309653916</v>
      </c>
      <c r="M218" s="11" t="str">
        <f t="shared" si="65"/>
        <v/>
      </c>
      <c r="N218" s="11" t="str">
        <f t="shared" si="66"/>
        <v/>
      </c>
      <c r="O218" s="29" t="str">
        <f t="shared" si="67"/>
        <v/>
      </c>
    </row>
    <row r="219" spans="1:15" x14ac:dyDescent="0.25">
      <c r="A219" s="30" t="s">
        <v>17</v>
      </c>
      <c r="B219" s="8" t="s">
        <v>18</v>
      </c>
      <c r="C219" s="9" t="s">
        <v>11</v>
      </c>
      <c r="D219" s="24">
        <v>11243</v>
      </c>
      <c r="E219" s="24">
        <v>8542</v>
      </c>
      <c r="F219" s="24">
        <v>4267</v>
      </c>
      <c r="G219" s="10"/>
      <c r="H219" s="10"/>
      <c r="I219" s="10"/>
      <c r="J219" s="11">
        <f t="shared" ref="J219" si="69">IF(D219="","",(1/D219)*1000000)</f>
        <v>88.94423196655697</v>
      </c>
      <c r="K219" s="11">
        <f t="shared" si="63"/>
        <v>117.06860220088973</v>
      </c>
      <c r="L219" s="11">
        <f t="shared" si="64"/>
        <v>234.35669088352472</v>
      </c>
      <c r="M219" s="11" t="str">
        <f t="shared" si="65"/>
        <v/>
      </c>
      <c r="N219" s="11" t="str">
        <f t="shared" si="66"/>
        <v/>
      </c>
      <c r="O219" s="29" t="str">
        <f t="shared" si="67"/>
        <v/>
      </c>
    </row>
    <row r="220" spans="1:15" x14ac:dyDescent="0.25">
      <c r="A220" s="131" t="s">
        <v>124</v>
      </c>
      <c r="B220" s="102"/>
      <c r="C220" s="102"/>
      <c r="D220" s="102"/>
      <c r="E220" s="132"/>
      <c r="F220" s="132"/>
      <c r="G220" s="132"/>
      <c r="H220" s="132"/>
      <c r="I220" s="132"/>
      <c r="J220" s="19"/>
      <c r="K220" s="19"/>
      <c r="L220" s="19"/>
      <c r="M220" s="19"/>
      <c r="N220" s="19"/>
      <c r="O220" s="31"/>
    </row>
    <row r="221" spans="1:15" ht="18.75" x14ac:dyDescent="0.3">
      <c r="A221" s="124" t="s">
        <v>95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125"/>
    </row>
    <row r="222" spans="1:15" x14ac:dyDescent="0.25">
      <c r="A222" s="122" t="s">
        <v>1</v>
      </c>
      <c r="B222" s="88"/>
      <c r="C222" s="89"/>
      <c r="D222" s="105" t="s">
        <v>19</v>
      </c>
      <c r="E222" s="106"/>
      <c r="F222" s="106"/>
      <c r="G222" s="106"/>
      <c r="H222" s="106"/>
      <c r="I222" s="107"/>
      <c r="J222" s="105" t="s">
        <v>22</v>
      </c>
      <c r="K222" s="106"/>
      <c r="L222" s="106"/>
      <c r="M222" s="106"/>
      <c r="N222" s="106"/>
      <c r="O222" s="123"/>
    </row>
    <row r="223" spans="1:15" x14ac:dyDescent="0.25">
      <c r="A223" s="26" t="s">
        <v>4</v>
      </c>
      <c r="B223" s="6" t="s">
        <v>5</v>
      </c>
      <c r="C223" s="6" t="s">
        <v>6</v>
      </c>
      <c r="D223" s="7">
        <v>1</v>
      </c>
      <c r="E223" s="7">
        <v>4</v>
      </c>
      <c r="F223" s="7">
        <v>16</v>
      </c>
      <c r="G223" s="7">
        <v>32</v>
      </c>
      <c r="H223" s="7">
        <v>64</v>
      </c>
      <c r="I223" s="7">
        <v>80</v>
      </c>
      <c r="J223" s="7">
        <v>1</v>
      </c>
      <c r="K223" s="7">
        <v>4</v>
      </c>
      <c r="L223" s="7">
        <v>16</v>
      </c>
      <c r="M223" s="7">
        <v>32</v>
      </c>
      <c r="N223" s="7">
        <v>64</v>
      </c>
      <c r="O223" s="27">
        <v>80</v>
      </c>
    </row>
    <row r="224" spans="1:15" x14ac:dyDescent="0.25">
      <c r="A224" s="28" t="s">
        <v>7</v>
      </c>
      <c r="B224" s="9" t="s">
        <v>8</v>
      </c>
      <c r="C224" s="9" t="s">
        <v>9</v>
      </c>
      <c r="D224" s="12">
        <f>IF(D214="","",(D214-'2016'!D5)/'2016'!D5)</f>
        <v>-0.13803722051144732</v>
      </c>
      <c r="E224" s="12">
        <f>IF(E214="","",(E214-'2016'!E5)/'2016'!E5)</f>
        <v>-3.2198666268537873E-2</v>
      </c>
      <c r="F224" s="12">
        <f>IF(F214="","",(F214-'2016'!F5)/'2016'!F5)</f>
        <v>-1.0268697586856067E-3</v>
      </c>
      <c r="G224" s="12" t="str">
        <f>IF(G214="","",(G214-#REF!)/#REF!)</f>
        <v/>
      </c>
      <c r="H224" s="12" t="str">
        <f>IF(H214="","",(H214-#REF!)/#REF!)</f>
        <v/>
      </c>
      <c r="I224" s="12" t="str">
        <f>IF(I214="","",(I214-#REF!)/#REF!)</f>
        <v/>
      </c>
      <c r="J224" s="11">
        <f>J214-'2015'!J244</f>
        <v>70.566650201114953</v>
      </c>
      <c r="K224" s="11">
        <f>K214-'2015'!K244</f>
        <v>51.421813133131074</v>
      </c>
      <c r="L224" s="11">
        <f>L214-'2015'!L244</f>
        <v>171.32088401576152</v>
      </c>
      <c r="M224" s="11" t="str">
        <f>IF(G224="","",M214-((1/Comparisons!#REF!)*1000000))</f>
        <v/>
      </c>
      <c r="N224" s="11" t="str">
        <f>IF(H224="","",N214-((1/Comparisons!#REF!)*1000000))</f>
        <v/>
      </c>
      <c r="O224" s="29" t="str">
        <f>IF(I224="","",O214-((1/Comparisons!#REF!)*1000000))</f>
        <v/>
      </c>
    </row>
    <row r="225" spans="1:15" x14ac:dyDescent="0.25">
      <c r="A225" s="28" t="s">
        <v>10</v>
      </c>
      <c r="B225" s="9" t="s">
        <v>8</v>
      </c>
      <c r="C225" s="9" t="s">
        <v>11</v>
      </c>
      <c r="D225" s="12">
        <f>IF(D215="","",(D215-'2016'!D6)/'2016'!D6)</f>
        <v>-4.98189620490814E-2</v>
      </c>
      <c r="E225" s="12">
        <f>IF(E215="","",(E215-'2016'!E6)/'2016'!E6)</f>
        <v>-5.6499261447562774E-2</v>
      </c>
      <c r="F225" s="12">
        <f>IF(F215="","",(F215-'2016'!F6)/'2016'!F6)</f>
        <v>-2.9097760100481474E-2</v>
      </c>
      <c r="G225" s="12" t="str">
        <f>IF(G215="","",(G215-#REF!)/#REF!)</f>
        <v/>
      </c>
      <c r="H225" s="12" t="str">
        <f>IF(H215="","",(H215-#REF!)/#REF!)</f>
        <v/>
      </c>
      <c r="I225" s="12" t="str">
        <f>IF(I215="","",(I215-#REF!)/#REF!)</f>
        <v/>
      </c>
      <c r="J225" s="11" t="e">
        <f>J215-'2015'!J245</f>
        <v>#REF!</v>
      </c>
      <c r="K225" s="11">
        <f>K215-'2015'!K245</f>
        <v>97.847358121330728</v>
      </c>
      <c r="L225" s="11">
        <f>L215-'2015'!L245</f>
        <v>215.61017680034499</v>
      </c>
      <c r="M225" s="11" t="str">
        <f>IF(G225="","",M215-((1/Comparisons!#REF!)*1000000))</f>
        <v/>
      </c>
      <c r="N225" s="11" t="str">
        <f>IF(H225="","",N215-((1/Comparisons!#REF!)*1000000))</f>
        <v/>
      </c>
      <c r="O225" s="29" t="str">
        <f>IF(I225="","",O215-((1/Comparisons!#REF!)*1000000))</f>
        <v/>
      </c>
    </row>
    <row r="226" spans="1:15" x14ac:dyDescent="0.25">
      <c r="A226" s="30" t="s">
        <v>12</v>
      </c>
      <c r="B226" s="9" t="s">
        <v>13</v>
      </c>
      <c r="C226" s="9" t="s">
        <v>9</v>
      </c>
      <c r="D226" s="12">
        <f>IF(D216="","",(D216-'2016'!D7)/'2016'!D7)</f>
        <v>-8.0054336564363504E-2</v>
      </c>
      <c r="E226" s="12">
        <f>IF(E216="","",(E216-'2016'!E7)/'2016'!E7)</f>
        <v>-3.118015808122104E-2</v>
      </c>
      <c r="F226" s="12">
        <f>IF(F216="","",(F216-'2016'!F7)/'2016'!F7)</f>
        <v>-1.3482348767074685E-2</v>
      </c>
      <c r="G226" s="12" t="str">
        <f>IF(G216="","",(G216-#REF!)/#REF!)</f>
        <v/>
      </c>
      <c r="H226" s="12" t="str">
        <f>IF(H216="","",(H216-#REF!)/#REF!)</f>
        <v/>
      </c>
      <c r="I226" s="12" t="str">
        <f>IF(I216="","",(I216-#REF!)/#REF!)</f>
        <v/>
      </c>
      <c r="J226" s="11">
        <f>J216-'2015'!J246</f>
        <v>25.027530283311641</v>
      </c>
      <c r="K226" s="11">
        <f>K216-'2015'!K246</f>
        <v>56.265121251336296</v>
      </c>
      <c r="L226" s="11">
        <f>L216-'2015'!L246</f>
        <v>179.82377270275131</v>
      </c>
      <c r="M226" s="11" t="str">
        <f>IF(G226="","",M216-((1/Comparisons!#REF!)*1000000))</f>
        <v/>
      </c>
      <c r="N226" s="11" t="str">
        <f>IF(H226="","",N216-((1/Comparisons!#REF!)*1000000))</f>
        <v/>
      </c>
      <c r="O226" s="29" t="str">
        <f>IF(I226="","",O216-((1/Comparisons!#REF!)*1000000))</f>
        <v/>
      </c>
    </row>
    <row r="227" spans="1:15" x14ac:dyDescent="0.25">
      <c r="A227" s="30" t="s">
        <v>14</v>
      </c>
      <c r="B227" s="9" t="s">
        <v>13</v>
      </c>
      <c r="C227" s="9" t="s">
        <v>11</v>
      </c>
      <c r="D227" s="12">
        <f>IF(D217="","",(D217-'2016'!D8)/'2016'!D8)</f>
        <v>-5.5170501802051568E-2</v>
      </c>
      <c r="E227" s="12">
        <f>IF(E217="","",(E217-'2016'!E8)/'2016'!E8)</f>
        <v>-0.13552863005667384</v>
      </c>
      <c r="F227" s="12">
        <f>IF(F217="","",(F217-'2016'!F8)/'2016'!F8)</f>
        <v>-1.0494097070397902E-2</v>
      </c>
      <c r="G227" s="12" t="str">
        <f>IF(G217="","",(G217-#REF!)/#REF!)</f>
        <v/>
      </c>
      <c r="H227" s="12" t="str">
        <f>IF(H217="","",(H217-#REF!)/#REF!)</f>
        <v/>
      </c>
      <c r="I227" s="12" t="str">
        <f>IF(I217="","",(I217-#REF!)/#REF!)</f>
        <v/>
      </c>
      <c r="J227" s="11">
        <f>J217-'2015'!J247</f>
        <v>79.063883617963313</v>
      </c>
      <c r="K227" s="11">
        <f>K217-'2015'!K247</f>
        <v>113.03266644060133</v>
      </c>
      <c r="L227" s="11">
        <f>L217-'2015'!L247</f>
        <v>220.9456473707468</v>
      </c>
      <c r="M227" s="11" t="str">
        <f>IF(G227="","",M217-((1/Comparisons!#REF!)*1000000))</f>
        <v/>
      </c>
      <c r="N227" s="11" t="str">
        <f>IF(H227="","",N217-((1/Comparisons!#REF!)*1000000))</f>
        <v/>
      </c>
      <c r="O227" s="29" t="str">
        <f>IF(I227="","",O217-((1/Comparisons!#REF!)*1000000))</f>
        <v/>
      </c>
    </row>
    <row r="228" spans="1:15" x14ac:dyDescent="0.25">
      <c r="A228" s="30" t="s">
        <v>15</v>
      </c>
      <c r="B228" s="9" t="s">
        <v>16</v>
      </c>
      <c r="C228" s="9" t="s">
        <v>11</v>
      </c>
      <c r="D228" s="12">
        <f>IF(D218="","",(D218-'2016'!D9)/'2016'!D9)</f>
        <v>-6.2208052198413286E-2</v>
      </c>
      <c r="E228" s="12">
        <f>IF(E218="","",(E218-'2016'!E9)/'2016'!E9)</f>
        <v>-0.1285021285021285</v>
      </c>
      <c r="F228" s="12">
        <f>IF(F218="","",(F218-'2016'!F9)/'2016'!F9)</f>
        <v>-4.8320693391115929E-2</v>
      </c>
      <c r="G228" s="12" t="str">
        <f>IF(G218="","",(G218-#REF!)/#REF!)</f>
        <v/>
      </c>
      <c r="H228" s="12" t="str">
        <f>IF(H218="","",(H218-#REF!)/#REF!)</f>
        <v/>
      </c>
      <c r="I228" s="12" t="str">
        <f>IF(I218="","",(I218-#REF!)/#REF!)</f>
        <v/>
      </c>
      <c r="J228" s="11" t="e">
        <f>J218-'2015'!J248</f>
        <v>#REF!</v>
      </c>
      <c r="K228" s="11">
        <f>K218-'2015'!K248</f>
        <v>113.59763716914689</v>
      </c>
      <c r="L228" s="11">
        <f>L218-'2015'!L248</f>
        <v>227.68670309653916</v>
      </c>
      <c r="M228" s="11" t="str">
        <f>IF(G228="","",M218-((1/Comparisons!#REF!)*1000000))</f>
        <v/>
      </c>
      <c r="N228" s="11" t="str">
        <f>IF(H228="","",N218-((1/Comparisons!#REF!)*1000000))</f>
        <v/>
      </c>
      <c r="O228" s="29" t="str">
        <f>IF(I228="","",O218-((1/Comparisons!#REF!)*1000000))</f>
        <v/>
      </c>
    </row>
    <row r="229" spans="1:15" ht="15.75" thickBot="1" x14ac:dyDescent="0.3">
      <c r="A229" s="32" t="s">
        <v>17</v>
      </c>
      <c r="B229" s="33" t="s">
        <v>18</v>
      </c>
      <c r="C229" s="34" t="s">
        <v>11</v>
      </c>
      <c r="D229" s="12">
        <f>IF(D219="","",(D219-'2016'!D10)/'2016'!D10)</f>
        <v>-9.0519333441190744E-2</v>
      </c>
      <c r="E229" s="12">
        <f>IF(E219="","",(E219-'2016'!E10)/'2016'!E10)</f>
        <v>-0.15013431499353297</v>
      </c>
      <c r="F229" s="12">
        <f>IF(F219="","",(F219-'2016'!F10)/'2016'!F10)</f>
        <v>-8.0586080586080591E-2</v>
      </c>
      <c r="G229" s="35" t="str">
        <f>IF(G219="","",(G219-#REF!)/#REF!)</f>
        <v/>
      </c>
      <c r="H229" s="35" t="str">
        <f>IF(H219="","",(H219-#REF!)/#REF!)</f>
        <v/>
      </c>
      <c r="I229" s="35" t="str">
        <f>IF(I219="","",(I219-#REF!)/#REF!)</f>
        <v/>
      </c>
      <c r="J229" s="36">
        <f>J219-'2015'!J249</f>
        <v>88.94423196655697</v>
      </c>
      <c r="K229" s="36">
        <f>K219-'2015'!K249</f>
        <v>117.06860220088973</v>
      </c>
      <c r="L229" s="36">
        <f>L219-'2015'!L249</f>
        <v>234.35669088352472</v>
      </c>
      <c r="M229" s="36" t="str">
        <f>IF(G229="","",M219-((1/Comparisons!#REF!)*1000000))</f>
        <v/>
      </c>
      <c r="N229" s="36" t="str">
        <f>IF(H229="","",N219-((1/Comparisons!#REF!)*1000000))</f>
        <v/>
      </c>
      <c r="O229" s="37" t="str">
        <f>IF(I229="","",O219-((1/Comparisons!#REF!)*1000000))</f>
        <v/>
      </c>
    </row>
    <row r="230" spans="1:15" ht="18.75" x14ac:dyDescent="0.25">
      <c r="A230" s="126" t="s">
        <v>93</v>
      </c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8"/>
    </row>
    <row r="231" spans="1:15" ht="15.75" x14ac:dyDescent="0.25">
      <c r="A231" s="129" t="s">
        <v>125</v>
      </c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130"/>
    </row>
    <row r="232" spans="1:15" x14ac:dyDescent="0.25">
      <c r="A232" s="122" t="s">
        <v>1</v>
      </c>
      <c r="B232" s="88"/>
      <c r="C232" s="89"/>
      <c r="D232" s="105" t="s">
        <v>2</v>
      </c>
      <c r="E232" s="106"/>
      <c r="F232" s="106"/>
      <c r="G232" s="106"/>
      <c r="H232" s="106"/>
      <c r="I232" s="107"/>
      <c r="J232" s="105" t="s">
        <v>3</v>
      </c>
      <c r="K232" s="106"/>
      <c r="L232" s="106"/>
      <c r="M232" s="106"/>
      <c r="N232" s="106"/>
      <c r="O232" s="123"/>
    </row>
    <row r="233" spans="1:15" x14ac:dyDescent="0.25">
      <c r="A233" s="26" t="s">
        <v>26</v>
      </c>
      <c r="B233" s="6" t="s">
        <v>5</v>
      </c>
      <c r="C233" s="6" t="s">
        <v>6</v>
      </c>
      <c r="D233" s="7">
        <v>1</v>
      </c>
      <c r="E233" s="7">
        <v>4</v>
      </c>
      <c r="F233" s="7">
        <v>16</v>
      </c>
      <c r="G233" s="7">
        <v>32</v>
      </c>
      <c r="H233" s="7">
        <v>64</v>
      </c>
      <c r="I233" s="7">
        <v>80</v>
      </c>
      <c r="J233" s="7">
        <v>1</v>
      </c>
      <c r="K233" s="7">
        <v>4</v>
      </c>
      <c r="L233" s="7">
        <v>16</v>
      </c>
      <c r="M233" s="7">
        <v>32</v>
      </c>
      <c r="N233" s="7">
        <v>64</v>
      </c>
      <c r="O233" s="27">
        <v>80</v>
      </c>
    </row>
    <row r="234" spans="1:15" x14ac:dyDescent="0.25">
      <c r="A234" s="28" t="s">
        <v>7</v>
      </c>
      <c r="B234" s="9" t="s">
        <v>8</v>
      </c>
      <c r="C234" s="9" t="s">
        <v>9</v>
      </c>
      <c r="D234" s="24">
        <v>42666</v>
      </c>
      <c r="E234" s="24">
        <v>19770</v>
      </c>
      <c r="F234" s="24">
        <v>5843</v>
      </c>
      <c r="G234" s="10"/>
      <c r="H234" s="10"/>
      <c r="I234" s="10"/>
      <c r="J234" s="11">
        <f>IF(D235="","",(1/D235)*1000000)</f>
        <v>74.855902387903285</v>
      </c>
      <c r="K234" s="11">
        <f t="shared" ref="K234:K239" si="70">IF(E234="","",(1/E234)*1000000)</f>
        <v>50.581689428426905</v>
      </c>
      <c r="L234" s="11">
        <f t="shared" ref="L234:L239" si="71">IF(F234="","",(1/F234)*1000000)</f>
        <v>171.14495978093444</v>
      </c>
      <c r="M234" s="11" t="str">
        <f t="shared" ref="M234:M239" si="72">IF(G234="","",(1/G234)*1000000)</f>
        <v/>
      </c>
      <c r="N234" s="11" t="str">
        <f t="shared" ref="N234:N239" si="73">IF(H234="","",(1/H234)*1000000)</f>
        <v/>
      </c>
      <c r="O234" s="29" t="str">
        <f t="shared" ref="O234:O239" si="74">IF(I234="","",(1/I234)*1000000)</f>
        <v/>
      </c>
    </row>
    <row r="235" spans="1:15" x14ac:dyDescent="0.25">
      <c r="A235" s="28" t="s">
        <v>10</v>
      </c>
      <c r="B235" s="9" t="s">
        <v>8</v>
      </c>
      <c r="C235" s="9" t="s">
        <v>11</v>
      </c>
      <c r="D235" s="24">
        <v>13359</v>
      </c>
      <c r="E235" s="24">
        <v>9612</v>
      </c>
      <c r="F235" s="24">
        <v>4656</v>
      </c>
      <c r="G235" s="10"/>
      <c r="H235" s="10"/>
      <c r="I235" s="10"/>
      <c r="J235" s="11" t="e">
        <f>IF(#REF!="","",(1/#REF!)*1000000)</f>
        <v>#REF!</v>
      </c>
      <c r="K235" s="11">
        <f t="shared" si="70"/>
        <v>104.03662089055348</v>
      </c>
      <c r="L235" s="11">
        <f t="shared" si="71"/>
        <v>214.77663230240549</v>
      </c>
      <c r="M235" s="11" t="str">
        <f t="shared" si="72"/>
        <v/>
      </c>
      <c r="N235" s="11" t="str">
        <f t="shared" si="73"/>
        <v/>
      </c>
      <c r="O235" s="29" t="str">
        <f t="shared" si="74"/>
        <v/>
      </c>
    </row>
    <row r="236" spans="1:15" x14ac:dyDescent="0.25">
      <c r="A236" s="30" t="s">
        <v>12</v>
      </c>
      <c r="B236" s="9" t="s">
        <v>13</v>
      </c>
      <c r="C236" s="9" t="s">
        <v>9</v>
      </c>
      <c r="D236" s="24">
        <v>41671</v>
      </c>
      <c r="E236" s="24">
        <v>17685</v>
      </c>
      <c r="F236" s="24">
        <v>5599</v>
      </c>
      <c r="G236" s="10"/>
      <c r="H236" s="10"/>
      <c r="I236" s="10"/>
      <c r="J236" s="11">
        <f t="shared" ref="J236" si="75">IF(D236="","",(1/D236)*1000000)</f>
        <v>23.997504259557008</v>
      </c>
      <c r="K236" s="11">
        <f t="shared" si="70"/>
        <v>56.545094713033642</v>
      </c>
      <c r="L236" s="11">
        <f t="shared" si="71"/>
        <v>178.60332202178961</v>
      </c>
      <c r="M236" s="11" t="str">
        <f t="shared" si="72"/>
        <v/>
      </c>
      <c r="N236" s="11" t="str">
        <f t="shared" si="73"/>
        <v/>
      </c>
      <c r="O236" s="29" t="str">
        <f t="shared" si="74"/>
        <v/>
      </c>
    </row>
    <row r="237" spans="1:15" x14ac:dyDescent="0.25">
      <c r="A237" s="30" t="s">
        <v>14</v>
      </c>
      <c r="B237" s="9" t="s">
        <v>13</v>
      </c>
      <c r="C237" s="9" t="s">
        <v>11</v>
      </c>
      <c r="D237" s="24">
        <v>12281</v>
      </c>
      <c r="E237" s="24">
        <v>9910</v>
      </c>
      <c r="F237" s="24">
        <v>4503</v>
      </c>
      <c r="G237" s="10"/>
      <c r="H237" s="10"/>
      <c r="I237" s="10"/>
      <c r="J237" s="11">
        <f>IF(D238="","",(1/D238)*1000000)</f>
        <v>79.484937604323974</v>
      </c>
      <c r="K237" s="11">
        <f t="shared" si="70"/>
        <v>100.90817356205852</v>
      </c>
      <c r="L237" s="11">
        <f t="shared" si="71"/>
        <v>222.07417277370641</v>
      </c>
      <c r="M237" s="11" t="str">
        <f t="shared" si="72"/>
        <v/>
      </c>
      <c r="N237" s="11" t="str">
        <f t="shared" si="73"/>
        <v/>
      </c>
      <c r="O237" s="29" t="str">
        <f t="shared" si="74"/>
        <v/>
      </c>
    </row>
    <row r="238" spans="1:15" x14ac:dyDescent="0.25">
      <c r="A238" s="30" t="s">
        <v>15</v>
      </c>
      <c r="B238" s="9" t="s">
        <v>16</v>
      </c>
      <c r="C238" s="9" t="s">
        <v>11</v>
      </c>
      <c r="D238" s="24">
        <v>12581</v>
      </c>
      <c r="E238" s="24">
        <v>8847</v>
      </c>
      <c r="F238" s="24">
        <v>4322</v>
      </c>
      <c r="G238" s="10"/>
      <c r="H238" s="10"/>
      <c r="I238" s="10"/>
      <c r="J238" s="11" t="e">
        <f>IF(#REF!="","",(1/#REF!)*1000000)</f>
        <v>#REF!</v>
      </c>
      <c r="K238" s="11">
        <f t="shared" si="70"/>
        <v>113.03266644060133</v>
      </c>
      <c r="L238" s="11">
        <f t="shared" si="71"/>
        <v>231.37436372049979</v>
      </c>
      <c r="M238" s="11" t="str">
        <f t="shared" si="72"/>
        <v/>
      </c>
      <c r="N238" s="11" t="str">
        <f t="shared" si="73"/>
        <v/>
      </c>
      <c r="O238" s="29" t="str">
        <f t="shared" si="74"/>
        <v/>
      </c>
    </row>
    <row r="239" spans="1:15" x14ac:dyDescent="0.25">
      <c r="A239" s="30" t="s">
        <v>17</v>
      </c>
      <c r="B239" s="8" t="s">
        <v>18</v>
      </c>
      <c r="C239" s="9" t="s">
        <v>11</v>
      </c>
      <c r="D239" s="24">
        <v>11358</v>
      </c>
      <c r="E239" s="24">
        <v>7744</v>
      </c>
      <c r="F239" s="24">
        <v>4231</v>
      </c>
      <c r="G239" s="10"/>
      <c r="H239" s="10"/>
      <c r="I239" s="10"/>
      <c r="J239" s="11">
        <f t="shared" ref="J239" si="76">IF(D239="","",(1/D239)*1000000)</f>
        <v>88.043669660151437</v>
      </c>
      <c r="K239" s="11">
        <f t="shared" si="70"/>
        <v>129.13223140495867</v>
      </c>
      <c r="L239" s="11">
        <f t="shared" si="71"/>
        <v>236.35074450484521</v>
      </c>
      <c r="M239" s="11" t="str">
        <f t="shared" si="72"/>
        <v/>
      </c>
      <c r="N239" s="11" t="str">
        <f t="shared" si="73"/>
        <v/>
      </c>
      <c r="O239" s="29" t="str">
        <f t="shared" si="74"/>
        <v/>
      </c>
    </row>
    <row r="240" spans="1:15" x14ac:dyDescent="0.25">
      <c r="A240" s="131" t="s">
        <v>126</v>
      </c>
      <c r="B240" s="102"/>
      <c r="C240" s="102"/>
      <c r="D240" s="102"/>
      <c r="E240" s="132"/>
      <c r="F240" s="132"/>
      <c r="G240" s="132"/>
      <c r="H240" s="132"/>
      <c r="I240" s="132"/>
      <c r="J240" s="19"/>
      <c r="K240" s="19"/>
      <c r="L240" s="19"/>
      <c r="M240" s="19"/>
      <c r="N240" s="19"/>
      <c r="O240" s="31"/>
    </row>
    <row r="241" spans="1:15" ht="18.75" x14ac:dyDescent="0.3">
      <c r="A241" s="124" t="s">
        <v>95</v>
      </c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125"/>
    </row>
    <row r="242" spans="1:15" x14ac:dyDescent="0.25">
      <c r="A242" s="122" t="s">
        <v>1</v>
      </c>
      <c r="B242" s="88"/>
      <c r="C242" s="89"/>
      <c r="D242" s="105" t="s">
        <v>19</v>
      </c>
      <c r="E242" s="106"/>
      <c r="F242" s="106"/>
      <c r="G242" s="106"/>
      <c r="H242" s="106"/>
      <c r="I242" s="107"/>
      <c r="J242" s="105" t="s">
        <v>22</v>
      </c>
      <c r="K242" s="106"/>
      <c r="L242" s="106"/>
      <c r="M242" s="106"/>
      <c r="N242" s="106"/>
      <c r="O242" s="123"/>
    </row>
    <row r="243" spans="1:15" x14ac:dyDescent="0.25">
      <c r="A243" s="26" t="s">
        <v>4</v>
      </c>
      <c r="B243" s="6" t="s">
        <v>5</v>
      </c>
      <c r="C243" s="6" t="s">
        <v>6</v>
      </c>
      <c r="D243" s="7">
        <v>1</v>
      </c>
      <c r="E243" s="7">
        <v>4</v>
      </c>
      <c r="F243" s="7">
        <v>16</v>
      </c>
      <c r="G243" s="7">
        <v>32</v>
      </c>
      <c r="H243" s="7">
        <v>64</v>
      </c>
      <c r="I243" s="7">
        <v>80</v>
      </c>
      <c r="J243" s="7">
        <v>1</v>
      </c>
      <c r="K243" s="7">
        <v>4</v>
      </c>
      <c r="L243" s="7">
        <v>16</v>
      </c>
      <c r="M243" s="7">
        <v>32</v>
      </c>
      <c r="N243" s="7">
        <v>64</v>
      </c>
      <c r="O243" s="27">
        <v>80</v>
      </c>
    </row>
    <row r="244" spans="1:15" x14ac:dyDescent="0.25">
      <c r="A244" s="28" t="s">
        <v>7</v>
      </c>
      <c r="B244" s="9" t="s">
        <v>8</v>
      </c>
      <c r="C244" s="9" t="s">
        <v>9</v>
      </c>
      <c r="D244" s="12">
        <f>IF(D234="","",(D234-'2016'!D5)/'2016'!D5)</f>
        <v>-4.7931449993305661E-2</v>
      </c>
      <c r="E244" s="12">
        <f>IF(E234="","",(E234-'2016'!E5)/'2016'!E5)</f>
        <v>-1.6124216183935502E-2</v>
      </c>
      <c r="F244" s="12">
        <f>IF(F234="","",(F234-'2016'!F5)/'2016'!F5)</f>
        <v>0</v>
      </c>
      <c r="G244" s="12" t="str">
        <f>IF(G234="","",(G234-#REF!)/#REF!)</f>
        <v/>
      </c>
      <c r="H244" s="12" t="str">
        <f>IF(H234="","",(H234-#REF!)/#REF!)</f>
        <v/>
      </c>
      <c r="I244" s="12" t="str">
        <f>IF(I234="","",(I234-#REF!)/#REF!)</f>
        <v/>
      </c>
      <c r="J244" s="11">
        <f>J234-'2015'!J264</f>
        <v>74.855902387903285</v>
      </c>
      <c r="K244" s="11">
        <f>K234-'2015'!K264</f>
        <v>50.581689428426905</v>
      </c>
      <c r="L244" s="11">
        <f>L234-'2015'!L264</f>
        <v>171.14495978093444</v>
      </c>
      <c r="M244" s="11" t="str">
        <f>IF(G244="","",M234-((1/Comparisons!#REF!)*1000000))</f>
        <v/>
      </c>
      <c r="N244" s="11" t="str">
        <f>IF(H244="","",N234-((1/Comparisons!#REF!)*1000000))</f>
        <v/>
      </c>
      <c r="O244" s="29" t="str">
        <f>IF(I244="","",O234-((1/Comparisons!#REF!)*1000000))</f>
        <v/>
      </c>
    </row>
    <row r="245" spans="1:15" x14ac:dyDescent="0.25">
      <c r="A245" s="28" t="s">
        <v>10</v>
      </c>
      <c r="B245" s="9" t="s">
        <v>8</v>
      </c>
      <c r="C245" s="9" t="s">
        <v>11</v>
      </c>
      <c r="D245" s="12">
        <f>IF(D235="","",(D235-'2016'!D6)/'2016'!D6)</f>
        <v>-0.10426444951052702</v>
      </c>
      <c r="E245" s="12">
        <f>IF(E235="","",(E235-'2016'!E6)/'2016'!E6)</f>
        <v>-0.11262924667651403</v>
      </c>
      <c r="F245" s="12">
        <f>IF(F235="","",(F235-'2016'!F6)/'2016'!F6)</f>
        <v>-2.5329704835670923E-2</v>
      </c>
      <c r="G245" s="12" t="str">
        <f>IF(G235="","",(G235-#REF!)/#REF!)</f>
        <v/>
      </c>
      <c r="H245" s="12" t="str">
        <f>IF(H235="","",(H235-#REF!)/#REF!)</f>
        <v/>
      </c>
      <c r="I245" s="12" t="str">
        <f>IF(I235="","",(I235-#REF!)/#REF!)</f>
        <v/>
      </c>
      <c r="J245" s="11" t="e">
        <f>J235-'2015'!J265</f>
        <v>#REF!</v>
      </c>
      <c r="K245" s="11">
        <f>K235-'2015'!K265</f>
        <v>104.03662089055348</v>
      </c>
      <c r="L245" s="11">
        <f>L235-'2015'!L265</f>
        <v>214.77663230240549</v>
      </c>
      <c r="M245" s="11" t="str">
        <f>IF(G245="","",M235-((1/Comparisons!#REF!)*1000000))</f>
        <v/>
      </c>
      <c r="N245" s="11" t="str">
        <f>IF(H245="","",N235-((1/Comparisons!#REF!)*1000000))</f>
        <v/>
      </c>
      <c r="O245" s="29" t="str">
        <f>IF(I245="","",O235-((1/Comparisons!#REF!)*1000000))</f>
        <v/>
      </c>
    </row>
    <row r="246" spans="1:15" x14ac:dyDescent="0.25">
      <c r="A246" s="30" t="s">
        <v>12</v>
      </c>
      <c r="B246" s="9" t="s">
        <v>13</v>
      </c>
      <c r="C246" s="9" t="s">
        <v>9</v>
      </c>
      <c r="D246" s="12">
        <f>IF(D236="","",(D236-'2016'!D7)/'2016'!D7)</f>
        <v>-4.0568231529021712E-2</v>
      </c>
      <c r="E246" s="12">
        <f>IF(E236="","",(E236-'2016'!E7)/'2016'!E7)</f>
        <v>-3.5977105478331974E-2</v>
      </c>
      <c r="F246" s="12">
        <f>IF(F236="","",(F236-'2016'!F7)/'2016'!F7)</f>
        <v>-6.7411743835373425E-3</v>
      </c>
      <c r="G246" s="12" t="str">
        <f>IF(G236="","",(G236-#REF!)/#REF!)</f>
        <v/>
      </c>
      <c r="H246" s="12" t="str">
        <f>IF(H236="","",(H236-#REF!)/#REF!)</f>
        <v/>
      </c>
      <c r="I246" s="12" t="str">
        <f>IF(I236="","",(I236-#REF!)/#REF!)</f>
        <v/>
      </c>
      <c r="J246" s="11">
        <f>J236-'2015'!J266</f>
        <v>23.997504259557008</v>
      </c>
      <c r="K246" s="11">
        <f>K236-'2015'!K266</f>
        <v>56.545094713033642</v>
      </c>
      <c r="L246" s="11">
        <f>L236-'2015'!L266</f>
        <v>178.60332202178961</v>
      </c>
      <c r="M246" s="11" t="str">
        <f>IF(G246="","",M236-((1/Comparisons!#REF!)*1000000))</f>
        <v/>
      </c>
      <c r="N246" s="11" t="str">
        <f>IF(H246="","",N236-((1/Comparisons!#REF!)*1000000))</f>
        <v/>
      </c>
      <c r="O246" s="29" t="str">
        <f>IF(I246="","",O236-((1/Comparisons!#REF!)*1000000))</f>
        <v/>
      </c>
    </row>
    <row r="247" spans="1:15" x14ac:dyDescent="0.25">
      <c r="A247" s="30" t="s">
        <v>14</v>
      </c>
      <c r="B247" s="9" t="s">
        <v>13</v>
      </c>
      <c r="C247" s="9" t="s">
        <v>11</v>
      </c>
      <c r="D247" s="12">
        <f>IF(D237="","",(D237-'2016'!D8)/'2016'!D8)</f>
        <v>-0.14880787357915165</v>
      </c>
      <c r="E247" s="12">
        <f>IF(E237="","",(E237-'2016'!E8)/'2016'!E8)</f>
        <v>-3.1659175298026185E-2</v>
      </c>
      <c r="F247" s="12">
        <f>IF(F237="","",(F237-'2016'!F8)/'2016'!F8)</f>
        <v>-1.5522518583296896E-2</v>
      </c>
      <c r="G247" s="12" t="str">
        <f>IF(G237="","",(G237-#REF!)/#REF!)</f>
        <v/>
      </c>
      <c r="H247" s="12" t="str">
        <f>IF(H237="","",(H237-#REF!)/#REF!)</f>
        <v/>
      </c>
      <c r="I247" s="12" t="str">
        <f>IF(I237="","",(I237-#REF!)/#REF!)</f>
        <v/>
      </c>
      <c r="J247" s="11">
        <f>J237-'2015'!J267</f>
        <v>79.484937604323974</v>
      </c>
      <c r="K247" s="11">
        <f>K237-'2015'!K267</f>
        <v>100.90817356205852</v>
      </c>
      <c r="L247" s="11">
        <f>L237-'2015'!L267</f>
        <v>222.07417277370641</v>
      </c>
      <c r="M247" s="11" t="str">
        <f>IF(G247="","",M237-((1/Comparisons!#REF!)*1000000))</f>
        <v/>
      </c>
      <c r="N247" s="11" t="str">
        <f>IF(H247="","",N237-((1/Comparisons!#REF!)*1000000))</f>
        <v/>
      </c>
      <c r="O247" s="29" t="str">
        <f>IF(I247="","",O237-((1/Comparisons!#REF!)*1000000))</f>
        <v/>
      </c>
    </row>
    <row r="248" spans="1:15" x14ac:dyDescent="0.25">
      <c r="A248" s="30" t="s">
        <v>15</v>
      </c>
      <c r="B248" s="9" t="s">
        <v>16</v>
      </c>
      <c r="C248" s="9" t="s">
        <v>11</v>
      </c>
      <c r="D248" s="12">
        <f>IF(D238="","",(D238-'2016'!D9)/'2016'!D9)</f>
        <v>-6.717579891747609E-2</v>
      </c>
      <c r="E248" s="12">
        <f>IF(E238="","",(E238-'2016'!E9)/'2016'!E9)</f>
        <v>-0.12414612414612415</v>
      </c>
      <c r="F248" s="12">
        <f>IF(F238="","",(F238-'2016'!F9)/'2016'!F9)</f>
        <v>-6.3488624052004339E-2</v>
      </c>
      <c r="G248" s="12" t="str">
        <f>IF(G238="","",(G238-#REF!)/#REF!)</f>
        <v/>
      </c>
      <c r="H248" s="12" t="str">
        <f>IF(H238="","",(H238-#REF!)/#REF!)</f>
        <v/>
      </c>
      <c r="I248" s="12" t="str">
        <f>IF(I238="","",(I238-#REF!)/#REF!)</f>
        <v/>
      </c>
      <c r="J248" s="11" t="e">
        <f>J238-'2015'!J268</f>
        <v>#REF!</v>
      </c>
      <c r="K248" s="11">
        <f>K238-'2015'!K268</f>
        <v>113.03266644060133</v>
      </c>
      <c r="L248" s="11">
        <f>L238-'2015'!L268</f>
        <v>231.37436372049979</v>
      </c>
      <c r="M248" s="11" t="str">
        <f>IF(G248="","",M238-((1/Comparisons!#REF!)*1000000))</f>
        <v/>
      </c>
      <c r="N248" s="11" t="str">
        <f>IF(H248="","",N238-((1/Comparisons!#REF!)*1000000))</f>
        <v/>
      </c>
      <c r="O248" s="29" t="str">
        <f>IF(I248="","",O238-((1/Comparisons!#REF!)*1000000))</f>
        <v/>
      </c>
    </row>
    <row r="249" spans="1:15" ht="15.75" thickBot="1" x14ac:dyDescent="0.3">
      <c r="A249" s="32" t="s">
        <v>17</v>
      </c>
      <c r="B249" s="33" t="s">
        <v>18</v>
      </c>
      <c r="C249" s="34" t="s">
        <v>11</v>
      </c>
      <c r="D249" s="12">
        <f>IF(D239="","",(D239-'2016'!D10)/'2016'!D10)</f>
        <v>-8.12166316130076E-2</v>
      </c>
      <c r="E249" s="12">
        <f>IF(E239="","",(E239-'2016'!E10)/'2016'!E10)</f>
        <v>-0.22952940005969555</v>
      </c>
      <c r="F249" s="12">
        <f>IF(F239="","",(F239-'2016'!F10)/'2016'!F10)</f>
        <v>-8.8343029519500113E-2</v>
      </c>
      <c r="G249" s="35" t="str">
        <f>IF(G239="","",(G239-#REF!)/#REF!)</f>
        <v/>
      </c>
      <c r="H249" s="35" t="str">
        <f>IF(H239="","",(H239-#REF!)/#REF!)</f>
        <v/>
      </c>
      <c r="I249" s="35" t="str">
        <f>IF(I239="","",(I239-#REF!)/#REF!)</f>
        <v/>
      </c>
      <c r="J249" s="36">
        <f>J239-'2015'!J269</f>
        <v>88.043669660151437</v>
      </c>
      <c r="K249" s="36">
        <f>K239-'2015'!K269</f>
        <v>129.13223140495867</v>
      </c>
      <c r="L249" s="36">
        <f>L239-'2015'!L269</f>
        <v>236.35074450484521</v>
      </c>
      <c r="M249" s="36" t="str">
        <f>IF(G249="","",M239-((1/Comparisons!#REF!)*1000000))</f>
        <v/>
      </c>
      <c r="N249" s="36" t="str">
        <f>IF(H249="","",N239-((1/Comparisons!#REF!)*1000000))</f>
        <v/>
      </c>
      <c r="O249" s="37" t="str">
        <f>IF(I249="","",O239-((1/Comparisons!#REF!)*1000000))</f>
        <v/>
      </c>
    </row>
    <row r="250" spans="1:15" ht="18.75" x14ac:dyDescent="0.25">
      <c r="A250" s="126" t="s">
        <v>93</v>
      </c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8"/>
    </row>
    <row r="251" spans="1:15" ht="15.75" x14ac:dyDescent="0.25">
      <c r="A251" s="129" t="s">
        <v>127</v>
      </c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130"/>
    </row>
    <row r="252" spans="1:15" x14ac:dyDescent="0.25">
      <c r="A252" s="122" t="s">
        <v>1</v>
      </c>
      <c r="B252" s="88"/>
      <c r="C252" s="89"/>
      <c r="D252" s="105" t="s">
        <v>2</v>
      </c>
      <c r="E252" s="106"/>
      <c r="F252" s="106"/>
      <c r="G252" s="106"/>
      <c r="H252" s="106"/>
      <c r="I252" s="107"/>
      <c r="J252" s="105" t="s">
        <v>3</v>
      </c>
      <c r="K252" s="106"/>
      <c r="L252" s="106"/>
      <c r="M252" s="106"/>
      <c r="N252" s="106"/>
      <c r="O252" s="123"/>
    </row>
    <row r="253" spans="1:15" x14ac:dyDescent="0.25">
      <c r="A253" s="26" t="s">
        <v>26</v>
      </c>
      <c r="B253" s="6" t="s">
        <v>5</v>
      </c>
      <c r="C253" s="6" t="s">
        <v>6</v>
      </c>
      <c r="D253" s="7">
        <v>1</v>
      </c>
      <c r="E253" s="7">
        <v>4</v>
      </c>
      <c r="F253" s="7">
        <v>16</v>
      </c>
      <c r="G253" s="7">
        <v>32</v>
      </c>
      <c r="H253" s="7">
        <v>64</v>
      </c>
      <c r="I253" s="7">
        <v>80</v>
      </c>
      <c r="J253" s="7">
        <v>1</v>
      </c>
      <c r="K253" s="7">
        <v>4</v>
      </c>
      <c r="L253" s="7">
        <v>16</v>
      </c>
      <c r="M253" s="7">
        <v>32</v>
      </c>
      <c r="N253" s="7">
        <v>64</v>
      </c>
      <c r="O253" s="27">
        <v>80</v>
      </c>
    </row>
    <row r="254" spans="1:15" x14ac:dyDescent="0.25">
      <c r="A254" s="28" t="s">
        <v>7</v>
      </c>
      <c r="B254" s="9" t="s">
        <v>8</v>
      </c>
      <c r="C254" s="9" t="s">
        <v>9</v>
      </c>
      <c r="D254" s="24">
        <v>42750</v>
      </c>
      <c r="E254" s="24">
        <v>19573</v>
      </c>
      <c r="F254" s="24">
        <v>5715</v>
      </c>
      <c r="G254" s="10"/>
      <c r="H254" s="10"/>
      <c r="I254" s="10"/>
      <c r="J254" s="11">
        <f>IF(D255="","",(1/D255)*1000000)</f>
        <v>55.138950154389057</v>
      </c>
      <c r="K254" s="11">
        <f t="shared" ref="K254:K259" si="77">IF(E254="","",(1/E254)*1000000)</f>
        <v>51.090788330863944</v>
      </c>
      <c r="L254" s="11">
        <f t="shared" ref="L254:L259" si="78">IF(F254="","",(1/F254)*1000000)</f>
        <v>174.97812773403322</v>
      </c>
      <c r="M254" s="11" t="str">
        <f t="shared" ref="M254:M259" si="79">IF(G254="","",(1/G254)*1000000)</f>
        <v/>
      </c>
      <c r="N254" s="11" t="str">
        <f t="shared" ref="N254:N259" si="80">IF(H254="","",(1/H254)*1000000)</f>
        <v/>
      </c>
      <c r="O254" s="29" t="str">
        <f t="shared" ref="O254:O259" si="81">IF(I254="","",(1/I254)*1000000)</f>
        <v/>
      </c>
    </row>
    <row r="255" spans="1:15" x14ac:dyDescent="0.25">
      <c r="A255" s="28" t="s">
        <v>10</v>
      </c>
      <c r="B255" s="9" t="s">
        <v>8</v>
      </c>
      <c r="C255" s="9" t="s">
        <v>11</v>
      </c>
      <c r="D255" s="24">
        <v>18136</v>
      </c>
      <c r="E255" s="24">
        <v>11624</v>
      </c>
      <c r="F255" s="24">
        <v>4964</v>
      </c>
      <c r="G255" s="10"/>
      <c r="H255" s="10"/>
      <c r="I255" s="10"/>
      <c r="J255" s="11" t="e">
        <f>IF(#REF!="","",(1/#REF!)*1000000)</f>
        <v>#REF!</v>
      </c>
      <c r="K255" s="11">
        <f t="shared" si="77"/>
        <v>86.028905712319329</v>
      </c>
      <c r="L255" s="11">
        <f t="shared" si="78"/>
        <v>201.45044319097502</v>
      </c>
      <c r="M255" s="11" t="str">
        <f t="shared" si="79"/>
        <v/>
      </c>
      <c r="N255" s="11" t="str">
        <f t="shared" si="80"/>
        <v/>
      </c>
      <c r="O255" s="29" t="str">
        <f t="shared" si="81"/>
        <v/>
      </c>
    </row>
    <row r="256" spans="1:15" x14ac:dyDescent="0.25">
      <c r="A256" s="30" t="s">
        <v>12</v>
      </c>
      <c r="B256" s="9" t="s">
        <v>13</v>
      </c>
      <c r="C256" s="9" t="s">
        <v>9</v>
      </c>
      <c r="D256" s="24">
        <v>38041</v>
      </c>
      <c r="E256" s="24">
        <v>16057</v>
      </c>
      <c r="F256" s="24">
        <v>5580</v>
      </c>
      <c r="G256" s="10"/>
      <c r="H256" s="10"/>
      <c r="I256" s="10"/>
      <c r="J256" s="11">
        <f t="shared" ref="J256" si="82">IF(D256="","",(1/D256)*1000000)</f>
        <v>26.287426723798006</v>
      </c>
      <c r="K256" s="11">
        <f t="shared" si="77"/>
        <v>62.278134147100957</v>
      </c>
      <c r="L256" s="11">
        <f t="shared" si="78"/>
        <v>179.21146953405017</v>
      </c>
      <c r="M256" s="11" t="str">
        <f t="shared" si="79"/>
        <v/>
      </c>
      <c r="N256" s="11" t="str">
        <f t="shared" si="80"/>
        <v/>
      </c>
      <c r="O256" s="29" t="str">
        <f t="shared" si="81"/>
        <v/>
      </c>
    </row>
    <row r="257" spans="1:15" x14ac:dyDescent="0.25">
      <c r="A257" s="30" t="s">
        <v>14</v>
      </c>
      <c r="B257" s="9" t="s">
        <v>13</v>
      </c>
      <c r="C257" s="9" t="s">
        <v>11</v>
      </c>
      <c r="D257" s="24">
        <v>17596</v>
      </c>
      <c r="E257" s="24">
        <v>11688</v>
      </c>
      <c r="F257" s="24">
        <v>4862</v>
      </c>
      <c r="G257" s="10"/>
      <c r="H257" s="10"/>
      <c r="I257" s="10"/>
      <c r="J257" s="11">
        <f>IF(D258="","",(1/D258)*1000000)</f>
        <v>68.756875687568751</v>
      </c>
      <c r="K257" s="11">
        <f t="shared" si="77"/>
        <v>85.557837097878163</v>
      </c>
      <c r="L257" s="11">
        <f t="shared" si="78"/>
        <v>205.67667626491158</v>
      </c>
      <c r="M257" s="11" t="str">
        <f t="shared" si="79"/>
        <v/>
      </c>
      <c r="N257" s="11" t="str">
        <f t="shared" si="80"/>
        <v/>
      </c>
      <c r="O257" s="29" t="str">
        <f t="shared" si="81"/>
        <v/>
      </c>
    </row>
    <row r="258" spans="1:15" x14ac:dyDescent="0.25">
      <c r="A258" s="30" t="s">
        <v>15</v>
      </c>
      <c r="B258" s="9" t="s">
        <v>16</v>
      </c>
      <c r="C258" s="9" t="s">
        <v>11</v>
      </c>
      <c r="D258" s="24">
        <v>14544</v>
      </c>
      <c r="E258" s="24">
        <v>9612</v>
      </c>
      <c r="F258" s="24">
        <v>4813</v>
      </c>
      <c r="G258" s="10"/>
      <c r="H258" s="10"/>
      <c r="I258" s="10"/>
      <c r="J258" s="11" t="e">
        <f>IF(#REF!="","",(1/#REF!)*1000000)</f>
        <v>#REF!</v>
      </c>
      <c r="K258" s="11">
        <f t="shared" si="77"/>
        <v>104.03662089055348</v>
      </c>
      <c r="L258" s="11">
        <f t="shared" si="78"/>
        <v>207.77062123415749</v>
      </c>
      <c r="M258" s="11" t="str">
        <f t="shared" si="79"/>
        <v/>
      </c>
      <c r="N258" s="11" t="str">
        <f t="shared" si="80"/>
        <v/>
      </c>
      <c r="O258" s="29" t="str">
        <f t="shared" si="81"/>
        <v/>
      </c>
    </row>
    <row r="259" spans="1:15" x14ac:dyDescent="0.25">
      <c r="A259" s="30" t="s">
        <v>17</v>
      </c>
      <c r="B259" s="8" t="s">
        <v>18</v>
      </c>
      <c r="C259" s="9" t="s">
        <v>11</v>
      </c>
      <c r="D259" s="24">
        <v>12807</v>
      </c>
      <c r="E259" s="24">
        <v>9759</v>
      </c>
      <c r="F259" s="24">
        <v>4437</v>
      </c>
      <c r="G259" s="10"/>
      <c r="H259" s="10"/>
      <c r="I259" s="10"/>
      <c r="J259" s="11">
        <f t="shared" ref="J259" si="83">IF(D259="","",(1/D259)*1000000)</f>
        <v>78.082298742874997</v>
      </c>
      <c r="K259" s="11">
        <f t="shared" si="77"/>
        <v>102.46951531919254</v>
      </c>
      <c r="L259" s="11">
        <f t="shared" si="78"/>
        <v>225.377507324769</v>
      </c>
      <c r="M259" s="11" t="str">
        <f t="shared" si="79"/>
        <v/>
      </c>
      <c r="N259" s="11" t="str">
        <f t="shared" si="80"/>
        <v/>
      </c>
      <c r="O259" s="29" t="str">
        <f t="shared" si="81"/>
        <v/>
      </c>
    </row>
    <row r="260" spans="1:15" x14ac:dyDescent="0.25">
      <c r="A260" s="131" t="s">
        <v>128</v>
      </c>
      <c r="B260" s="102"/>
      <c r="C260" s="102"/>
      <c r="D260" s="102"/>
      <c r="E260" s="132"/>
      <c r="F260" s="132"/>
      <c r="G260" s="132"/>
      <c r="H260" s="132"/>
      <c r="I260" s="132"/>
      <c r="J260" s="19"/>
      <c r="K260" s="19"/>
      <c r="L260" s="19"/>
      <c r="M260" s="19"/>
      <c r="N260" s="19"/>
      <c r="O260" s="31"/>
    </row>
    <row r="261" spans="1:15" ht="18.75" x14ac:dyDescent="0.3">
      <c r="A261" s="124" t="s">
        <v>95</v>
      </c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125"/>
    </row>
    <row r="262" spans="1:15" x14ac:dyDescent="0.25">
      <c r="A262" s="122" t="s">
        <v>1</v>
      </c>
      <c r="B262" s="88"/>
      <c r="C262" s="89"/>
      <c r="D262" s="105" t="s">
        <v>19</v>
      </c>
      <c r="E262" s="106"/>
      <c r="F262" s="106"/>
      <c r="G262" s="106"/>
      <c r="H262" s="106"/>
      <c r="I262" s="107"/>
      <c r="J262" s="105" t="s">
        <v>22</v>
      </c>
      <c r="K262" s="106"/>
      <c r="L262" s="106"/>
      <c r="M262" s="106"/>
      <c r="N262" s="106"/>
      <c r="O262" s="123"/>
    </row>
    <row r="263" spans="1:15" x14ac:dyDescent="0.25">
      <c r="A263" s="26" t="s">
        <v>4</v>
      </c>
      <c r="B263" s="6" t="s">
        <v>5</v>
      </c>
      <c r="C263" s="6" t="s">
        <v>6</v>
      </c>
      <c r="D263" s="7">
        <v>1</v>
      </c>
      <c r="E263" s="7">
        <v>4</v>
      </c>
      <c r="F263" s="7">
        <v>16</v>
      </c>
      <c r="G263" s="7">
        <v>32</v>
      </c>
      <c r="H263" s="7">
        <v>64</v>
      </c>
      <c r="I263" s="7">
        <v>80</v>
      </c>
      <c r="J263" s="7">
        <v>1</v>
      </c>
      <c r="K263" s="7">
        <v>4</v>
      </c>
      <c r="L263" s="7">
        <v>16</v>
      </c>
      <c r="M263" s="7">
        <v>32</v>
      </c>
      <c r="N263" s="7">
        <v>64</v>
      </c>
      <c r="O263" s="27">
        <v>80</v>
      </c>
    </row>
    <row r="264" spans="1:15" x14ac:dyDescent="0.25">
      <c r="A264" s="28" t="s">
        <v>7</v>
      </c>
      <c r="B264" s="9" t="s">
        <v>8</v>
      </c>
      <c r="C264" s="9" t="s">
        <v>9</v>
      </c>
      <c r="D264" s="12">
        <f>IF(D254="","",(D254-'2016'!D5)/'2016'!D5)</f>
        <v>-4.6057035747757394E-2</v>
      </c>
      <c r="E264" s="12">
        <f>IF(E254="","",(E254-'2016'!E5)/'2016'!E5)</f>
        <v>-2.5928137752562953E-2</v>
      </c>
      <c r="F264" s="12">
        <f>IF(F254="","",(F254-'2016'!F5)/'2016'!F5)</f>
        <v>-2.1906554851959609E-2</v>
      </c>
      <c r="G264" s="12" t="str">
        <f>IF(G254="","",(G254-#REF!)/#REF!)</f>
        <v/>
      </c>
      <c r="H264" s="12" t="str">
        <f>IF(H254="","",(H254-#REF!)/#REF!)</f>
        <v/>
      </c>
      <c r="I264" s="12" t="str">
        <f>IF(I254="","",(I254-#REF!)/#REF!)</f>
        <v/>
      </c>
      <c r="J264" s="11">
        <f>J254-'2015'!J284</f>
        <v>55.138950154389057</v>
      </c>
      <c r="K264" s="11">
        <f>K254-'2015'!K284</f>
        <v>51.090788330863944</v>
      </c>
      <c r="L264" s="11">
        <f>L254-'2015'!L284</f>
        <v>174.97812773403322</v>
      </c>
      <c r="M264" s="11" t="str">
        <f>IF(G264="","",M254-((1/Comparisons!#REF!)*1000000))</f>
        <v/>
      </c>
      <c r="N264" s="11" t="str">
        <f>IF(H264="","",N254-((1/Comparisons!#REF!)*1000000))</f>
        <v/>
      </c>
      <c r="O264" s="29" t="str">
        <f>IF(I264="","",O254-((1/Comparisons!#REF!)*1000000))</f>
        <v/>
      </c>
    </row>
    <row r="265" spans="1:15" x14ac:dyDescent="0.25">
      <c r="A265" s="28" t="s">
        <v>10</v>
      </c>
      <c r="B265" s="9" t="s">
        <v>8</v>
      </c>
      <c r="C265" s="9" t="s">
        <v>11</v>
      </c>
      <c r="D265" s="12">
        <f>IF(D255="","",(D255-'2016'!D6)/'2016'!D6)</f>
        <v>0.21603862142952932</v>
      </c>
      <c r="E265" s="12">
        <f>IF(E255="","",(E255-'2016'!E6)/'2016'!E6)</f>
        <v>7.3116691285081234E-2</v>
      </c>
      <c r="F265" s="12">
        <f>IF(F255="","",(F255-'2016'!F6)/'2016'!F6)</f>
        <v>3.9145907473309607E-2</v>
      </c>
      <c r="G265" s="12" t="str">
        <f>IF(G255="","",(G255-#REF!)/#REF!)</f>
        <v/>
      </c>
      <c r="H265" s="12" t="str">
        <f>IF(H255="","",(H255-#REF!)/#REF!)</f>
        <v/>
      </c>
      <c r="I265" s="12" t="str">
        <f>IF(I255="","",(I255-#REF!)/#REF!)</f>
        <v/>
      </c>
      <c r="J265" s="11" t="e">
        <f>J255-'2015'!J285</f>
        <v>#REF!</v>
      </c>
      <c r="K265" s="11">
        <f>K255-'2015'!K285</f>
        <v>86.028905712319329</v>
      </c>
      <c r="L265" s="11">
        <f>L255-'2015'!L285</f>
        <v>201.45044319097502</v>
      </c>
      <c r="M265" s="11" t="str">
        <f>IF(G265="","",M255-((1/Comparisons!#REF!)*1000000))</f>
        <v/>
      </c>
      <c r="N265" s="11" t="str">
        <f>IF(H265="","",N255-((1/Comparisons!#REF!)*1000000))</f>
        <v/>
      </c>
      <c r="O265" s="29" t="str">
        <f>IF(I265="","",O255-((1/Comparisons!#REF!)*1000000))</f>
        <v/>
      </c>
    </row>
    <row r="266" spans="1:15" x14ac:dyDescent="0.25">
      <c r="A266" s="30" t="s">
        <v>12</v>
      </c>
      <c r="B266" s="9" t="s">
        <v>13</v>
      </c>
      <c r="C266" s="9" t="s">
        <v>9</v>
      </c>
      <c r="D266" s="12">
        <f>IF(D256="","",(D256-'2016'!D7)/'2016'!D7)</f>
        <v>-0.12414523518983261</v>
      </c>
      <c r="E266" s="12">
        <f>IF(E256="","",(E256-'2016'!E7)/'2016'!E7)</f>
        <v>-0.12472063232488416</v>
      </c>
      <c r="F266" s="12">
        <f>IF(F256="","",(F256-'2016'!F7)/'2016'!F7)</f>
        <v>-1.0111761575306013E-2</v>
      </c>
      <c r="G266" s="12" t="str">
        <f>IF(G256="","",(G256-#REF!)/#REF!)</f>
        <v/>
      </c>
      <c r="H266" s="12" t="str">
        <f>IF(H256="","",(H256-#REF!)/#REF!)</f>
        <v/>
      </c>
      <c r="I266" s="12" t="str">
        <f>IF(I256="","",(I256-#REF!)/#REF!)</f>
        <v/>
      </c>
      <c r="J266" s="11">
        <f>J256-'2015'!J286</f>
        <v>26.287426723798006</v>
      </c>
      <c r="K266" s="11">
        <f>K256-'2015'!K286</f>
        <v>62.278134147100957</v>
      </c>
      <c r="L266" s="11">
        <f>L256-'2015'!L286</f>
        <v>179.21146953405017</v>
      </c>
      <c r="M266" s="11" t="str">
        <f>IF(G266="","",M256-((1/Comparisons!#REF!)*1000000))</f>
        <v/>
      </c>
      <c r="N266" s="11" t="str">
        <f>IF(H266="","",N256-((1/Comparisons!#REF!)*1000000))</f>
        <v/>
      </c>
      <c r="O266" s="29" t="str">
        <f>IF(I266="","",O256-((1/Comparisons!#REF!)*1000000))</f>
        <v/>
      </c>
    </row>
    <row r="267" spans="1:15" x14ac:dyDescent="0.25">
      <c r="A267" s="30" t="s">
        <v>14</v>
      </c>
      <c r="B267" s="9" t="s">
        <v>13</v>
      </c>
      <c r="C267" s="9" t="s">
        <v>11</v>
      </c>
      <c r="D267" s="12">
        <f>IF(D257="","",(D257-'2016'!D8)/'2016'!D8)</f>
        <v>0.21957305239811478</v>
      </c>
      <c r="E267" s="12">
        <f>IF(E257="","",(E257-'2016'!E8)/'2016'!E8)</f>
        <v>0.14207543482509283</v>
      </c>
      <c r="F267" s="12">
        <f>IF(F257="","",(F257-'2016'!F8)/'2016'!F8)</f>
        <v>6.2964582422387408E-2</v>
      </c>
      <c r="G267" s="12" t="str">
        <f>IF(G257="","",(G257-#REF!)/#REF!)</f>
        <v/>
      </c>
      <c r="H267" s="12" t="str">
        <f>IF(H257="","",(H257-#REF!)/#REF!)</f>
        <v/>
      </c>
      <c r="I267" s="12" t="str">
        <f>IF(I257="","",(I257-#REF!)/#REF!)</f>
        <v/>
      </c>
      <c r="J267" s="11">
        <f>J257-'2015'!J287</f>
        <v>68.756875687568751</v>
      </c>
      <c r="K267" s="11">
        <f>K257-'2015'!K287</f>
        <v>85.557837097878163</v>
      </c>
      <c r="L267" s="11">
        <f>L257-'2015'!L287</f>
        <v>205.67667626491158</v>
      </c>
      <c r="M267" s="11" t="str">
        <f>IF(G267="","",M257-((1/Comparisons!#REF!)*1000000))</f>
        <v/>
      </c>
      <c r="N267" s="11" t="str">
        <f>IF(H267="","",N257-((1/Comparisons!#REF!)*1000000))</f>
        <v/>
      </c>
      <c r="O267" s="29" t="str">
        <f>IF(I267="","",O257-((1/Comparisons!#REF!)*1000000))</f>
        <v/>
      </c>
    </row>
    <row r="268" spans="1:15" x14ac:dyDescent="0.25">
      <c r="A268" s="30" t="s">
        <v>15</v>
      </c>
      <c r="B268" s="9" t="s">
        <v>16</v>
      </c>
      <c r="C268" s="9" t="s">
        <v>11</v>
      </c>
      <c r="D268" s="12">
        <f>IF(D258="","",(D258-'2016'!D9)/'2016'!D9)</f>
        <v>7.8371765403722107E-2</v>
      </c>
      <c r="E268" s="12">
        <f>IF(E258="","",(E258-'2016'!E9)/'2016'!E9)</f>
        <v>-4.8411048411048409E-2</v>
      </c>
      <c r="F268" s="12">
        <f>IF(F258="","",(F258-'2016'!F9)/'2016'!F9)</f>
        <v>4.2903575297941497E-2</v>
      </c>
      <c r="G268" s="12" t="str">
        <f>IF(G258="","",(G258-#REF!)/#REF!)</f>
        <v/>
      </c>
      <c r="H268" s="12" t="str">
        <f>IF(H258="","",(H258-#REF!)/#REF!)</f>
        <v/>
      </c>
      <c r="I268" s="12" t="str">
        <f>IF(I258="","",(I258-#REF!)/#REF!)</f>
        <v/>
      </c>
      <c r="J268" s="11" t="e">
        <f>J258-'2015'!J288</f>
        <v>#REF!</v>
      </c>
      <c r="K268" s="11">
        <f>K258-'2015'!K288</f>
        <v>104.03662089055348</v>
      </c>
      <c r="L268" s="11">
        <f>L258-'2015'!L288</f>
        <v>207.77062123415749</v>
      </c>
      <c r="M268" s="11" t="str">
        <f>IF(G268="","",M258-((1/Comparisons!#REF!)*1000000))</f>
        <v/>
      </c>
      <c r="N268" s="11" t="str">
        <f>IF(H268="","",N258-((1/Comparisons!#REF!)*1000000))</f>
        <v/>
      </c>
      <c r="O268" s="29" t="str">
        <f>IF(I268="","",O258-((1/Comparisons!#REF!)*1000000))</f>
        <v/>
      </c>
    </row>
    <row r="269" spans="1:15" ht="15.75" thickBot="1" x14ac:dyDescent="0.3">
      <c r="A269" s="32" t="s">
        <v>17</v>
      </c>
      <c r="B269" s="33" t="s">
        <v>18</v>
      </c>
      <c r="C269" s="34" t="s">
        <v>11</v>
      </c>
      <c r="D269" s="12">
        <f>IF(D259="","",(D259-'2016'!D10)/'2016'!D10)</f>
        <v>3.5997411422099987E-2</v>
      </c>
      <c r="E269" s="12">
        <f>IF(E259="","",(E259-'2016'!E10)/'2016'!E10)</f>
        <v>-2.9051835638244951E-2</v>
      </c>
      <c r="F269" s="12">
        <f>IF(F259="","",(F259-'2016'!F10)/'2016'!F10)</f>
        <v>-4.3956043956043959E-2</v>
      </c>
      <c r="G269" s="35" t="str">
        <f>IF(G259="","",(G259-#REF!)/#REF!)</f>
        <v/>
      </c>
      <c r="H269" s="35" t="str">
        <f>IF(H259="","",(H259-#REF!)/#REF!)</f>
        <v/>
      </c>
      <c r="I269" s="35" t="str">
        <f>IF(I259="","",(I259-#REF!)/#REF!)</f>
        <v/>
      </c>
      <c r="J269" s="36">
        <f>J259-'2015'!J289</f>
        <v>78.082298742874997</v>
      </c>
      <c r="K269" s="36">
        <f>K259-'2015'!K289</f>
        <v>102.46951531919254</v>
      </c>
      <c r="L269" s="36">
        <f>L259-'2015'!L289</f>
        <v>225.377507324769</v>
      </c>
      <c r="M269" s="36" t="str">
        <f>IF(G269="","",M259-((1/Comparisons!#REF!)*1000000))</f>
        <v/>
      </c>
      <c r="N269" s="36" t="str">
        <f>IF(H269="","",N259-((1/Comparisons!#REF!)*1000000))</f>
        <v/>
      </c>
      <c r="O269" s="37" t="str">
        <f>IF(I269="","",O259-((1/Comparisons!#REF!)*1000000))</f>
        <v/>
      </c>
    </row>
    <row r="270" spans="1:15" ht="18.75" x14ac:dyDescent="0.25">
      <c r="A270" s="126" t="s">
        <v>93</v>
      </c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8"/>
    </row>
    <row r="271" spans="1:15" ht="15.75" x14ac:dyDescent="0.25">
      <c r="A271" s="129" t="s">
        <v>129</v>
      </c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130"/>
    </row>
    <row r="272" spans="1:15" x14ac:dyDescent="0.25">
      <c r="A272" s="122" t="s">
        <v>1</v>
      </c>
      <c r="B272" s="88"/>
      <c r="C272" s="89"/>
      <c r="D272" s="105" t="s">
        <v>2</v>
      </c>
      <c r="E272" s="106"/>
      <c r="F272" s="106"/>
      <c r="G272" s="106"/>
      <c r="H272" s="106"/>
      <c r="I272" s="107"/>
      <c r="J272" s="105" t="s">
        <v>3</v>
      </c>
      <c r="K272" s="106"/>
      <c r="L272" s="106"/>
      <c r="M272" s="106"/>
      <c r="N272" s="106"/>
      <c r="O272" s="123"/>
    </row>
    <row r="273" spans="1:15" x14ac:dyDescent="0.25">
      <c r="A273" s="26" t="s">
        <v>26</v>
      </c>
      <c r="B273" s="6" t="s">
        <v>5</v>
      </c>
      <c r="C273" s="6" t="s">
        <v>6</v>
      </c>
      <c r="D273" s="7">
        <v>1</v>
      </c>
      <c r="E273" s="7">
        <v>4</v>
      </c>
      <c r="F273" s="7">
        <v>16</v>
      </c>
      <c r="G273" s="7">
        <v>32</v>
      </c>
      <c r="H273" s="7">
        <v>64</v>
      </c>
      <c r="I273" s="7">
        <v>80</v>
      </c>
      <c r="J273" s="7">
        <v>1</v>
      </c>
      <c r="K273" s="7">
        <v>4</v>
      </c>
      <c r="L273" s="7">
        <v>16</v>
      </c>
      <c r="M273" s="7">
        <v>32</v>
      </c>
      <c r="N273" s="7">
        <v>64</v>
      </c>
      <c r="O273" s="27">
        <v>80</v>
      </c>
    </row>
    <row r="274" spans="1:15" x14ac:dyDescent="0.25">
      <c r="A274" s="28" t="s">
        <v>7</v>
      </c>
      <c r="B274" s="9" t="s">
        <v>8</v>
      </c>
      <c r="C274" s="9" t="s">
        <v>9</v>
      </c>
      <c r="D274" s="24">
        <v>41206</v>
      </c>
      <c r="E274" s="24">
        <v>19634</v>
      </c>
      <c r="F274" s="24">
        <v>5843</v>
      </c>
      <c r="G274" s="10"/>
      <c r="H274" s="10"/>
      <c r="I274" s="10"/>
      <c r="J274" s="11">
        <f>IF(D275="","",(1/D275)*1000000)</f>
        <v>60.208320789933168</v>
      </c>
      <c r="K274" s="11">
        <f t="shared" ref="K274:K279" si="84">IF(E274="","",(1/E274)*1000000)</f>
        <v>50.93205663644698</v>
      </c>
      <c r="L274" s="11">
        <f t="shared" ref="L274:L279" si="85">IF(F274="","",(1/F274)*1000000)</f>
        <v>171.14495978093444</v>
      </c>
      <c r="M274" s="11" t="str">
        <f t="shared" ref="M274:M279" si="86">IF(G274="","",(1/G274)*1000000)</f>
        <v/>
      </c>
      <c r="N274" s="11" t="str">
        <f t="shared" ref="N274:N279" si="87">IF(H274="","",(1/H274)*1000000)</f>
        <v/>
      </c>
      <c r="O274" s="29" t="str">
        <f t="shared" ref="O274:O279" si="88">IF(I274="","",(1/I274)*1000000)</f>
        <v/>
      </c>
    </row>
    <row r="275" spans="1:15" x14ac:dyDescent="0.25">
      <c r="A275" s="28" t="s">
        <v>10</v>
      </c>
      <c r="B275" s="9" t="s">
        <v>8</v>
      </c>
      <c r="C275" s="9" t="s">
        <v>11</v>
      </c>
      <c r="D275" s="24">
        <v>16609</v>
      </c>
      <c r="E275" s="24">
        <v>11534</v>
      </c>
      <c r="F275" s="24">
        <v>5042</v>
      </c>
      <c r="G275" s="10"/>
      <c r="H275" s="10"/>
      <c r="I275" s="10"/>
      <c r="J275" s="11" t="e">
        <f>IF(#REF!="","",(1/#REF!)*1000000)</f>
        <v>#REF!</v>
      </c>
      <c r="K275" s="11">
        <f t="shared" si="84"/>
        <v>86.700190740419629</v>
      </c>
      <c r="L275" s="11">
        <f t="shared" si="85"/>
        <v>198.33399444664815</v>
      </c>
      <c r="M275" s="11" t="str">
        <f t="shared" si="86"/>
        <v/>
      </c>
      <c r="N275" s="11" t="str">
        <f t="shared" si="87"/>
        <v/>
      </c>
      <c r="O275" s="29" t="str">
        <f t="shared" si="88"/>
        <v/>
      </c>
    </row>
    <row r="276" spans="1:15" x14ac:dyDescent="0.25">
      <c r="A276" s="30" t="s">
        <v>12</v>
      </c>
      <c r="B276" s="9" t="s">
        <v>13</v>
      </c>
      <c r="C276" s="9" t="s">
        <v>9</v>
      </c>
      <c r="D276" s="24">
        <v>39956</v>
      </c>
      <c r="E276" s="24">
        <v>18059</v>
      </c>
      <c r="F276" s="24">
        <v>5608</v>
      </c>
      <c r="G276" s="10"/>
      <c r="H276" s="10"/>
      <c r="I276" s="10"/>
      <c r="J276" s="11">
        <f t="shared" ref="J276" si="89">IF(D276="","",(1/D276)*1000000)</f>
        <v>25.027530283311641</v>
      </c>
      <c r="K276" s="11">
        <f t="shared" si="84"/>
        <v>55.37405171936431</v>
      </c>
      <c r="L276" s="11">
        <f t="shared" si="85"/>
        <v>178.31669044222539</v>
      </c>
      <c r="M276" s="11" t="str">
        <f t="shared" si="86"/>
        <v/>
      </c>
      <c r="N276" s="11" t="str">
        <f t="shared" si="87"/>
        <v/>
      </c>
      <c r="O276" s="29" t="str">
        <f t="shared" si="88"/>
        <v/>
      </c>
    </row>
    <row r="277" spans="1:15" x14ac:dyDescent="0.25">
      <c r="A277" s="30" t="s">
        <v>14</v>
      </c>
      <c r="B277" s="9" t="s">
        <v>13</v>
      </c>
      <c r="C277" s="9" t="s">
        <v>11</v>
      </c>
      <c r="D277" s="24">
        <v>16609</v>
      </c>
      <c r="E277" s="24">
        <v>11629</v>
      </c>
      <c r="F277" s="24">
        <v>4823</v>
      </c>
      <c r="G277" s="10"/>
      <c r="H277" s="10"/>
      <c r="I277" s="10"/>
      <c r="J277" s="11">
        <f>IF(D278="","",(1/D278)*1000000)</f>
        <v>68.709633090559308</v>
      </c>
      <c r="K277" s="11">
        <f t="shared" si="84"/>
        <v>85.991916759824576</v>
      </c>
      <c r="L277" s="11">
        <f t="shared" si="85"/>
        <v>207.33982998133942</v>
      </c>
      <c r="M277" s="11" t="str">
        <f t="shared" si="86"/>
        <v/>
      </c>
      <c r="N277" s="11" t="str">
        <f t="shared" si="87"/>
        <v/>
      </c>
      <c r="O277" s="29" t="str">
        <f t="shared" si="88"/>
        <v/>
      </c>
    </row>
    <row r="278" spans="1:15" x14ac:dyDescent="0.25">
      <c r="A278" s="30" t="s">
        <v>15</v>
      </c>
      <c r="B278" s="9" t="s">
        <v>16</v>
      </c>
      <c r="C278" s="9" t="s">
        <v>11</v>
      </c>
      <c r="D278" s="24">
        <v>14554</v>
      </c>
      <c r="E278" s="24">
        <v>10540</v>
      </c>
      <c r="F278" s="24">
        <v>4441</v>
      </c>
      <c r="G278" s="10"/>
      <c r="H278" s="10"/>
      <c r="I278" s="10"/>
      <c r="J278" s="11" t="e">
        <f>IF(#REF!="","",(1/#REF!)*1000000)</f>
        <v>#REF!</v>
      </c>
      <c r="K278" s="11">
        <f t="shared" si="84"/>
        <v>94.876660341555976</v>
      </c>
      <c r="L278" s="11">
        <f t="shared" si="85"/>
        <v>225.17451024544022</v>
      </c>
      <c r="M278" s="11" t="str">
        <f t="shared" si="86"/>
        <v/>
      </c>
      <c r="N278" s="11" t="str">
        <f t="shared" si="87"/>
        <v/>
      </c>
      <c r="O278" s="29" t="str">
        <f t="shared" si="88"/>
        <v/>
      </c>
    </row>
    <row r="279" spans="1:15" x14ac:dyDescent="0.25">
      <c r="A279" s="30" t="s">
        <v>17</v>
      </c>
      <c r="B279" s="8" t="s">
        <v>18</v>
      </c>
      <c r="C279" s="9" t="s">
        <v>11</v>
      </c>
      <c r="D279" s="24">
        <v>11553</v>
      </c>
      <c r="E279" s="24">
        <v>8631</v>
      </c>
      <c r="F279" s="24">
        <v>4322</v>
      </c>
      <c r="G279" s="10"/>
      <c r="H279" s="10"/>
      <c r="I279" s="10"/>
      <c r="J279" s="11">
        <f t="shared" ref="J279" si="90">IF(D279="","",(1/D279)*1000000)</f>
        <v>86.557604085518918</v>
      </c>
      <c r="K279" s="11">
        <f t="shared" si="84"/>
        <v>115.86142973004287</v>
      </c>
      <c r="L279" s="11">
        <f t="shared" si="85"/>
        <v>231.37436372049979</v>
      </c>
      <c r="M279" s="11" t="str">
        <f t="shared" si="86"/>
        <v/>
      </c>
      <c r="N279" s="11" t="str">
        <f t="shared" si="87"/>
        <v/>
      </c>
      <c r="O279" s="29" t="str">
        <f t="shared" si="88"/>
        <v/>
      </c>
    </row>
    <row r="280" spans="1:15" x14ac:dyDescent="0.25">
      <c r="A280" s="131" t="s">
        <v>130</v>
      </c>
      <c r="B280" s="102"/>
      <c r="C280" s="102"/>
      <c r="D280" s="102"/>
      <c r="E280" s="132"/>
      <c r="F280" s="132"/>
      <c r="G280" s="132"/>
      <c r="H280" s="132"/>
      <c r="I280" s="132"/>
      <c r="J280" s="19"/>
      <c r="K280" s="19"/>
      <c r="L280" s="19"/>
      <c r="M280" s="19"/>
      <c r="N280" s="19"/>
      <c r="O280" s="31"/>
    </row>
    <row r="281" spans="1:15" ht="18.75" x14ac:dyDescent="0.3">
      <c r="A281" s="124" t="s">
        <v>95</v>
      </c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125"/>
    </row>
    <row r="282" spans="1:15" x14ac:dyDescent="0.25">
      <c r="A282" s="122" t="s">
        <v>1</v>
      </c>
      <c r="B282" s="88"/>
      <c r="C282" s="89"/>
      <c r="D282" s="105" t="s">
        <v>19</v>
      </c>
      <c r="E282" s="106"/>
      <c r="F282" s="106"/>
      <c r="G282" s="106"/>
      <c r="H282" s="106"/>
      <c r="I282" s="107"/>
      <c r="J282" s="105" t="s">
        <v>22</v>
      </c>
      <c r="K282" s="106"/>
      <c r="L282" s="106"/>
      <c r="M282" s="106"/>
      <c r="N282" s="106"/>
      <c r="O282" s="123"/>
    </row>
    <row r="283" spans="1:15" x14ac:dyDescent="0.25">
      <c r="A283" s="26" t="s">
        <v>4</v>
      </c>
      <c r="B283" s="6" t="s">
        <v>5</v>
      </c>
      <c r="C283" s="6" t="s">
        <v>6</v>
      </c>
      <c r="D283" s="7">
        <v>1</v>
      </c>
      <c r="E283" s="7">
        <v>4</v>
      </c>
      <c r="F283" s="7">
        <v>16</v>
      </c>
      <c r="G283" s="7">
        <v>32</v>
      </c>
      <c r="H283" s="7">
        <v>64</v>
      </c>
      <c r="I283" s="7">
        <v>80</v>
      </c>
      <c r="J283" s="7">
        <v>1</v>
      </c>
      <c r="K283" s="7">
        <v>4</v>
      </c>
      <c r="L283" s="7">
        <v>16</v>
      </c>
      <c r="M283" s="7">
        <v>32</v>
      </c>
      <c r="N283" s="7">
        <v>64</v>
      </c>
      <c r="O283" s="27">
        <v>80</v>
      </c>
    </row>
    <row r="284" spans="1:15" x14ac:dyDescent="0.25">
      <c r="A284" s="28" t="s">
        <v>7</v>
      </c>
      <c r="B284" s="9" t="s">
        <v>8</v>
      </c>
      <c r="C284" s="9" t="s">
        <v>9</v>
      </c>
      <c r="D284" s="12">
        <f>IF(D274="","",(D274-'2016'!D5)/'2016'!D5)</f>
        <v>-8.0510554737358866E-2</v>
      </c>
      <c r="E284" s="12">
        <f>IF(E274="","",(E274-'2016'!E5)/'2016'!E5)</f>
        <v>-2.2892405693241764E-2</v>
      </c>
      <c r="F284" s="12">
        <f>IF(F274="","",(F274-'2016'!F5)/'2016'!F5)</f>
        <v>0</v>
      </c>
      <c r="G284" s="12" t="str">
        <f>IF(G274="","",(G274-#REF!)/#REF!)</f>
        <v/>
      </c>
      <c r="H284" s="12" t="str">
        <f>IF(H274="","",(H274-#REF!)/#REF!)</f>
        <v/>
      </c>
      <c r="I284" s="12" t="str">
        <f>IF(I274="","",(I274-#REF!)/#REF!)</f>
        <v/>
      </c>
      <c r="J284" s="11">
        <f>J274-'2015'!J304</f>
        <v>60.208320789933168</v>
      </c>
      <c r="K284" s="11">
        <f>K274-'2015'!K304</f>
        <v>50.93205663644698</v>
      </c>
      <c r="L284" s="11">
        <f>L274-'2015'!L304</f>
        <v>171.14495978093444</v>
      </c>
      <c r="M284" s="11" t="str">
        <f>IF(G284="","",M274-((1/Comparisons!#REF!)*1000000))</f>
        <v/>
      </c>
      <c r="N284" s="11" t="str">
        <f>IF(H284="","",N274-((1/Comparisons!#REF!)*1000000))</f>
        <v/>
      </c>
      <c r="O284" s="29" t="str">
        <f>IF(I284="","",O274-((1/Comparisons!#REF!)*1000000))</f>
        <v/>
      </c>
    </row>
    <row r="285" spans="1:15" x14ac:dyDescent="0.25">
      <c r="A285" s="28" t="s">
        <v>10</v>
      </c>
      <c r="B285" s="9" t="s">
        <v>8</v>
      </c>
      <c r="C285" s="9" t="s">
        <v>11</v>
      </c>
      <c r="D285" s="12">
        <f>IF(D275="","",(D275-'2016'!D6)/'2016'!D6)</f>
        <v>0.1136516025211211</v>
      </c>
      <c r="E285" s="12">
        <f>IF(E275="","",(E275-'2016'!E6)/'2016'!E6)</f>
        <v>6.4807976366322004E-2</v>
      </c>
      <c r="F285" s="12">
        <f>IF(F275="","",(F275-'2016'!F6)/'2016'!F6)</f>
        <v>5.5474146954155326E-2</v>
      </c>
      <c r="G285" s="12" t="str">
        <f>IF(G275="","",(G275-#REF!)/#REF!)</f>
        <v/>
      </c>
      <c r="H285" s="12" t="str">
        <f>IF(H275="","",(H275-#REF!)/#REF!)</f>
        <v/>
      </c>
      <c r="I285" s="12" t="str">
        <f>IF(I275="","",(I275-#REF!)/#REF!)</f>
        <v/>
      </c>
      <c r="J285" s="11" t="e">
        <f>J275-'2015'!J305</f>
        <v>#REF!</v>
      </c>
      <c r="K285" s="11">
        <f>K275-'2015'!K305</f>
        <v>86.700190740419629</v>
      </c>
      <c r="L285" s="11">
        <f>L275-'2015'!L305</f>
        <v>198.33399444664815</v>
      </c>
      <c r="M285" s="11" t="str">
        <f>IF(G285="","",M275-((1/Comparisons!#REF!)*1000000))</f>
        <v/>
      </c>
      <c r="N285" s="11" t="str">
        <f>IF(H285="","",N275-((1/Comparisons!#REF!)*1000000))</f>
        <v/>
      </c>
      <c r="O285" s="29" t="str">
        <f>IF(I285="","",O275-((1/Comparisons!#REF!)*1000000))</f>
        <v/>
      </c>
    </row>
    <row r="286" spans="1:15" x14ac:dyDescent="0.25">
      <c r="A286" s="30" t="s">
        <v>12</v>
      </c>
      <c r="B286" s="9" t="s">
        <v>13</v>
      </c>
      <c r="C286" s="9" t="s">
        <v>9</v>
      </c>
      <c r="D286" s="12">
        <f>IF(D276="","",(D276-'2016'!D7)/'2016'!D7)</f>
        <v>-8.0054336564363504E-2</v>
      </c>
      <c r="E286" s="12">
        <f>IF(E276="","",(E276-'2016'!E7)/'2016'!E7)</f>
        <v>-1.559007904061052E-2</v>
      </c>
      <c r="F286" s="12">
        <f>IF(F276="","",(F276-'2016'!F7)/'2016'!F7)</f>
        <v>-5.1445804505942877E-3</v>
      </c>
      <c r="G286" s="12" t="str">
        <f>IF(G276="","",(G276-#REF!)/#REF!)</f>
        <v/>
      </c>
      <c r="H286" s="12" t="str">
        <f>IF(H276="","",(H276-#REF!)/#REF!)</f>
        <v/>
      </c>
      <c r="I286" s="12" t="str">
        <f>IF(I276="","",(I276-#REF!)/#REF!)</f>
        <v/>
      </c>
      <c r="J286" s="11">
        <f>J276-'2015'!J306</f>
        <v>25.027530283311641</v>
      </c>
      <c r="K286" s="11">
        <f>K276-'2015'!K306</f>
        <v>55.37405171936431</v>
      </c>
      <c r="L286" s="11">
        <f>L276-'2015'!L306</f>
        <v>178.31669044222539</v>
      </c>
      <c r="M286" s="11" t="str">
        <f>IF(G286="","",M276-((1/Comparisons!#REF!)*1000000))</f>
        <v/>
      </c>
      <c r="N286" s="11" t="str">
        <f>IF(H286="","",N276-((1/Comparisons!#REF!)*1000000))</f>
        <v/>
      </c>
      <c r="O286" s="29" t="str">
        <f>IF(I286="","",O276-((1/Comparisons!#REF!)*1000000))</f>
        <v/>
      </c>
    </row>
    <row r="287" spans="1:15" x14ac:dyDescent="0.25">
      <c r="A287" s="30" t="s">
        <v>14</v>
      </c>
      <c r="B287" s="9" t="s">
        <v>13</v>
      </c>
      <c r="C287" s="9" t="s">
        <v>11</v>
      </c>
      <c r="D287" s="12">
        <f>IF(D277="","",(D277-'2016'!D8)/'2016'!D8)</f>
        <v>0.15116440255059607</v>
      </c>
      <c r="E287" s="12">
        <f>IF(E277="","",(E277-'2016'!E8)/'2016'!E8)</f>
        <v>0.13631033808872386</v>
      </c>
      <c r="F287" s="12">
        <f>IF(F277="","",(F277-'2016'!F8)/'2016'!F8)</f>
        <v>5.4438128552689112E-2</v>
      </c>
      <c r="G287" s="12" t="str">
        <f>IF(G277="","",(G277-#REF!)/#REF!)</f>
        <v/>
      </c>
      <c r="H287" s="12" t="str">
        <f>IF(H277="","",(H277-#REF!)/#REF!)</f>
        <v/>
      </c>
      <c r="I287" s="12" t="str">
        <f>IF(I277="","",(I277-#REF!)/#REF!)</f>
        <v/>
      </c>
      <c r="J287" s="11">
        <f>J277-'2015'!J307</f>
        <v>68.709633090559308</v>
      </c>
      <c r="K287" s="11">
        <f>K277-'2015'!K307</f>
        <v>85.991916759824576</v>
      </c>
      <c r="L287" s="11">
        <f>L277-'2015'!L307</f>
        <v>207.33982998133942</v>
      </c>
      <c r="M287" s="11" t="str">
        <f>IF(G287="","",M277-((1/Comparisons!#REF!)*1000000))</f>
        <v/>
      </c>
      <c r="N287" s="11" t="str">
        <f>IF(H287="","",N277-((1/Comparisons!#REF!)*1000000))</f>
        <v/>
      </c>
      <c r="O287" s="29" t="str">
        <f>IF(I287="","",O277-((1/Comparisons!#REF!)*1000000))</f>
        <v/>
      </c>
    </row>
    <row r="288" spans="1:15" x14ac:dyDescent="0.25">
      <c r="A288" s="30" t="s">
        <v>15</v>
      </c>
      <c r="B288" s="9" t="s">
        <v>16</v>
      </c>
      <c r="C288" s="9" t="s">
        <v>11</v>
      </c>
      <c r="D288" s="12">
        <f>IF(D278="","",(D278-'2016'!D9)/'2016'!D9)</f>
        <v>7.9113220137910584E-2</v>
      </c>
      <c r="E288" s="12">
        <f>IF(E278="","",(E278-'2016'!E9)/'2016'!E9)</f>
        <v>4.3461043461043458E-2</v>
      </c>
      <c r="F288" s="12">
        <f>IF(F278="","",(F278-'2016'!F9)/'2016'!F9)</f>
        <v>-3.7703141928494041E-2</v>
      </c>
      <c r="G288" s="12" t="str">
        <f>IF(G278="","",(G278-#REF!)/#REF!)</f>
        <v/>
      </c>
      <c r="H288" s="12" t="str">
        <f>IF(H278="","",(H278-#REF!)/#REF!)</f>
        <v/>
      </c>
      <c r="I288" s="12" t="str">
        <f>IF(I278="","",(I278-#REF!)/#REF!)</f>
        <v/>
      </c>
      <c r="J288" s="11" t="e">
        <f>J278-'2015'!J308</f>
        <v>#REF!</v>
      </c>
      <c r="K288" s="11">
        <f>K278-'2015'!K308</f>
        <v>94.876660341555976</v>
      </c>
      <c r="L288" s="11">
        <f>L278-'2015'!L308</f>
        <v>225.17451024544022</v>
      </c>
      <c r="M288" s="11" t="str">
        <f>IF(G288="","",M278-((1/Comparisons!#REF!)*1000000))</f>
        <v/>
      </c>
      <c r="N288" s="11" t="str">
        <f>IF(H288="","",N278-((1/Comparisons!#REF!)*1000000))</f>
        <v/>
      </c>
      <c r="O288" s="29" t="str">
        <f>IF(I288="","",O278-((1/Comparisons!#REF!)*1000000))</f>
        <v/>
      </c>
    </row>
    <row r="289" spans="1:15" ht="15.75" thickBot="1" x14ac:dyDescent="0.3">
      <c r="A289" s="32" t="s">
        <v>17</v>
      </c>
      <c r="B289" s="33" t="s">
        <v>18</v>
      </c>
      <c r="C289" s="34" t="s">
        <v>11</v>
      </c>
      <c r="D289" s="12">
        <f>IF(D279="","",(D279-'2016'!D10)/'2016'!D10)</f>
        <v>-6.5442485034784018E-2</v>
      </c>
      <c r="E289" s="12">
        <f>IF(E279="","",(E279-'2016'!E10)/'2016'!E10)</f>
        <v>-0.1412794746791364</v>
      </c>
      <c r="F289" s="12">
        <f>IF(F279="","",(F279-'2016'!F10)/'2016'!F10)</f>
        <v>-6.8735186382245211E-2</v>
      </c>
      <c r="G289" s="35" t="str">
        <f>IF(G279="","",(G279-#REF!)/#REF!)</f>
        <v/>
      </c>
      <c r="H289" s="35" t="str">
        <f>IF(H279="","",(H279-#REF!)/#REF!)</f>
        <v/>
      </c>
      <c r="I289" s="35" t="str">
        <f>IF(I279="","",(I279-#REF!)/#REF!)</f>
        <v/>
      </c>
      <c r="J289" s="36">
        <f>J279-'2015'!J309</f>
        <v>86.557604085518918</v>
      </c>
      <c r="K289" s="36">
        <f>K279-'2015'!K309</f>
        <v>115.86142973004287</v>
      </c>
      <c r="L289" s="36">
        <f>L279-'2015'!L309</f>
        <v>231.37436372049979</v>
      </c>
      <c r="M289" s="36" t="str">
        <f>IF(G289="","",M279-((1/Comparisons!#REF!)*1000000))</f>
        <v/>
      </c>
      <c r="N289" s="36" t="str">
        <f>IF(H289="","",N279-((1/Comparisons!#REF!)*1000000))</f>
        <v/>
      </c>
      <c r="O289" s="37" t="str">
        <f>IF(I289="","",O279-((1/Comparisons!#REF!)*1000000))</f>
        <v/>
      </c>
    </row>
    <row r="290" spans="1:15" ht="18.75" x14ac:dyDescent="0.25">
      <c r="A290" s="126" t="s">
        <v>93</v>
      </c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8"/>
    </row>
    <row r="291" spans="1:15" ht="15.75" x14ac:dyDescent="0.25">
      <c r="A291" s="129" t="s">
        <v>131</v>
      </c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130"/>
    </row>
    <row r="292" spans="1:15" x14ac:dyDescent="0.25">
      <c r="A292" s="122" t="s">
        <v>1</v>
      </c>
      <c r="B292" s="88"/>
      <c r="C292" s="89"/>
      <c r="D292" s="105" t="s">
        <v>2</v>
      </c>
      <c r="E292" s="106"/>
      <c r="F292" s="106"/>
      <c r="G292" s="106"/>
      <c r="H292" s="106"/>
      <c r="I292" s="107"/>
      <c r="J292" s="105" t="s">
        <v>3</v>
      </c>
      <c r="K292" s="106"/>
      <c r="L292" s="106"/>
      <c r="M292" s="106"/>
      <c r="N292" s="106"/>
      <c r="O292" s="123"/>
    </row>
    <row r="293" spans="1:15" x14ac:dyDescent="0.25">
      <c r="A293" s="26" t="s">
        <v>26</v>
      </c>
      <c r="B293" s="6" t="s">
        <v>5</v>
      </c>
      <c r="C293" s="6" t="s">
        <v>6</v>
      </c>
      <c r="D293" s="7">
        <v>1</v>
      </c>
      <c r="E293" s="7">
        <v>4</v>
      </c>
      <c r="F293" s="7">
        <v>16</v>
      </c>
      <c r="G293" s="7">
        <v>32</v>
      </c>
      <c r="H293" s="7">
        <v>64</v>
      </c>
      <c r="I293" s="7">
        <v>80</v>
      </c>
      <c r="J293" s="7">
        <v>1</v>
      </c>
      <c r="K293" s="7">
        <v>4</v>
      </c>
      <c r="L293" s="7">
        <v>16</v>
      </c>
      <c r="M293" s="7">
        <v>32</v>
      </c>
      <c r="N293" s="7">
        <v>64</v>
      </c>
      <c r="O293" s="27">
        <v>80</v>
      </c>
    </row>
    <row r="294" spans="1:15" x14ac:dyDescent="0.25">
      <c r="A294" s="28" t="s">
        <v>7</v>
      </c>
      <c r="B294" s="9" t="s">
        <v>8</v>
      </c>
      <c r="C294" s="9" t="s">
        <v>9</v>
      </c>
      <c r="D294" s="24">
        <v>42818</v>
      </c>
      <c r="E294" s="24">
        <v>19557</v>
      </c>
      <c r="F294" s="24">
        <v>5837</v>
      </c>
      <c r="G294" s="10"/>
      <c r="H294" s="10"/>
      <c r="I294" s="10"/>
      <c r="J294" s="11">
        <f>IF(D295="","",(1/D295)*1000000)</f>
        <v>54.221113701675428</v>
      </c>
      <c r="K294" s="11">
        <f t="shared" ref="K294:K299" si="91">IF(E294="","",(1/E294)*1000000)</f>
        <v>51.132586797566091</v>
      </c>
      <c r="L294" s="11">
        <f t="shared" ref="L294:L299" si="92">IF(F294="","",(1/F294)*1000000)</f>
        <v>171.32088401576152</v>
      </c>
      <c r="M294" s="11" t="str">
        <f t="shared" ref="M294:M299" si="93">IF(G294="","",(1/G294)*1000000)</f>
        <v/>
      </c>
      <c r="N294" s="11" t="str">
        <f t="shared" ref="N294:N299" si="94">IF(H294="","",(1/H294)*1000000)</f>
        <v/>
      </c>
      <c r="O294" s="29" t="str">
        <f t="shared" ref="O294:O299" si="95">IF(I294="","",(1/I294)*1000000)</f>
        <v/>
      </c>
    </row>
    <row r="295" spans="1:15" x14ac:dyDescent="0.25">
      <c r="A295" s="28" t="s">
        <v>10</v>
      </c>
      <c r="B295" s="9" t="s">
        <v>8</v>
      </c>
      <c r="C295" s="9" t="s">
        <v>11</v>
      </c>
      <c r="D295" s="24">
        <v>18443</v>
      </c>
      <c r="E295" s="24">
        <v>12415</v>
      </c>
      <c r="F295" s="24">
        <v>4863</v>
      </c>
      <c r="G295" s="10"/>
      <c r="H295" s="10"/>
      <c r="I295" s="10"/>
      <c r="J295" s="11" t="e">
        <f>IF(#REF!="","",(1/#REF!)*1000000)</f>
        <v>#REF!</v>
      </c>
      <c r="K295" s="11">
        <f t="shared" si="91"/>
        <v>80.547724526782119</v>
      </c>
      <c r="L295" s="11">
        <f t="shared" si="92"/>
        <v>205.63438206868187</v>
      </c>
      <c r="M295" s="11" t="str">
        <f t="shared" si="93"/>
        <v/>
      </c>
      <c r="N295" s="11" t="str">
        <f t="shared" si="94"/>
        <v/>
      </c>
      <c r="O295" s="29" t="str">
        <f t="shared" si="95"/>
        <v/>
      </c>
    </row>
    <row r="296" spans="1:15" x14ac:dyDescent="0.25">
      <c r="A296" s="30" t="s">
        <v>12</v>
      </c>
      <c r="B296" s="9" t="s">
        <v>13</v>
      </c>
      <c r="C296" s="9" t="s">
        <v>9</v>
      </c>
      <c r="D296" s="24">
        <v>38041</v>
      </c>
      <c r="E296" s="24">
        <v>17888</v>
      </c>
      <c r="F296" s="24">
        <v>5599</v>
      </c>
      <c r="G296" s="10"/>
      <c r="H296" s="10"/>
      <c r="I296" s="10"/>
      <c r="J296" s="11">
        <f t="shared" ref="J296" si="96">IF(D296="","",(1/D296)*1000000)</f>
        <v>26.287426723798006</v>
      </c>
      <c r="K296" s="11">
        <f t="shared" si="91"/>
        <v>55.903398926654738</v>
      </c>
      <c r="L296" s="11">
        <f t="shared" si="92"/>
        <v>178.60332202178961</v>
      </c>
      <c r="M296" s="11" t="str">
        <f t="shared" si="93"/>
        <v/>
      </c>
      <c r="N296" s="11" t="str">
        <f t="shared" si="94"/>
        <v/>
      </c>
      <c r="O296" s="29" t="str">
        <f t="shared" si="95"/>
        <v/>
      </c>
    </row>
    <row r="297" spans="1:15" x14ac:dyDescent="0.25">
      <c r="A297" s="30" t="s">
        <v>14</v>
      </c>
      <c r="B297" s="9" t="s">
        <v>13</v>
      </c>
      <c r="C297" s="9" t="s">
        <v>11</v>
      </c>
      <c r="D297" s="24">
        <v>17124</v>
      </c>
      <c r="E297" s="24">
        <v>10607</v>
      </c>
      <c r="F297" s="24">
        <v>4650</v>
      </c>
      <c r="G297" s="10"/>
      <c r="H297" s="10"/>
      <c r="I297" s="10"/>
      <c r="J297" s="11">
        <f>IF(D298="","",(1/D298)*1000000)</f>
        <v>68.709633090559308</v>
      </c>
      <c r="K297" s="11">
        <f t="shared" si="91"/>
        <v>94.277364004902424</v>
      </c>
      <c r="L297" s="11">
        <f t="shared" si="92"/>
        <v>215.05376344086022</v>
      </c>
      <c r="M297" s="11" t="str">
        <f t="shared" si="93"/>
        <v/>
      </c>
      <c r="N297" s="11" t="str">
        <f t="shared" si="94"/>
        <v/>
      </c>
      <c r="O297" s="29" t="str">
        <f t="shared" si="95"/>
        <v/>
      </c>
    </row>
    <row r="298" spans="1:15" x14ac:dyDescent="0.25">
      <c r="A298" s="30" t="s">
        <v>15</v>
      </c>
      <c r="B298" s="9" t="s">
        <v>16</v>
      </c>
      <c r="C298" s="9" t="s">
        <v>11</v>
      </c>
      <c r="D298" s="24">
        <v>14554</v>
      </c>
      <c r="E298" s="24">
        <v>10459</v>
      </c>
      <c r="F298" s="24">
        <v>4459</v>
      </c>
      <c r="G298" s="10"/>
      <c r="H298" s="10"/>
      <c r="I298" s="10"/>
      <c r="J298" s="11" t="e">
        <f>IF(#REF!="","",(1/#REF!)*1000000)</f>
        <v>#REF!</v>
      </c>
      <c r="K298" s="11">
        <f t="shared" si="91"/>
        <v>95.611435127641272</v>
      </c>
      <c r="L298" s="11">
        <f t="shared" si="92"/>
        <v>224.26553038797937</v>
      </c>
      <c r="M298" s="11" t="str">
        <f t="shared" si="93"/>
        <v/>
      </c>
      <c r="N298" s="11" t="str">
        <f t="shared" si="94"/>
        <v/>
      </c>
      <c r="O298" s="29" t="str">
        <f t="shared" si="95"/>
        <v/>
      </c>
    </row>
    <row r="299" spans="1:15" x14ac:dyDescent="0.25">
      <c r="A299" s="30" t="s">
        <v>17</v>
      </c>
      <c r="B299" s="8" t="s">
        <v>18</v>
      </c>
      <c r="C299" s="9" t="s">
        <v>11</v>
      </c>
      <c r="D299" s="24">
        <v>12650</v>
      </c>
      <c r="E299" s="24">
        <v>9017</v>
      </c>
      <c r="F299" s="24">
        <v>4402</v>
      </c>
      <c r="G299" s="10"/>
      <c r="H299" s="10"/>
      <c r="I299" s="10"/>
      <c r="J299" s="11">
        <f t="shared" ref="J299" si="97">IF(D299="","",(1/D299)*1000000)</f>
        <v>79.051383399209485</v>
      </c>
      <c r="K299" s="11">
        <f t="shared" si="91"/>
        <v>110.90163025396473</v>
      </c>
      <c r="L299" s="11">
        <f t="shared" si="92"/>
        <v>227.16946842344387</v>
      </c>
      <c r="M299" s="11" t="str">
        <f t="shared" si="93"/>
        <v/>
      </c>
      <c r="N299" s="11" t="str">
        <f t="shared" si="94"/>
        <v/>
      </c>
      <c r="O299" s="29" t="str">
        <f t="shared" si="95"/>
        <v/>
      </c>
    </row>
    <row r="300" spans="1:15" x14ac:dyDescent="0.25">
      <c r="A300" s="131" t="s">
        <v>132</v>
      </c>
      <c r="B300" s="102"/>
      <c r="C300" s="102"/>
      <c r="D300" s="102"/>
      <c r="E300" s="132"/>
      <c r="F300" s="132"/>
      <c r="G300" s="132"/>
      <c r="H300" s="132"/>
      <c r="I300" s="132"/>
      <c r="J300" s="19"/>
      <c r="K300" s="19"/>
      <c r="L300" s="19"/>
      <c r="M300" s="19"/>
      <c r="N300" s="19"/>
      <c r="O300" s="31"/>
    </row>
    <row r="301" spans="1:15" ht="18.75" x14ac:dyDescent="0.3">
      <c r="A301" s="124" t="s">
        <v>95</v>
      </c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125"/>
    </row>
    <row r="302" spans="1:15" x14ac:dyDescent="0.25">
      <c r="A302" s="122" t="s">
        <v>1</v>
      </c>
      <c r="B302" s="88"/>
      <c r="C302" s="89"/>
      <c r="D302" s="105" t="s">
        <v>19</v>
      </c>
      <c r="E302" s="106"/>
      <c r="F302" s="106"/>
      <c r="G302" s="106"/>
      <c r="H302" s="106"/>
      <c r="I302" s="107"/>
      <c r="J302" s="105" t="s">
        <v>22</v>
      </c>
      <c r="K302" s="106"/>
      <c r="L302" s="106"/>
      <c r="M302" s="106"/>
      <c r="N302" s="106"/>
      <c r="O302" s="123"/>
    </row>
    <row r="303" spans="1:15" x14ac:dyDescent="0.25">
      <c r="A303" s="26" t="s">
        <v>4</v>
      </c>
      <c r="B303" s="6" t="s">
        <v>5</v>
      </c>
      <c r="C303" s="6" t="s">
        <v>6</v>
      </c>
      <c r="D303" s="7">
        <v>1</v>
      </c>
      <c r="E303" s="7">
        <v>4</v>
      </c>
      <c r="F303" s="7">
        <v>16</v>
      </c>
      <c r="G303" s="7">
        <v>32</v>
      </c>
      <c r="H303" s="7">
        <v>64</v>
      </c>
      <c r="I303" s="7">
        <v>80</v>
      </c>
      <c r="J303" s="7">
        <v>1</v>
      </c>
      <c r="K303" s="7">
        <v>4</v>
      </c>
      <c r="L303" s="7">
        <v>16</v>
      </c>
      <c r="M303" s="7">
        <v>32</v>
      </c>
      <c r="N303" s="7">
        <v>64</v>
      </c>
      <c r="O303" s="27">
        <v>80</v>
      </c>
    </row>
    <row r="304" spans="1:15" x14ac:dyDescent="0.25">
      <c r="A304" s="28" t="s">
        <v>7</v>
      </c>
      <c r="B304" s="9" t="s">
        <v>8</v>
      </c>
      <c r="C304" s="9" t="s">
        <v>9</v>
      </c>
      <c r="D304" s="12">
        <f>IF(D294="","",(D294-'2016'!D5)/'2016'!D5)</f>
        <v>-4.4539652787075466E-2</v>
      </c>
      <c r="E304" s="12">
        <f>IF(E294="","",(E294-'2016'!E5)/'2016'!E5)</f>
        <v>-2.6724395341893102E-2</v>
      </c>
      <c r="F304" s="12">
        <f>IF(F294="","",(F294-'2016'!F5)/'2016'!F5)</f>
        <v>-1.0268697586856067E-3</v>
      </c>
      <c r="G304" s="12" t="str">
        <f>IF(G294="","",(G294-#REF!)/#REF!)</f>
        <v/>
      </c>
      <c r="H304" s="12" t="str">
        <f>IF(H294="","",(H294-#REF!)/#REF!)</f>
        <v/>
      </c>
      <c r="I304" s="12" t="str">
        <f>IF(I294="","",(I294-#REF!)/#REF!)</f>
        <v/>
      </c>
      <c r="J304" s="11">
        <f>J294-'2015'!J324</f>
        <v>54.221113701675428</v>
      </c>
      <c r="K304" s="11">
        <f>K294-'2015'!K324</f>
        <v>51.132586797566091</v>
      </c>
      <c r="L304" s="11">
        <f>L294-'2015'!L324</f>
        <v>171.32088401576152</v>
      </c>
      <c r="M304" s="11" t="str">
        <f>IF(G304="","",M294-((1/Comparisons!#REF!)*1000000))</f>
        <v/>
      </c>
      <c r="N304" s="11" t="str">
        <f>IF(H304="","",N294-((1/Comparisons!#REF!)*1000000))</f>
        <v/>
      </c>
      <c r="O304" s="29" t="str">
        <f>IF(I304="","",O294-((1/Comparisons!#REF!)*1000000))</f>
        <v/>
      </c>
    </row>
    <row r="305" spans="1:15" x14ac:dyDescent="0.25">
      <c r="A305" s="28" t="s">
        <v>10</v>
      </c>
      <c r="B305" s="9" t="s">
        <v>8</v>
      </c>
      <c r="C305" s="9" t="s">
        <v>11</v>
      </c>
      <c r="D305" s="12">
        <f>IF(D295="","",(D295-'2016'!D6)/'2016'!D6)</f>
        <v>0.23662330695990344</v>
      </c>
      <c r="E305" s="12">
        <f>IF(E295="","",(E295-'2016'!E6)/'2016'!E6)</f>
        <v>0.14614106351550959</v>
      </c>
      <c r="F305" s="12">
        <f>IF(F295="","",(F295-'2016'!F6)/'2016'!F6)</f>
        <v>1.8002930709650408E-2</v>
      </c>
      <c r="G305" s="12" t="str">
        <f>IF(G295="","",(G295-#REF!)/#REF!)</f>
        <v/>
      </c>
      <c r="H305" s="12" t="str">
        <f>IF(H295="","",(H295-#REF!)/#REF!)</f>
        <v/>
      </c>
      <c r="I305" s="12" t="str">
        <f>IF(I295="","",(I295-#REF!)/#REF!)</f>
        <v/>
      </c>
      <c r="J305" s="11" t="e">
        <f>J295-'2015'!J325</f>
        <v>#REF!</v>
      </c>
      <c r="K305" s="11">
        <f>K295-'2015'!K325</f>
        <v>80.547724526782119</v>
      </c>
      <c r="L305" s="11">
        <f>L295-'2015'!L325</f>
        <v>205.63438206868187</v>
      </c>
      <c r="M305" s="11" t="str">
        <f>IF(G305="","",M295-((1/Comparisons!#REF!)*1000000))</f>
        <v/>
      </c>
      <c r="N305" s="11" t="str">
        <f>IF(H305="","",N295-((1/Comparisons!#REF!)*1000000))</f>
        <v/>
      </c>
      <c r="O305" s="29" t="str">
        <f>IF(I305="","",O295-((1/Comparisons!#REF!)*1000000))</f>
        <v/>
      </c>
    </row>
    <row r="306" spans="1:15" x14ac:dyDescent="0.25">
      <c r="A306" s="30" t="s">
        <v>12</v>
      </c>
      <c r="B306" s="9" t="s">
        <v>13</v>
      </c>
      <c r="C306" s="9" t="s">
        <v>9</v>
      </c>
      <c r="D306" s="12">
        <f>IF(D296="","",(D296-'2016'!D7)/'2016'!D7)</f>
        <v>-0.12414523518983261</v>
      </c>
      <c r="E306" s="12">
        <f>IF(E296="","",(E296-'2016'!E7)/'2016'!E7)</f>
        <v>-2.4911420005451077E-2</v>
      </c>
      <c r="F306" s="12">
        <f>IF(F296="","",(F296-'2016'!F7)/'2016'!F7)</f>
        <v>-6.7411743835373425E-3</v>
      </c>
      <c r="G306" s="12" t="str">
        <f>IF(G296="","",(G296-#REF!)/#REF!)</f>
        <v/>
      </c>
      <c r="H306" s="12" t="str">
        <f>IF(H296="","",(H296-#REF!)/#REF!)</f>
        <v/>
      </c>
      <c r="I306" s="12" t="str">
        <f>IF(I296="","",(I296-#REF!)/#REF!)</f>
        <v/>
      </c>
      <c r="J306" s="11">
        <f>J296-'2015'!J326</f>
        <v>26.287426723798006</v>
      </c>
      <c r="K306" s="11">
        <f>K296-'2015'!K326</f>
        <v>55.903398926654738</v>
      </c>
      <c r="L306" s="11">
        <f>L296-'2015'!L326</f>
        <v>178.60332202178961</v>
      </c>
      <c r="M306" s="11" t="str">
        <f>IF(G306="","",M296-((1/Comparisons!#REF!)*1000000))</f>
        <v/>
      </c>
      <c r="N306" s="11" t="str">
        <f>IF(H306="","",N296-((1/Comparisons!#REF!)*1000000))</f>
        <v/>
      </c>
      <c r="O306" s="29" t="str">
        <f>IF(I306="","",O296-((1/Comparisons!#REF!)*1000000))</f>
        <v/>
      </c>
    </row>
    <row r="307" spans="1:15" x14ac:dyDescent="0.25">
      <c r="A307" s="30" t="s">
        <v>14</v>
      </c>
      <c r="B307" s="9" t="s">
        <v>13</v>
      </c>
      <c r="C307" s="9" t="s">
        <v>11</v>
      </c>
      <c r="D307" s="12">
        <f>IF(D297="","",(D297-'2016'!D8)/'2016'!D8)</f>
        <v>0.18685888550041585</v>
      </c>
      <c r="E307" s="12">
        <f>IF(E297="","",(E297-'2016'!E8)/'2016'!E8)</f>
        <v>3.6447136994332614E-2</v>
      </c>
      <c r="F307" s="12">
        <f>IF(F297="","",(F297-'2016'!F8)/'2016'!F8)</f>
        <v>1.6615653694796676E-2</v>
      </c>
      <c r="G307" s="12" t="str">
        <f>IF(G297="","",(G297-#REF!)/#REF!)</f>
        <v/>
      </c>
      <c r="H307" s="12" t="str">
        <f>IF(H297="","",(H297-#REF!)/#REF!)</f>
        <v/>
      </c>
      <c r="I307" s="12" t="str">
        <f>IF(I297="","",(I297-#REF!)/#REF!)</f>
        <v/>
      </c>
      <c r="J307" s="11">
        <f>J297-'2015'!J327</f>
        <v>68.709633090559308</v>
      </c>
      <c r="K307" s="11">
        <f>K297-'2015'!K327</f>
        <v>94.277364004902424</v>
      </c>
      <c r="L307" s="11">
        <f>L297-'2015'!L327</f>
        <v>215.05376344086022</v>
      </c>
      <c r="M307" s="11" t="str">
        <f>IF(G307="","",M297-((1/Comparisons!#REF!)*1000000))</f>
        <v/>
      </c>
      <c r="N307" s="11" t="str">
        <f>IF(H307="","",N297-((1/Comparisons!#REF!)*1000000))</f>
        <v/>
      </c>
      <c r="O307" s="29" t="str">
        <f>IF(I307="","",O297-((1/Comparisons!#REF!)*1000000))</f>
        <v/>
      </c>
    </row>
    <row r="308" spans="1:15" x14ac:dyDescent="0.25">
      <c r="A308" s="30" t="s">
        <v>15</v>
      </c>
      <c r="B308" s="9" t="s">
        <v>16</v>
      </c>
      <c r="C308" s="9" t="s">
        <v>11</v>
      </c>
      <c r="D308" s="12">
        <f>IF(D298="","",(D298-'2016'!D9)/'2016'!D9)</f>
        <v>7.9113220137910584E-2</v>
      </c>
      <c r="E308" s="12">
        <f>IF(E298="","",(E298-'2016'!E9)/'2016'!E9)</f>
        <v>3.544203544203544E-2</v>
      </c>
      <c r="F308" s="12">
        <f>IF(F298="","",(F298-'2016'!F9)/'2016'!F9)</f>
        <v>-3.3802816901408447E-2</v>
      </c>
      <c r="G308" s="12" t="str">
        <f>IF(G298="","",(G298-#REF!)/#REF!)</f>
        <v/>
      </c>
      <c r="H308" s="12" t="str">
        <f>IF(H298="","",(H298-#REF!)/#REF!)</f>
        <v/>
      </c>
      <c r="I308" s="12" t="str">
        <f>IF(I298="","",(I298-#REF!)/#REF!)</f>
        <v/>
      </c>
      <c r="J308" s="11" t="e">
        <f>J298-'2015'!J328</f>
        <v>#REF!</v>
      </c>
      <c r="K308" s="11">
        <f>K298-'2015'!K328</f>
        <v>95.611435127641272</v>
      </c>
      <c r="L308" s="11">
        <f>L298-'2015'!L328</f>
        <v>224.26553038797937</v>
      </c>
      <c r="M308" s="11" t="str">
        <f>IF(G308="","",M298-((1/Comparisons!#REF!)*1000000))</f>
        <v/>
      </c>
      <c r="N308" s="11" t="str">
        <f>IF(H308="","",N298-((1/Comparisons!#REF!)*1000000))</f>
        <v/>
      </c>
      <c r="O308" s="29" t="str">
        <f>IF(I308="","",O298-((1/Comparisons!#REF!)*1000000))</f>
        <v/>
      </c>
    </row>
    <row r="309" spans="1:15" ht="15.75" thickBot="1" x14ac:dyDescent="0.3">
      <c r="A309" s="32" t="s">
        <v>17</v>
      </c>
      <c r="B309" s="33" t="s">
        <v>18</v>
      </c>
      <c r="C309" s="34" t="s">
        <v>11</v>
      </c>
      <c r="D309" s="12">
        <f>IF(D299="","",(D299-'2016'!D10)/'2016'!D10)</f>
        <v>2.3297201100145607E-2</v>
      </c>
      <c r="E309" s="12">
        <f>IF(E299="","",(E299-'2016'!E10)/'2016'!E10)</f>
        <v>-0.10287533578748383</v>
      </c>
      <c r="F309" s="12">
        <f>IF(F299="","",(F299-'2016'!F10)/'2016'!F10)</f>
        <v>-5.1497522085757377E-2</v>
      </c>
      <c r="G309" s="35" t="str">
        <f>IF(G299="","",(G299-#REF!)/#REF!)</f>
        <v/>
      </c>
      <c r="H309" s="35" t="str">
        <f>IF(H299="","",(H299-#REF!)/#REF!)</f>
        <v/>
      </c>
      <c r="I309" s="35" t="str">
        <f>IF(I299="","",(I299-#REF!)/#REF!)</f>
        <v/>
      </c>
      <c r="J309" s="36">
        <f>J299-'2015'!J329</f>
        <v>79.051383399209485</v>
      </c>
      <c r="K309" s="36">
        <f>K299-'2015'!K329</f>
        <v>110.90163025396473</v>
      </c>
      <c r="L309" s="36">
        <f>L299-'2015'!L329</f>
        <v>227.16946842344387</v>
      </c>
      <c r="M309" s="36" t="str">
        <f>IF(G309="","",M299-((1/Comparisons!#REF!)*1000000))</f>
        <v/>
      </c>
      <c r="N309" s="36" t="str">
        <f>IF(H309="","",N299-((1/Comparisons!#REF!)*1000000))</f>
        <v/>
      </c>
      <c r="O309" s="37" t="str">
        <f>IF(I309="","",O299-((1/Comparisons!#REF!)*1000000))</f>
        <v/>
      </c>
    </row>
    <row r="310" spans="1:15" ht="18.75" x14ac:dyDescent="0.25">
      <c r="A310" s="126" t="s">
        <v>93</v>
      </c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8"/>
    </row>
    <row r="311" spans="1:15" ht="15.75" x14ac:dyDescent="0.25">
      <c r="A311" s="129" t="s">
        <v>133</v>
      </c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130"/>
    </row>
    <row r="312" spans="1:15" x14ac:dyDescent="0.25">
      <c r="A312" s="122" t="s">
        <v>1</v>
      </c>
      <c r="B312" s="88"/>
      <c r="C312" s="89"/>
      <c r="D312" s="105" t="s">
        <v>2</v>
      </c>
      <c r="E312" s="106"/>
      <c r="F312" s="106"/>
      <c r="G312" s="106"/>
      <c r="H312" s="106"/>
      <c r="I312" s="107"/>
      <c r="J312" s="105" t="s">
        <v>3</v>
      </c>
      <c r="K312" s="106"/>
      <c r="L312" s="106"/>
      <c r="M312" s="106"/>
      <c r="N312" s="106"/>
      <c r="O312" s="123"/>
    </row>
    <row r="313" spans="1:15" x14ac:dyDescent="0.25">
      <c r="A313" s="26" t="s">
        <v>26</v>
      </c>
      <c r="B313" s="6" t="s">
        <v>5</v>
      </c>
      <c r="C313" s="6" t="s">
        <v>6</v>
      </c>
      <c r="D313" s="7">
        <v>1</v>
      </c>
      <c r="E313" s="7">
        <v>4</v>
      </c>
      <c r="F313" s="7">
        <v>16</v>
      </c>
      <c r="G313" s="7">
        <v>32</v>
      </c>
      <c r="H313" s="7">
        <v>64</v>
      </c>
      <c r="I313" s="7">
        <v>80</v>
      </c>
      <c r="J313" s="7">
        <v>1</v>
      </c>
      <c r="K313" s="7">
        <v>4</v>
      </c>
      <c r="L313" s="7">
        <v>16</v>
      </c>
      <c r="M313" s="7">
        <v>32</v>
      </c>
      <c r="N313" s="7">
        <v>64</v>
      </c>
      <c r="O313" s="27">
        <v>80</v>
      </c>
    </row>
    <row r="314" spans="1:15" x14ac:dyDescent="0.25">
      <c r="A314" s="28" t="s">
        <v>7</v>
      </c>
      <c r="B314" s="9" t="s">
        <v>8</v>
      </c>
      <c r="C314" s="9" t="s">
        <v>9</v>
      </c>
      <c r="D314" s="24">
        <v>42020</v>
      </c>
      <c r="E314" s="24">
        <v>19634</v>
      </c>
      <c r="F314" s="24">
        <v>5843</v>
      </c>
      <c r="G314" s="10"/>
      <c r="H314" s="10"/>
      <c r="I314" s="10"/>
      <c r="J314" s="11">
        <f>IF(D315="","",(1/D315)*1000000)</f>
        <v>58.692334781077591</v>
      </c>
      <c r="K314" s="11">
        <f t="shared" ref="K314:K319" si="98">IF(E314="","",(1/E314)*1000000)</f>
        <v>50.93205663644698</v>
      </c>
      <c r="L314" s="11">
        <f t="shared" ref="L314:L319" si="99">IF(F314="","",(1/F314)*1000000)</f>
        <v>171.14495978093444</v>
      </c>
      <c r="M314" s="11" t="str">
        <f t="shared" ref="M314:M319" si="100">IF(G314="","",(1/G314)*1000000)</f>
        <v/>
      </c>
      <c r="N314" s="11" t="str">
        <f t="shared" ref="N314:N319" si="101">IF(H314="","",(1/H314)*1000000)</f>
        <v/>
      </c>
      <c r="O314" s="29" t="str">
        <f t="shared" ref="O314:O319" si="102">IF(I314="","",(1/I314)*1000000)</f>
        <v/>
      </c>
    </row>
    <row r="315" spans="1:15" x14ac:dyDescent="0.25">
      <c r="A315" s="28" t="s">
        <v>10</v>
      </c>
      <c r="B315" s="9" t="s">
        <v>8</v>
      </c>
      <c r="C315" s="9" t="s">
        <v>11</v>
      </c>
      <c r="D315" s="24">
        <v>17038</v>
      </c>
      <c r="E315" s="24">
        <v>11534</v>
      </c>
      <c r="F315" s="24">
        <v>5042</v>
      </c>
      <c r="G315" s="10"/>
      <c r="H315" s="10"/>
      <c r="I315" s="10"/>
      <c r="J315" s="11" t="e">
        <f>IF(#REF!="","",(1/#REF!)*1000000)</f>
        <v>#REF!</v>
      </c>
      <c r="K315" s="11">
        <f t="shared" si="98"/>
        <v>86.700190740419629</v>
      </c>
      <c r="L315" s="11">
        <f t="shared" si="99"/>
        <v>198.33399444664815</v>
      </c>
      <c r="M315" s="11" t="str">
        <f t="shared" si="100"/>
        <v/>
      </c>
      <c r="N315" s="11" t="str">
        <f t="shared" si="101"/>
        <v/>
      </c>
      <c r="O315" s="29" t="str">
        <f t="shared" si="102"/>
        <v/>
      </c>
    </row>
    <row r="316" spans="1:15" x14ac:dyDescent="0.25">
      <c r="A316" s="30" t="s">
        <v>12</v>
      </c>
      <c r="B316" s="9" t="s">
        <v>13</v>
      </c>
      <c r="C316" s="9" t="s">
        <v>9</v>
      </c>
      <c r="D316" s="24">
        <v>39956</v>
      </c>
      <c r="E316" s="24">
        <v>17201</v>
      </c>
      <c r="F316" s="24">
        <v>5569</v>
      </c>
      <c r="G316" s="10"/>
      <c r="H316" s="10"/>
      <c r="I316" s="10"/>
      <c r="J316" s="11">
        <f t="shared" ref="J316" si="103">IF(D316="","",(1/D316)*1000000)</f>
        <v>25.027530283311641</v>
      </c>
      <c r="K316" s="11">
        <f t="shared" si="98"/>
        <v>58.136154874716588</v>
      </c>
      <c r="L316" s="11">
        <f t="shared" si="99"/>
        <v>179.56545160711082</v>
      </c>
      <c r="M316" s="11" t="str">
        <f t="shared" si="100"/>
        <v/>
      </c>
      <c r="N316" s="11" t="str">
        <f t="shared" si="101"/>
        <v/>
      </c>
      <c r="O316" s="29" t="str">
        <f t="shared" si="102"/>
        <v/>
      </c>
    </row>
    <row r="317" spans="1:15" x14ac:dyDescent="0.25">
      <c r="A317" s="30" t="s">
        <v>14</v>
      </c>
      <c r="B317" s="9" t="s">
        <v>13</v>
      </c>
      <c r="C317" s="9" t="s">
        <v>11</v>
      </c>
      <c r="D317" s="24">
        <v>17449</v>
      </c>
      <c r="E317" s="24">
        <v>11784</v>
      </c>
      <c r="F317" s="24">
        <v>4732</v>
      </c>
      <c r="G317" s="10"/>
      <c r="H317" s="10"/>
      <c r="I317" s="10"/>
      <c r="J317" s="11">
        <f>IF(D318="","",(1/D318)*1000000)</f>
        <v>72.976720426184045</v>
      </c>
      <c r="K317" s="11">
        <f t="shared" si="98"/>
        <v>84.860828241683635</v>
      </c>
      <c r="L317" s="11">
        <f t="shared" si="99"/>
        <v>211.32713440405746</v>
      </c>
      <c r="M317" s="11" t="str">
        <f t="shared" si="100"/>
        <v/>
      </c>
      <c r="N317" s="11" t="str">
        <f t="shared" si="101"/>
        <v/>
      </c>
      <c r="O317" s="29" t="str">
        <f t="shared" si="102"/>
        <v/>
      </c>
    </row>
    <row r="318" spans="1:15" x14ac:dyDescent="0.25">
      <c r="A318" s="30" t="s">
        <v>15</v>
      </c>
      <c r="B318" s="9" t="s">
        <v>16</v>
      </c>
      <c r="C318" s="9" t="s">
        <v>11</v>
      </c>
      <c r="D318" s="24">
        <v>13703</v>
      </c>
      <c r="E318" s="24">
        <v>9969</v>
      </c>
      <c r="F318" s="24">
        <v>4437</v>
      </c>
      <c r="G318" s="10"/>
      <c r="H318" s="10"/>
      <c r="I318" s="10"/>
      <c r="J318" s="11" t="e">
        <f>IF(#REF!="","",(1/#REF!)*1000000)</f>
        <v>#REF!</v>
      </c>
      <c r="K318" s="11">
        <f t="shared" si="98"/>
        <v>100.31096398836392</v>
      </c>
      <c r="L318" s="11">
        <f t="shared" si="99"/>
        <v>225.377507324769</v>
      </c>
      <c r="M318" s="11" t="str">
        <f t="shared" si="100"/>
        <v/>
      </c>
      <c r="N318" s="11" t="str">
        <f t="shared" si="101"/>
        <v/>
      </c>
      <c r="O318" s="29" t="str">
        <f t="shared" si="102"/>
        <v/>
      </c>
    </row>
    <row r="319" spans="1:15" x14ac:dyDescent="0.25">
      <c r="A319" s="30" t="s">
        <v>17</v>
      </c>
      <c r="B319" s="8" t="s">
        <v>18</v>
      </c>
      <c r="C319" s="9" t="s">
        <v>11</v>
      </c>
      <c r="D319" s="24">
        <v>12944</v>
      </c>
      <c r="E319" s="24">
        <v>9513</v>
      </c>
      <c r="F319" s="24">
        <v>4408</v>
      </c>
      <c r="G319" s="10"/>
      <c r="H319" s="10"/>
      <c r="I319" s="10"/>
      <c r="J319" s="11">
        <f t="shared" ref="J319" si="104">IF(D319="","",(1/D319)*1000000)</f>
        <v>77.255871446229904</v>
      </c>
      <c r="K319" s="11">
        <f t="shared" si="98"/>
        <v>105.11931041732366</v>
      </c>
      <c r="L319" s="11">
        <f t="shared" si="99"/>
        <v>226.86025408348456</v>
      </c>
      <c r="M319" s="11" t="str">
        <f t="shared" si="100"/>
        <v/>
      </c>
      <c r="N319" s="11" t="str">
        <f t="shared" si="101"/>
        <v/>
      </c>
      <c r="O319" s="29" t="str">
        <f t="shared" si="102"/>
        <v/>
      </c>
    </row>
    <row r="320" spans="1:15" x14ac:dyDescent="0.25">
      <c r="A320" s="131" t="s">
        <v>132</v>
      </c>
      <c r="B320" s="102"/>
      <c r="C320" s="102"/>
      <c r="D320" s="102"/>
      <c r="E320" s="132"/>
      <c r="F320" s="132"/>
      <c r="G320" s="132"/>
      <c r="H320" s="132"/>
      <c r="I320" s="132"/>
      <c r="J320" s="19"/>
      <c r="K320" s="19"/>
      <c r="L320" s="19"/>
      <c r="M320" s="19"/>
      <c r="N320" s="19"/>
      <c r="O320" s="31"/>
    </row>
    <row r="321" spans="1:15" ht="18.75" x14ac:dyDescent="0.3">
      <c r="A321" s="124" t="s">
        <v>137</v>
      </c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125"/>
    </row>
    <row r="322" spans="1:15" x14ac:dyDescent="0.25">
      <c r="A322" s="122" t="s">
        <v>1</v>
      </c>
      <c r="B322" s="88"/>
      <c r="C322" s="89"/>
      <c r="D322" s="105" t="s">
        <v>19</v>
      </c>
      <c r="E322" s="106"/>
      <c r="F322" s="106"/>
      <c r="G322" s="106"/>
      <c r="H322" s="106"/>
      <c r="I322" s="107"/>
      <c r="J322" s="105" t="s">
        <v>22</v>
      </c>
      <c r="K322" s="106"/>
      <c r="L322" s="106"/>
      <c r="M322" s="106"/>
      <c r="N322" s="106"/>
      <c r="O322" s="123"/>
    </row>
    <row r="323" spans="1:15" x14ac:dyDescent="0.25">
      <c r="A323" s="26" t="s">
        <v>4</v>
      </c>
      <c r="B323" s="6" t="s">
        <v>5</v>
      </c>
      <c r="C323" s="6" t="s">
        <v>6</v>
      </c>
      <c r="D323" s="7">
        <v>1</v>
      </c>
      <c r="E323" s="7">
        <v>4</v>
      </c>
      <c r="F323" s="7">
        <v>16</v>
      </c>
      <c r="G323" s="7">
        <v>32</v>
      </c>
      <c r="H323" s="7">
        <v>64</v>
      </c>
      <c r="I323" s="7">
        <v>80</v>
      </c>
      <c r="J323" s="7">
        <v>1</v>
      </c>
      <c r="K323" s="7">
        <v>4</v>
      </c>
      <c r="L323" s="7">
        <v>16</v>
      </c>
      <c r="M323" s="7">
        <v>32</v>
      </c>
      <c r="N323" s="7">
        <v>64</v>
      </c>
      <c r="O323" s="27">
        <v>80</v>
      </c>
    </row>
    <row r="324" spans="1:15" x14ac:dyDescent="0.25">
      <c r="A324" s="28" t="s">
        <v>7</v>
      </c>
      <c r="B324" s="9" t="s">
        <v>8</v>
      </c>
      <c r="C324" s="9" t="s">
        <v>9</v>
      </c>
      <c r="D324" s="12">
        <f>IF(D314="","",(D314-'2016'!D5)/'2016'!D5)</f>
        <v>-6.2346588119783997E-2</v>
      </c>
      <c r="E324" s="12">
        <f>IF(E314="","",(E314-'2016'!E5)/'2016'!E5)</f>
        <v>-2.2892405693241764E-2</v>
      </c>
      <c r="F324" s="12">
        <f>IF(F314="","",(F314-'2016'!F5)/'2016'!F5)</f>
        <v>0</v>
      </c>
      <c r="G324" s="12" t="str">
        <f>IF(G314="","",(G314-#REF!)/#REF!)</f>
        <v/>
      </c>
      <c r="H324" s="12" t="str">
        <f>IF(H314="","",(H314-#REF!)/#REF!)</f>
        <v/>
      </c>
      <c r="I324" s="12" t="str">
        <f>IF(I314="","",(I314-#REF!)/#REF!)</f>
        <v/>
      </c>
      <c r="J324" s="11">
        <f>J314-'2015'!J344</f>
        <v>58.692334781077591</v>
      </c>
      <c r="K324" s="11">
        <f>K314-'2015'!K344</f>
        <v>50.93205663644698</v>
      </c>
      <c r="L324" s="11">
        <f>L314-'2015'!L344</f>
        <v>171.14495978093444</v>
      </c>
      <c r="M324" s="11" t="str">
        <f>IF(G324="","",M314-((1/Comparisons!#REF!)*1000000))</f>
        <v/>
      </c>
      <c r="N324" s="11" t="str">
        <f>IF(H324="","",N314-((1/Comparisons!#REF!)*1000000))</f>
        <v/>
      </c>
      <c r="O324" s="29" t="str">
        <f>IF(I324="","",O314-((1/Comparisons!#REF!)*1000000))</f>
        <v/>
      </c>
    </row>
    <row r="325" spans="1:15" x14ac:dyDescent="0.25">
      <c r="A325" s="28" t="s">
        <v>10</v>
      </c>
      <c r="B325" s="9" t="s">
        <v>8</v>
      </c>
      <c r="C325" s="9" t="s">
        <v>11</v>
      </c>
      <c r="D325" s="12">
        <f>IF(D315="","",(D315-'2016'!D6)/'2016'!D6)</f>
        <v>0.14241652138929864</v>
      </c>
      <c r="E325" s="12">
        <f>IF(E315="","",(E315-'2016'!E6)/'2016'!E6)</f>
        <v>6.4807976366322004E-2</v>
      </c>
      <c r="F325" s="12">
        <f>IF(F315="","",(F315-'2016'!F6)/'2016'!F6)</f>
        <v>5.5474146954155326E-2</v>
      </c>
      <c r="G325" s="12" t="str">
        <f>IF(G315="","",(G315-#REF!)/#REF!)</f>
        <v/>
      </c>
      <c r="H325" s="12" t="str">
        <f>IF(H315="","",(H315-#REF!)/#REF!)</f>
        <v/>
      </c>
      <c r="I325" s="12" t="str">
        <f>IF(I315="","",(I315-#REF!)/#REF!)</f>
        <v/>
      </c>
      <c r="J325" s="11" t="e">
        <f>J315-'2015'!J345</f>
        <v>#REF!</v>
      </c>
      <c r="K325" s="11">
        <f>K315-'2015'!K345</f>
        <v>86.700190740419629</v>
      </c>
      <c r="L325" s="11">
        <f>L315-'2015'!L345</f>
        <v>198.33399444664815</v>
      </c>
      <c r="M325" s="11" t="str">
        <f>IF(G325="","",M315-((1/Comparisons!#REF!)*1000000))</f>
        <v/>
      </c>
      <c r="N325" s="11" t="str">
        <f>IF(H325="","",N315-((1/Comparisons!#REF!)*1000000))</f>
        <v/>
      </c>
      <c r="O325" s="29" t="str">
        <f>IF(I325="","",O315-((1/Comparisons!#REF!)*1000000))</f>
        <v/>
      </c>
    </row>
    <row r="326" spans="1:15" x14ac:dyDescent="0.25">
      <c r="A326" s="30" t="s">
        <v>12</v>
      </c>
      <c r="B326" s="9" t="s">
        <v>13</v>
      </c>
      <c r="C326" s="9" t="s">
        <v>9</v>
      </c>
      <c r="D326" s="12">
        <f>IF(D316="","",(D316-'2016'!D7)/'2016'!D7)</f>
        <v>-8.0054336564363504E-2</v>
      </c>
      <c r="E326" s="12">
        <f>IF(E316="","",(E316-'2016'!E7)/'2016'!E7)</f>
        <v>-6.236031616244208E-2</v>
      </c>
      <c r="F326" s="12">
        <f>IF(F316="","",(F316-'2016'!F7)/'2016'!F7)</f>
        <v>-1.2063154160014192E-2</v>
      </c>
      <c r="G326" s="12" t="str">
        <f>IF(G316="","",(G316-#REF!)/#REF!)</f>
        <v/>
      </c>
      <c r="H326" s="12" t="str">
        <f>IF(H316="","",(H316-#REF!)/#REF!)</f>
        <v/>
      </c>
      <c r="I326" s="12" t="str">
        <f>IF(I316="","",(I316-#REF!)/#REF!)</f>
        <v/>
      </c>
      <c r="J326" s="11">
        <f>J316-'2015'!J346</f>
        <v>25.027530283311641</v>
      </c>
      <c r="K326" s="11">
        <f>K316-'2015'!K346</f>
        <v>58.136154874716588</v>
      </c>
      <c r="L326" s="11">
        <f>L316-'2015'!L346</f>
        <v>179.56545160711082</v>
      </c>
      <c r="M326" s="11" t="str">
        <f>IF(G326="","",M316-((1/Comparisons!#REF!)*1000000))</f>
        <v/>
      </c>
      <c r="N326" s="11" t="str">
        <f>IF(H326="","",N316-((1/Comparisons!#REF!)*1000000))</f>
        <v/>
      </c>
      <c r="O326" s="29" t="str">
        <f>IF(I326="","",O316-((1/Comparisons!#REF!)*1000000))</f>
        <v/>
      </c>
    </row>
    <row r="327" spans="1:15" x14ac:dyDescent="0.25">
      <c r="A327" s="30" t="s">
        <v>14</v>
      </c>
      <c r="B327" s="9" t="s">
        <v>13</v>
      </c>
      <c r="C327" s="9" t="s">
        <v>11</v>
      </c>
      <c r="D327" s="12">
        <f>IF(D317="","",(D317-'2016'!D8)/'2016'!D8)</f>
        <v>0.20938453008039923</v>
      </c>
      <c r="E327" s="12">
        <f>IF(E317="","",(E317-'2016'!E8)/'2016'!E8)</f>
        <v>0.15145593120969317</v>
      </c>
      <c r="F327" s="12">
        <f>IF(F317="","",(F317-'2016'!F8)/'2016'!F8)</f>
        <v>3.4543069523393088E-2</v>
      </c>
      <c r="G327" s="12" t="str">
        <f>IF(G317="","",(G317-#REF!)/#REF!)</f>
        <v/>
      </c>
      <c r="H327" s="12" t="str">
        <f>IF(H317="","",(H317-#REF!)/#REF!)</f>
        <v/>
      </c>
      <c r="I327" s="12" t="str">
        <f>IF(I317="","",(I317-#REF!)/#REF!)</f>
        <v/>
      </c>
      <c r="J327" s="11">
        <f>J317-'2015'!J347</f>
        <v>72.976720426184045</v>
      </c>
      <c r="K327" s="11">
        <f>K317-'2015'!K347</f>
        <v>84.860828241683635</v>
      </c>
      <c r="L327" s="11">
        <f>L317-'2015'!L347</f>
        <v>211.32713440405746</v>
      </c>
      <c r="M327" s="11" t="str">
        <f>IF(G327="","",M317-((1/Comparisons!#REF!)*1000000))</f>
        <v/>
      </c>
      <c r="N327" s="11" t="str">
        <f>IF(H327="","",N317-((1/Comparisons!#REF!)*1000000))</f>
        <v/>
      </c>
      <c r="O327" s="29" t="str">
        <f>IF(I327="","",O317-((1/Comparisons!#REF!)*1000000))</f>
        <v/>
      </c>
    </row>
    <row r="328" spans="1:15" x14ac:dyDescent="0.25">
      <c r="A328" s="30" t="s">
        <v>15</v>
      </c>
      <c r="B328" s="9" t="s">
        <v>16</v>
      </c>
      <c r="C328" s="9" t="s">
        <v>11</v>
      </c>
      <c r="D328" s="12">
        <f>IF(D318="","",(D318-'2016'!D9)/'2016'!D9)</f>
        <v>1.6015422258471121E-2</v>
      </c>
      <c r="E328" s="12">
        <f>IF(E318="","",(E318-'2016'!E9)/'2016'!E9)</f>
        <v>-1.3068013068013067E-2</v>
      </c>
      <c r="F328" s="12">
        <f>IF(F318="","",(F318-'2016'!F9)/'2016'!F9)</f>
        <v>-3.8569880823401952E-2</v>
      </c>
      <c r="G328" s="12" t="str">
        <f>IF(G318="","",(G318-#REF!)/#REF!)</f>
        <v/>
      </c>
      <c r="H328" s="12" t="str">
        <f>IF(H318="","",(H318-#REF!)/#REF!)</f>
        <v/>
      </c>
      <c r="I328" s="12" t="str">
        <f>IF(I318="","",(I318-#REF!)/#REF!)</f>
        <v/>
      </c>
      <c r="J328" s="11" t="e">
        <f>J318-'2015'!J348</f>
        <v>#REF!</v>
      </c>
      <c r="K328" s="11">
        <f>K318-'2015'!K348</f>
        <v>100.31096398836392</v>
      </c>
      <c r="L328" s="11">
        <f>L318-'2015'!L348</f>
        <v>225.377507324769</v>
      </c>
      <c r="M328" s="11" t="str">
        <f>IF(G328="","",M318-((1/Comparisons!#REF!)*1000000))</f>
        <v/>
      </c>
      <c r="N328" s="11" t="str">
        <f>IF(H328="","",N318-((1/Comparisons!#REF!)*1000000))</f>
        <v/>
      </c>
      <c r="O328" s="29" t="str">
        <f>IF(I328="","",O318-((1/Comparisons!#REF!)*1000000))</f>
        <v/>
      </c>
    </row>
    <row r="329" spans="1:15" ht="15.75" thickBot="1" x14ac:dyDescent="0.3">
      <c r="A329" s="32" t="s">
        <v>17</v>
      </c>
      <c r="B329" s="33" t="s">
        <v>18</v>
      </c>
      <c r="C329" s="34" t="s">
        <v>11</v>
      </c>
      <c r="D329" s="12">
        <f>IF(D319="","",(D319-'2016'!D10)/'2016'!D10)</f>
        <v>4.7079760556544246E-2</v>
      </c>
      <c r="E329" s="12">
        <f>IF(E319="","",(E319-'2016'!E10)/'2016'!E10)</f>
        <v>-5.3527012237588302E-2</v>
      </c>
      <c r="F329" s="12">
        <f>IF(F319="","",(F319-'2016'!F10)/'2016'!F10)</f>
        <v>-5.0204697263520795E-2</v>
      </c>
      <c r="G329" s="35" t="str">
        <f>IF(G319="","",(G319-#REF!)/#REF!)</f>
        <v/>
      </c>
      <c r="H329" s="35" t="str">
        <f>IF(H319="","",(H319-#REF!)/#REF!)</f>
        <v/>
      </c>
      <c r="I329" s="35" t="str">
        <f>IF(I319="","",(I319-#REF!)/#REF!)</f>
        <v/>
      </c>
      <c r="J329" s="36">
        <f>J319-'2015'!J349</f>
        <v>77.255871446229904</v>
      </c>
      <c r="K329" s="36">
        <f>K319-'2015'!K349</f>
        <v>105.11931041732366</v>
      </c>
      <c r="L329" s="36">
        <f>L319-'2015'!L349</f>
        <v>226.86025408348456</v>
      </c>
      <c r="M329" s="36" t="str">
        <f>IF(G329="","",M319-((1/Comparisons!#REF!)*1000000))</f>
        <v/>
      </c>
      <c r="N329" s="36" t="str">
        <f>IF(H329="","",N319-((1/Comparisons!#REF!)*1000000))</f>
        <v/>
      </c>
      <c r="O329" s="37" t="str">
        <f>IF(I329="","",O319-((1/Comparisons!#REF!)*1000000))</f>
        <v/>
      </c>
    </row>
    <row r="330" spans="1:15" ht="18.75" x14ac:dyDescent="0.3">
      <c r="A330" s="124" t="s">
        <v>136</v>
      </c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125"/>
    </row>
    <row r="331" spans="1:15" x14ac:dyDescent="0.25">
      <c r="A331" s="122" t="s">
        <v>1</v>
      </c>
      <c r="B331" s="88"/>
      <c r="C331" s="89"/>
      <c r="D331" s="105" t="s">
        <v>19</v>
      </c>
      <c r="E331" s="106"/>
      <c r="F331" s="106"/>
      <c r="G331" s="106"/>
      <c r="H331" s="106"/>
      <c r="I331" s="107"/>
      <c r="J331" s="105" t="s">
        <v>22</v>
      </c>
      <c r="K331" s="106"/>
      <c r="L331" s="106"/>
      <c r="M331" s="106"/>
      <c r="N331" s="106"/>
      <c r="O331" s="123"/>
    </row>
    <row r="332" spans="1:15" x14ac:dyDescent="0.25">
      <c r="A332" s="26" t="s">
        <v>4</v>
      </c>
      <c r="B332" s="6" t="s">
        <v>5</v>
      </c>
      <c r="C332" s="6" t="s">
        <v>6</v>
      </c>
      <c r="D332" s="7">
        <v>1</v>
      </c>
      <c r="E332" s="7">
        <v>4</v>
      </c>
      <c r="F332" s="7">
        <v>16</v>
      </c>
      <c r="G332" s="7">
        <v>32</v>
      </c>
      <c r="H332" s="7">
        <v>64</v>
      </c>
      <c r="I332" s="7">
        <v>80</v>
      </c>
      <c r="J332" s="7">
        <v>1</v>
      </c>
      <c r="K332" s="7">
        <v>4</v>
      </c>
      <c r="L332" s="7">
        <v>16</v>
      </c>
      <c r="M332" s="7">
        <v>32</v>
      </c>
      <c r="N332" s="7">
        <v>64</v>
      </c>
      <c r="O332" s="27">
        <v>80</v>
      </c>
    </row>
    <row r="333" spans="1:15" x14ac:dyDescent="0.25">
      <c r="A333" s="28" t="s">
        <v>7</v>
      </c>
      <c r="B333" s="9" t="s">
        <v>8</v>
      </c>
      <c r="C333" s="9" t="s">
        <v>9</v>
      </c>
      <c r="D333" s="12">
        <f>IF(D314="","",(D314-'2016'!D298)/'2016'!D298)</f>
        <v>-5.1424443541469141E-2</v>
      </c>
      <c r="E333" s="12">
        <f>IF(E314="","",(E314-'2016'!E298)/'2016'!E298)</f>
        <v>-6.8791097622660597E-3</v>
      </c>
      <c r="F333" s="12">
        <f>IF(F314="","",(F314-'2016'!F298)/'2016'!F298)</f>
        <v>1.027925304094569E-3</v>
      </c>
      <c r="G333" s="12" t="str">
        <f>IF(G314="","",(G314-'2016'!G298)/'2016'!G298)</f>
        <v/>
      </c>
      <c r="H333" s="12" t="str">
        <f>IF(H314="","",(H314-'2016'!H298)/'2016'!H298)</f>
        <v/>
      </c>
      <c r="I333" s="12" t="str">
        <f>IF(I314="","",(I314-'2016'!I298)/'2016'!I298)</f>
        <v/>
      </c>
      <c r="J333" s="11">
        <f>J323-'2015'!J353</f>
        <v>1</v>
      </c>
      <c r="K333" s="11">
        <f>K323-'2015'!K353</f>
        <v>4</v>
      </c>
      <c r="L333" s="11">
        <f>L323-'2015'!L353</f>
        <v>16</v>
      </c>
      <c r="M333" s="11" t="str">
        <f>IF(G333="","",M323-((1/Comparisons!#REF!)*1000000))</f>
        <v/>
      </c>
      <c r="N333" s="11" t="str">
        <f>IF(H333="","",N323-((1/Comparisons!#REF!)*1000000))</f>
        <v/>
      </c>
      <c r="O333" s="29" t="str">
        <f>IF(I333="","",O323-((1/Comparisons!#REF!)*1000000))</f>
        <v/>
      </c>
    </row>
    <row r="334" spans="1:15" x14ac:dyDescent="0.25">
      <c r="A334" s="28" t="s">
        <v>10</v>
      </c>
      <c r="B334" s="9" t="s">
        <v>8</v>
      </c>
      <c r="C334" s="9" t="s">
        <v>11</v>
      </c>
      <c r="D334" s="12">
        <f>IF(D315="","",(D315-'2016'!D299)/'2016'!D299)</f>
        <v>0.18855946982908964</v>
      </c>
      <c r="E334" s="12">
        <f>IF(E315="","",(E315-'2016'!E299)/'2016'!E299)</f>
        <v>0.10616668265081039</v>
      </c>
      <c r="F334" s="12">
        <f>IF(F315="","",(F315-'2016'!F299)/'2016'!F299)</f>
        <v>6.980691703798006E-2</v>
      </c>
      <c r="G334" s="12" t="str">
        <f>IF(G324="","",(G324-#REF!)/#REF!)</f>
        <v/>
      </c>
      <c r="H334" s="12" t="str">
        <f>IF(H324="","",(H324-#REF!)/#REF!)</f>
        <v/>
      </c>
      <c r="I334" s="12" t="str">
        <f>IF(I324="","",(I324-#REF!)/#REF!)</f>
        <v/>
      </c>
      <c r="J334" s="11">
        <f>J324-'2015'!J354</f>
        <v>58.692334781077591</v>
      </c>
      <c r="K334" s="11">
        <f>K324-'2015'!K354</f>
        <v>50.93205663644698</v>
      </c>
      <c r="L334" s="11">
        <f>L324-'2015'!L354</f>
        <v>171.14495978093444</v>
      </c>
      <c r="M334" s="11" t="str">
        <f>IF(G334="","",M324-((1/Comparisons!#REF!)*1000000))</f>
        <v/>
      </c>
      <c r="N334" s="11" t="str">
        <f>IF(H334="","",N324-((1/Comparisons!#REF!)*1000000))</f>
        <v/>
      </c>
      <c r="O334" s="29" t="str">
        <f>IF(I334="","",O324-((1/Comparisons!#REF!)*1000000))</f>
        <v/>
      </c>
    </row>
    <row r="335" spans="1:15" x14ac:dyDescent="0.25">
      <c r="A335" s="30" t="s">
        <v>12</v>
      </c>
      <c r="B335" s="9" t="s">
        <v>13</v>
      </c>
      <c r="C335" s="9" t="s">
        <v>9</v>
      </c>
      <c r="D335" s="12">
        <f>IF(D316="","",(D316-'2016'!D300)/'2016'!D300)</f>
        <v>-7.4471288596511545E-2</v>
      </c>
      <c r="E335" s="12">
        <f>IF(E316="","",(E316-'2016'!E300)/'2016'!E300)</f>
        <v>-5.7685986633066726E-2</v>
      </c>
      <c r="F335" s="12">
        <f>IF(F316="","",(F316-'2016'!F300)/'2016'!F300)</f>
        <v>-8.5454869147231615E-3</v>
      </c>
      <c r="G335" s="12" t="str">
        <f>IF(G325="","",(G325-#REF!)/#REF!)</f>
        <v/>
      </c>
      <c r="H335" s="12" t="str">
        <f>IF(H325="","",(H325-#REF!)/#REF!)</f>
        <v/>
      </c>
      <c r="I335" s="12" t="str">
        <f>IF(I325="","",(I325-#REF!)/#REF!)</f>
        <v/>
      </c>
      <c r="J335" s="11" t="e">
        <f>J325-'2015'!J355</f>
        <v>#REF!</v>
      </c>
      <c r="K335" s="11">
        <f>K325-'2015'!K355</f>
        <v>86.700190740419629</v>
      </c>
      <c r="L335" s="11">
        <f>L325-'2015'!L355</f>
        <v>198.33399444664815</v>
      </c>
      <c r="M335" s="11" t="str">
        <f>IF(G335="","",M325-((1/Comparisons!#REF!)*1000000))</f>
        <v/>
      </c>
      <c r="N335" s="11" t="str">
        <f>IF(H335="","",N325-((1/Comparisons!#REF!)*1000000))</f>
        <v/>
      </c>
      <c r="O335" s="29" t="str">
        <f>IF(I335="","",O325-((1/Comparisons!#REF!)*1000000))</f>
        <v/>
      </c>
    </row>
    <row r="336" spans="1:15" x14ac:dyDescent="0.25">
      <c r="A336" s="30" t="s">
        <v>14</v>
      </c>
      <c r="B336" s="9" t="s">
        <v>13</v>
      </c>
      <c r="C336" s="9" t="s">
        <v>11</v>
      </c>
      <c r="D336" s="12">
        <f>IF(D317="","",(D317-'2016'!D301)/'2016'!D301)</f>
        <v>0.17954437909822213</v>
      </c>
      <c r="E336" s="12">
        <f>IF(E317="","",(E317-'2016'!E301)/'2016'!E301)</f>
        <v>0.16144293317563571</v>
      </c>
      <c r="F336" s="12">
        <f>IF(F317="","",(F317-'2016'!F301)/'2016'!F301)</f>
        <v>4.0228621675093425E-2</v>
      </c>
      <c r="G336" s="12" t="str">
        <f>IF(G326="","",(G326-#REF!)/#REF!)</f>
        <v/>
      </c>
      <c r="H336" s="12" t="str">
        <f>IF(H326="","",(H326-#REF!)/#REF!)</f>
        <v/>
      </c>
      <c r="I336" s="12" t="str">
        <f>IF(I326="","",(I326-#REF!)/#REF!)</f>
        <v/>
      </c>
      <c r="J336" s="11">
        <f>J326-'2015'!J356</f>
        <v>25.027530283311641</v>
      </c>
      <c r="K336" s="11">
        <f>K326-'2015'!K356</f>
        <v>58.136154874716588</v>
      </c>
      <c r="L336" s="11">
        <f>L326-'2015'!L356</f>
        <v>179.56545160711082</v>
      </c>
      <c r="M336" s="11" t="str">
        <f>IF(G336="","",M326-((1/Comparisons!#REF!)*1000000))</f>
        <v/>
      </c>
      <c r="N336" s="11" t="str">
        <f>IF(H336="","",N326-((1/Comparisons!#REF!)*1000000))</f>
        <v/>
      </c>
      <c r="O336" s="29" t="str">
        <f>IF(I336="","",O326-((1/Comparisons!#REF!)*1000000))</f>
        <v/>
      </c>
    </row>
    <row r="337" spans="1:15" x14ac:dyDescent="0.25">
      <c r="A337" s="30" t="s">
        <v>15</v>
      </c>
      <c r="B337" s="9" t="s">
        <v>16</v>
      </c>
      <c r="C337" s="9" t="s">
        <v>11</v>
      </c>
      <c r="D337" s="12">
        <f>IF(D318="","",(D318-'2016'!D302)/'2016'!D302)</f>
        <v>7.5588697017268447E-2</v>
      </c>
      <c r="E337" s="12">
        <f>IF(E318="","",(E318-'2016'!E302)/'2016'!E302)</f>
        <v>1.4063284781516826E-3</v>
      </c>
      <c r="F337" s="12">
        <f>IF(F318="","",(F318-'2016'!F302)/'2016'!F302)</f>
        <v>-3.9402468066681101E-2</v>
      </c>
      <c r="G337" s="12" t="str">
        <f>IF(G327="","",(G327-#REF!)/#REF!)</f>
        <v/>
      </c>
      <c r="H337" s="12" t="str">
        <f>IF(H327="","",(H327-#REF!)/#REF!)</f>
        <v/>
      </c>
      <c r="I337" s="12" t="str">
        <f>IF(I327="","",(I327-#REF!)/#REF!)</f>
        <v/>
      </c>
      <c r="J337" s="11">
        <f>J327-'2015'!J357</f>
        <v>72.976720426184045</v>
      </c>
      <c r="K337" s="11">
        <f>K327-'2015'!K357</f>
        <v>84.860828241683635</v>
      </c>
      <c r="L337" s="11">
        <f>L327-'2015'!L357</f>
        <v>211.32713440405746</v>
      </c>
      <c r="M337" s="11" t="str">
        <f>IF(G337="","",M327-((1/Comparisons!#REF!)*1000000))</f>
        <v/>
      </c>
      <c r="N337" s="11" t="str">
        <f>IF(H337="","",N327-((1/Comparisons!#REF!)*1000000))</f>
        <v/>
      </c>
      <c r="O337" s="29" t="str">
        <f>IF(I337="","",O327-((1/Comparisons!#REF!)*1000000))</f>
        <v/>
      </c>
    </row>
    <row r="338" spans="1:15" ht="15.75" thickBot="1" x14ac:dyDescent="0.3">
      <c r="A338" s="32" t="s">
        <v>17</v>
      </c>
      <c r="B338" s="33" t="s">
        <v>18</v>
      </c>
      <c r="C338" s="34" t="s">
        <v>11</v>
      </c>
      <c r="D338" s="12">
        <f>IF(D319="","",(D319-'2016'!D303)/'2016'!D303)</f>
        <v>6.9928913870061171E-2</v>
      </c>
      <c r="E338" s="12">
        <f>IF(E319="","",(E319-'2016'!E303)/'2016'!E303)</f>
        <v>-4.343891402714932E-2</v>
      </c>
      <c r="F338" s="12">
        <f>IF(F319="","",(F319-'2016'!F303)/'2016'!F303)</f>
        <v>-5.0204697263520795E-2</v>
      </c>
      <c r="G338" s="35" t="str">
        <f>IF(G328="","",(G328-#REF!)/#REF!)</f>
        <v/>
      </c>
      <c r="H338" s="35" t="str">
        <f>IF(H328="","",(H328-#REF!)/#REF!)</f>
        <v/>
      </c>
      <c r="I338" s="35" t="str">
        <f>IF(I328="","",(I328-#REF!)/#REF!)</f>
        <v/>
      </c>
      <c r="J338" s="36" t="e">
        <f>J328-'2015'!J358</f>
        <v>#REF!</v>
      </c>
      <c r="K338" s="36">
        <f>K328-'2015'!K358</f>
        <v>100.31096398836392</v>
      </c>
      <c r="L338" s="36">
        <f>L328-'2015'!L358</f>
        <v>225.377507324769</v>
      </c>
      <c r="M338" s="36" t="str">
        <f>IF(G338="","",M328-((1/Comparisons!#REF!)*1000000))</f>
        <v/>
      </c>
      <c r="N338" s="36" t="str">
        <f>IF(H338="","",N328-((1/Comparisons!#REF!)*1000000))</f>
        <v/>
      </c>
      <c r="O338" s="37" t="str">
        <f>IF(I338="","",O328-((1/Comparisons!#REF!)*1000000))</f>
        <v/>
      </c>
    </row>
    <row r="339" spans="1:15" ht="18.75" x14ac:dyDescent="0.25">
      <c r="A339" s="126" t="s">
        <v>93</v>
      </c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8"/>
    </row>
    <row r="340" spans="1:15" ht="15.75" x14ac:dyDescent="0.25">
      <c r="A340" s="129" t="s">
        <v>138</v>
      </c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130"/>
    </row>
    <row r="341" spans="1:15" x14ac:dyDescent="0.25">
      <c r="A341" s="122" t="s">
        <v>1</v>
      </c>
      <c r="B341" s="88"/>
      <c r="C341" s="89"/>
      <c r="D341" s="105" t="s">
        <v>2</v>
      </c>
      <c r="E341" s="106"/>
      <c r="F341" s="106"/>
      <c r="G341" s="106"/>
      <c r="H341" s="106"/>
      <c r="I341" s="107"/>
      <c r="J341" s="105" t="s">
        <v>3</v>
      </c>
      <c r="K341" s="106"/>
      <c r="L341" s="106"/>
      <c r="M341" s="106"/>
      <c r="N341" s="106"/>
      <c r="O341" s="123"/>
    </row>
    <row r="342" spans="1:15" x14ac:dyDescent="0.25">
      <c r="A342" s="26" t="s">
        <v>26</v>
      </c>
      <c r="B342" s="6" t="s">
        <v>5</v>
      </c>
      <c r="C342" s="6" t="s">
        <v>6</v>
      </c>
      <c r="D342" s="7">
        <v>1</v>
      </c>
      <c r="E342" s="7">
        <v>4</v>
      </c>
      <c r="F342" s="7">
        <v>16</v>
      </c>
      <c r="G342" s="7">
        <v>32</v>
      </c>
      <c r="H342" s="7">
        <v>64</v>
      </c>
      <c r="I342" s="7">
        <v>80</v>
      </c>
      <c r="J342" s="7">
        <v>1</v>
      </c>
      <c r="K342" s="7">
        <v>4</v>
      </c>
      <c r="L342" s="7">
        <v>16</v>
      </c>
      <c r="M342" s="7">
        <v>32</v>
      </c>
      <c r="N342" s="7">
        <v>64</v>
      </c>
      <c r="O342" s="27">
        <v>80</v>
      </c>
    </row>
    <row r="343" spans="1:15" x14ac:dyDescent="0.25">
      <c r="A343" s="28" t="s">
        <v>7</v>
      </c>
      <c r="B343" s="9" t="s">
        <v>8</v>
      </c>
      <c r="C343" s="9" t="s">
        <v>9</v>
      </c>
      <c r="D343" s="24">
        <v>42240</v>
      </c>
      <c r="E343" s="24">
        <v>19596</v>
      </c>
      <c r="F343" s="24">
        <v>5843</v>
      </c>
      <c r="G343" s="10"/>
      <c r="H343" s="10"/>
      <c r="I343" s="10"/>
      <c r="J343" s="11">
        <f>IF(D344="","",(1/D344)*1000000)</f>
        <v>56.970318464080215</v>
      </c>
      <c r="K343" s="11">
        <f t="shared" ref="K343:K348" si="105">IF(E343="","",(1/E343)*1000000)</f>
        <v>51.03082261686059</v>
      </c>
      <c r="L343" s="11">
        <f t="shared" ref="L343:L348" si="106">IF(F343="","",(1/F343)*1000000)</f>
        <v>171.14495978093444</v>
      </c>
      <c r="M343" s="11" t="str">
        <f t="shared" ref="M343:M348" si="107">IF(G343="","",(1/G343)*1000000)</f>
        <v/>
      </c>
      <c r="N343" s="11" t="str">
        <f t="shared" ref="N343:N348" si="108">IF(H343="","",(1/H343)*1000000)</f>
        <v/>
      </c>
      <c r="O343" s="29" t="str">
        <f t="shared" ref="O343:O348" si="109">IF(I343="","",(1/I343)*1000000)</f>
        <v/>
      </c>
    </row>
    <row r="344" spans="1:15" x14ac:dyDescent="0.25">
      <c r="A344" s="28" t="s">
        <v>10</v>
      </c>
      <c r="B344" s="9" t="s">
        <v>8</v>
      </c>
      <c r="C344" s="9" t="s">
        <v>11</v>
      </c>
      <c r="D344" s="24">
        <v>17553</v>
      </c>
      <c r="E344" s="24">
        <v>11264</v>
      </c>
      <c r="F344" s="24">
        <v>5000</v>
      </c>
      <c r="G344" s="10"/>
      <c r="H344" s="10"/>
      <c r="I344" s="10"/>
      <c r="J344" s="11" t="e">
        <f>IF(#REF!="","",(1/#REF!)*1000000)</f>
        <v>#REF!</v>
      </c>
      <c r="K344" s="11">
        <f t="shared" si="105"/>
        <v>88.778409090909093</v>
      </c>
      <c r="L344" s="11">
        <f t="shared" si="106"/>
        <v>200</v>
      </c>
      <c r="M344" s="11" t="str">
        <f t="shared" si="107"/>
        <v/>
      </c>
      <c r="N344" s="11" t="str">
        <f t="shared" si="108"/>
        <v/>
      </c>
      <c r="O344" s="29" t="str">
        <f t="shared" si="109"/>
        <v/>
      </c>
    </row>
    <row r="345" spans="1:15" x14ac:dyDescent="0.25">
      <c r="A345" s="30" t="s">
        <v>12</v>
      </c>
      <c r="B345" s="9" t="s">
        <v>13</v>
      </c>
      <c r="C345" s="9" t="s">
        <v>9</v>
      </c>
      <c r="D345" s="24">
        <v>39956</v>
      </c>
      <c r="E345" s="24">
        <v>17773</v>
      </c>
      <c r="F345" s="24">
        <v>5580</v>
      </c>
      <c r="G345" s="10"/>
      <c r="H345" s="10"/>
      <c r="I345" s="10"/>
      <c r="J345" s="11">
        <f t="shared" ref="J345" si="110">IF(D345="","",(1/D345)*1000000)</f>
        <v>25.027530283311641</v>
      </c>
      <c r="K345" s="11">
        <f t="shared" si="105"/>
        <v>56.265121251336296</v>
      </c>
      <c r="L345" s="11">
        <f t="shared" si="106"/>
        <v>179.21146953405017</v>
      </c>
      <c r="M345" s="11" t="str">
        <f t="shared" si="107"/>
        <v/>
      </c>
      <c r="N345" s="11" t="str">
        <f t="shared" si="108"/>
        <v/>
      </c>
      <c r="O345" s="29" t="str">
        <f t="shared" si="109"/>
        <v/>
      </c>
    </row>
    <row r="346" spans="1:15" x14ac:dyDescent="0.25">
      <c r="A346" s="30" t="s">
        <v>14</v>
      </c>
      <c r="B346" s="9" t="s">
        <v>13</v>
      </c>
      <c r="C346" s="9" t="s">
        <v>11</v>
      </c>
      <c r="D346" s="24">
        <v>17624</v>
      </c>
      <c r="E346" s="24">
        <v>11151</v>
      </c>
      <c r="F346" s="24">
        <v>4828</v>
      </c>
      <c r="G346" s="10"/>
      <c r="H346" s="10"/>
      <c r="I346" s="10"/>
      <c r="J346" s="11">
        <f>IF(D347="","",(1/D347)*1000000)</f>
        <v>72.249114948341884</v>
      </c>
      <c r="K346" s="11">
        <f t="shared" si="105"/>
        <v>89.678055779750693</v>
      </c>
      <c r="L346" s="11">
        <f t="shared" si="106"/>
        <v>207.12510356255177</v>
      </c>
      <c r="M346" s="11" t="str">
        <f t="shared" si="107"/>
        <v/>
      </c>
      <c r="N346" s="11" t="str">
        <f t="shared" si="108"/>
        <v/>
      </c>
      <c r="O346" s="29" t="str">
        <f t="shared" si="109"/>
        <v/>
      </c>
    </row>
    <row r="347" spans="1:15" x14ac:dyDescent="0.25">
      <c r="A347" s="30" t="s">
        <v>15</v>
      </c>
      <c r="B347" s="9" t="s">
        <v>16</v>
      </c>
      <c r="C347" s="9" t="s">
        <v>11</v>
      </c>
      <c r="D347" s="24">
        <v>13841</v>
      </c>
      <c r="E347" s="24">
        <v>9293</v>
      </c>
      <c r="F347" s="24">
        <v>4441</v>
      </c>
      <c r="G347" s="10"/>
      <c r="H347" s="10"/>
      <c r="I347" s="10"/>
      <c r="J347" s="11" t="e">
        <f>IF(#REF!="","",(1/#REF!)*1000000)</f>
        <v>#REF!</v>
      </c>
      <c r="K347" s="11">
        <f t="shared" si="105"/>
        <v>107.60787689658883</v>
      </c>
      <c r="L347" s="11">
        <f t="shared" si="106"/>
        <v>225.17451024544022</v>
      </c>
      <c r="M347" s="11" t="str">
        <f t="shared" si="107"/>
        <v/>
      </c>
      <c r="N347" s="11" t="str">
        <f t="shared" si="108"/>
        <v/>
      </c>
      <c r="O347" s="29" t="str">
        <f t="shared" si="109"/>
        <v/>
      </c>
    </row>
    <row r="348" spans="1:15" x14ac:dyDescent="0.25">
      <c r="A348" s="30" t="s">
        <v>17</v>
      </c>
      <c r="B348" s="8" t="s">
        <v>18</v>
      </c>
      <c r="C348" s="9" t="s">
        <v>11</v>
      </c>
      <c r="D348" s="24">
        <v>12936</v>
      </c>
      <c r="E348" s="24">
        <v>9246</v>
      </c>
      <c r="F348" s="24">
        <v>4441</v>
      </c>
      <c r="G348" s="10"/>
      <c r="H348" s="10"/>
      <c r="I348" s="10"/>
      <c r="J348" s="11">
        <f t="shared" ref="J348" si="111">IF(D348="","",(1/D348)*1000000)</f>
        <v>77.303648732220168</v>
      </c>
      <c r="K348" s="11">
        <f t="shared" si="105"/>
        <v>108.15487778498812</v>
      </c>
      <c r="L348" s="11">
        <f t="shared" si="106"/>
        <v>225.17451024544022</v>
      </c>
      <c r="M348" s="11" t="str">
        <f t="shared" si="107"/>
        <v/>
      </c>
      <c r="N348" s="11" t="str">
        <f t="shared" si="108"/>
        <v/>
      </c>
      <c r="O348" s="29" t="str">
        <f t="shared" si="109"/>
        <v/>
      </c>
    </row>
    <row r="349" spans="1:15" x14ac:dyDescent="0.25">
      <c r="A349" s="131" t="s">
        <v>139</v>
      </c>
      <c r="B349" s="102"/>
      <c r="C349" s="102"/>
      <c r="D349" s="102"/>
      <c r="E349" s="132"/>
      <c r="F349" s="132"/>
      <c r="G349" s="132"/>
      <c r="H349" s="132"/>
      <c r="I349" s="132"/>
      <c r="J349" s="19"/>
      <c r="K349" s="19"/>
      <c r="L349" s="19"/>
      <c r="M349" s="19"/>
      <c r="N349" s="19"/>
      <c r="O349" s="31"/>
    </row>
    <row r="350" spans="1:15" ht="18.75" x14ac:dyDescent="0.3">
      <c r="A350" s="124" t="s">
        <v>137</v>
      </c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125"/>
    </row>
    <row r="351" spans="1:15" x14ac:dyDescent="0.25">
      <c r="A351" s="122" t="s">
        <v>1</v>
      </c>
      <c r="B351" s="88"/>
      <c r="C351" s="89"/>
      <c r="D351" s="105" t="s">
        <v>19</v>
      </c>
      <c r="E351" s="106"/>
      <c r="F351" s="106"/>
      <c r="G351" s="106"/>
      <c r="H351" s="106"/>
      <c r="I351" s="107"/>
      <c r="J351" s="105" t="s">
        <v>22</v>
      </c>
      <c r="K351" s="106"/>
      <c r="L351" s="106"/>
      <c r="M351" s="106"/>
      <c r="N351" s="106"/>
      <c r="O351" s="123"/>
    </row>
    <row r="352" spans="1:15" x14ac:dyDescent="0.25">
      <c r="A352" s="26" t="s">
        <v>4</v>
      </c>
      <c r="B352" s="6" t="s">
        <v>5</v>
      </c>
      <c r="C352" s="6" t="s">
        <v>6</v>
      </c>
      <c r="D352" s="7">
        <v>1</v>
      </c>
      <c r="E352" s="7">
        <v>4</v>
      </c>
      <c r="F352" s="7">
        <v>16</v>
      </c>
      <c r="G352" s="7">
        <v>32</v>
      </c>
      <c r="H352" s="7">
        <v>64</v>
      </c>
      <c r="I352" s="7">
        <v>80</v>
      </c>
      <c r="J352" s="7">
        <v>1</v>
      </c>
      <c r="K352" s="7">
        <v>4</v>
      </c>
      <c r="L352" s="7">
        <v>16</v>
      </c>
      <c r="M352" s="7">
        <v>32</v>
      </c>
      <c r="N352" s="7">
        <v>64</v>
      </c>
      <c r="O352" s="27">
        <v>80</v>
      </c>
    </row>
    <row r="353" spans="1:15" x14ac:dyDescent="0.25">
      <c r="A353" s="28" t="s">
        <v>7</v>
      </c>
      <c r="B353" s="9" t="s">
        <v>8</v>
      </c>
      <c r="C353" s="9" t="s">
        <v>9</v>
      </c>
      <c r="D353" s="12">
        <f>IF(D343="","",(D343-'2016'!D5)/'2016'!D5)</f>
        <v>-5.7437407952871868E-2</v>
      </c>
      <c r="E353" s="12">
        <f>IF(E343="","",(E343-'2016'!E5)/'2016'!E5)</f>
        <v>-2.4783517467900865E-2</v>
      </c>
      <c r="F353" s="12">
        <f>IF(F343="","",(F343-'2016'!F5)/'2016'!F5)</f>
        <v>0</v>
      </c>
      <c r="G353" s="12" t="str">
        <f>IF(G343="","",(G343-#REF!)/#REF!)</f>
        <v/>
      </c>
      <c r="H353" s="12" t="str">
        <f>IF(H343="","",(H343-#REF!)/#REF!)</f>
        <v/>
      </c>
      <c r="I353" s="12" t="str">
        <f>IF(I343="","",(I343-#REF!)/#REF!)</f>
        <v/>
      </c>
      <c r="J353" s="11">
        <f>J343-'2015'!J373</f>
        <v>56.970318464080215</v>
      </c>
      <c r="K353" s="11">
        <f>K343-'2015'!K373</f>
        <v>51.03082261686059</v>
      </c>
      <c r="L353" s="11">
        <f>L343-'2015'!L373</f>
        <v>171.14495978093444</v>
      </c>
      <c r="M353" s="11" t="str">
        <f>IF(G353="","",M343-((1/Comparisons!#REF!)*1000000))</f>
        <v/>
      </c>
      <c r="N353" s="11" t="str">
        <f>IF(H353="","",N343-((1/Comparisons!#REF!)*1000000))</f>
        <v/>
      </c>
      <c r="O353" s="29" t="str">
        <f>IF(I353="","",O343-((1/Comparisons!#REF!)*1000000))</f>
        <v/>
      </c>
    </row>
    <row r="354" spans="1:15" x14ac:dyDescent="0.25">
      <c r="A354" s="28" t="s">
        <v>10</v>
      </c>
      <c r="B354" s="9" t="s">
        <v>8</v>
      </c>
      <c r="C354" s="9" t="s">
        <v>11</v>
      </c>
      <c r="D354" s="12">
        <f>IF(D344="","",(D344-'2016'!D6)/'2016'!D6)</f>
        <v>0.17694783424969826</v>
      </c>
      <c r="E354" s="12">
        <f>IF(E344="","",(E344-'2016'!E6)/'2016'!E6)</f>
        <v>3.9881831610044313E-2</v>
      </c>
      <c r="F354" s="12">
        <f>IF(F344="","",(F344-'2016'!F6)/'2016'!F6)</f>
        <v>4.668201800293071E-2</v>
      </c>
      <c r="G354" s="12" t="str">
        <f>IF(G344="","",(G344-#REF!)/#REF!)</f>
        <v/>
      </c>
      <c r="H354" s="12" t="str">
        <f>IF(H344="","",(H344-#REF!)/#REF!)</f>
        <v/>
      </c>
      <c r="I354" s="12" t="str">
        <f>IF(I344="","",(I344-#REF!)/#REF!)</f>
        <v/>
      </c>
      <c r="J354" s="11" t="e">
        <f>J344-'2015'!J374</f>
        <v>#REF!</v>
      </c>
      <c r="K354" s="11">
        <f>K344-'2015'!K374</f>
        <v>88.778409090909093</v>
      </c>
      <c r="L354" s="11">
        <f>L344-'2015'!L374</f>
        <v>200</v>
      </c>
      <c r="M354" s="11" t="str">
        <f>IF(G354="","",M344-((1/Comparisons!#REF!)*1000000))</f>
        <v/>
      </c>
      <c r="N354" s="11" t="str">
        <f>IF(H354="","",N344-((1/Comparisons!#REF!)*1000000))</f>
        <v/>
      </c>
      <c r="O354" s="29" t="str">
        <f>IF(I354="","",O344-((1/Comparisons!#REF!)*1000000))</f>
        <v/>
      </c>
    </row>
    <row r="355" spans="1:15" x14ac:dyDescent="0.25">
      <c r="A355" s="30" t="s">
        <v>12</v>
      </c>
      <c r="B355" s="9" t="s">
        <v>13</v>
      </c>
      <c r="C355" s="9" t="s">
        <v>9</v>
      </c>
      <c r="D355" s="12">
        <f>IF(D345="","",(D345-'2016'!D7)/'2016'!D7)</f>
        <v>-8.0054336564363504E-2</v>
      </c>
      <c r="E355" s="12">
        <f>IF(E345="","",(E345-'2016'!E7)/'2016'!E7)</f>
        <v>-3.118015808122104E-2</v>
      </c>
      <c r="F355" s="12">
        <f>IF(F345="","",(F345-'2016'!F7)/'2016'!F7)</f>
        <v>-1.0111761575306013E-2</v>
      </c>
      <c r="G355" s="12" t="str">
        <f>IF(G345="","",(G345-#REF!)/#REF!)</f>
        <v/>
      </c>
      <c r="H355" s="12" t="str">
        <f>IF(H345="","",(H345-#REF!)/#REF!)</f>
        <v/>
      </c>
      <c r="I355" s="12" t="str">
        <f>IF(I345="","",(I345-#REF!)/#REF!)</f>
        <v/>
      </c>
      <c r="J355" s="11">
        <f>J345-'2015'!J375</f>
        <v>25.027530283311641</v>
      </c>
      <c r="K355" s="11">
        <f>K345-'2015'!K375</f>
        <v>56.265121251336296</v>
      </c>
      <c r="L355" s="11">
        <f>L345-'2015'!L375</f>
        <v>179.21146953405017</v>
      </c>
      <c r="M355" s="11" t="str">
        <f>IF(G355="","",M345-((1/Comparisons!#REF!)*1000000))</f>
        <v/>
      </c>
      <c r="N355" s="11" t="str">
        <f>IF(H355="","",N345-((1/Comparisons!#REF!)*1000000))</f>
        <v/>
      </c>
      <c r="O355" s="29" t="str">
        <f>IF(I355="","",O345-((1/Comparisons!#REF!)*1000000))</f>
        <v/>
      </c>
    </row>
    <row r="356" spans="1:15" x14ac:dyDescent="0.25">
      <c r="A356" s="30" t="s">
        <v>14</v>
      </c>
      <c r="B356" s="9" t="s">
        <v>13</v>
      </c>
      <c r="C356" s="9" t="s">
        <v>11</v>
      </c>
      <c r="D356" s="12">
        <f>IF(D346="","",(D346-'2016'!D8)/'2016'!D8)</f>
        <v>0.22151372331577487</v>
      </c>
      <c r="E356" s="12">
        <f>IF(E346="","",(E346-'2016'!E8)/'2016'!E8)</f>
        <v>8.9603283173734616E-2</v>
      </c>
      <c r="F356" s="12">
        <f>IF(F346="","",(F346-'2016'!F8)/'2016'!F8)</f>
        <v>5.5531263664188896E-2</v>
      </c>
      <c r="G356" s="12" t="str">
        <f>IF(G346="","",(G346-#REF!)/#REF!)</f>
        <v/>
      </c>
      <c r="H356" s="12" t="str">
        <f>IF(H346="","",(H346-#REF!)/#REF!)</f>
        <v/>
      </c>
      <c r="I356" s="12" t="str">
        <f>IF(I346="","",(I346-#REF!)/#REF!)</f>
        <v/>
      </c>
      <c r="J356" s="11">
        <f>J346-'2015'!J376</f>
        <v>72.249114948341884</v>
      </c>
      <c r="K356" s="11">
        <f>K346-'2015'!K376</f>
        <v>89.678055779750693</v>
      </c>
      <c r="L356" s="11">
        <f>L346-'2015'!L376</f>
        <v>207.12510356255177</v>
      </c>
      <c r="M356" s="11" t="str">
        <f>IF(G356="","",M346-((1/Comparisons!#REF!)*1000000))</f>
        <v/>
      </c>
      <c r="N356" s="11" t="str">
        <f>IF(H356="","",N346-((1/Comparisons!#REF!)*1000000))</f>
        <v/>
      </c>
      <c r="O356" s="29" t="str">
        <f>IF(I356="","",O346-((1/Comparisons!#REF!)*1000000))</f>
        <v/>
      </c>
    </row>
    <row r="357" spans="1:15" x14ac:dyDescent="0.25">
      <c r="A357" s="30" t="s">
        <v>15</v>
      </c>
      <c r="B357" s="9" t="s">
        <v>16</v>
      </c>
      <c r="C357" s="9" t="s">
        <v>11</v>
      </c>
      <c r="D357" s="12">
        <f>IF(D347="","",(D347-'2016'!D9)/'2016'!D9)</f>
        <v>2.6247497590272114E-2</v>
      </c>
      <c r="E357" s="12">
        <f>IF(E347="","",(E347-'2016'!E9)/'2016'!E9)</f>
        <v>-7.9992079992079995E-2</v>
      </c>
      <c r="F357" s="12">
        <f>IF(F347="","",(F347-'2016'!F9)/'2016'!F9)</f>
        <v>-3.7703141928494041E-2</v>
      </c>
      <c r="G357" s="12" t="str">
        <f>IF(G347="","",(G347-#REF!)/#REF!)</f>
        <v/>
      </c>
      <c r="H357" s="12" t="str">
        <f>IF(H347="","",(H347-#REF!)/#REF!)</f>
        <v/>
      </c>
      <c r="I357" s="12" t="str">
        <f>IF(I347="","",(I347-#REF!)/#REF!)</f>
        <v/>
      </c>
      <c r="J357" s="11" t="e">
        <f>J347-'2015'!J377</f>
        <v>#REF!</v>
      </c>
      <c r="K357" s="11">
        <f>K347-'2015'!K377</f>
        <v>107.60787689658883</v>
      </c>
      <c r="L357" s="11">
        <f>L347-'2015'!L377</f>
        <v>225.17451024544022</v>
      </c>
      <c r="M357" s="11" t="str">
        <f>IF(G357="","",M347-((1/Comparisons!#REF!)*1000000))</f>
        <v/>
      </c>
      <c r="N357" s="11" t="str">
        <f>IF(H357="","",N347-((1/Comparisons!#REF!)*1000000))</f>
        <v/>
      </c>
      <c r="O357" s="29" t="str">
        <f>IF(I357="","",O347-((1/Comparisons!#REF!)*1000000))</f>
        <v/>
      </c>
    </row>
    <row r="358" spans="1:15" ht="15.75" thickBot="1" x14ac:dyDescent="0.3">
      <c r="A358" s="32" t="s">
        <v>17</v>
      </c>
      <c r="B358" s="33" t="s">
        <v>18</v>
      </c>
      <c r="C358" s="34" t="s">
        <v>11</v>
      </c>
      <c r="D358" s="12">
        <f>IF(D348="","",(D348-'2016'!D10)/'2016'!D10)</f>
        <v>4.6432616081540201E-2</v>
      </c>
      <c r="E358" s="12">
        <f>IF(E348="","",(E348-'2016'!E10)/'2016'!E10)</f>
        <v>-8.0091533180778038E-2</v>
      </c>
      <c r="F358" s="12">
        <f>IF(F348="","",(F348-'2016'!F10)/'2016'!F10)</f>
        <v>-4.3094160741219564E-2</v>
      </c>
      <c r="G358" s="35" t="str">
        <f>IF(G348="","",(G348-#REF!)/#REF!)</f>
        <v/>
      </c>
      <c r="H358" s="35" t="str">
        <f>IF(H348="","",(H348-#REF!)/#REF!)</f>
        <v/>
      </c>
      <c r="I358" s="35" t="str">
        <f>IF(I348="","",(I348-#REF!)/#REF!)</f>
        <v/>
      </c>
      <c r="J358" s="36">
        <f>J348-'2015'!J378</f>
        <v>77.303648732220168</v>
      </c>
      <c r="K358" s="36">
        <f>K348-'2015'!K378</f>
        <v>108.15487778498812</v>
      </c>
      <c r="L358" s="36">
        <f>L348-'2015'!L378</f>
        <v>225.17451024544022</v>
      </c>
      <c r="M358" s="36" t="str">
        <f>IF(G358="","",M348-((1/Comparisons!#REF!)*1000000))</f>
        <v/>
      </c>
      <c r="N358" s="36" t="str">
        <f>IF(H358="","",N348-((1/Comparisons!#REF!)*1000000))</f>
        <v/>
      </c>
      <c r="O358" s="37" t="str">
        <f>IF(I358="","",O348-((1/Comparisons!#REF!)*1000000))</f>
        <v/>
      </c>
    </row>
    <row r="359" spans="1:15" ht="18.75" x14ac:dyDescent="0.3">
      <c r="A359" s="124" t="s">
        <v>136</v>
      </c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125"/>
    </row>
    <row r="360" spans="1:15" x14ac:dyDescent="0.25">
      <c r="A360" s="122" t="s">
        <v>1</v>
      </c>
      <c r="B360" s="88"/>
      <c r="C360" s="89"/>
      <c r="D360" s="105" t="s">
        <v>19</v>
      </c>
      <c r="E360" s="106"/>
      <c r="F360" s="106"/>
      <c r="G360" s="106"/>
      <c r="H360" s="106"/>
      <c r="I360" s="107"/>
      <c r="J360" s="105" t="s">
        <v>22</v>
      </c>
      <c r="K360" s="106"/>
      <c r="L360" s="106"/>
      <c r="M360" s="106"/>
      <c r="N360" s="106"/>
      <c r="O360" s="123"/>
    </row>
    <row r="361" spans="1:15" x14ac:dyDescent="0.25">
      <c r="A361" s="26" t="s">
        <v>4</v>
      </c>
      <c r="B361" s="6" t="s">
        <v>5</v>
      </c>
      <c r="C361" s="6" t="s">
        <v>6</v>
      </c>
      <c r="D361" s="7">
        <v>1</v>
      </c>
      <c r="E361" s="7">
        <v>4</v>
      </c>
      <c r="F361" s="7">
        <v>16</v>
      </c>
      <c r="G361" s="7">
        <v>32</v>
      </c>
      <c r="H361" s="7">
        <v>64</v>
      </c>
      <c r="I361" s="7">
        <v>80</v>
      </c>
      <c r="J361" s="7">
        <v>1</v>
      </c>
      <c r="K361" s="7">
        <v>4</v>
      </c>
      <c r="L361" s="7">
        <v>16</v>
      </c>
      <c r="M361" s="7">
        <v>32</v>
      </c>
      <c r="N361" s="7">
        <v>64</v>
      </c>
      <c r="O361" s="27">
        <v>80</v>
      </c>
    </row>
    <row r="362" spans="1:15" x14ac:dyDescent="0.25">
      <c r="A362" s="28" t="s">
        <v>7</v>
      </c>
      <c r="B362" s="9" t="s">
        <v>8</v>
      </c>
      <c r="C362" s="9" t="s">
        <v>9</v>
      </c>
      <c r="D362" s="12">
        <f>IF(D343="","",(D343-'2016'!D298)/'2016'!D298)</f>
        <v>-4.6458079371529189E-2</v>
      </c>
      <c r="E362" s="12">
        <f>IF(E343="","",(E343-'2016'!E298)/'2016'!E298)</f>
        <v>-8.8012139605462818E-3</v>
      </c>
      <c r="F362" s="12">
        <f>IF(F343="","",(F343-'2016'!F298)/'2016'!F298)</f>
        <v>1.027925304094569E-3</v>
      </c>
      <c r="G362" s="12" t="str">
        <f>IF(G343="","",(G343-'2016'!G327)/'2016'!G327)</f>
        <v/>
      </c>
      <c r="H362" s="12" t="str">
        <f>IF(H343="","",(H343-'2016'!H327)/'2016'!H327)</f>
        <v/>
      </c>
      <c r="I362" s="12" t="str">
        <f>IF(I343="","",(I343-'2016'!I327)/'2016'!I327)</f>
        <v/>
      </c>
      <c r="J362" s="11">
        <f>J352-'2015'!J382</f>
        <v>1</v>
      </c>
      <c r="K362" s="11">
        <f>K352-'2015'!K382</f>
        <v>4</v>
      </c>
      <c r="L362" s="11">
        <f>L352-'2015'!L382</f>
        <v>16</v>
      </c>
      <c r="M362" s="11" t="str">
        <f>IF(G362="","",M352-((1/Comparisons!#REF!)*1000000))</f>
        <v/>
      </c>
      <c r="N362" s="11" t="str">
        <f>IF(H362="","",N352-((1/Comparisons!#REF!)*1000000))</f>
        <v/>
      </c>
      <c r="O362" s="29" t="str">
        <f>IF(I362="","",O352-((1/Comparisons!#REF!)*1000000))</f>
        <v/>
      </c>
    </row>
    <row r="363" spans="1:15" x14ac:dyDescent="0.25">
      <c r="A363" s="28" t="s">
        <v>10</v>
      </c>
      <c r="B363" s="9" t="s">
        <v>8</v>
      </c>
      <c r="C363" s="9" t="s">
        <v>11</v>
      </c>
      <c r="D363" s="12">
        <f>IF(D344="","",(D344-'2016'!D299)/'2016'!D299)</f>
        <v>0.2244855249389606</v>
      </c>
      <c r="E363" s="12">
        <f>IF(E344="","",(E344-'2016'!E299)/'2016'!E299)</f>
        <v>8.0272369809149327E-2</v>
      </c>
      <c r="F363" s="12">
        <f>IF(F344="","",(F344-'2016'!F299)/'2016'!F299)</f>
        <v>6.08953957139826E-2</v>
      </c>
      <c r="G363" s="12" t="str">
        <f>IF(G353="","",(G353-#REF!)/#REF!)</f>
        <v/>
      </c>
      <c r="H363" s="12" t="str">
        <f>IF(H353="","",(H353-#REF!)/#REF!)</f>
        <v/>
      </c>
      <c r="I363" s="12" t="str">
        <f>IF(I353="","",(I353-#REF!)/#REF!)</f>
        <v/>
      </c>
      <c r="J363" s="11">
        <f>J353-'2015'!J383</f>
        <v>56.970318464080215</v>
      </c>
      <c r="K363" s="11">
        <f>K353-'2015'!K383</f>
        <v>51.03082261686059</v>
      </c>
      <c r="L363" s="11">
        <f>L353-'2015'!L383</f>
        <v>171.14495978093444</v>
      </c>
      <c r="M363" s="11" t="str">
        <f>IF(G363="","",M353-((1/Comparisons!#REF!)*1000000))</f>
        <v/>
      </c>
      <c r="N363" s="11" t="str">
        <f>IF(H363="","",N353-((1/Comparisons!#REF!)*1000000))</f>
        <v/>
      </c>
      <c r="O363" s="29" t="str">
        <f>IF(I363="","",O353-((1/Comparisons!#REF!)*1000000))</f>
        <v/>
      </c>
    </row>
    <row r="364" spans="1:15" x14ac:dyDescent="0.25">
      <c r="A364" s="30" t="s">
        <v>12</v>
      </c>
      <c r="B364" s="9" t="s">
        <v>13</v>
      </c>
      <c r="C364" s="9" t="s">
        <v>9</v>
      </c>
      <c r="D364" s="12">
        <f>IF(D345="","",(D345-'2016'!D300)/'2016'!D300)</f>
        <v>-7.4471288596511545E-2</v>
      </c>
      <c r="E364" s="12">
        <f>IF(E345="","",(E345-'2016'!E300)/'2016'!E300)</f>
        <v>-2.6350388955845294E-2</v>
      </c>
      <c r="F364" s="12">
        <f>IF(F345="","",(F345-'2016'!F300)/'2016'!F300)</f>
        <v>-6.5871461634324372E-3</v>
      </c>
      <c r="G364" s="12" t="str">
        <f>IF(G354="","",(G354-#REF!)/#REF!)</f>
        <v/>
      </c>
      <c r="H364" s="12" t="str">
        <f>IF(H354="","",(H354-#REF!)/#REF!)</f>
        <v/>
      </c>
      <c r="I364" s="12" t="str">
        <f>IF(I354="","",(I354-#REF!)/#REF!)</f>
        <v/>
      </c>
      <c r="J364" s="11" t="e">
        <f>J354-'2015'!J384</f>
        <v>#REF!</v>
      </c>
      <c r="K364" s="11">
        <f>K354-'2015'!K384</f>
        <v>88.778409090909093</v>
      </c>
      <c r="L364" s="11">
        <f>L354-'2015'!L384</f>
        <v>200</v>
      </c>
      <c r="M364" s="11" t="str">
        <f>IF(G364="","",M354-((1/Comparisons!#REF!)*1000000))</f>
        <v/>
      </c>
      <c r="N364" s="11" t="str">
        <f>IF(H364="","",N354-((1/Comparisons!#REF!)*1000000))</f>
        <v/>
      </c>
      <c r="O364" s="29" t="str">
        <f>IF(I364="","",O354-((1/Comparisons!#REF!)*1000000))</f>
        <v/>
      </c>
    </row>
    <row r="365" spans="1:15" x14ac:dyDescent="0.25">
      <c r="A365" s="30" t="s">
        <v>14</v>
      </c>
      <c r="B365" s="9" t="s">
        <v>13</v>
      </c>
      <c r="C365" s="9" t="s">
        <v>11</v>
      </c>
      <c r="D365" s="12">
        <f>IF(D346="","",(D346-'2016'!D301)/'2016'!D301)</f>
        <v>0.19137429865476915</v>
      </c>
      <c r="E365" s="12">
        <f>IF(E346="","",(E346-'2016'!E301)/'2016'!E301)</f>
        <v>9.9053814311058544E-2</v>
      </c>
      <c r="F365" s="12">
        <f>IF(F346="","",(F346-'2016'!F301)/'2016'!F301)</f>
        <v>6.1332160914486698E-2</v>
      </c>
      <c r="G365" s="12" t="str">
        <f>IF(G355="","",(G355-#REF!)/#REF!)</f>
        <v/>
      </c>
      <c r="H365" s="12" t="str">
        <f>IF(H355="","",(H355-#REF!)/#REF!)</f>
        <v/>
      </c>
      <c r="I365" s="12" t="str">
        <f>IF(I355="","",(I355-#REF!)/#REF!)</f>
        <v/>
      </c>
      <c r="J365" s="11">
        <f>J355-'2015'!J385</f>
        <v>25.027530283311641</v>
      </c>
      <c r="K365" s="11">
        <f>K355-'2015'!K385</f>
        <v>56.265121251336296</v>
      </c>
      <c r="L365" s="11">
        <f>L355-'2015'!L385</f>
        <v>179.21146953405017</v>
      </c>
      <c r="M365" s="11" t="str">
        <f>IF(G365="","",M355-((1/Comparisons!#REF!)*1000000))</f>
        <v/>
      </c>
      <c r="N365" s="11" t="str">
        <f>IF(H365="","",N355-((1/Comparisons!#REF!)*1000000))</f>
        <v/>
      </c>
      <c r="O365" s="29" t="str">
        <f>IF(I365="","",O355-((1/Comparisons!#REF!)*1000000))</f>
        <v/>
      </c>
    </row>
    <row r="366" spans="1:15" x14ac:dyDescent="0.25">
      <c r="A366" s="30" t="s">
        <v>15</v>
      </c>
      <c r="B366" s="9" t="s">
        <v>16</v>
      </c>
      <c r="C366" s="9" t="s">
        <v>11</v>
      </c>
      <c r="D366" s="12">
        <f>IF(D347="","",(D347-'2016'!D302)/'2016'!D302)</f>
        <v>8.6420722135007844E-2</v>
      </c>
      <c r="E366" s="12">
        <f>IF(E347="","",(E347-'2016'!E302)/'2016'!E302)</f>
        <v>-6.6499246609743851E-2</v>
      </c>
      <c r="F366" s="12">
        <f>IF(F347="","",(F347-'2016'!F302)/'2016'!F302)</f>
        <v>-3.8536479757523272E-2</v>
      </c>
      <c r="G366" s="12" t="str">
        <f>IF(G356="","",(G356-#REF!)/#REF!)</f>
        <v/>
      </c>
      <c r="H366" s="12" t="str">
        <f>IF(H356="","",(H356-#REF!)/#REF!)</f>
        <v/>
      </c>
      <c r="I366" s="12" t="str">
        <f>IF(I356="","",(I356-#REF!)/#REF!)</f>
        <v/>
      </c>
      <c r="J366" s="11">
        <f>J356-'2015'!J386</f>
        <v>72.249114948341884</v>
      </c>
      <c r="K366" s="11">
        <f>K356-'2015'!K386</f>
        <v>89.678055779750693</v>
      </c>
      <c r="L366" s="11">
        <f>L356-'2015'!L386</f>
        <v>207.12510356255177</v>
      </c>
      <c r="M366" s="11" t="str">
        <f>IF(G366="","",M356-((1/Comparisons!#REF!)*1000000))</f>
        <v/>
      </c>
      <c r="N366" s="11" t="str">
        <f>IF(H366="","",N356-((1/Comparisons!#REF!)*1000000))</f>
        <v/>
      </c>
      <c r="O366" s="29" t="str">
        <f>IF(I366="","",O356-((1/Comparisons!#REF!)*1000000))</f>
        <v/>
      </c>
    </row>
    <row r="367" spans="1:15" ht="15.75" thickBot="1" x14ac:dyDescent="0.3">
      <c r="A367" s="32" t="s">
        <v>17</v>
      </c>
      <c r="B367" s="33" t="s">
        <v>18</v>
      </c>
      <c r="C367" s="34" t="s">
        <v>11</v>
      </c>
      <c r="D367" s="12">
        <f>IF(D348="","",(D348-'2016'!D303)/'2016'!D303)</f>
        <v>6.9267647545048772E-2</v>
      </c>
      <c r="E367" s="12">
        <f>IF(E348="","",(E348-'2016'!E303)/'2016'!E303)</f>
        <v>-7.028657616892911E-2</v>
      </c>
      <c r="F367" s="12">
        <f>IF(F348="","",(F348-'2016'!F303)/'2016'!F303)</f>
        <v>-4.3094160741219564E-2</v>
      </c>
      <c r="G367" s="35" t="str">
        <f>IF(G357="","",(G357-#REF!)/#REF!)</f>
        <v/>
      </c>
      <c r="H367" s="35" t="str">
        <f>IF(H357="","",(H357-#REF!)/#REF!)</f>
        <v/>
      </c>
      <c r="I367" s="35" t="str">
        <f>IF(I357="","",(I357-#REF!)/#REF!)</f>
        <v/>
      </c>
      <c r="J367" s="36" t="e">
        <f>J357-'2015'!J387</f>
        <v>#REF!</v>
      </c>
      <c r="K367" s="36">
        <f>K357-'2015'!K387</f>
        <v>107.60787689658883</v>
      </c>
      <c r="L367" s="36">
        <f>L357-'2015'!L387</f>
        <v>225.17451024544022</v>
      </c>
      <c r="M367" s="36" t="str">
        <f>IF(G367="","",M357-((1/Comparisons!#REF!)*1000000))</f>
        <v/>
      </c>
      <c r="N367" s="36" t="str">
        <f>IF(H367="","",N357-((1/Comparisons!#REF!)*1000000))</f>
        <v/>
      </c>
      <c r="O367" s="37" t="str">
        <f>IF(I367="","",O357-((1/Comparisons!#REF!)*1000000))</f>
        <v/>
      </c>
    </row>
    <row r="368" spans="1:15" ht="18.75" x14ac:dyDescent="0.25">
      <c r="A368" s="126" t="s">
        <v>93</v>
      </c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</row>
    <row r="369" spans="1:15" ht="15.75" x14ac:dyDescent="0.25">
      <c r="A369" s="129" t="s">
        <v>140</v>
      </c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130"/>
    </row>
    <row r="370" spans="1:15" x14ac:dyDescent="0.25">
      <c r="A370" s="122" t="s">
        <v>1</v>
      </c>
      <c r="B370" s="88"/>
      <c r="C370" s="89"/>
      <c r="D370" s="105" t="s">
        <v>2</v>
      </c>
      <c r="E370" s="106"/>
      <c r="F370" s="106"/>
      <c r="G370" s="106"/>
      <c r="H370" s="106"/>
      <c r="I370" s="107"/>
      <c r="J370" s="105" t="s">
        <v>3</v>
      </c>
      <c r="K370" s="106"/>
      <c r="L370" s="106"/>
      <c r="M370" s="106"/>
      <c r="N370" s="106"/>
      <c r="O370" s="123"/>
    </row>
    <row r="371" spans="1:15" x14ac:dyDescent="0.25">
      <c r="A371" s="26" t="s">
        <v>26</v>
      </c>
      <c r="B371" s="6" t="s">
        <v>5</v>
      </c>
      <c r="C371" s="6" t="s">
        <v>6</v>
      </c>
      <c r="D371" s="7">
        <v>1</v>
      </c>
      <c r="E371" s="7">
        <v>4</v>
      </c>
      <c r="F371" s="7">
        <v>16</v>
      </c>
      <c r="G371" s="7">
        <v>32</v>
      </c>
      <c r="H371" s="7">
        <v>64</v>
      </c>
      <c r="I371" s="7">
        <v>80</v>
      </c>
      <c r="J371" s="7">
        <v>1</v>
      </c>
      <c r="K371" s="7">
        <v>4</v>
      </c>
      <c r="L371" s="7">
        <v>16</v>
      </c>
      <c r="M371" s="7">
        <v>32</v>
      </c>
      <c r="N371" s="7">
        <v>64</v>
      </c>
      <c r="O371" s="27">
        <v>80</v>
      </c>
    </row>
    <row r="372" spans="1:15" x14ac:dyDescent="0.25">
      <c r="A372" s="28" t="s">
        <v>7</v>
      </c>
      <c r="B372" s="9" t="s">
        <v>8</v>
      </c>
      <c r="C372" s="9" t="s">
        <v>9</v>
      </c>
      <c r="D372" s="24">
        <v>42786</v>
      </c>
      <c r="E372" s="24">
        <v>19733</v>
      </c>
      <c r="F372" s="24">
        <v>5837</v>
      </c>
      <c r="G372" s="10"/>
      <c r="H372" s="10"/>
      <c r="I372" s="10"/>
      <c r="J372" s="11">
        <f>IF(D373="","",(1/D373)*1000000)</f>
        <v>60.208320789933168</v>
      </c>
      <c r="K372" s="11">
        <f t="shared" ref="K372:K377" si="112">IF(E372="","",(1/E372)*1000000)</f>
        <v>50.676531698170578</v>
      </c>
      <c r="L372" s="11">
        <f t="shared" ref="L372:L377" si="113">IF(F372="","",(1/F372)*1000000)</f>
        <v>171.32088401576152</v>
      </c>
      <c r="M372" s="11" t="str">
        <f t="shared" ref="M372:M377" si="114">IF(G372="","",(1/G372)*1000000)</f>
        <v/>
      </c>
      <c r="N372" s="11" t="str">
        <f t="shared" ref="N372:N377" si="115">IF(H372="","",(1/H372)*1000000)</f>
        <v/>
      </c>
      <c r="O372" s="29" t="str">
        <f t="shared" ref="O372:O377" si="116">IF(I372="","",(1/I372)*1000000)</f>
        <v/>
      </c>
    </row>
    <row r="373" spans="1:15" x14ac:dyDescent="0.25">
      <c r="A373" s="28" t="s">
        <v>10</v>
      </c>
      <c r="B373" s="9" t="s">
        <v>8</v>
      </c>
      <c r="C373" s="9" t="s">
        <v>11</v>
      </c>
      <c r="D373" s="24">
        <v>16609</v>
      </c>
      <c r="E373" s="24">
        <v>11514</v>
      </c>
      <c r="F373" s="24">
        <v>4993</v>
      </c>
      <c r="G373" s="10"/>
      <c r="H373" s="10"/>
      <c r="I373" s="10"/>
      <c r="J373" s="11" t="e">
        <f>IF(#REF!="","",(1/#REF!)*1000000)</f>
        <v>#REF!</v>
      </c>
      <c r="K373" s="11">
        <f t="shared" si="112"/>
        <v>86.850790342192127</v>
      </c>
      <c r="L373" s="11">
        <f t="shared" si="113"/>
        <v>200.2803925495694</v>
      </c>
      <c r="M373" s="11" t="str">
        <f t="shared" si="114"/>
        <v/>
      </c>
      <c r="N373" s="11" t="str">
        <f t="shared" si="115"/>
        <v/>
      </c>
      <c r="O373" s="29" t="str">
        <f t="shared" si="116"/>
        <v/>
      </c>
    </row>
    <row r="374" spans="1:15" x14ac:dyDescent="0.25">
      <c r="A374" s="30" t="s">
        <v>12</v>
      </c>
      <c r="B374" s="9" t="s">
        <v>13</v>
      </c>
      <c r="C374" s="9" t="s">
        <v>9</v>
      </c>
      <c r="D374" s="24">
        <v>39956</v>
      </c>
      <c r="E374" s="24">
        <v>18021</v>
      </c>
      <c r="F374" s="24">
        <v>5580</v>
      </c>
      <c r="G374" s="10"/>
      <c r="H374" s="10"/>
      <c r="I374" s="10"/>
      <c r="J374" s="11">
        <f t="shared" ref="J374" si="117">IF(D374="","",(1/D374)*1000000)</f>
        <v>25.027530283311641</v>
      </c>
      <c r="K374" s="11">
        <f t="shared" si="112"/>
        <v>55.490816269907334</v>
      </c>
      <c r="L374" s="11">
        <f t="shared" si="113"/>
        <v>179.21146953405017</v>
      </c>
      <c r="M374" s="11" t="str">
        <f t="shared" si="114"/>
        <v/>
      </c>
      <c r="N374" s="11" t="str">
        <f t="shared" si="115"/>
        <v/>
      </c>
      <c r="O374" s="29" t="str">
        <f t="shared" si="116"/>
        <v/>
      </c>
    </row>
    <row r="375" spans="1:15" x14ac:dyDescent="0.25">
      <c r="A375" s="30" t="s">
        <v>14</v>
      </c>
      <c r="B375" s="9" t="s">
        <v>13</v>
      </c>
      <c r="C375" s="9" t="s">
        <v>11</v>
      </c>
      <c r="D375" s="24">
        <v>17891</v>
      </c>
      <c r="E375" s="24">
        <v>11099</v>
      </c>
      <c r="F375" s="24">
        <v>4813</v>
      </c>
      <c r="G375" s="10"/>
      <c r="H375" s="10"/>
      <c r="I375" s="10"/>
      <c r="J375" s="11">
        <f>IF(D376="","",(1/D376)*1000000)</f>
        <v>72.611094975312227</v>
      </c>
      <c r="K375" s="11">
        <f t="shared" si="112"/>
        <v>90.098207045679786</v>
      </c>
      <c r="L375" s="11">
        <f t="shared" si="113"/>
        <v>207.77062123415749</v>
      </c>
      <c r="M375" s="11" t="str">
        <f t="shared" si="114"/>
        <v/>
      </c>
      <c r="N375" s="11" t="str">
        <f t="shared" si="115"/>
        <v/>
      </c>
      <c r="O375" s="29" t="str">
        <f t="shared" si="116"/>
        <v/>
      </c>
    </row>
    <row r="376" spans="1:15" x14ac:dyDescent="0.25">
      <c r="A376" s="30" t="s">
        <v>15</v>
      </c>
      <c r="B376" s="9" t="s">
        <v>16</v>
      </c>
      <c r="C376" s="9" t="s">
        <v>11</v>
      </c>
      <c r="D376" s="24">
        <v>13772</v>
      </c>
      <c r="E376" s="24">
        <v>10735</v>
      </c>
      <c r="F376" s="24">
        <v>4437</v>
      </c>
      <c r="G376" s="10"/>
      <c r="H376" s="10"/>
      <c r="I376" s="10"/>
      <c r="J376" s="11" t="e">
        <f>IF(#REF!="","",(1/#REF!)*1000000)</f>
        <v>#REF!</v>
      </c>
      <c r="K376" s="11">
        <f t="shared" si="112"/>
        <v>93.153237074988354</v>
      </c>
      <c r="L376" s="11">
        <f t="shared" si="113"/>
        <v>225.377507324769</v>
      </c>
      <c r="M376" s="11" t="str">
        <f t="shared" si="114"/>
        <v/>
      </c>
      <c r="N376" s="11" t="str">
        <f t="shared" si="115"/>
        <v/>
      </c>
      <c r="O376" s="29" t="str">
        <f t="shared" si="116"/>
        <v/>
      </c>
    </row>
    <row r="377" spans="1:15" x14ac:dyDescent="0.25">
      <c r="A377" s="30" t="s">
        <v>17</v>
      </c>
      <c r="B377" s="8" t="s">
        <v>18</v>
      </c>
      <c r="C377" s="9" t="s">
        <v>11</v>
      </c>
      <c r="D377" s="24">
        <v>12740</v>
      </c>
      <c r="E377" s="24">
        <v>9293</v>
      </c>
      <c r="F377" s="24">
        <v>4415</v>
      </c>
      <c r="G377" s="10"/>
      <c r="H377" s="10"/>
      <c r="I377" s="10"/>
      <c r="J377" s="11">
        <f t="shared" ref="J377" si="118">IF(D377="","",(1/D377)*1000000)</f>
        <v>78.492935635792776</v>
      </c>
      <c r="K377" s="11">
        <f t="shared" si="112"/>
        <v>107.60787689658883</v>
      </c>
      <c r="L377" s="11">
        <f t="shared" si="113"/>
        <v>226.50056625141562</v>
      </c>
      <c r="M377" s="11" t="str">
        <f t="shared" si="114"/>
        <v/>
      </c>
      <c r="N377" s="11" t="str">
        <f t="shared" si="115"/>
        <v/>
      </c>
      <c r="O377" s="29" t="str">
        <f t="shared" si="116"/>
        <v/>
      </c>
    </row>
    <row r="378" spans="1:15" x14ac:dyDescent="0.25">
      <c r="A378" s="131" t="s">
        <v>139</v>
      </c>
      <c r="B378" s="102"/>
      <c r="C378" s="102"/>
      <c r="D378" s="102"/>
      <c r="E378" s="132"/>
      <c r="F378" s="132"/>
      <c r="G378" s="132"/>
      <c r="H378" s="132"/>
      <c r="I378" s="132"/>
      <c r="J378" s="19"/>
      <c r="K378" s="19"/>
      <c r="L378" s="19"/>
      <c r="M378" s="19"/>
      <c r="N378" s="19"/>
      <c r="O378" s="31"/>
    </row>
    <row r="379" spans="1:15" ht="18.75" x14ac:dyDescent="0.3">
      <c r="A379" s="124" t="s">
        <v>137</v>
      </c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125"/>
    </row>
    <row r="380" spans="1:15" x14ac:dyDescent="0.25">
      <c r="A380" s="122" t="s">
        <v>1</v>
      </c>
      <c r="B380" s="88"/>
      <c r="C380" s="89"/>
      <c r="D380" s="105" t="s">
        <v>19</v>
      </c>
      <c r="E380" s="106"/>
      <c r="F380" s="106"/>
      <c r="G380" s="106"/>
      <c r="H380" s="106"/>
      <c r="I380" s="107"/>
      <c r="J380" s="105" t="s">
        <v>22</v>
      </c>
      <c r="K380" s="106"/>
      <c r="L380" s="106"/>
      <c r="M380" s="106"/>
      <c r="N380" s="106"/>
      <c r="O380" s="123"/>
    </row>
    <row r="381" spans="1:15" x14ac:dyDescent="0.25">
      <c r="A381" s="26" t="s">
        <v>4</v>
      </c>
      <c r="B381" s="6" t="s">
        <v>5</v>
      </c>
      <c r="C381" s="6" t="s">
        <v>6</v>
      </c>
      <c r="D381" s="7">
        <v>1</v>
      </c>
      <c r="E381" s="7">
        <v>4</v>
      </c>
      <c r="F381" s="7">
        <v>16</v>
      </c>
      <c r="G381" s="7">
        <v>32</v>
      </c>
      <c r="H381" s="7">
        <v>64</v>
      </c>
      <c r="I381" s="7">
        <v>80</v>
      </c>
      <c r="J381" s="7">
        <v>1</v>
      </c>
      <c r="K381" s="7">
        <v>4</v>
      </c>
      <c r="L381" s="7">
        <v>16</v>
      </c>
      <c r="M381" s="7">
        <v>32</v>
      </c>
      <c r="N381" s="7">
        <v>64</v>
      </c>
      <c r="O381" s="27">
        <v>80</v>
      </c>
    </row>
    <row r="382" spans="1:15" x14ac:dyDescent="0.25">
      <c r="A382" s="28" t="s">
        <v>7</v>
      </c>
      <c r="B382" s="9" t="s">
        <v>8</v>
      </c>
      <c r="C382" s="9" t="s">
        <v>9</v>
      </c>
      <c r="D382" s="12">
        <f>IF(D372="","",(D372-'2016'!D5)/'2016'!D5)</f>
        <v>-4.5253715356808139E-2</v>
      </c>
      <c r="E382" s="12">
        <f>IF(E372="","",(E372-'2016'!E5)/'2016'!E5)</f>
        <v>-1.7965561859261472E-2</v>
      </c>
      <c r="F382" s="12">
        <f>IF(F372="","",(F372-'2016'!F5)/'2016'!F5)</f>
        <v>-1.0268697586856067E-3</v>
      </c>
      <c r="G382" s="12" t="str">
        <f>IF(G372="","",(G372-#REF!)/#REF!)</f>
        <v/>
      </c>
      <c r="H382" s="12" t="str">
        <f>IF(H372="","",(H372-#REF!)/#REF!)</f>
        <v/>
      </c>
      <c r="I382" s="12" t="str">
        <f>IF(I372="","",(I372-#REF!)/#REF!)</f>
        <v/>
      </c>
      <c r="J382" s="11">
        <f>J372-'2015'!J402</f>
        <v>60.208320789933168</v>
      </c>
      <c r="K382" s="11">
        <f>K372-'2015'!K402</f>
        <v>50.676531698170578</v>
      </c>
      <c r="L382" s="11">
        <f>L372-'2015'!L402</f>
        <v>171.32088401576152</v>
      </c>
      <c r="M382" s="11" t="str">
        <f>IF(G382="","",M372-((1/Comparisons!#REF!)*1000000))</f>
        <v/>
      </c>
      <c r="N382" s="11" t="str">
        <f>IF(H382="","",N372-((1/Comparisons!#REF!)*1000000))</f>
        <v/>
      </c>
      <c r="O382" s="29" t="str">
        <f>IF(I382="","",O372-((1/Comparisons!#REF!)*1000000))</f>
        <v/>
      </c>
    </row>
    <row r="383" spans="1:15" x14ac:dyDescent="0.25">
      <c r="A383" s="28" t="s">
        <v>10</v>
      </c>
      <c r="B383" s="9" t="s">
        <v>8</v>
      </c>
      <c r="C383" s="9" t="s">
        <v>11</v>
      </c>
      <c r="D383" s="12">
        <f>IF(D373="","",(D373-'2016'!D6)/'2016'!D6)</f>
        <v>0.1136516025211211</v>
      </c>
      <c r="E383" s="12">
        <f>IF(E373="","",(E373-'2016'!E6)/'2016'!E6)</f>
        <v>6.2961595273264406E-2</v>
      </c>
      <c r="F383" s="12">
        <f>IF(F373="","",(F373-'2016'!F6)/'2016'!F6)</f>
        <v>4.5216663177726608E-2</v>
      </c>
      <c r="G383" s="12" t="str">
        <f>IF(G373="","",(G373-#REF!)/#REF!)</f>
        <v/>
      </c>
      <c r="H383" s="12" t="str">
        <f>IF(H373="","",(H373-#REF!)/#REF!)</f>
        <v/>
      </c>
      <c r="I383" s="12" t="str">
        <f>IF(I373="","",(I373-#REF!)/#REF!)</f>
        <v/>
      </c>
      <c r="J383" s="11" t="e">
        <f>J373-'2015'!J403</f>
        <v>#REF!</v>
      </c>
      <c r="K383" s="11">
        <f>K373-'2015'!K403</f>
        <v>86.850790342192127</v>
      </c>
      <c r="L383" s="11">
        <f>L373-'2015'!L403</f>
        <v>200.2803925495694</v>
      </c>
      <c r="M383" s="11" t="str">
        <f>IF(G383="","",M373-((1/Comparisons!#REF!)*1000000))</f>
        <v/>
      </c>
      <c r="N383" s="11" t="str">
        <f>IF(H383="","",N373-((1/Comparisons!#REF!)*1000000))</f>
        <v/>
      </c>
      <c r="O383" s="29" t="str">
        <f>IF(I383="","",O373-((1/Comparisons!#REF!)*1000000))</f>
        <v/>
      </c>
    </row>
    <row r="384" spans="1:15" x14ac:dyDescent="0.25">
      <c r="A384" s="30" t="s">
        <v>12</v>
      </c>
      <c r="B384" s="9" t="s">
        <v>13</v>
      </c>
      <c r="C384" s="9" t="s">
        <v>9</v>
      </c>
      <c r="D384" s="12">
        <f>IF(D374="","",(D374-'2016'!D7)/'2016'!D7)</f>
        <v>-8.0054336564363504E-2</v>
      </c>
      <c r="E384" s="12">
        <f>IF(E374="","",(E374-'2016'!E7)/'2016'!E7)</f>
        <v>-1.7661488143908423E-2</v>
      </c>
      <c r="F384" s="12">
        <f>IF(F374="","",(F374-'2016'!F7)/'2016'!F7)</f>
        <v>-1.0111761575306013E-2</v>
      </c>
      <c r="G384" s="12" t="str">
        <f>IF(G374="","",(G374-#REF!)/#REF!)</f>
        <v/>
      </c>
      <c r="H384" s="12" t="str">
        <f>IF(H374="","",(H374-#REF!)/#REF!)</f>
        <v/>
      </c>
      <c r="I384" s="12" t="str">
        <f>IF(I374="","",(I374-#REF!)/#REF!)</f>
        <v/>
      </c>
      <c r="J384" s="11">
        <f>J374-'2015'!J404</f>
        <v>25.027530283311641</v>
      </c>
      <c r="K384" s="11">
        <f>K374-'2015'!K404</f>
        <v>55.490816269907334</v>
      </c>
      <c r="L384" s="11">
        <f>L374-'2015'!L404</f>
        <v>179.21146953405017</v>
      </c>
      <c r="M384" s="11" t="str">
        <f>IF(G384="","",M374-((1/Comparisons!#REF!)*1000000))</f>
        <v/>
      </c>
      <c r="N384" s="11" t="str">
        <f>IF(H384="","",N374-((1/Comparisons!#REF!)*1000000))</f>
        <v/>
      </c>
      <c r="O384" s="29" t="str">
        <f>IF(I384="","",O374-((1/Comparisons!#REF!)*1000000))</f>
        <v/>
      </c>
    </row>
    <row r="385" spans="1:15" x14ac:dyDescent="0.25">
      <c r="A385" s="30" t="s">
        <v>14</v>
      </c>
      <c r="B385" s="9" t="s">
        <v>13</v>
      </c>
      <c r="C385" s="9" t="s">
        <v>11</v>
      </c>
      <c r="D385" s="12">
        <f>IF(D375="","",(D375-'2016'!D8)/'2016'!D8)</f>
        <v>0.2400194067091766</v>
      </c>
      <c r="E385" s="12">
        <f>IF(E375="","",(E375-'2016'!E8)/'2016'!E8)</f>
        <v>8.4522180965409421E-2</v>
      </c>
      <c r="F385" s="12">
        <f>IF(F375="","",(F375-'2016'!F8)/'2016'!F8)</f>
        <v>5.2251858329689552E-2</v>
      </c>
      <c r="G385" s="12" t="str">
        <f>IF(G375="","",(G375-#REF!)/#REF!)</f>
        <v/>
      </c>
      <c r="H385" s="12" t="str">
        <f>IF(H375="","",(H375-#REF!)/#REF!)</f>
        <v/>
      </c>
      <c r="I385" s="12" t="str">
        <f>IF(I375="","",(I375-#REF!)/#REF!)</f>
        <v/>
      </c>
      <c r="J385" s="11">
        <f>J375-'2015'!J405</f>
        <v>72.611094975312227</v>
      </c>
      <c r="K385" s="11">
        <f>K375-'2015'!K405</f>
        <v>90.098207045679786</v>
      </c>
      <c r="L385" s="11">
        <f>L375-'2015'!L405</f>
        <v>207.77062123415749</v>
      </c>
      <c r="M385" s="11" t="str">
        <f>IF(G385="","",M375-((1/Comparisons!#REF!)*1000000))</f>
        <v/>
      </c>
      <c r="N385" s="11" t="str">
        <f>IF(H385="","",N375-((1/Comparisons!#REF!)*1000000))</f>
        <v/>
      </c>
      <c r="O385" s="29" t="str">
        <f>IF(I385="","",O375-((1/Comparisons!#REF!)*1000000))</f>
        <v/>
      </c>
    </row>
    <row r="386" spans="1:15" x14ac:dyDescent="0.25">
      <c r="A386" s="30" t="s">
        <v>15</v>
      </c>
      <c r="B386" s="9" t="s">
        <v>16</v>
      </c>
      <c r="C386" s="9" t="s">
        <v>11</v>
      </c>
      <c r="D386" s="12">
        <f>IF(D376="","",(D376-'2016'!D9)/'2016'!D9)</f>
        <v>2.1131459924371616E-2</v>
      </c>
      <c r="E386" s="12">
        <f>IF(E376="","",(E376-'2016'!E9)/'2016'!E9)</f>
        <v>6.2766062766062766E-2</v>
      </c>
      <c r="F386" s="12">
        <f>IF(F376="","",(F376-'2016'!F9)/'2016'!F9)</f>
        <v>-3.8569880823401952E-2</v>
      </c>
      <c r="G386" s="12" t="str">
        <f>IF(G376="","",(G376-#REF!)/#REF!)</f>
        <v/>
      </c>
      <c r="H386" s="12" t="str">
        <f>IF(H376="","",(H376-#REF!)/#REF!)</f>
        <v/>
      </c>
      <c r="I386" s="12" t="str">
        <f>IF(I376="","",(I376-#REF!)/#REF!)</f>
        <v/>
      </c>
      <c r="J386" s="11" t="e">
        <f>J376-'2015'!J406</f>
        <v>#REF!</v>
      </c>
      <c r="K386" s="11">
        <f>K376-'2015'!K406</f>
        <v>93.153237074988354</v>
      </c>
      <c r="L386" s="11">
        <f>L376-'2015'!L406</f>
        <v>225.377507324769</v>
      </c>
      <c r="M386" s="11" t="str">
        <f>IF(G386="","",M376-((1/Comparisons!#REF!)*1000000))</f>
        <v/>
      </c>
      <c r="N386" s="11" t="str">
        <f>IF(H386="","",N376-((1/Comparisons!#REF!)*1000000))</f>
        <v/>
      </c>
      <c r="O386" s="29" t="str">
        <f>IF(I386="","",O376-((1/Comparisons!#REF!)*1000000))</f>
        <v/>
      </c>
    </row>
    <row r="387" spans="1:15" ht="15.75" thickBot="1" x14ac:dyDescent="0.3">
      <c r="A387" s="32" t="s">
        <v>17</v>
      </c>
      <c r="B387" s="33" t="s">
        <v>18</v>
      </c>
      <c r="C387" s="34" t="s">
        <v>11</v>
      </c>
      <c r="D387" s="12">
        <f>IF(D377="","",(D377-'2016'!D10)/'2016'!D10)</f>
        <v>3.0577576443941108E-2</v>
      </c>
      <c r="E387" s="12">
        <f>IF(E377="","",(E377-'2016'!E10)/'2016'!E10)</f>
        <v>-7.5415381554074221E-2</v>
      </c>
      <c r="F387" s="12">
        <f>IF(F377="","",(F377-'2016'!F10)/'2016'!F10)</f>
        <v>-4.8696401637578109E-2</v>
      </c>
      <c r="G387" s="35" t="str">
        <f>IF(G377="","",(G377-#REF!)/#REF!)</f>
        <v/>
      </c>
      <c r="H387" s="35" t="str">
        <f>IF(H377="","",(H377-#REF!)/#REF!)</f>
        <v/>
      </c>
      <c r="I387" s="35" t="str">
        <f>IF(I377="","",(I377-#REF!)/#REF!)</f>
        <v/>
      </c>
      <c r="J387" s="36">
        <f>J377-'2015'!J407</f>
        <v>78.492935635792776</v>
      </c>
      <c r="K387" s="36">
        <f>K377-'2015'!K407</f>
        <v>107.60787689658883</v>
      </c>
      <c r="L387" s="36">
        <f>L377-'2015'!L407</f>
        <v>226.50056625141562</v>
      </c>
      <c r="M387" s="36" t="str">
        <f>IF(G387="","",M377-((1/Comparisons!#REF!)*1000000))</f>
        <v/>
      </c>
      <c r="N387" s="36" t="str">
        <f>IF(H387="","",N377-((1/Comparisons!#REF!)*1000000))</f>
        <v/>
      </c>
      <c r="O387" s="37" t="str">
        <f>IF(I387="","",O377-((1/Comparisons!#REF!)*1000000))</f>
        <v/>
      </c>
    </row>
    <row r="388" spans="1:15" ht="18.75" x14ac:dyDescent="0.3">
      <c r="A388" s="124" t="s">
        <v>136</v>
      </c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125"/>
    </row>
    <row r="389" spans="1:15" x14ac:dyDescent="0.25">
      <c r="A389" s="122" t="s">
        <v>1</v>
      </c>
      <c r="B389" s="88"/>
      <c r="C389" s="89"/>
      <c r="D389" s="105" t="s">
        <v>19</v>
      </c>
      <c r="E389" s="106"/>
      <c r="F389" s="106"/>
      <c r="G389" s="106"/>
      <c r="H389" s="106"/>
      <c r="I389" s="107"/>
      <c r="J389" s="105" t="s">
        <v>22</v>
      </c>
      <c r="K389" s="106"/>
      <c r="L389" s="106"/>
      <c r="M389" s="106"/>
      <c r="N389" s="106"/>
      <c r="O389" s="123"/>
    </row>
    <row r="390" spans="1:15" x14ac:dyDescent="0.25">
      <c r="A390" s="26" t="s">
        <v>4</v>
      </c>
      <c r="B390" s="6" t="s">
        <v>5</v>
      </c>
      <c r="C390" s="6" t="s">
        <v>6</v>
      </c>
      <c r="D390" s="7">
        <v>1</v>
      </c>
      <c r="E390" s="7">
        <v>4</v>
      </c>
      <c r="F390" s="7">
        <v>16</v>
      </c>
      <c r="G390" s="7">
        <v>32</v>
      </c>
      <c r="H390" s="7">
        <v>64</v>
      </c>
      <c r="I390" s="7">
        <v>80</v>
      </c>
      <c r="J390" s="7">
        <v>1</v>
      </c>
      <c r="K390" s="7">
        <v>4</v>
      </c>
      <c r="L390" s="7">
        <v>16</v>
      </c>
      <c r="M390" s="7">
        <v>32</v>
      </c>
      <c r="N390" s="7">
        <v>64</v>
      </c>
      <c r="O390" s="27">
        <v>80</v>
      </c>
    </row>
    <row r="391" spans="1:15" x14ac:dyDescent="0.25">
      <c r="A391" s="28" t="s">
        <v>7</v>
      </c>
      <c r="B391" s="9" t="s">
        <v>8</v>
      </c>
      <c r="C391" s="9" t="s">
        <v>9</v>
      </c>
      <c r="D391" s="12">
        <f>IF(D372="","",(D372-'2016'!D298)/'2016'!D298)</f>
        <v>-3.4132466477041851E-2</v>
      </c>
      <c r="E391" s="12">
        <f>IF(E372="","",(E372-'2016'!E298)/'2016'!E298)</f>
        <v>-1.8715225088517956E-3</v>
      </c>
      <c r="F391" s="12">
        <f>IF(F372="","",(F372-'2016'!F298)/'2016'!F298)</f>
        <v>0</v>
      </c>
      <c r="G391" s="12" t="str">
        <f>IF(G372="","",(G372-'2016'!G356)/'2016'!G356)</f>
        <v/>
      </c>
      <c r="H391" s="12" t="str">
        <f>IF(H372="","",(H372-'2016'!H356)/'2016'!H356)</f>
        <v/>
      </c>
      <c r="I391" s="12" t="str">
        <f>IF(I372="","",(I372-'2016'!I356)/'2016'!I356)</f>
        <v/>
      </c>
      <c r="J391" s="11">
        <f>J381-'2015'!J411</f>
        <v>1</v>
      </c>
      <c r="K391" s="11">
        <f>K381-'2015'!K411</f>
        <v>4</v>
      </c>
      <c r="L391" s="11">
        <f>L381-'2015'!L411</f>
        <v>16</v>
      </c>
      <c r="M391" s="11" t="str">
        <f>IF(G391="","",M381-((1/Comparisons!#REF!)*1000000))</f>
        <v/>
      </c>
      <c r="N391" s="11" t="str">
        <f>IF(H391="","",N381-((1/Comparisons!#REF!)*1000000))</f>
        <v/>
      </c>
      <c r="O391" s="29" t="str">
        <f>IF(I391="","",O381-((1/Comparisons!#REF!)*1000000))</f>
        <v/>
      </c>
    </row>
    <row r="392" spans="1:15" x14ac:dyDescent="0.25">
      <c r="A392" s="28" t="s">
        <v>10</v>
      </c>
      <c r="B392" s="9" t="s">
        <v>8</v>
      </c>
      <c r="C392" s="9" t="s">
        <v>11</v>
      </c>
      <c r="D392" s="12">
        <f>IF(D373="","",(D373-'2016'!D299)/'2016'!D299)</f>
        <v>0.15863271712591559</v>
      </c>
      <c r="E392" s="12">
        <f>IF(E373="","",(E373-'2016'!E299)/'2016'!E299)</f>
        <v>0.10424858540327994</v>
      </c>
      <c r="F392" s="12">
        <f>IF(F373="","",(F373-'2016'!F299)/'2016'!F299)</f>
        <v>5.9410142159983026E-2</v>
      </c>
      <c r="G392" s="12" t="str">
        <f>IF(G382="","",(G382-#REF!)/#REF!)</f>
        <v/>
      </c>
      <c r="H392" s="12" t="str">
        <f>IF(H382="","",(H382-#REF!)/#REF!)</f>
        <v/>
      </c>
      <c r="I392" s="12" t="str">
        <f>IF(I382="","",(I382-#REF!)/#REF!)</f>
        <v/>
      </c>
      <c r="J392" s="11">
        <f>J382-'2015'!J412</f>
        <v>60.208320789933168</v>
      </c>
      <c r="K392" s="11">
        <f>K382-'2015'!K412</f>
        <v>50.676531698170578</v>
      </c>
      <c r="L392" s="11">
        <f>L382-'2015'!L412</f>
        <v>171.32088401576152</v>
      </c>
      <c r="M392" s="11" t="str">
        <f>IF(G392="","",M382-((1/Comparisons!#REF!)*1000000))</f>
        <v/>
      </c>
      <c r="N392" s="11" t="str">
        <f>IF(H392="","",N382-((1/Comparisons!#REF!)*1000000))</f>
        <v/>
      </c>
      <c r="O392" s="29" t="str">
        <f>IF(I392="","",O382-((1/Comparisons!#REF!)*1000000))</f>
        <v/>
      </c>
    </row>
    <row r="393" spans="1:15" x14ac:dyDescent="0.25">
      <c r="A393" s="30" t="s">
        <v>12</v>
      </c>
      <c r="B393" s="9" t="s">
        <v>13</v>
      </c>
      <c r="C393" s="9" t="s">
        <v>9</v>
      </c>
      <c r="D393" s="12">
        <f>IF(D374="","",(D374-'2016'!D300)/'2016'!D300)</f>
        <v>-7.4471288596511545E-2</v>
      </c>
      <c r="E393" s="12">
        <f>IF(E374="","",(E374-'2016'!E300)/'2016'!E300)</f>
        <v>-1.2764325627259779E-2</v>
      </c>
      <c r="F393" s="12">
        <f>IF(F374="","",(F374-'2016'!F300)/'2016'!F300)</f>
        <v>-6.5871461634324372E-3</v>
      </c>
      <c r="G393" s="12" t="str">
        <f>IF(G383="","",(G383-#REF!)/#REF!)</f>
        <v/>
      </c>
      <c r="H393" s="12" t="str">
        <f>IF(H383="","",(H383-#REF!)/#REF!)</f>
        <v/>
      </c>
      <c r="I393" s="12" t="str">
        <f>IF(I383="","",(I383-#REF!)/#REF!)</f>
        <v/>
      </c>
      <c r="J393" s="11" t="e">
        <f>J383-'2015'!J413</f>
        <v>#REF!</v>
      </c>
      <c r="K393" s="11">
        <f>K383-'2015'!K413</f>
        <v>86.850790342192127</v>
      </c>
      <c r="L393" s="11">
        <f>L383-'2015'!L413</f>
        <v>200.2803925495694</v>
      </c>
      <c r="M393" s="11" t="str">
        <f>IF(G393="","",M383-((1/Comparisons!#REF!)*1000000))</f>
        <v/>
      </c>
      <c r="N393" s="11" t="str">
        <f>IF(H393="","",N383-((1/Comparisons!#REF!)*1000000))</f>
        <v/>
      </c>
      <c r="O393" s="29" t="str">
        <f>IF(I393="","",O383-((1/Comparisons!#REF!)*1000000))</f>
        <v/>
      </c>
    </row>
    <row r="394" spans="1:15" x14ac:dyDescent="0.25">
      <c r="A394" s="30" t="s">
        <v>14</v>
      </c>
      <c r="B394" s="9" t="s">
        <v>13</v>
      </c>
      <c r="C394" s="9" t="s">
        <v>11</v>
      </c>
      <c r="D394" s="12">
        <f>IF(D375="","",(D375-'2016'!D301)/'2016'!D301)</f>
        <v>0.20942337592104374</v>
      </c>
      <c r="E394" s="12">
        <f>IF(E375="","",(E375-'2016'!E301)/'2016'!E301)</f>
        <v>9.3928641829292336E-2</v>
      </c>
      <c r="F394" s="12">
        <f>IF(F375="","",(F375-'2016'!F301)/'2016'!F301)</f>
        <v>5.8034732908331499E-2</v>
      </c>
      <c r="G394" s="12" t="str">
        <f>IF(G384="","",(G384-#REF!)/#REF!)</f>
        <v/>
      </c>
      <c r="H394" s="12" t="str">
        <f>IF(H384="","",(H384-#REF!)/#REF!)</f>
        <v/>
      </c>
      <c r="I394" s="12" t="str">
        <f>IF(I384="","",(I384-#REF!)/#REF!)</f>
        <v/>
      </c>
      <c r="J394" s="11">
        <f>J384-'2015'!J414</f>
        <v>25.027530283311641</v>
      </c>
      <c r="K394" s="11">
        <f>K384-'2015'!K414</f>
        <v>55.490816269907334</v>
      </c>
      <c r="L394" s="11">
        <f>L384-'2015'!L414</f>
        <v>179.21146953405017</v>
      </c>
      <c r="M394" s="11" t="str">
        <f>IF(G394="","",M384-((1/Comparisons!#REF!)*1000000))</f>
        <v/>
      </c>
      <c r="N394" s="11" t="str">
        <f>IF(H394="","",N384-((1/Comparisons!#REF!)*1000000))</f>
        <v/>
      </c>
      <c r="O394" s="29" t="str">
        <f>IF(I394="","",O384-((1/Comparisons!#REF!)*1000000))</f>
        <v/>
      </c>
    </row>
    <row r="395" spans="1:15" x14ac:dyDescent="0.25">
      <c r="A395" s="30" t="s">
        <v>15</v>
      </c>
      <c r="B395" s="9" t="s">
        <v>16</v>
      </c>
      <c r="C395" s="9" t="s">
        <v>11</v>
      </c>
      <c r="D395" s="12">
        <f>IF(D376="","",(D376-'2016'!D302)/'2016'!D302)</f>
        <v>8.1004709576138145E-2</v>
      </c>
      <c r="E395" s="12">
        <f>IF(E376="","",(E376-'2016'!E302)/'2016'!E302)</f>
        <v>7.8352586639879457E-2</v>
      </c>
      <c r="F395" s="12">
        <f>IF(F376="","",(F376-'2016'!F302)/'2016'!F302)</f>
        <v>-3.9402468066681101E-2</v>
      </c>
      <c r="G395" s="12" t="str">
        <f>IF(G385="","",(G385-#REF!)/#REF!)</f>
        <v/>
      </c>
      <c r="H395" s="12" t="str">
        <f>IF(H385="","",(H385-#REF!)/#REF!)</f>
        <v/>
      </c>
      <c r="I395" s="12" t="str">
        <f>IF(I385="","",(I385-#REF!)/#REF!)</f>
        <v/>
      </c>
      <c r="J395" s="11">
        <f>J385-'2015'!J415</f>
        <v>72.611094975312227</v>
      </c>
      <c r="K395" s="11">
        <f>K385-'2015'!K415</f>
        <v>90.098207045679786</v>
      </c>
      <c r="L395" s="11">
        <f>L385-'2015'!L415</f>
        <v>207.77062123415749</v>
      </c>
      <c r="M395" s="11" t="str">
        <f>IF(G395="","",M385-((1/Comparisons!#REF!)*1000000))</f>
        <v/>
      </c>
      <c r="N395" s="11" t="str">
        <f>IF(H395="","",N385-((1/Comparisons!#REF!)*1000000))</f>
        <v/>
      </c>
      <c r="O395" s="29" t="str">
        <f>IF(I395="","",O385-((1/Comparisons!#REF!)*1000000))</f>
        <v/>
      </c>
    </row>
    <row r="396" spans="1:15" ht="15.75" thickBot="1" x14ac:dyDescent="0.3">
      <c r="A396" s="32" t="s">
        <v>17</v>
      </c>
      <c r="B396" s="33" t="s">
        <v>18</v>
      </c>
      <c r="C396" s="34" t="s">
        <v>11</v>
      </c>
      <c r="D396" s="12">
        <f>IF(D377="","",(D377-'2016'!D303)/'2016'!D303)</f>
        <v>5.3066622582244996E-2</v>
      </c>
      <c r="E396" s="12">
        <f>IF(E377="","",(E377-'2016'!E303)/'2016'!E303)</f>
        <v>-6.5560583207642034E-2</v>
      </c>
      <c r="F396" s="12">
        <f>IF(F377="","",(F377-'2016'!F303)/'2016'!F303)</f>
        <v>-4.8696401637578109E-2</v>
      </c>
      <c r="G396" s="35" t="str">
        <f>IF(G386="","",(G386-#REF!)/#REF!)</f>
        <v/>
      </c>
      <c r="H396" s="35" t="str">
        <f>IF(H386="","",(H386-#REF!)/#REF!)</f>
        <v/>
      </c>
      <c r="I396" s="35" t="str">
        <f>IF(I386="","",(I386-#REF!)/#REF!)</f>
        <v/>
      </c>
      <c r="J396" s="36" t="e">
        <f>J386-'2015'!J416</f>
        <v>#REF!</v>
      </c>
      <c r="K396" s="36">
        <f>K386-'2015'!K416</f>
        <v>93.153237074988354</v>
      </c>
      <c r="L396" s="36">
        <f>L386-'2015'!L416</f>
        <v>225.377507324769</v>
      </c>
      <c r="M396" s="36" t="str">
        <f>IF(G396="","",M386-((1/Comparisons!#REF!)*1000000))</f>
        <v/>
      </c>
      <c r="N396" s="36" t="str">
        <f>IF(H396="","",N386-((1/Comparisons!#REF!)*1000000))</f>
        <v/>
      </c>
      <c r="O396" s="37" t="str">
        <f>IF(I396="","",O386-((1/Comparisons!#REF!)*1000000))</f>
        <v/>
      </c>
    </row>
    <row r="397" spans="1:15" ht="18.75" x14ac:dyDescent="0.25">
      <c r="A397" s="126" t="s">
        <v>93</v>
      </c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8"/>
    </row>
    <row r="398" spans="1:15" ht="15.75" x14ac:dyDescent="0.25">
      <c r="A398" s="129" t="s">
        <v>145</v>
      </c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130"/>
    </row>
    <row r="399" spans="1:15" x14ac:dyDescent="0.25">
      <c r="A399" s="122" t="s">
        <v>1</v>
      </c>
      <c r="B399" s="88"/>
      <c r="C399" s="89"/>
      <c r="D399" s="105" t="s">
        <v>2</v>
      </c>
      <c r="E399" s="106"/>
      <c r="F399" s="106"/>
      <c r="G399" s="106"/>
      <c r="H399" s="106"/>
      <c r="I399" s="107"/>
      <c r="J399" s="105" t="s">
        <v>3</v>
      </c>
      <c r="K399" s="106"/>
      <c r="L399" s="106"/>
      <c r="M399" s="106"/>
      <c r="N399" s="106"/>
      <c r="O399" s="123"/>
    </row>
    <row r="400" spans="1:15" x14ac:dyDescent="0.25">
      <c r="A400" s="26" t="s">
        <v>26</v>
      </c>
      <c r="B400" s="6" t="s">
        <v>5</v>
      </c>
      <c r="C400" s="6" t="s">
        <v>6</v>
      </c>
      <c r="D400" s="7">
        <v>1</v>
      </c>
      <c r="E400" s="7">
        <v>4</v>
      </c>
      <c r="F400" s="7">
        <v>16</v>
      </c>
      <c r="G400" s="7">
        <v>32</v>
      </c>
      <c r="H400" s="7">
        <v>64</v>
      </c>
      <c r="I400" s="7">
        <v>80</v>
      </c>
      <c r="J400" s="7">
        <v>1</v>
      </c>
      <c r="K400" s="7">
        <v>4</v>
      </c>
      <c r="L400" s="7">
        <v>16</v>
      </c>
      <c r="M400" s="7">
        <v>32</v>
      </c>
      <c r="N400" s="7">
        <v>64</v>
      </c>
      <c r="O400" s="27">
        <v>80</v>
      </c>
    </row>
    <row r="401" spans="1:15" x14ac:dyDescent="0.25">
      <c r="A401" s="28" t="s">
        <v>7</v>
      </c>
      <c r="B401" s="9" t="s">
        <v>8</v>
      </c>
      <c r="C401" s="9" t="s">
        <v>9</v>
      </c>
      <c r="D401" s="24">
        <v>43001</v>
      </c>
      <c r="E401" s="24">
        <v>19832</v>
      </c>
      <c r="F401" s="24">
        <v>5843</v>
      </c>
      <c r="G401" s="10"/>
      <c r="H401" s="10"/>
      <c r="I401" s="10"/>
      <c r="J401" s="11">
        <f>IF(D402="","",(1/D402)*1000000)</f>
        <v>53.103924380011676</v>
      </c>
      <c r="K401" s="11">
        <f t="shared" ref="K401:K406" si="119">IF(E401="","",(1/E401)*1000000)</f>
        <v>50.423557886244453</v>
      </c>
      <c r="L401" s="11">
        <f t="shared" ref="L401:L406" si="120">IF(F401="","",(1/F401)*1000000)</f>
        <v>171.14495978093444</v>
      </c>
      <c r="M401" s="11" t="str">
        <f t="shared" ref="M401:M406" si="121">IF(G401="","",(1/G401)*1000000)</f>
        <v/>
      </c>
      <c r="N401" s="11" t="str">
        <f t="shared" ref="N401:N406" si="122">IF(H401="","",(1/H401)*1000000)</f>
        <v/>
      </c>
      <c r="O401" s="29" t="str">
        <f t="shared" ref="O401:O406" si="123">IF(I401="","",(1/I401)*1000000)</f>
        <v/>
      </c>
    </row>
    <row r="402" spans="1:15" x14ac:dyDescent="0.25">
      <c r="A402" s="28" t="s">
        <v>10</v>
      </c>
      <c r="B402" s="9" t="s">
        <v>8</v>
      </c>
      <c r="C402" s="9" t="s">
        <v>11</v>
      </c>
      <c r="D402" s="24">
        <v>18831</v>
      </c>
      <c r="E402" s="24">
        <v>12354</v>
      </c>
      <c r="F402" s="24">
        <v>5017</v>
      </c>
      <c r="G402" s="10"/>
      <c r="H402" s="10"/>
      <c r="I402" s="10"/>
      <c r="J402" s="11" t="e">
        <f>IF(#REF!="","",(1/#REF!)*1000000)</f>
        <v>#REF!</v>
      </c>
      <c r="K402" s="11">
        <f t="shared" si="119"/>
        <v>80.945442771571962</v>
      </c>
      <c r="L402" s="11">
        <f t="shared" si="120"/>
        <v>199.32230416583616</v>
      </c>
      <c r="M402" s="11" t="str">
        <f t="shared" si="121"/>
        <v/>
      </c>
      <c r="N402" s="11" t="str">
        <f t="shared" si="122"/>
        <v/>
      </c>
      <c r="O402" s="29" t="str">
        <f t="shared" si="123"/>
        <v/>
      </c>
    </row>
    <row r="403" spans="1:15" x14ac:dyDescent="0.25">
      <c r="A403" s="30" t="s">
        <v>12</v>
      </c>
      <c r="B403" s="9" t="s">
        <v>13</v>
      </c>
      <c r="C403" s="9" t="s">
        <v>9</v>
      </c>
      <c r="D403" s="24">
        <v>39956</v>
      </c>
      <c r="E403" s="24">
        <v>18059</v>
      </c>
      <c r="F403" s="24">
        <v>5580</v>
      </c>
      <c r="G403" s="10"/>
      <c r="H403" s="10"/>
      <c r="I403" s="10"/>
      <c r="J403" s="11">
        <f t="shared" ref="J403" si="124">IF(D403="","",(1/D403)*1000000)</f>
        <v>25.027530283311641</v>
      </c>
      <c r="K403" s="11">
        <f t="shared" si="119"/>
        <v>55.37405171936431</v>
      </c>
      <c r="L403" s="11">
        <f t="shared" si="120"/>
        <v>179.21146953405017</v>
      </c>
      <c r="M403" s="11" t="str">
        <f t="shared" si="121"/>
        <v/>
      </c>
      <c r="N403" s="11" t="str">
        <f t="shared" si="122"/>
        <v/>
      </c>
      <c r="O403" s="29" t="str">
        <f t="shared" si="123"/>
        <v/>
      </c>
    </row>
    <row r="404" spans="1:15" x14ac:dyDescent="0.25">
      <c r="A404" s="30" t="s">
        <v>14</v>
      </c>
      <c r="B404" s="9" t="s">
        <v>13</v>
      </c>
      <c r="C404" s="9" t="s">
        <v>11</v>
      </c>
      <c r="D404" s="24">
        <v>18227</v>
      </c>
      <c r="E404" s="24">
        <v>11747</v>
      </c>
      <c r="F404" s="24">
        <v>4801</v>
      </c>
      <c r="G404" s="10"/>
      <c r="H404" s="10"/>
      <c r="I404" s="10"/>
      <c r="J404" s="11">
        <f>IF(D405="","",(1/D405)*1000000)</f>
        <v>68.068885712340887</v>
      </c>
      <c r="K404" s="11">
        <f t="shared" si="119"/>
        <v>85.128117817315058</v>
      </c>
      <c r="L404" s="11">
        <f t="shared" si="120"/>
        <v>208.28993959591753</v>
      </c>
      <c r="M404" s="11" t="str">
        <f t="shared" si="121"/>
        <v/>
      </c>
      <c r="N404" s="11" t="str">
        <f t="shared" si="122"/>
        <v/>
      </c>
      <c r="O404" s="29" t="str">
        <f t="shared" si="123"/>
        <v/>
      </c>
    </row>
    <row r="405" spans="1:15" x14ac:dyDescent="0.25">
      <c r="A405" s="30" t="s">
        <v>15</v>
      </c>
      <c r="B405" s="9" t="s">
        <v>16</v>
      </c>
      <c r="C405" s="9" t="s">
        <v>11</v>
      </c>
      <c r="D405" s="24">
        <v>14691</v>
      </c>
      <c r="E405" s="24">
        <v>9900</v>
      </c>
      <c r="F405" s="24">
        <v>4459</v>
      </c>
      <c r="G405" s="10"/>
      <c r="H405" s="10"/>
      <c r="I405" s="10"/>
      <c r="J405" s="11" t="e">
        <f>IF(#REF!="","",(1/#REF!)*1000000)</f>
        <v>#REF!</v>
      </c>
      <c r="K405" s="11">
        <f t="shared" si="119"/>
        <v>101.01010101010101</v>
      </c>
      <c r="L405" s="11">
        <f t="shared" si="120"/>
        <v>224.26553038797937</v>
      </c>
      <c r="M405" s="11" t="str">
        <f t="shared" si="121"/>
        <v/>
      </c>
      <c r="N405" s="11" t="str">
        <f t="shared" si="122"/>
        <v/>
      </c>
      <c r="O405" s="29" t="str">
        <f t="shared" si="123"/>
        <v/>
      </c>
    </row>
    <row r="406" spans="1:15" x14ac:dyDescent="0.25">
      <c r="A406" s="30" t="s">
        <v>17</v>
      </c>
      <c r="B406" s="8" t="s">
        <v>18</v>
      </c>
      <c r="C406" s="9" t="s">
        <v>11</v>
      </c>
      <c r="D406" s="24">
        <v>12785</v>
      </c>
      <c r="E406" s="24">
        <v>9293</v>
      </c>
      <c r="F406" s="24">
        <v>4441</v>
      </c>
      <c r="G406" s="10"/>
      <c r="H406" s="10"/>
      <c r="I406" s="10"/>
      <c r="J406" s="11">
        <f t="shared" ref="J406" si="125">IF(D406="","",(1/D406)*1000000)</f>
        <v>78.216660148611652</v>
      </c>
      <c r="K406" s="11">
        <f t="shared" si="119"/>
        <v>107.60787689658883</v>
      </c>
      <c r="L406" s="11">
        <f t="shared" si="120"/>
        <v>225.17451024544022</v>
      </c>
      <c r="M406" s="11" t="str">
        <f t="shared" si="121"/>
        <v/>
      </c>
      <c r="N406" s="11" t="str">
        <f t="shared" si="122"/>
        <v/>
      </c>
      <c r="O406" s="29" t="str">
        <f t="shared" si="123"/>
        <v/>
      </c>
    </row>
    <row r="407" spans="1:15" x14ac:dyDescent="0.25">
      <c r="A407" s="131" t="s">
        <v>146</v>
      </c>
      <c r="B407" s="102"/>
      <c r="C407" s="102"/>
      <c r="D407" s="102"/>
      <c r="E407" s="132"/>
      <c r="F407" s="132"/>
      <c r="G407" s="132"/>
      <c r="H407" s="132"/>
      <c r="I407" s="132"/>
      <c r="J407" s="19"/>
      <c r="K407" s="19"/>
      <c r="L407" s="19"/>
      <c r="M407" s="19"/>
      <c r="N407" s="19"/>
      <c r="O407" s="31"/>
    </row>
    <row r="408" spans="1:15" ht="18.75" x14ac:dyDescent="0.3">
      <c r="A408" s="124" t="s">
        <v>137</v>
      </c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125"/>
    </row>
    <row r="409" spans="1:15" x14ac:dyDescent="0.25">
      <c r="A409" s="122" t="s">
        <v>1</v>
      </c>
      <c r="B409" s="88"/>
      <c r="C409" s="89"/>
      <c r="D409" s="105" t="s">
        <v>19</v>
      </c>
      <c r="E409" s="106"/>
      <c r="F409" s="106"/>
      <c r="G409" s="106"/>
      <c r="H409" s="106"/>
      <c r="I409" s="107"/>
      <c r="J409" s="105" t="s">
        <v>22</v>
      </c>
      <c r="K409" s="106"/>
      <c r="L409" s="106"/>
      <c r="M409" s="106"/>
      <c r="N409" s="106"/>
      <c r="O409" s="123"/>
    </row>
    <row r="410" spans="1:15" x14ac:dyDescent="0.25">
      <c r="A410" s="26" t="s">
        <v>4</v>
      </c>
      <c r="B410" s="6" t="s">
        <v>5</v>
      </c>
      <c r="C410" s="6" t="s">
        <v>6</v>
      </c>
      <c r="D410" s="7">
        <v>1</v>
      </c>
      <c r="E410" s="7">
        <v>4</v>
      </c>
      <c r="F410" s="7">
        <v>16</v>
      </c>
      <c r="G410" s="7">
        <v>32</v>
      </c>
      <c r="H410" s="7">
        <v>64</v>
      </c>
      <c r="I410" s="7">
        <v>80</v>
      </c>
      <c r="J410" s="7">
        <v>1</v>
      </c>
      <c r="K410" s="7">
        <v>4</v>
      </c>
      <c r="L410" s="7">
        <v>16</v>
      </c>
      <c r="M410" s="7">
        <v>32</v>
      </c>
      <c r="N410" s="7">
        <v>64</v>
      </c>
      <c r="O410" s="27">
        <v>80</v>
      </c>
    </row>
    <row r="411" spans="1:15" x14ac:dyDescent="0.25">
      <c r="A411" s="28" t="s">
        <v>7</v>
      </c>
      <c r="B411" s="9" t="s">
        <v>8</v>
      </c>
      <c r="C411" s="9" t="s">
        <v>9</v>
      </c>
      <c r="D411" s="12">
        <f>IF(D401="","",(D401-'2016'!D5)/'2016'!D5)</f>
        <v>-4.0456107466416744E-2</v>
      </c>
      <c r="E411" s="12">
        <f>IF(E401="","",(E401-'2016'!E5)/'2016'!E5)</f>
        <v>-1.3038718025281178E-2</v>
      </c>
      <c r="F411" s="12">
        <f>IF(F401="","",(F401-'2016'!F5)/'2016'!F5)</f>
        <v>0</v>
      </c>
      <c r="G411" s="12" t="str">
        <f>IF(G401="","",(G401-#REF!)/#REF!)</f>
        <v/>
      </c>
      <c r="H411" s="12" t="str">
        <f>IF(H401="","",(H401-#REF!)/#REF!)</f>
        <v/>
      </c>
      <c r="I411" s="12" t="str">
        <f>IF(I401="","",(I401-#REF!)/#REF!)</f>
        <v/>
      </c>
      <c r="J411" s="11">
        <f>J401-'2015'!J431</f>
        <v>53.103924380011676</v>
      </c>
      <c r="K411" s="11">
        <f>K401-'2015'!K431</f>
        <v>50.423557886244453</v>
      </c>
      <c r="L411" s="11">
        <f>L401-'2015'!L431</f>
        <v>171.14495978093444</v>
      </c>
      <c r="M411" s="11" t="str">
        <f>IF(G411="","",M401-((1/Comparisons!#REF!)*1000000))</f>
        <v/>
      </c>
      <c r="N411" s="11" t="str">
        <f>IF(H411="","",N401-((1/Comparisons!#REF!)*1000000))</f>
        <v/>
      </c>
      <c r="O411" s="29" t="str">
        <f>IF(I411="","",O401-((1/Comparisons!#REF!)*1000000))</f>
        <v/>
      </c>
    </row>
    <row r="412" spans="1:15" x14ac:dyDescent="0.25">
      <c r="A412" s="28" t="s">
        <v>10</v>
      </c>
      <c r="B412" s="9" t="s">
        <v>8</v>
      </c>
      <c r="C412" s="9" t="s">
        <v>11</v>
      </c>
      <c r="D412" s="12">
        <f>IF(D402="","",(D402-'2016'!D6)/'2016'!D6)</f>
        <v>0.26263913101783559</v>
      </c>
      <c r="E412" s="12">
        <f>IF(E402="","",(E402-'2016'!E6)/'2016'!E6)</f>
        <v>0.1405096011816839</v>
      </c>
      <c r="F412" s="12">
        <f>IF(F402="","",(F402-'2016'!F6)/'2016'!F6)</f>
        <v>5.0240736864140677E-2</v>
      </c>
      <c r="G412" s="12" t="str">
        <f>IF(G402="","",(G402-#REF!)/#REF!)</f>
        <v/>
      </c>
      <c r="H412" s="12" t="str">
        <f>IF(H402="","",(H402-#REF!)/#REF!)</f>
        <v/>
      </c>
      <c r="I412" s="12" t="str">
        <f>IF(I402="","",(I402-#REF!)/#REF!)</f>
        <v/>
      </c>
      <c r="J412" s="11" t="e">
        <f>J402-'2015'!J432</f>
        <v>#REF!</v>
      </c>
      <c r="K412" s="11">
        <f>K402-'2015'!K432</f>
        <v>80.945442771571962</v>
      </c>
      <c r="L412" s="11">
        <f>L402-'2015'!L432</f>
        <v>199.32230416583616</v>
      </c>
      <c r="M412" s="11" t="str">
        <f>IF(G412="","",M402-((1/Comparisons!#REF!)*1000000))</f>
        <v/>
      </c>
      <c r="N412" s="11" t="str">
        <f>IF(H412="","",N402-((1/Comparisons!#REF!)*1000000))</f>
        <v/>
      </c>
      <c r="O412" s="29" t="str">
        <f>IF(I412="","",O402-((1/Comparisons!#REF!)*1000000))</f>
        <v/>
      </c>
    </row>
    <row r="413" spans="1:15" x14ac:dyDescent="0.25">
      <c r="A413" s="30" t="s">
        <v>12</v>
      </c>
      <c r="B413" s="9" t="s">
        <v>13</v>
      </c>
      <c r="C413" s="9" t="s">
        <v>9</v>
      </c>
      <c r="D413" s="12">
        <f>IF(D403="","",(D403-'2016'!D7)/'2016'!D7)</f>
        <v>-8.0054336564363504E-2</v>
      </c>
      <c r="E413" s="12">
        <f>IF(E403="","",(E403-'2016'!E7)/'2016'!E7)</f>
        <v>-1.559007904061052E-2</v>
      </c>
      <c r="F413" s="12">
        <f>IF(F403="","",(F403-'2016'!F7)/'2016'!F7)</f>
        <v>-1.0111761575306013E-2</v>
      </c>
      <c r="G413" s="12" t="str">
        <f>IF(G403="","",(G403-#REF!)/#REF!)</f>
        <v/>
      </c>
      <c r="H413" s="12" t="str">
        <f>IF(H403="","",(H403-#REF!)/#REF!)</f>
        <v/>
      </c>
      <c r="I413" s="12" t="str">
        <f>IF(I403="","",(I403-#REF!)/#REF!)</f>
        <v/>
      </c>
      <c r="J413" s="11">
        <f>J403-'2015'!J433</f>
        <v>25.027530283311641</v>
      </c>
      <c r="K413" s="11">
        <f>K403-'2015'!K433</f>
        <v>55.37405171936431</v>
      </c>
      <c r="L413" s="11">
        <f>L403-'2015'!L433</f>
        <v>179.21146953405017</v>
      </c>
      <c r="M413" s="11" t="str">
        <f>IF(G413="","",M403-((1/Comparisons!#REF!)*1000000))</f>
        <v/>
      </c>
      <c r="N413" s="11" t="str">
        <f>IF(H413="","",N403-((1/Comparisons!#REF!)*1000000))</f>
        <v/>
      </c>
      <c r="O413" s="29" t="str">
        <f>IF(I413="","",O403-((1/Comparisons!#REF!)*1000000))</f>
        <v/>
      </c>
    </row>
    <row r="414" spans="1:15" x14ac:dyDescent="0.25">
      <c r="A414" s="30" t="s">
        <v>14</v>
      </c>
      <c r="B414" s="9" t="s">
        <v>13</v>
      </c>
      <c r="C414" s="9" t="s">
        <v>11</v>
      </c>
      <c r="D414" s="12">
        <f>IF(D404="","",(D404-'2016'!D8)/'2016'!D8)</f>
        <v>0.26330745772109787</v>
      </c>
      <c r="E414" s="12">
        <f>IF(E404="","",(E404-'2016'!E8)/'2016'!E8)</f>
        <v>0.14784053156146179</v>
      </c>
      <c r="F414" s="12">
        <f>IF(F404="","",(F404-'2016'!F8)/'2016'!F8)</f>
        <v>4.9628334062090072E-2</v>
      </c>
      <c r="G414" s="12" t="str">
        <f>IF(G404="","",(G404-#REF!)/#REF!)</f>
        <v/>
      </c>
      <c r="H414" s="12" t="str">
        <f>IF(H404="","",(H404-#REF!)/#REF!)</f>
        <v/>
      </c>
      <c r="I414" s="12" t="str">
        <f>IF(I404="","",(I404-#REF!)/#REF!)</f>
        <v/>
      </c>
      <c r="J414" s="11">
        <f>J404-'2015'!J434</f>
        <v>68.068885712340887</v>
      </c>
      <c r="K414" s="11">
        <f>K404-'2015'!K434</f>
        <v>85.128117817315058</v>
      </c>
      <c r="L414" s="11">
        <f>L404-'2015'!L434</f>
        <v>208.28993959591753</v>
      </c>
      <c r="M414" s="11" t="str">
        <f>IF(G414="","",M404-((1/Comparisons!#REF!)*1000000))</f>
        <v/>
      </c>
      <c r="N414" s="11" t="str">
        <f>IF(H414="","",N404-((1/Comparisons!#REF!)*1000000))</f>
        <v/>
      </c>
      <c r="O414" s="29" t="str">
        <f>IF(I414="","",O404-((1/Comparisons!#REF!)*1000000))</f>
        <v/>
      </c>
    </row>
    <row r="415" spans="1:15" x14ac:dyDescent="0.25">
      <c r="A415" s="30" t="s">
        <v>15</v>
      </c>
      <c r="B415" s="9" t="s">
        <v>16</v>
      </c>
      <c r="C415" s="9" t="s">
        <v>11</v>
      </c>
      <c r="D415" s="12">
        <f>IF(D405="","",(D405-'2016'!D9)/'2016'!D9)</f>
        <v>8.9271149996292723E-2</v>
      </c>
      <c r="E415" s="12">
        <f>IF(E405="","",(E405-'2016'!E9)/'2016'!E9)</f>
        <v>-1.9899019899019901E-2</v>
      </c>
      <c r="F415" s="12">
        <f>IF(F405="","",(F405-'2016'!F9)/'2016'!F9)</f>
        <v>-3.3802816901408447E-2</v>
      </c>
      <c r="G415" s="12" t="str">
        <f>IF(G405="","",(G405-#REF!)/#REF!)</f>
        <v/>
      </c>
      <c r="H415" s="12" t="str">
        <f>IF(H405="","",(H405-#REF!)/#REF!)</f>
        <v/>
      </c>
      <c r="I415" s="12" t="str">
        <f>IF(I405="","",(I405-#REF!)/#REF!)</f>
        <v/>
      </c>
      <c r="J415" s="11" t="e">
        <f>J405-'2015'!J435</f>
        <v>#REF!</v>
      </c>
      <c r="K415" s="11">
        <f>K405-'2015'!K435</f>
        <v>101.01010101010101</v>
      </c>
      <c r="L415" s="11">
        <f>L405-'2015'!L435</f>
        <v>224.26553038797937</v>
      </c>
      <c r="M415" s="11" t="str">
        <f>IF(G415="","",M405-((1/Comparisons!#REF!)*1000000))</f>
        <v/>
      </c>
      <c r="N415" s="11" t="str">
        <f>IF(H415="","",N405-((1/Comparisons!#REF!)*1000000))</f>
        <v/>
      </c>
      <c r="O415" s="29" t="str">
        <f>IF(I415="","",O405-((1/Comparisons!#REF!)*1000000))</f>
        <v/>
      </c>
    </row>
    <row r="416" spans="1:15" ht="15.75" thickBot="1" x14ac:dyDescent="0.3">
      <c r="A416" s="32" t="s">
        <v>17</v>
      </c>
      <c r="B416" s="33" t="s">
        <v>18</v>
      </c>
      <c r="C416" s="34" t="s">
        <v>11</v>
      </c>
      <c r="D416" s="12">
        <f>IF(D406="","",(D406-'2016'!D10)/'2016'!D10)</f>
        <v>3.4217764115838864E-2</v>
      </c>
      <c r="E416" s="12">
        <f>IF(E406="","",(E406-'2016'!E10)/'2016'!E10)</f>
        <v>-7.5415381554074221E-2</v>
      </c>
      <c r="F416" s="12">
        <f>IF(F406="","",(F406-'2016'!F10)/'2016'!F10)</f>
        <v>-4.3094160741219564E-2</v>
      </c>
      <c r="G416" s="35" t="str">
        <f>IF(G406="","",(G406-#REF!)/#REF!)</f>
        <v/>
      </c>
      <c r="H416" s="35" t="str">
        <f>IF(H406="","",(H406-#REF!)/#REF!)</f>
        <v/>
      </c>
      <c r="I416" s="35" t="str">
        <f>IF(I406="","",(I406-#REF!)/#REF!)</f>
        <v/>
      </c>
      <c r="J416" s="36">
        <f>J406-'2015'!J436</f>
        <v>78.216660148611652</v>
      </c>
      <c r="K416" s="36">
        <f>K406-'2015'!K436</f>
        <v>107.60787689658883</v>
      </c>
      <c r="L416" s="36">
        <f>L406-'2015'!L436</f>
        <v>225.17451024544022</v>
      </c>
      <c r="M416" s="36" t="str">
        <f>IF(G416="","",M406-((1/Comparisons!#REF!)*1000000))</f>
        <v/>
      </c>
      <c r="N416" s="36" t="str">
        <f>IF(H416="","",N406-((1/Comparisons!#REF!)*1000000))</f>
        <v/>
      </c>
      <c r="O416" s="37" t="str">
        <f>IF(I416="","",O406-((1/Comparisons!#REF!)*1000000))</f>
        <v/>
      </c>
    </row>
    <row r="417" spans="1:15" ht="18.75" x14ac:dyDescent="0.3">
      <c r="A417" s="124" t="s">
        <v>136</v>
      </c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125"/>
    </row>
    <row r="418" spans="1:15" x14ac:dyDescent="0.25">
      <c r="A418" s="122" t="s">
        <v>1</v>
      </c>
      <c r="B418" s="88"/>
      <c r="C418" s="89"/>
      <c r="D418" s="105" t="s">
        <v>19</v>
      </c>
      <c r="E418" s="106"/>
      <c r="F418" s="106"/>
      <c r="G418" s="106"/>
      <c r="H418" s="106"/>
      <c r="I418" s="107"/>
      <c r="J418" s="105" t="s">
        <v>22</v>
      </c>
      <c r="K418" s="106"/>
      <c r="L418" s="106"/>
      <c r="M418" s="106"/>
      <c r="N418" s="106"/>
      <c r="O418" s="123"/>
    </row>
    <row r="419" spans="1:15" x14ac:dyDescent="0.25">
      <c r="A419" s="26" t="s">
        <v>4</v>
      </c>
      <c r="B419" s="6" t="s">
        <v>5</v>
      </c>
      <c r="C419" s="6" t="s">
        <v>6</v>
      </c>
      <c r="D419" s="7">
        <v>1</v>
      </c>
      <c r="E419" s="7">
        <v>4</v>
      </c>
      <c r="F419" s="7">
        <v>16</v>
      </c>
      <c r="G419" s="7">
        <v>32</v>
      </c>
      <c r="H419" s="7">
        <v>64</v>
      </c>
      <c r="I419" s="7">
        <v>80</v>
      </c>
      <c r="J419" s="7">
        <v>1</v>
      </c>
      <c r="K419" s="7">
        <v>4</v>
      </c>
      <c r="L419" s="7">
        <v>16</v>
      </c>
      <c r="M419" s="7">
        <v>32</v>
      </c>
      <c r="N419" s="7">
        <v>64</v>
      </c>
      <c r="O419" s="27">
        <v>80</v>
      </c>
    </row>
    <row r="420" spans="1:15" x14ac:dyDescent="0.25">
      <c r="A420" s="28" t="s">
        <v>7</v>
      </c>
      <c r="B420" s="9" t="s">
        <v>8</v>
      </c>
      <c r="C420" s="9" t="s">
        <v>9</v>
      </c>
      <c r="D420" s="12">
        <f>IF(D401="","",(D401-'2016'!D298)/'2016'!D298)</f>
        <v>-2.9278974220055081E-2</v>
      </c>
      <c r="E420" s="12">
        <f>IF(E401="","",(E401-'2016'!E298)/'2016'!E298)</f>
        <v>3.1360647445624686E-3</v>
      </c>
      <c r="F420" s="12">
        <f>IF(F401="","",(F401-'2016'!F298)/'2016'!F298)</f>
        <v>1.027925304094569E-3</v>
      </c>
      <c r="G420" s="12" t="str">
        <f>IF(G401="","",(G401-'2016'!G385)/'2016'!G385)</f>
        <v/>
      </c>
      <c r="H420" s="12" t="str">
        <f>IF(H401="","",(H401-'2016'!H385)/'2016'!H385)</f>
        <v/>
      </c>
      <c r="I420" s="12" t="str">
        <f>IF(I401="","",(I401-'2016'!I385)/'2016'!I385)</f>
        <v/>
      </c>
      <c r="J420" s="11">
        <f>J410-'2015'!J440</f>
        <v>1</v>
      </c>
      <c r="K420" s="11">
        <f>K410-'2015'!K440</f>
        <v>4</v>
      </c>
      <c r="L420" s="11">
        <f>L410-'2015'!L440</f>
        <v>16</v>
      </c>
      <c r="M420" s="11" t="str">
        <f>IF(G420="","",M410-((1/Comparisons!#REF!)*1000000))</f>
        <v/>
      </c>
      <c r="N420" s="11" t="str">
        <f>IF(H420="","",N410-((1/Comparisons!#REF!)*1000000))</f>
        <v/>
      </c>
      <c r="O420" s="29" t="str">
        <f>IF(I420="","",O410-((1/Comparisons!#REF!)*1000000))</f>
        <v/>
      </c>
    </row>
    <row r="421" spans="1:15" x14ac:dyDescent="0.25">
      <c r="A421" s="28" t="s">
        <v>10</v>
      </c>
      <c r="B421" s="9" t="s">
        <v>8</v>
      </c>
      <c r="C421" s="9" t="s">
        <v>11</v>
      </c>
      <c r="D421" s="12">
        <f>IF(D402="","",(D402-'2016'!D299)/'2016'!D299)</f>
        <v>0.31363794907568887</v>
      </c>
      <c r="E421" s="12">
        <f>IF(E402="","",(E402-'2016'!E299)/'2016'!E299)</f>
        <v>0.18480866979955884</v>
      </c>
      <c r="F421" s="12">
        <f>IF(F402="","",(F402-'2016'!F299)/'2016'!F299)</f>
        <v>6.4502440059410138E-2</v>
      </c>
      <c r="G421" s="12" t="str">
        <f>IF(G411="","",(G411-#REF!)/#REF!)</f>
        <v/>
      </c>
      <c r="H421" s="12" t="str">
        <f>IF(H411="","",(H411-#REF!)/#REF!)</f>
        <v/>
      </c>
      <c r="I421" s="12" t="str">
        <f>IF(I411="","",(I411-#REF!)/#REF!)</f>
        <v/>
      </c>
      <c r="J421" s="11">
        <f>J411-'2015'!J441</f>
        <v>53.103924380011676</v>
      </c>
      <c r="K421" s="11">
        <f>K411-'2015'!K441</f>
        <v>50.423557886244453</v>
      </c>
      <c r="L421" s="11">
        <f>L411-'2015'!L441</f>
        <v>171.14495978093444</v>
      </c>
      <c r="M421" s="11" t="str">
        <f>IF(G421="","",M411-((1/Comparisons!#REF!)*1000000))</f>
        <v/>
      </c>
      <c r="N421" s="11" t="str">
        <f>IF(H421="","",N411-((1/Comparisons!#REF!)*1000000))</f>
        <v/>
      </c>
      <c r="O421" s="29" t="str">
        <f>IF(I421="","",O411-((1/Comparisons!#REF!)*1000000))</f>
        <v/>
      </c>
    </row>
    <row r="422" spans="1:15" x14ac:dyDescent="0.25">
      <c r="A422" s="30" t="s">
        <v>12</v>
      </c>
      <c r="B422" s="9" t="s">
        <v>13</v>
      </c>
      <c r="C422" s="9" t="s">
        <v>9</v>
      </c>
      <c r="D422" s="12">
        <f>IF(D403="","",(D403-'2016'!D300)/'2016'!D300)</f>
        <v>-7.4471288596511545E-2</v>
      </c>
      <c r="E422" s="12">
        <f>IF(E403="","",(E403-'2016'!E300)/'2016'!E300)</f>
        <v>-1.0682590117234578E-2</v>
      </c>
      <c r="F422" s="12">
        <f>IF(F403="","",(F403-'2016'!F300)/'2016'!F300)</f>
        <v>-6.5871461634324372E-3</v>
      </c>
      <c r="G422" s="12" t="str">
        <f>IF(G412="","",(G412-#REF!)/#REF!)</f>
        <v/>
      </c>
      <c r="H422" s="12" t="str">
        <f>IF(H412="","",(H412-#REF!)/#REF!)</f>
        <v/>
      </c>
      <c r="I422" s="12" t="str">
        <f>IF(I412="","",(I412-#REF!)/#REF!)</f>
        <v/>
      </c>
      <c r="J422" s="11" t="e">
        <f>J412-'2015'!J442</f>
        <v>#REF!</v>
      </c>
      <c r="K422" s="11">
        <f>K412-'2015'!K442</f>
        <v>80.945442771571962</v>
      </c>
      <c r="L422" s="11">
        <f>L412-'2015'!L442</f>
        <v>199.32230416583616</v>
      </c>
      <c r="M422" s="11" t="str">
        <f>IF(G422="","",M412-((1/Comparisons!#REF!)*1000000))</f>
        <v/>
      </c>
      <c r="N422" s="11" t="str">
        <f>IF(H422="","",N412-((1/Comparisons!#REF!)*1000000))</f>
        <v/>
      </c>
      <c r="O422" s="29" t="str">
        <f>IF(I422="","",O412-((1/Comparisons!#REF!)*1000000))</f>
        <v/>
      </c>
    </row>
    <row r="423" spans="1:15" x14ac:dyDescent="0.25">
      <c r="A423" s="30" t="s">
        <v>14</v>
      </c>
      <c r="B423" s="9" t="s">
        <v>13</v>
      </c>
      <c r="C423" s="9" t="s">
        <v>11</v>
      </c>
      <c r="D423" s="12">
        <f>IF(D404="","",(D404-'2016'!D301)/'2016'!D301)</f>
        <v>0.23213682146961401</v>
      </c>
      <c r="E423" s="12">
        <f>IF(E404="","",(E404-'2016'!E301)/'2016'!E301)</f>
        <v>0.15779617583284053</v>
      </c>
      <c r="F423" s="12">
        <f>IF(F404="","",(F404-'2016'!F301)/'2016'!F301)</f>
        <v>5.5396790503407345E-2</v>
      </c>
      <c r="G423" s="12" t="str">
        <f>IF(G413="","",(G413-#REF!)/#REF!)</f>
        <v/>
      </c>
      <c r="H423" s="12" t="str">
        <f>IF(H413="","",(H413-#REF!)/#REF!)</f>
        <v/>
      </c>
      <c r="I423" s="12" t="str">
        <f>IF(I413="","",(I413-#REF!)/#REF!)</f>
        <v/>
      </c>
      <c r="J423" s="11">
        <f>J413-'2015'!J443</f>
        <v>25.027530283311641</v>
      </c>
      <c r="K423" s="11">
        <f>K413-'2015'!K443</f>
        <v>55.37405171936431</v>
      </c>
      <c r="L423" s="11">
        <f>L413-'2015'!L443</f>
        <v>179.21146953405017</v>
      </c>
      <c r="M423" s="11" t="str">
        <f>IF(G423="","",M413-((1/Comparisons!#REF!)*1000000))</f>
        <v/>
      </c>
      <c r="N423" s="11" t="str">
        <f>IF(H423="","",N413-((1/Comparisons!#REF!)*1000000))</f>
        <v/>
      </c>
      <c r="O423" s="29" t="str">
        <f>IF(I423="","",O413-((1/Comparisons!#REF!)*1000000))</f>
        <v/>
      </c>
    </row>
    <row r="424" spans="1:15" x14ac:dyDescent="0.25">
      <c r="A424" s="30" t="s">
        <v>15</v>
      </c>
      <c r="B424" s="9" t="s">
        <v>16</v>
      </c>
      <c r="C424" s="9" t="s">
        <v>11</v>
      </c>
      <c r="D424" s="12">
        <f>IF(D405="","",(D405-'2016'!D302)/'2016'!D302)</f>
        <v>0.1531397174254317</v>
      </c>
      <c r="E424" s="12">
        <f>IF(E405="","",(E405-'2016'!E302)/'2016'!E302)</f>
        <v>-5.5248618784530384E-3</v>
      </c>
      <c r="F424" s="12">
        <f>IF(F405="","",(F405-'2016'!F302)/'2016'!F302)</f>
        <v>-3.4639532366313057E-2</v>
      </c>
      <c r="G424" s="12" t="str">
        <f>IF(G414="","",(G414-#REF!)/#REF!)</f>
        <v/>
      </c>
      <c r="H424" s="12" t="str">
        <f>IF(H414="","",(H414-#REF!)/#REF!)</f>
        <v/>
      </c>
      <c r="I424" s="12" t="str">
        <f>IF(I414="","",(I414-#REF!)/#REF!)</f>
        <v/>
      </c>
      <c r="J424" s="11">
        <f>J414-'2015'!J444</f>
        <v>68.068885712340887</v>
      </c>
      <c r="K424" s="11">
        <f>K414-'2015'!K444</f>
        <v>85.128117817315058</v>
      </c>
      <c r="L424" s="11">
        <f>L414-'2015'!L444</f>
        <v>208.28993959591753</v>
      </c>
      <c r="M424" s="11" t="str">
        <f>IF(G424="","",M414-((1/Comparisons!#REF!)*1000000))</f>
        <v/>
      </c>
      <c r="N424" s="11" t="str">
        <f>IF(H424="","",N414-((1/Comparisons!#REF!)*1000000))</f>
        <v/>
      </c>
      <c r="O424" s="29" t="str">
        <f>IF(I424="","",O414-((1/Comparisons!#REF!)*1000000))</f>
        <v/>
      </c>
    </row>
    <row r="425" spans="1:15" ht="15.75" thickBot="1" x14ac:dyDescent="0.3">
      <c r="A425" s="32" t="s">
        <v>17</v>
      </c>
      <c r="B425" s="33" t="s">
        <v>18</v>
      </c>
      <c r="C425" s="34" t="s">
        <v>11</v>
      </c>
      <c r="D425" s="12">
        <f>IF(D406="","",(D406-'2016'!D303)/'2016'!D303)</f>
        <v>5.6786245660439744E-2</v>
      </c>
      <c r="E425" s="12">
        <f>IF(E406="","",(E406-'2016'!E303)/'2016'!E303)</f>
        <v>-6.5560583207642034E-2</v>
      </c>
      <c r="F425" s="12">
        <f>IF(F406="","",(F406-'2016'!F303)/'2016'!F303)</f>
        <v>-4.3094160741219564E-2</v>
      </c>
      <c r="G425" s="35" t="str">
        <f>IF(G415="","",(G415-#REF!)/#REF!)</f>
        <v/>
      </c>
      <c r="H425" s="35" t="str">
        <f>IF(H415="","",(H415-#REF!)/#REF!)</f>
        <v/>
      </c>
      <c r="I425" s="35" t="str">
        <f>IF(I415="","",(I415-#REF!)/#REF!)</f>
        <v/>
      </c>
      <c r="J425" s="36" t="e">
        <f>J415-'2015'!J445</f>
        <v>#REF!</v>
      </c>
      <c r="K425" s="36">
        <f>K415-'2015'!K445</f>
        <v>101.01010101010101</v>
      </c>
      <c r="L425" s="36">
        <f>L415-'2015'!L445</f>
        <v>224.26553038797937</v>
      </c>
      <c r="M425" s="36" t="str">
        <f>IF(G425="","",M415-((1/Comparisons!#REF!)*1000000))</f>
        <v/>
      </c>
      <c r="N425" s="36" t="str">
        <f>IF(H425="","",N415-((1/Comparisons!#REF!)*1000000))</f>
        <v/>
      </c>
      <c r="O425" s="37" t="str">
        <f>IF(I425="","",O415-((1/Comparisons!#REF!)*1000000))</f>
        <v/>
      </c>
    </row>
    <row r="426" spans="1:15" ht="18.75" x14ac:dyDescent="0.25">
      <c r="A426" s="126" t="s">
        <v>93</v>
      </c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8"/>
    </row>
    <row r="427" spans="1:15" ht="15.75" x14ac:dyDescent="0.25">
      <c r="A427" s="129" t="s">
        <v>147</v>
      </c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130"/>
    </row>
    <row r="428" spans="1:15" x14ac:dyDescent="0.25">
      <c r="A428" s="122" t="s">
        <v>1</v>
      </c>
      <c r="B428" s="88"/>
      <c r="C428" s="89"/>
      <c r="D428" s="105" t="s">
        <v>2</v>
      </c>
      <c r="E428" s="106"/>
      <c r="F428" s="106"/>
      <c r="G428" s="106"/>
      <c r="H428" s="106"/>
      <c r="I428" s="107"/>
      <c r="J428" s="105" t="s">
        <v>3</v>
      </c>
      <c r="K428" s="106"/>
      <c r="L428" s="106"/>
      <c r="M428" s="106"/>
      <c r="N428" s="106"/>
      <c r="O428" s="123"/>
    </row>
    <row r="429" spans="1:15" x14ac:dyDescent="0.25">
      <c r="A429" s="26" t="s">
        <v>26</v>
      </c>
      <c r="B429" s="6" t="s">
        <v>5</v>
      </c>
      <c r="C429" s="6" t="s">
        <v>6</v>
      </c>
      <c r="D429" s="7">
        <v>1</v>
      </c>
      <c r="E429" s="7">
        <v>4</v>
      </c>
      <c r="F429" s="7">
        <v>16</v>
      </c>
      <c r="G429" s="7">
        <v>32</v>
      </c>
      <c r="H429" s="7">
        <v>64</v>
      </c>
      <c r="I429" s="7">
        <v>80</v>
      </c>
      <c r="J429" s="7">
        <v>1</v>
      </c>
      <c r="K429" s="7">
        <v>4</v>
      </c>
      <c r="L429" s="7">
        <v>16</v>
      </c>
      <c r="M429" s="7">
        <v>32</v>
      </c>
      <c r="N429" s="7">
        <v>64</v>
      </c>
      <c r="O429" s="27">
        <v>80</v>
      </c>
    </row>
    <row r="430" spans="1:15" x14ac:dyDescent="0.25">
      <c r="A430" s="28" t="s">
        <v>7</v>
      </c>
      <c r="B430" s="9" t="s">
        <v>8</v>
      </c>
      <c r="C430" s="9" t="s">
        <v>9</v>
      </c>
      <c r="D430" s="24">
        <v>42818</v>
      </c>
      <c r="E430" s="24">
        <v>19770</v>
      </c>
      <c r="F430" s="24">
        <v>5808</v>
      </c>
      <c r="G430" s="10"/>
      <c r="H430" s="10"/>
      <c r="I430" s="10"/>
      <c r="J430" s="11">
        <f>IF(D431="","",(1/D431)*1000000)</f>
        <v>53.296381175718167</v>
      </c>
      <c r="K430" s="11">
        <f t="shared" ref="K430:K435" si="126">IF(E430="","",(1/E430)*1000000)</f>
        <v>50.581689428426905</v>
      </c>
      <c r="L430" s="11">
        <f t="shared" ref="L430:L435" si="127">IF(F430="","",(1/F430)*1000000)</f>
        <v>172.1763085399449</v>
      </c>
      <c r="M430" s="11" t="str">
        <f t="shared" ref="M430:M435" si="128">IF(G430="","",(1/G430)*1000000)</f>
        <v/>
      </c>
      <c r="N430" s="11" t="str">
        <f t="shared" ref="N430:N435" si="129">IF(H430="","",(1/H430)*1000000)</f>
        <v/>
      </c>
      <c r="O430" s="29" t="str">
        <f t="shared" ref="O430:O435" si="130">IF(I430="","",(1/I430)*1000000)</f>
        <v/>
      </c>
    </row>
    <row r="431" spans="1:15" x14ac:dyDescent="0.25">
      <c r="A431" s="28" t="s">
        <v>10</v>
      </c>
      <c r="B431" s="9" t="s">
        <v>8</v>
      </c>
      <c r="C431" s="9" t="s">
        <v>11</v>
      </c>
      <c r="D431" s="24">
        <v>18763</v>
      </c>
      <c r="E431" s="24">
        <v>11223</v>
      </c>
      <c r="F431" s="24">
        <v>4870</v>
      </c>
      <c r="G431" s="10"/>
      <c r="H431" s="10"/>
      <c r="I431" s="10"/>
      <c r="J431" s="11" t="e">
        <f>IF(#REF!="","",(1/#REF!)*1000000)</f>
        <v>#REF!</v>
      </c>
      <c r="K431" s="11">
        <f t="shared" si="126"/>
        <v>89.10273545397844</v>
      </c>
      <c r="L431" s="11">
        <f t="shared" si="127"/>
        <v>205.3388090349076</v>
      </c>
      <c r="M431" s="11" t="str">
        <f t="shared" si="128"/>
        <v/>
      </c>
      <c r="N431" s="11" t="str">
        <f t="shared" si="129"/>
        <v/>
      </c>
      <c r="O431" s="29" t="str">
        <f t="shared" si="130"/>
        <v/>
      </c>
    </row>
    <row r="432" spans="1:15" x14ac:dyDescent="0.25">
      <c r="A432" s="30" t="s">
        <v>12</v>
      </c>
      <c r="B432" s="9" t="s">
        <v>13</v>
      </c>
      <c r="C432" s="9" t="s">
        <v>9</v>
      </c>
      <c r="D432" s="24">
        <v>38041</v>
      </c>
      <c r="E432" s="24">
        <v>17841</v>
      </c>
      <c r="F432" s="24">
        <v>5580</v>
      </c>
      <c r="G432" s="10"/>
      <c r="H432" s="10"/>
      <c r="I432" s="10"/>
      <c r="J432" s="11">
        <f t="shared" ref="J432" si="131">IF(D432="","",(1/D432)*1000000)</f>
        <v>26.287426723798006</v>
      </c>
      <c r="K432" s="11">
        <f t="shared" si="126"/>
        <v>56.050669805504171</v>
      </c>
      <c r="L432" s="11">
        <f t="shared" si="127"/>
        <v>179.21146953405017</v>
      </c>
      <c r="M432" s="11" t="str">
        <f t="shared" si="128"/>
        <v/>
      </c>
      <c r="N432" s="11" t="str">
        <f t="shared" si="129"/>
        <v/>
      </c>
      <c r="O432" s="29" t="str">
        <f t="shared" si="130"/>
        <v/>
      </c>
    </row>
    <row r="433" spans="1:15" x14ac:dyDescent="0.25">
      <c r="A433" s="30" t="s">
        <v>14</v>
      </c>
      <c r="B433" s="9" t="s">
        <v>13</v>
      </c>
      <c r="C433" s="9" t="s">
        <v>11</v>
      </c>
      <c r="D433" s="24">
        <v>17199</v>
      </c>
      <c r="E433" s="24">
        <v>10735</v>
      </c>
      <c r="F433" s="24">
        <v>4685</v>
      </c>
      <c r="G433" s="10"/>
      <c r="H433" s="10"/>
      <c r="I433" s="10"/>
      <c r="J433" s="11">
        <f>IF(D434="","",(1/D434)*1000000)</f>
        <v>72.611094975312227</v>
      </c>
      <c r="K433" s="11">
        <f t="shared" si="126"/>
        <v>93.153237074988354</v>
      </c>
      <c r="L433" s="11">
        <f t="shared" si="127"/>
        <v>213.44717182497331</v>
      </c>
      <c r="M433" s="11" t="str">
        <f t="shared" si="128"/>
        <v/>
      </c>
      <c r="N433" s="11" t="str">
        <f t="shared" si="129"/>
        <v/>
      </c>
      <c r="O433" s="29" t="str">
        <f t="shared" si="130"/>
        <v/>
      </c>
    </row>
    <row r="434" spans="1:15" x14ac:dyDescent="0.25">
      <c r="A434" s="30" t="s">
        <v>15</v>
      </c>
      <c r="B434" s="9" t="s">
        <v>16</v>
      </c>
      <c r="C434" s="9" t="s">
        <v>11</v>
      </c>
      <c r="D434" s="24">
        <v>13772</v>
      </c>
      <c r="E434" s="24">
        <v>10511</v>
      </c>
      <c r="F434" s="24">
        <v>4760</v>
      </c>
      <c r="G434" s="10"/>
      <c r="H434" s="10"/>
      <c r="I434" s="10"/>
      <c r="J434" s="11" t="e">
        <f>IF(#REF!="","",(1/#REF!)*1000000)</f>
        <v>#REF!</v>
      </c>
      <c r="K434" s="11">
        <f t="shared" si="126"/>
        <v>95.138426410427172</v>
      </c>
      <c r="L434" s="11">
        <f t="shared" si="127"/>
        <v>210.0840336134454</v>
      </c>
      <c r="M434" s="11" t="str">
        <f t="shared" si="128"/>
        <v/>
      </c>
      <c r="N434" s="11" t="str">
        <f t="shared" si="129"/>
        <v/>
      </c>
      <c r="O434" s="29" t="str">
        <f t="shared" si="130"/>
        <v/>
      </c>
    </row>
    <row r="435" spans="1:15" x14ac:dyDescent="0.25">
      <c r="A435" s="30" t="s">
        <v>17</v>
      </c>
      <c r="B435" s="8" t="s">
        <v>18</v>
      </c>
      <c r="C435" s="9" t="s">
        <v>11</v>
      </c>
      <c r="D435" s="24">
        <v>13013</v>
      </c>
      <c r="E435" s="24">
        <v>9283</v>
      </c>
      <c r="F435" s="24">
        <v>4437</v>
      </c>
      <c r="G435" s="10"/>
      <c r="H435" s="10"/>
      <c r="I435" s="10"/>
      <c r="J435" s="11">
        <f t="shared" ref="J435" si="132">IF(D435="","",(1/D435)*1000000)</f>
        <v>76.846230692384538</v>
      </c>
      <c r="K435" s="11">
        <f t="shared" si="126"/>
        <v>107.72379618657762</v>
      </c>
      <c r="L435" s="11">
        <f t="shared" si="127"/>
        <v>225.377507324769</v>
      </c>
      <c r="M435" s="11" t="str">
        <f t="shared" si="128"/>
        <v/>
      </c>
      <c r="N435" s="11" t="str">
        <f t="shared" si="129"/>
        <v/>
      </c>
      <c r="O435" s="29" t="str">
        <f t="shared" si="130"/>
        <v/>
      </c>
    </row>
    <row r="436" spans="1:15" x14ac:dyDescent="0.25">
      <c r="A436" s="131" t="s">
        <v>148</v>
      </c>
      <c r="B436" s="102"/>
      <c r="C436" s="102"/>
      <c r="D436" s="102"/>
      <c r="E436" s="132"/>
      <c r="F436" s="132"/>
      <c r="G436" s="132"/>
      <c r="H436" s="132"/>
      <c r="I436" s="132"/>
      <c r="J436" s="19"/>
      <c r="K436" s="19"/>
      <c r="L436" s="19"/>
      <c r="M436" s="19"/>
      <c r="N436" s="19"/>
      <c r="O436" s="31"/>
    </row>
    <row r="437" spans="1:15" ht="18.75" x14ac:dyDescent="0.3">
      <c r="A437" s="124" t="s">
        <v>137</v>
      </c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125"/>
    </row>
    <row r="438" spans="1:15" x14ac:dyDescent="0.25">
      <c r="A438" s="122" t="s">
        <v>1</v>
      </c>
      <c r="B438" s="88"/>
      <c r="C438" s="89"/>
      <c r="D438" s="105" t="s">
        <v>19</v>
      </c>
      <c r="E438" s="106"/>
      <c r="F438" s="106"/>
      <c r="G438" s="106"/>
      <c r="H438" s="106"/>
      <c r="I438" s="107"/>
      <c r="J438" s="105" t="s">
        <v>22</v>
      </c>
      <c r="K438" s="106"/>
      <c r="L438" s="106"/>
      <c r="M438" s="106"/>
      <c r="N438" s="106"/>
      <c r="O438" s="123"/>
    </row>
    <row r="439" spans="1:15" x14ac:dyDescent="0.25">
      <c r="A439" s="26" t="s">
        <v>4</v>
      </c>
      <c r="B439" s="6" t="s">
        <v>5</v>
      </c>
      <c r="C439" s="6" t="s">
        <v>6</v>
      </c>
      <c r="D439" s="7">
        <v>1</v>
      </c>
      <c r="E439" s="7">
        <v>4</v>
      </c>
      <c r="F439" s="7">
        <v>16</v>
      </c>
      <c r="G439" s="7">
        <v>32</v>
      </c>
      <c r="H439" s="7">
        <v>64</v>
      </c>
      <c r="I439" s="7">
        <v>80</v>
      </c>
      <c r="J439" s="7">
        <v>1</v>
      </c>
      <c r="K439" s="7">
        <v>4</v>
      </c>
      <c r="L439" s="7">
        <v>16</v>
      </c>
      <c r="M439" s="7">
        <v>32</v>
      </c>
      <c r="N439" s="7">
        <v>64</v>
      </c>
      <c r="O439" s="27">
        <v>80</v>
      </c>
    </row>
    <row r="440" spans="1:15" x14ac:dyDescent="0.25">
      <c r="A440" s="28" t="s">
        <v>7</v>
      </c>
      <c r="B440" s="9" t="s">
        <v>8</v>
      </c>
      <c r="C440" s="9" t="s">
        <v>9</v>
      </c>
      <c r="D440" s="12">
        <f>IF(D430="","",(D430-'2016'!D5)/'2016'!D5)</f>
        <v>-4.4539652787075466E-2</v>
      </c>
      <c r="E440" s="12">
        <f>IF(E430="","",(E430-'2016'!E5)/'2016'!E5)</f>
        <v>-1.6124216183935502E-2</v>
      </c>
      <c r="F440" s="12">
        <f>IF(F430="","",(F430-'2016'!F5)/'2016'!F5)</f>
        <v>-5.9900735923327057E-3</v>
      </c>
      <c r="G440" s="12" t="str">
        <f>IF(G430="","",(G430-#REF!)/#REF!)</f>
        <v/>
      </c>
      <c r="H440" s="12" t="str">
        <f>IF(H430="","",(H430-#REF!)/#REF!)</f>
        <v/>
      </c>
      <c r="I440" s="12" t="str">
        <f>IF(I430="","",(I430-#REF!)/#REF!)</f>
        <v/>
      </c>
      <c r="J440" s="11">
        <f>J430-'2015'!J460</f>
        <v>53.296381175718167</v>
      </c>
      <c r="K440" s="11">
        <f>K430-'2015'!K460</f>
        <v>50.581689428426905</v>
      </c>
      <c r="L440" s="11">
        <f>L430-'2015'!L460</f>
        <v>172.1763085399449</v>
      </c>
      <c r="M440" s="11" t="str">
        <f>IF(G440="","",M430-((1/Comparisons!#REF!)*1000000))</f>
        <v/>
      </c>
      <c r="N440" s="11" t="str">
        <f>IF(H440="","",N430-((1/Comparisons!#REF!)*1000000))</f>
        <v/>
      </c>
      <c r="O440" s="29" t="str">
        <f>IF(I440="","",O430-((1/Comparisons!#REF!)*1000000))</f>
        <v/>
      </c>
    </row>
    <row r="441" spans="1:15" x14ac:dyDescent="0.25">
      <c r="A441" s="28" t="s">
        <v>10</v>
      </c>
      <c r="B441" s="9" t="s">
        <v>8</v>
      </c>
      <c r="C441" s="9" t="s">
        <v>11</v>
      </c>
      <c r="D441" s="12">
        <f>IF(D431="","",(D431-'2016'!D6)/'2016'!D6)</f>
        <v>0.25807965669840416</v>
      </c>
      <c r="E441" s="12">
        <f>IF(E431="","",(E431-'2016'!E6)/'2016'!E6)</f>
        <v>3.6096750369276218E-2</v>
      </c>
      <c r="F441" s="12">
        <f>IF(F431="","",(F431-'2016'!F6)/'2016'!F6)</f>
        <v>1.946828553485451E-2</v>
      </c>
      <c r="G441" s="12" t="str">
        <f>IF(G431="","",(G431-#REF!)/#REF!)</f>
        <v/>
      </c>
      <c r="H441" s="12" t="str">
        <f>IF(H431="","",(H431-#REF!)/#REF!)</f>
        <v/>
      </c>
      <c r="I441" s="12" t="str">
        <f>IF(I431="","",(I431-#REF!)/#REF!)</f>
        <v/>
      </c>
      <c r="J441" s="11" t="e">
        <f>J431-'2015'!J461</f>
        <v>#REF!</v>
      </c>
      <c r="K441" s="11">
        <f>K431-'2015'!K461</f>
        <v>89.10273545397844</v>
      </c>
      <c r="L441" s="11">
        <f>L431-'2015'!L461</f>
        <v>205.3388090349076</v>
      </c>
      <c r="M441" s="11" t="str">
        <f>IF(G441="","",M431-((1/Comparisons!#REF!)*1000000))</f>
        <v/>
      </c>
      <c r="N441" s="11" t="str">
        <f>IF(H441="","",N431-((1/Comparisons!#REF!)*1000000))</f>
        <v/>
      </c>
      <c r="O441" s="29" t="str">
        <f>IF(I441="","",O431-((1/Comparisons!#REF!)*1000000))</f>
        <v/>
      </c>
    </row>
    <row r="442" spans="1:15" x14ac:dyDescent="0.25">
      <c r="A442" s="30" t="s">
        <v>12</v>
      </c>
      <c r="B442" s="9" t="s">
        <v>13</v>
      </c>
      <c r="C442" s="9" t="s">
        <v>9</v>
      </c>
      <c r="D442" s="12">
        <f>IF(D432="","",(D432-'2016'!D7)/'2016'!D7)</f>
        <v>-0.12414523518983261</v>
      </c>
      <c r="E442" s="12">
        <f>IF(E432="","",(E432-'2016'!E7)/'2016'!E7)</f>
        <v>-2.7473426001635323E-2</v>
      </c>
      <c r="F442" s="12">
        <f>IF(F432="","",(F432-'2016'!F7)/'2016'!F7)</f>
        <v>-1.0111761575306013E-2</v>
      </c>
      <c r="G442" s="12" t="str">
        <f>IF(G432="","",(G432-#REF!)/#REF!)</f>
        <v/>
      </c>
      <c r="H442" s="12" t="str">
        <f>IF(H432="","",(H432-#REF!)/#REF!)</f>
        <v/>
      </c>
      <c r="I442" s="12" t="str">
        <f>IF(I432="","",(I432-#REF!)/#REF!)</f>
        <v/>
      </c>
      <c r="J442" s="11">
        <f>J432-'2015'!J462</f>
        <v>26.287426723798006</v>
      </c>
      <c r="K442" s="11">
        <f>K432-'2015'!K462</f>
        <v>56.050669805504171</v>
      </c>
      <c r="L442" s="11">
        <f>L432-'2015'!L462</f>
        <v>179.21146953405017</v>
      </c>
      <c r="M442" s="11" t="str">
        <f>IF(G442="","",M432-((1/Comparisons!#REF!)*1000000))</f>
        <v/>
      </c>
      <c r="N442" s="11" t="str">
        <f>IF(H442="","",N432-((1/Comparisons!#REF!)*1000000))</f>
        <v/>
      </c>
      <c r="O442" s="29" t="str">
        <f>IF(I442="","",O432-((1/Comparisons!#REF!)*1000000))</f>
        <v/>
      </c>
    </row>
    <row r="443" spans="1:15" x14ac:dyDescent="0.25">
      <c r="A443" s="30" t="s">
        <v>14</v>
      </c>
      <c r="B443" s="9" t="s">
        <v>13</v>
      </c>
      <c r="C443" s="9" t="s">
        <v>11</v>
      </c>
      <c r="D443" s="12">
        <f>IF(D433="","",(D433-'2016'!D8)/'2016'!D8)</f>
        <v>0.1920571111727197</v>
      </c>
      <c r="E443" s="12">
        <f>IF(E433="","",(E433-'2016'!E8)/'2016'!E8)</f>
        <v>4.8954465507133088E-2</v>
      </c>
      <c r="F443" s="12">
        <f>IF(F433="","",(F433-'2016'!F8)/'2016'!F8)</f>
        <v>2.4267599475295148E-2</v>
      </c>
      <c r="G443" s="12" t="str">
        <f>IF(G433="","",(G433-#REF!)/#REF!)</f>
        <v/>
      </c>
      <c r="H443" s="12" t="str">
        <f>IF(H433="","",(H433-#REF!)/#REF!)</f>
        <v/>
      </c>
      <c r="I443" s="12" t="str">
        <f>IF(I433="","",(I433-#REF!)/#REF!)</f>
        <v/>
      </c>
      <c r="J443" s="11">
        <f>J433-'2015'!J463</f>
        <v>72.611094975312227</v>
      </c>
      <c r="K443" s="11">
        <f>K433-'2015'!K463</f>
        <v>93.153237074988354</v>
      </c>
      <c r="L443" s="11">
        <f>L433-'2015'!L463</f>
        <v>213.44717182497331</v>
      </c>
      <c r="M443" s="11" t="str">
        <f>IF(G443="","",M433-((1/Comparisons!#REF!)*1000000))</f>
        <v/>
      </c>
      <c r="N443" s="11" t="str">
        <f>IF(H443="","",N433-((1/Comparisons!#REF!)*1000000))</f>
        <v/>
      </c>
      <c r="O443" s="29" t="str">
        <f>IF(I443="","",O433-((1/Comparisons!#REF!)*1000000))</f>
        <v/>
      </c>
    </row>
    <row r="444" spans="1:15" x14ac:dyDescent="0.25">
      <c r="A444" s="30" t="s">
        <v>15</v>
      </c>
      <c r="B444" s="9" t="s">
        <v>16</v>
      </c>
      <c r="C444" s="9" t="s">
        <v>11</v>
      </c>
      <c r="D444" s="12">
        <f>IF(D434="","",(D434-'2016'!D9)/'2016'!D9)</f>
        <v>2.1131459924371616E-2</v>
      </c>
      <c r="E444" s="12">
        <f>IF(E434="","",(E434-'2016'!E9)/'2016'!E9)</f>
        <v>4.0590040590040587E-2</v>
      </c>
      <c r="F444" s="12">
        <f>IF(F434="","",(F434-'2016'!F9)/'2016'!F9)</f>
        <v>3.1419284940411699E-2</v>
      </c>
      <c r="G444" s="12" t="str">
        <f>IF(G434="","",(G434-#REF!)/#REF!)</f>
        <v/>
      </c>
      <c r="H444" s="12" t="str">
        <f>IF(H434="","",(H434-#REF!)/#REF!)</f>
        <v/>
      </c>
      <c r="I444" s="12" t="str">
        <f>IF(I434="","",(I434-#REF!)/#REF!)</f>
        <v/>
      </c>
      <c r="J444" s="11" t="e">
        <f>J434-'2015'!J464</f>
        <v>#REF!</v>
      </c>
      <c r="K444" s="11">
        <f>K434-'2015'!K464</f>
        <v>95.138426410427172</v>
      </c>
      <c r="L444" s="11">
        <f>L434-'2015'!L464</f>
        <v>210.0840336134454</v>
      </c>
      <c r="M444" s="11" t="str">
        <f>IF(G444="","",M434-((1/Comparisons!#REF!)*1000000))</f>
        <v/>
      </c>
      <c r="N444" s="11" t="str">
        <f>IF(H444="","",N434-((1/Comparisons!#REF!)*1000000))</f>
        <v/>
      </c>
      <c r="O444" s="29" t="str">
        <f>IF(I444="","",O434-((1/Comparisons!#REF!)*1000000))</f>
        <v/>
      </c>
    </row>
    <row r="445" spans="1:15" ht="15.75" thickBot="1" x14ac:dyDescent="0.3">
      <c r="A445" s="32" t="s">
        <v>17</v>
      </c>
      <c r="B445" s="33" t="s">
        <v>18</v>
      </c>
      <c r="C445" s="34" t="s">
        <v>11</v>
      </c>
      <c r="D445" s="12">
        <f>IF(D435="","",(D435-'2016'!D10)/'2016'!D10)</f>
        <v>5.2661381653454131E-2</v>
      </c>
      <c r="E445" s="12">
        <f>IF(E435="","",(E435-'2016'!E10)/'2016'!E10)</f>
        <v>-7.6410307432096314E-2</v>
      </c>
      <c r="F445" s="12">
        <f>IF(F435="","",(F435-'2016'!F10)/'2016'!F10)</f>
        <v>-4.3956043956043959E-2</v>
      </c>
      <c r="G445" s="35" t="str">
        <f>IF(G435="","",(G435-#REF!)/#REF!)</f>
        <v/>
      </c>
      <c r="H445" s="35" t="str">
        <f>IF(H435="","",(H435-#REF!)/#REF!)</f>
        <v/>
      </c>
      <c r="I445" s="35" t="str">
        <f>IF(I435="","",(I435-#REF!)/#REF!)</f>
        <v/>
      </c>
      <c r="J445" s="36">
        <f>J435-'2015'!J465</f>
        <v>76.846230692384538</v>
      </c>
      <c r="K445" s="36">
        <f>K435-'2015'!K465</f>
        <v>107.72379618657762</v>
      </c>
      <c r="L445" s="36">
        <f>L435-'2015'!L465</f>
        <v>225.377507324769</v>
      </c>
      <c r="M445" s="36" t="str">
        <f>IF(G445="","",M435-((1/Comparisons!#REF!)*1000000))</f>
        <v/>
      </c>
      <c r="N445" s="36" t="str">
        <f>IF(H445="","",N435-((1/Comparisons!#REF!)*1000000))</f>
        <v/>
      </c>
      <c r="O445" s="37" t="str">
        <f>IF(I445="","",O435-((1/Comparisons!#REF!)*1000000))</f>
        <v/>
      </c>
    </row>
    <row r="446" spans="1:15" ht="18.75" x14ac:dyDescent="0.3">
      <c r="A446" s="124" t="s">
        <v>136</v>
      </c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125"/>
    </row>
    <row r="447" spans="1:15" x14ac:dyDescent="0.25">
      <c r="A447" s="122" t="s">
        <v>1</v>
      </c>
      <c r="B447" s="88"/>
      <c r="C447" s="89"/>
      <c r="D447" s="105" t="s">
        <v>19</v>
      </c>
      <c r="E447" s="106"/>
      <c r="F447" s="106"/>
      <c r="G447" s="106"/>
      <c r="H447" s="106"/>
      <c r="I447" s="107"/>
      <c r="J447" s="105" t="s">
        <v>22</v>
      </c>
      <c r="K447" s="106"/>
      <c r="L447" s="106"/>
      <c r="M447" s="106"/>
      <c r="N447" s="106"/>
      <c r="O447" s="123"/>
    </row>
    <row r="448" spans="1:15" x14ac:dyDescent="0.25">
      <c r="A448" s="26" t="s">
        <v>4</v>
      </c>
      <c r="B448" s="6" t="s">
        <v>5</v>
      </c>
      <c r="C448" s="6" t="s">
        <v>6</v>
      </c>
      <c r="D448" s="7">
        <v>1</v>
      </c>
      <c r="E448" s="7">
        <v>4</v>
      </c>
      <c r="F448" s="7">
        <v>16</v>
      </c>
      <c r="G448" s="7">
        <v>32</v>
      </c>
      <c r="H448" s="7">
        <v>64</v>
      </c>
      <c r="I448" s="7">
        <v>80</v>
      </c>
      <c r="J448" s="7">
        <v>1</v>
      </c>
      <c r="K448" s="7">
        <v>4</v>
      </c>
      <c r="L448" s="7">
        <v>16</v>
      </c>
      <c r="M448" s="7">
        <v>32</v>
      </c>
      <c r="N448" s="7">
        <v>64</v>
      </c>
      <c r="O448" s="27">
        <v>80</v>
      </c>
    </row>
    <row r="449" spans="1:15" x14ac:dyDescent="0.25">
      <c r="A449" s="28" t="s">
        <v>7</v>
      </c>
      <c r="B449" s="9" t="s">
        <v>8</v>
      </c>
      <c r="C449" s="9" t="s">
        <v>9</v>
      </c>
      <c r="D449" s="12">
        <f>IF(D430="","",(D430-'2016'!D298)/'2016'!D298)</f>
        <v>-3.3410086234141496E-2</v>
      </c>
      <c r="E449" s="12">
        <f>IF(E430="","",(E430-'2016'!E298)/'2016'!E298)</f>
        <v>0</v>
      </c>
      <c r="F449" s="12">
        <f>IF(F430="","",(F430-'2016'!F298)/'2016'!F298)</f>
        <v>-4.9683056364570842E-3</v>
      </c>
      <c r="G449" s="12" t="str">
        <f>IF(G430="","",(G430-'2016'!G414)/'2016'!G414)</f>
        <v/>
      </c>
      <c r="H449" s="12" t="str">
        <f>IF(H430="","",(H430-'2016'!H414)/'2016'!H414)</f>
        <v/>
      </c>
      <c r="I449" s="12" t="str">
        <f>IF(I430="","",(I430-'2016'!I414)/'2016'!I414)</f>
        <v/>
      </c>
      <c r="J449" s="11">
        <f>J439-'2015'!J469</f>
        <v>1</v>
      </c>
      <c r="K449" s="11">
        <f>K439-'2015'!K469</f>
        <v>4</v>
      </c>
      <c r="L449" s="11">
        <f>L439-'2015'!L469</f>
        <v>16</v>
      </c>
      <c r="M449" s="11" t="str">
        <f>IF(G449="","",M439-((1/Comparisons!#REF!)*1000000))</f>
        <v/>
      </c>
      <c r="N449" s="11" t="str">
        <f>IF(H449="","",N439-((1/Comparisons!#REF!)*1000000))</f>
        <v/>
      </c>
      <c r="O449" s="29" t="str">
        <f>IF(I449="","",O439-((1/Comparisons!#REF!)*1000000))</f>
        <v/>
      </c>
    </row>
    <row r="450" spans="1:15" x14ac:dyDescent="0.25">
      <c r="A450" s="28" t="s">
        <v>10</v>
      </c>
      <c r="B450" s="9" t="s">
        <v>8</v>
      </c>
      <c r="C450" s="9" t="s">
        <v>11</v>
      </c>
      <c r="D450" s="12">
        <f>IF(D431="","",(D431-'2016'!D299)/'2016'!D299)</f>
        <v>0.30889431461457972</v>
      </c>
      <c r="E450" s="12">
        <f>IF(E431="","",(E431-'2016'!E299)/'2016'!E299)</f>
        <v>7.6340270451711906E-2</v>
      </c>
      <c r="F450" s="12">
        <f>IF(F431="","",(F431-'2016'!F299)/'2016'!F299)</f>
        <v>3.331211542541905E-2</v>
      </c>
      <c r="G450" s="12" t="str">
        <f>IF(G440="","",(G440-#REF!)/#REF!)</f>
        <v/>
      </c>
      <c r="H450" s="12" t="str">
        <f>IF(H440="","",(H440-#REF!)/#REF!)</f>
        <v/>
      </c>
      <c r="I450" s="12" t="str">
        <f>IF(I440="","",(I440-#REF!)/#REF!)</f>
        <v/>
      </c>
      <c r="J450" s="11">
        <f>J440-'2015'!J470</f>
        <v>53.296381175718167</v>
      </c>
      <c r="K450" s="11">
        <f>K440-'2015'!K470</f>
        <v>50.581689428426905</v>
      </c>
      <c r="L450" s="11">
        <f>L440-'2015'!L470</f>
        <v>172.1763085399449</v>
      </c>
      <c r="M450" s="11" t="str">
        <f>IF(G450="","",M440-((1/Comparisons!#REF!)*1000000))</f>
        <v/>
      </c>
      <c r="N450" s="11" t="str">
        <f>IF(H450="","",N440-((1/Comparisons!#REF!)*1000000))</f>
        <v/>
      </c>
      <c r="O450" s="29" t="str">
        <f>IF(I450="","",O440-((1/Comparisons!#REF!)*1000000))</f>
        <v/>
      </c>
    </row>
    <row r="451" spans="1:15" x14ac:dyDescent="0.25">
      <c r="A451" s="30" t="s">
        <v>12</v>
      </c>
      <c r="B451" s="9" t="s">
        <v>13</v>
      </c>
      <c r="C451" s="9" t="s">
        <v>9</v>
      </c>
      <c r="D451" s="12">
        <f>IF(D432="","",(D432-'2016'!D300)/'2016'!D300)</f>
        <v>-0.11882976998448032</v>
      </c>
      <c r="E451" s="12">
        <f>IF(E432="","",(E432-'2016'!E300)/'2016'!E300)</f>
        <v>-2.2625178043168621E-2</v>
      </c>
      <c r="F451" s="12">
        <f>IF(F432="","",(F432-'2016'!F300)/'2016'!F300)</f>
        <v>-6.5871461634324372E-3</v>
      </c>
      <c r="G451" s="12" t="str">
        <f>IF(G441="","",(G441-#REF!)/#REF!)</f>
        <v/>
      </c>
      <c r="H451" s="12" t="str">
        <f>IF(H441="","",(H441-#REF!)/#REF!)</f>
        <v/>
      </c>
      <c r="I451" s="12" t="str">
        <f>IF(I441="","",(I441-#REF!)/#REF!)</f>
        <v/>
      </c>
      <c r="J451" s="11" t="e">
        <f>J441-'2015'!J471</f>
        <v>#REF!</v>
      </c>
      <c r="K451" s="11">
        <f>K441-'2015'!K471</f>
        <v>89.10273545397844</v>
      </c>
      <c r="L451" s="11">
        <f>L441-'2015'!L471</f>
        <v>205.3388090349076</v>
      </c>
      <c r="M451" s="11" t="str">
        <f>IF(G451="","",M441-((1/Comparisons!#REF!)*1000000))</f>
        <v/>
      </c>
      <c r="N451" s="11" t="str">
        <f>IF(H451="","",N441-((1/Comparisons!#REF!)*1000000))</f>
        <v/>
      </c>
      <c r="O451" s="29" t="str">
        <f>IF(I451="","",O441-((1/Comparisons!#REF!)*1000000))</f>
        <v/>
      </c>
    </row>
    <row r="452" spans="1:15" x14ac:dyDescent="0.25">
      <c r="A452" s="30" t="s">
        <v>14</v>
      </c>
      <c r="B452" s="9" t="s">
        <v>13</v>
      </c>
      <c r="C452" s="9" t="s">
        <v>11</v>
      </c>
      <c r="D452" s="12">
        <f>IF(D433="","",(D433-'2016'!D301)/'2016'!D301)</f>
        <v>0.16264449401744069</v>
      </c>
      <c r="E452" s="12">
        <f>IF(E433="","",(E433-'2016'!E301)/'2016'!E301)</f>
        <v>5.8052434456928842E-2</v>
      </c>
      <c r="F452" s="12">
        <f>IF(F433="","",(F433-'2016'!F301)/'2016'!F301)</f>
        <v>2.9896680589140471E-2</v>
      </c>
      <c r="G452" s="12" t="str">
        <f>IF(G442="","",(G442-#REF!)/#REF!)</f>
        <v/>
      </c>
      <c r="H452" s="12" t="str">
        <f>IF(H442="","",(H442-#REF!)/#REF!)</f>
        <v/>
      </c>
      <c r="I452" s="12" t="str">
        <f>IF(I442="","",(I442-#REF!)/#REF!)</f>
        <v/>
      </c>
      <c r="J452" s="11">
        <f>J442-'2015'!J472</f>
        <v>26.287426723798006</v>
      </c>
      <c r="K452" s="11">
        <f>K442-'2015'!K472</f>
        <v>56.050669805504171</v>
      </c>
      <c r="L452" s="11">
        <f>L442-'2015'!L472</f>
        <v>179.21146953405017</v>
      </c>
      <c r="M452" s="11" t="str">
        <f>IF(G452="","",M442-((1/Comparisons!#REF!)*1000000))</f>
        <v/>
      </c>
      <c r="N452" s="11" t="str">
        <f>IF(H452="","",N442-((1/Comparisons!#REF!)*1000000))</f>
        <v/>
      </c>
      <c r="O452" s="29" t="str">
        <f>IF(I452="","",O442-((1/Comparisons!#REF!)*1000000))</f>
        <v/>
      </c>
    </row>
    <row r="453" spans="1:15" x14ac:dyDescent="0.25">
      <c r="A453" s="30" t="s">
        <v>15</v>
      </c>
      <c r="B453" s="9" t="s">
        <v>16</v>
      </c>
      <c r="C453" s="9" t="s">
        <v>11</v>
      </c>
      <c r="D453" s="12">
        <f>IF(D434="","",(D434-'2016'!D302)/'2016'!D302)</f>
        <v>8.1004709576138145E-2</v>
      </c>
      <c r="E453" s="12">
        <f>IF(E434="","",(E434-'2016'!E302)/'2016'!E302)</f>
        <v>5.5851330989452538E-2</v>
      </c>
      <c r="F453" s="12">
        <f>IF(F434="","",(F434-'2016'!F302)/'2016'!F302)</f>
        <v>3.052608789781338E-2</v>
      </c>
      <c r="G453" s="12" t="str">
        <f>IF(G443="","",(G443-#REF!)/#REF!)</f>
        <v/>
      </c>
      <c r="H453" s="12" t="str">
        <f>IF(H443="","",(H443-#REF!)/#REF!)</f>
        <v/>
      </c>
      <c r="I453" s="12" t="str">
        <f>IF(I443="","",(I443-#REF!)/#REF!)</f>
        <v/>
      </c>
      <c r="J453" s="11">
        <f>J443-'2015'!J473</f>
        <v>72.611094975312227</v>
      </c>
      <c r="K453" s="11">
        <f>K443-'2015'!K473</f>
        <v>93.153237074988354</v>
      </c>
      <c r="L453" s="11">
        <f>L443-'2015'!L473</f>
        <v>213.44717182497331</v>
      </c>
      <c r="M453" s="11" t="str">
        <f>IF(G453="","",M443-((1/Comparisons!#REF!)*1000000))</f>
        <v/>
      </c>
      <c r="N453" s="11" t="str">
        <f>IF(H453="","",N443-((1/Comparisons!#REF!)*1000000))</f>
        <v/>
      </c>
      <c r="O453" s="29" t="str">
        <f>IF(I453="","",O443-((1/Comparisons!#REF!)*1000000))</f>
        <v/>
      </c>
    </row>
    <row r="454" spans="1:15" ht="15.75" thickBot="1" x14ac:dyDescent="0.3">
      <c r="A454" s="32" t="s">
        <v>17</v>
      </c>
      <c r="B454" s="33" t="s">
        <v>18</v>
      </c>
      <c r="C454" s="34" t="s">
        <v>11</v>
      </c>
      <c r="D454" s="12">
        <f>IF(D435="","",(D435-'2016'!D303)/'2016'!D303)</f>
        <v>7.5632335923293104E-2</v>
      </c>
      <c r="E454" s="12">
        <f>IF(E435="","",(E435-'2016'!E303)/'2016'!E303)</f>
        <v>-6.6566113624937154E-2</v>
      </c>
      <c r="F454" s="12">
        <f>IF(F435="","",(F435-'2016'!F303)/'2016'!F303)</f>
        <v>-4.3956043956043959E-2</v>
      </c>
      <c r="G454" s="35" t="str">
        <f>IF(G444="","",(G444-#REF!)/#REF!)</f>
        <v/>
      </c>
      <c r="H454" s="35" t="str">
        <f>IF(H444="","",(H444-#REF!)/#REF!)</f>
        <v/>
      </c>
      <c r="I454" s="35" t="str">
        <f>IF(I444="","",(I444-#REF!)/#REF!)</f>
        <v/>
      </c>
      <c r="J454" s="36" t="e">
        <f>J444-'2015'!J474</f>
        <v>#REF!</v>
      </c>
      <c r="K454" s="36">
        <f>K444-'2015'!K474</f>
        <v>95.138426410427172</v>
      </c>
      <c r="L454" s="36">
        <f>L444-'2015'!L474</f>
        <v>210.0840336134454</v>
      </c>
      <c r="M454" s="36" t="str">
        <f>IF(G454="","",M444-((1/Comparisons!#REF!)*1000000))</f>
        <v/>
      </c>
      <c r="N454" s="36" t="str">
        <f>IF(H454="","",N444-((1/Comparisons!#REF!)*1000000))</f>
        <v/>
      </c>
      <c r="O454" s="37" t="str">
        <f>IF(I454="","",O444-((1/Comparisons!#REF!)*1000000))</f>
        <v/>
      </c>
    </row>
    <row r="455" spans="1:15" ht="18.75" x14ac:dyDescent="0.25">
      <c r="A455" s="126" t="s">
        <v>93</v>
      </c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8"/>
    </row>
    <row r="456" spans="1:15" ht="15.75" x14ac:dyDescent="0.25">
      <c r="A456" s="129" t="s">
        <v>149</v>
      </c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130"/>
    </row>
    <row r="457" spans="1:15" x14ac:dyDescent="0.25">
      <c r="A457" s="122" t="s">
        <v>1</v>
      </c>
      <c r="B457" s="88"/>
      <c r="C457" s="89"/>
      <c r="D457" s="105" t="s">
        <v>2</v>
      </c>
      <c r="E457" s="106"/>
      <c r="F457" s="106"/>
      <c r="G457" s="106"/>
      <c r="H457" s="106"/>
      <c r="I457" s="107"/>
      <c r="J457" s="105" t="s">
        <v>3</v>
      </c>
      <c r="K457" s="106"/>
      <c r="L457" s="106"/>
      <c r="M457" s="106"/>
      <c r="N457" s="106"/>
      <c r="O457" s="123"/>
    </row>
    <row r="458" spans="1:15" x14ac:dyDescent="0.25">
      <c r="A458" s="26" t="s">
        <v>26</v>
      </c>
      <c r="B458" s="6" t="s">
        <v>5</v>
      </c>
      <c r="C458" s="6" t="s">
        <v>6</v>
      </c>
      <c r="D458" s="7">
        <v>1</v>
      </c>
      <c r="E458" s="7">
        <v>4</v>
      </c>
      <c r="F458" s="7">
        <v>16</v>
      </c>
      <c r="G458" s="7">
        <v>32</v>
      </c>
      <c r="H458" s="7">
        <v>64</v>
      </c>
      <c r="I458" s="7">
        <v>80</v>
      </c>
      <c r="J458" s="7">
        <v>1</v>
      </c>
      <c r="K458" s="7">
        <v>4</v>
      </c>
      <c r="L458" s="7">
        <v>16</v>
      </c>
      <c r="M458" s="7">
        <v>32</v>
      </c>
      <c r="N458" s="7">
        <v>64</v>
      </c>
      <c r="O458" s="27">
        <v>80</v>
      </c>
    </row>
    <row r="459" spans="1:15" x14ac:dyDescent="0.25">
      <c r="A459" s="28" t="s">
        <v>7</v>
      </c>
      <c r="B459" s="9" t="s">
        <v>8</v>
      </c>
      <c r="C459" s="9" t="s">
        <v>9</v>
      </c>
      <c r="D459" s="24">
        <v>42786</v>
      </c>
      <c r="E459" s="24">
        <v>19655</v>
      </c>
      <c r="F459" s="24">
        <v>5715</v>
      </c>
      <c r="G459" s="10"/>
      <c r="H459" s="10"/>
      <c r="I459" s="10"/>
      <c r="J459" s="11">
        <f>IF(D460="","",(1/D460)*1000000)</f>
        <v>54.150647100232852</v>
      </c>
      <c r="K459" s="11">
        <f t="shared" ref="K459:K464" si="133">IF(E459="","",(1/E459)*1000000)</f>
        <v>50.877639277537526</v>
      </c>
      <c r="L459" s="11">
        <f t="shared" ref="L459:L464" si="134">IF(F459="","",(1/F459)*1000000)</f>
        <v>174.97812773403322</v>
      </c>
      <c r="M459" s="11" t="str">
        <f t="shared" ref="M459:M464" si="135">IF(G459="","",(1/G459)*1000000)</f>
        <v/>
      </c>
      <c r="N459" s="11" t="str">
        <f t="shared" ref="N459:N464" si="136">IF(H459="","",(1/H459)*1000000)</f>
        <v/>
      </c>
      <c r="O459" s="29" t="str">
        <f t="shared" ref="O459:O464" si="137">IF(I459="","",(1/I459)*1000000)</f>
        <v/>
      </c>
    </row>
    <row r="460" spans="1:15" x14ac:dyDescent="0.25">
      <c r="A460" s="28" t="s">
        <v>10</v>
      </c>
      <c r="B460" s="9" t="s">
        <v>8</v>
      </c>
      <c r="C460" s="9" t="s">
        <v>11</v>
      </c>
      <c r="D460" s="24">
        <v>18467</v>
      </c>
      <c r="E460" s="24">
        <v>12301</v>
      </c>
      <c r="F460" s="24">
        <v>5055</v>
      </c>
      <c r="G460" s="10"/>
      <c r="H460" s="10"/>
      <c r="I460" s="10"/>
      <c r="J460" s="11" t="e">
        <f>IF(#REF!="","",(1/#REF!)*1000000)</f>
        <v>#REF!</v>
      </c>
      <c r="K460" s="11">
        <f t="shared" si="133"/>
        <v>81.294203723274535</v>
      </c>
      <c r="L460" s="11">
        <f t="shared" si="134"/>
        <v>197.82393669634024</v>
      </c>
      <c r="M460" s="11" t="str">
        <f t="shared" si="135"/>
        <v/>
      </c>
      <c r="N460" s="11" t="str">
        <f t="shared" si="136"/>
        <v/>
      </c>
      <c r="O460" s="29" t="str">
        <f t="shared" si="137"/>
        <v/>
      </c>
    </row>
    <row r="461" spans="1:15" x14ac:dyDescent="0.25">
      <c r="A461" s="30" t="s">
        <v>12</v>
      </c>
      <c r="B461" s="9" t="s">
        <v>13</v>
      </c>
      <c r="C461" s="9" t="s">
        <v>9</v>
      </c>
      <c r="D461" s="24">
        <v>38041</v>
      </c>
      <c r="E461" s="24">
        <v>17827</v>
      </c>
      <c r="F461" s="24">
        <v>5580</v>
      </c>
      <c r="G461" s="10"/>
      <c r="H461" s="10"/>
      <c r="I461" s="10"/>
      <c r="J461" s="11">
        <f t="shared" ref="J461" si="138">IF(D461="","",(1/D461)*1000000)</f>
        <v>26.287426723798006</v>
      </c>
      <c r="K461" s="11">
        <f t="shared" si="133"/>
        <v>56.09468783306221</v>
      </c>
      <c r="L461" s="11">
        <f t="shared" si="134"/>
        <v>179.21146953405017</v>
      </c>
      <c r="M461" s="11" t="str">
        <f t="shared" si="135"/>
        <v/>
      </c>
      <c r="N461" s="11" t="str">
        <f t="shared" si="136"/>
        <v/>
      </c>
      <c r="O461" s="29" t="str">
        <f t="shared" si="137"/>
        <v/>
      </c>
    </row>
    <row r="462" spans="1:15" x14ac:dyDescent="0.25">
      <c r="A462" s="30" t="s">
        <v>14</v>
      </c>
      <c r="B462" s="9" t="s">
        <v>13</v>
      </c>
      <c r="C462" s="9" t="s">
        <v>11</v>
      </c>
      <c r="D462" s="24">
        <v>17718</v>
      </c>
      <c r="E462" s="24">
        <v>11787</v>
      </c>
      <c r="F462" s="24">
        <v>4852</v>
      </c>
      <c r="G462" s="10"/>
      <c r="H462" s="10"/>
      <c r="I462" s="10"/>
      <c r="J462" s="11">
        <f>IF(D463="","",(1/D463)*1000000)</f>
        <v>67.953248165262295</v>
      </c>
      <c r="K462" s="11">
        <f t="shared" si="133"/>
        <v>84.839229659794682</v>
      </c>
      <c r="L462" s="11">
        <f t="shared" si="134"/>
        <v>206.10057708161582</v>
      </c>
      <c r="M462" s="11" t="str">
        <f t="shared" si="135"/>
        <v/>
      </c>
      <c r="N462" s="11" t="str">
        <f t="shared" si="136"/>
        <v/>
      </c>
      <c r="O462" s="29" t="str">
        <f t="shared" si="137"/>
        <v/>
      </c>
    </row>
    <row r="463" spans="1:15" x14ac:dyDescent="0.25">
      <c r="A463" s="30" t="s">
        <v>15</v>
      </c>
      <c r="B463" s="9" t="s">
        <v>16</v>
      </c>
      <c r="C463" s="9" t="s">
        <v>11</v>
      </c>
      <c r="D463" s="24">
        <v>14716</v>
      </c>
      <c r="E463" s="24">
        <v>10253</v>
      </c>
      <c r="F463" s="24">
        <v>4459</v>
      </c>
      <c r="G463" s="10"/>
      <c r="H463" s="10"/>
      <c r="I463" s="10"/>
      <c r="J463" s="11" t="e">
        <f>IF(#REF!="","",(1/#REF!)*1000000)</f>
        <v>#REF!</v>
      </c>
      <c r="K463" s="11">
        <f t="shared" si="133"/>
        <v>97.532429532819663</v>
      </c>
      <c r="L463" s="11">
        <f t="shared" si="134"/>
        <v>224.26553038797937</v>
      </c>
      <c r="M463" s="11" t="str">
        <f t="shared" si="135"/>
        <v/>
      </c>
      <c r="N463" s="11" t="str">
        <f t="shared" si="136"/>
        <v/>
      </c>
      <c r="O463" s="29" t="str">
        <f t="shared" si="137"/>
        <v/>
      </c>
    </row>
    <row r="464" spans="1:15" x14ac:dyDescent="0.25">
      <c r="A464" s="30" t="s">
        <v>17</v>
      </c>
      <c r="B464" s="8" t="s">
        <v>18</v>
      </c>
      <c r="C464" s="9" t="s">
        <v>11</v>
      </c>
      <c r="D464" s="24">
        <v>13106</v>
      </c>
      <c r="E464" s="24">
        <v>9293</v>
      </c>
      <c r="F464" s="24">
        <v>4453</v>
      </c>
      <c r="G464" s="10"/>
      <c r="H464" s="10"/>
      <c r="I464" s="10"/>
      <c r="J464" s="11">
        <f t="shared" ref="J464" si="139">IF(D464="","",(1/D464)*1000000)</f>
        <v>76.300930871356627</v>
      </c>
      <c r="K464" s="11">
        <f t="shared" si="133"/>
        <v>107.60787689658883</v>
      </c>
      <c r="L464" s="11">
        <f t="shared" si="134"/>
        <v>224.56770716370985</v>
      </c>
      <c r="M464" s="11" t="str">
        <f t="shared" si="135"/>
        <v/>
      </c>
      <c r="N464" s="11" t="str">
        <f t="shared" si="136"/>
        <v/>
      </c>
      <c r="O464" s="29" t="str">
        <f t="shared" si="137"/>
        <v/>
      </c>
    </row>
    <row r="465" spans="1:15" x14ac:dyDescent="0.25">
      <c r="A465" s="131" t="s">
        <v>150</v>
      </c>
      <c r="B465" s="102"/>
      <c r="C465" s="102"/>
      <c r="D465" s="102"/>
      <c r="E465" s="132"/>
      <c r="F465" s="132"/>
      <c r="G465" s="132"/>
      <c r="H465" s="132"/>
      <c r="I465" s="132"/>
      <c r="J465" s="19"/>
      <c r="K465" s="19"/>
      <c r="L465" s="19"/>
      <c r="M465" s="19"/>
      <c r="N465" s="19"/>
      <c r="O465" s="31"/>
    </row>
    <row r="466" spans="1:15" ht="18.75" x14ac:dyDescent="0.3">
      <c r="A466" s="124" t="s">
        <v>137</v>
      </c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125"/>
    </row>
    <row r="467" spans="1:15" x14ac:dyDescent="0.25">
      <c r="A467" s="122" t="s">
        <v>1</v>
      </c>
      <c r="B467" s="88"/>
      <c r="C467" s="89"/>
      <c r="D467" s="105" t="s">
        <v>19</v>
      </c>
      <c r="E467" s="106"/>
      <c r="F467" s="106"/>
      <c r="G467" s="106"/>
      <c r="H467" s="106"/>
      <c r="I467" s="107"/>
      <c r="J467" s="105" t="s">
        <v>22</v>
      </c>
      <c r="K467" s="106"/>
      <c r="L467" s="106"/>
      <c r="M467" s="106"/>
      <c r="N467" s="106"/>
      <c r="O467" s="123"/>
    </row>
    <row r="468" spans="1:15" x14ac:dyDescent="0.25">
      <c r="A468" s="26" t="s">
        <v>4</v>
      </c>
      <c r="B468" s="6" t="s">
        <v>5</v>
      </c>
      <c r="C468" s="6" t="s">
        <v>6</v>
      </c>
      <c r="D468" s="7">
        <v>1</v>
      </c>
      <c r="E468" s="7">
        <v>4</v>
      </c>
      <c r="F468" s="7">
        <v>16</v>
      </c>
      <c r="G468" s="7">
        <v>32</v>
      </c>
      <c r="H468" s="7">
        <v>64</v>
      </c>
      <c r="I468" s="7">
        <v>80</v>
      </c>
      <c r="J468" s="7">
        <v>1</v>
      </c>
      <c r="K468" s="7">
        <v>4</v>
      </c>
      <c r="L468" s="7">
        <v>16</v>
      </c>
      <c r="M468" s="7">
        <v>32</v>
      </c>
      <c r="N468" s="7">
        <v>64</v>
      </c>
      <c r="O468" s="27">
        <v>80</v>
      </c>
    </row>
    <row r="469" spans="1:15" x14ac:dyDescent="0.25">
      <c r="A469" s="28" t="s">
        <v>7</v>
      </c>
      <c r="B469" s="9" t="s">
        <v>8</v>
      </c>
      <c r="C469" s="9" t="s">
        <v>9</v>
      </c>
      <c r="D469" s="12">
        <f>IF(D459="","",(D459-'2016'!D5)/'2016'!D5)</f>
        <v>-4.5253715356808139E-2</v>
      </c>
      <c r="E469" s="12">
        <f>IF(E459="","",(E459-'2016'!E5)/'2016'!E5)</f>
        <v>-2.1847317607245943E-2</v>
      </c>
      <c r="F469" s="12">
        <f>IF(F459="","",(F459-'2016'!F5)/'2016'!F5)</f>
        <v>-2.1906554851959609E-2</v>
      </c>
      <c r="G469" s="12" t="str">
        <f>IF(G459="","",(G459-#REF!)/#REF!)</f>
        <v/>
      </c>
      <c r="H469" s="12" t="str">
        <f>IF(H459="","",(H459-#REF!)/#REF!)</f>
        <v/>
      </c>
      <c r="I469" s="12" t="str">
        <f>IF(I459="","",(I459-#REF!)/#REF!)</f>
        <v/>
      </c>
      <c r="J469" s="11">
        <f>J459-'2015'!J489</f>
        <v>54.150647100232852</v>
      </c>
      <c r="K469" s="11">
        <f>K459-'2015'!K489</f>
        <v>50.877639277537526</v>
      </c>
      <c r="L469" s="11">
        <f>L459-'2015'!L489</f>
        <v>174.97812773403322</v>
      </c>
      <c r="M469" s="11" t="str">
        <f>IF(G469="","",M459-((1/Comparisons!#REF!)*1000000))</f>
        <v/>
      </c>
      <c r="N469" s="11" t="str">
        <f>IF(H469="","",N459-((1/Comparisons!#REF!)*1000000))</f>
        <v/>
      </c>
      <c r="O469" s="29" t="str">
        <f>IF(I469="","",O459-((1/Comparisons!#REF!)*1000000))</f>
        <v/>
      </c>
    </row>
    <row r="470" spans="1:15" x14ac:dyDescent="0.25">
      <c r="A470" s="28" t="s">
        <v>10</v>
      </c>
      <c r="B470" s="9" t="s">
        <v>8</v>
      </c>
      <c r="C470" s="9" t="s">
        <v>11</v>
      </c>
      <c r="D470" s="12">
        <f>IF(D460="","",(D460-'2016'!D6)/'2016'!D6)</f>
        <v>0.238232533190291</v>
      </c>
      <c r="E470" s="12">
        <f>IF(E460="","",(E460-'2016'!E6)/'2016'!E6)</f>
        <v>0.13561669128508125</v>
      </c>
      <c r="F470" s="12">
        <f>IF(F460="","",(F460-'2016'!F6)/'2016'!F6)</f>
        <v>5.8195520200962948E-2</v>
      </c>
      <c r="G470" s="12" t="str">
        <f>IF(G460="","",(G460-#REF!)/#REF!)</f>
        <v/>
      </c>
      <c r="H470" s="12" t="str">
        <f>IF(H460="","",(H460-#REF!)/#REF!)</f>
        <v/>
      </c>
      <c r="I470" s="12" t="str">
        <f>IF(I460="","",(I460-#REF!)/#REF!)</f>
        <v/>
      </c>
      <c r="J470" s="11" t="e">
        <f>J460-'2015'!J490</f>
        <v>#REF!</v>
      </c>
      <c r="K470" s="11">
        <f>K460-'2015'!K490</f>
        <v>81.294203723274535</v>
      </c>
      <c r="L470" s="11">
        <f>L460-'2015'!L490</f>
        <v>197.82393669634024</v>
      </c>
      <c r="M470" s="11" t="str">
        <f>IF(G470="","",M460-((1/Comparisons!#REF!)*1000000))</f>
        <v/>
      </c>
      <c r="N470" s="11" t="str">
        <f>IF(H470="","",N460-((1/Comparisons!#REF!)*1000000))</f>
        <v/>
      </c>
      <c r="O470" s="29" t="str">
        <f>IF(I470="","",O460-((1/Comparisons!#REF!)*1000000))</f>
        <v/>
      </c>
    </row>
    <row r="471" spans="1:15" x14ac:dyDescent="0.25">
      <c r="A471" s="30" t="s">
        <v>12</v>
      </c>
      <c r="B471" s="9" t="s">
        <v>13</v>
      </c>
      <c r="C471" s="9" t="s">
        <v>9</v>
      </c>
      <c r="D471" s="12">
        <f>IF(D461="","",(D461-'2016'!D7)/'2016'!D7)</f>
        <v>-0.12414523518983261</v>
      </c>
      <c r="E471" s="12">
        <f>IF(E461="","",(E461-'2016'!E7)/'2016'!E7)</f>
        <v>-2.8236576723902972E-2</v>
      </c>
      <c r="F471" s="12">
        <f>IF(F461="","",(F461-'2016'!F7)/'2016'!F7)</f>
        <v>-1.0111761575306013E-2</v>
      </c>
      <c r="G471" s="12" t="str">
        <f>IF(G461="","",(G461-#REF!)/#REF!)</f>
        <v/>
      </c>
      <c r="H471" s="12" t="str">
        <f>IF(H461="","",(H461-#REF!)/#REF!)</f>
        <v/>
      </c>
      <c r="I471" s="12" t="str">
        <f>IF(I461="","",(I461-#REF!)/#REF!)</f>
        <v/>
      </c>
      <c r="J471" s="11">
        <f>J461-'2015'!J491</f>
        <v>26.287426723798006</v>
      </c>
      <c r="K471" s="11">
        <f>K461-'2015'!K491</f>
        <v>56.09468783306221</v>
      </c>
      <c r="L471" s="11">
        <f>L461-'2015'!L491</f>
        <v>179.21146953405017</v>
      </c>
      <c r="M471" s="11" t="str">
        <f>IF(G471="","",M461-((1/Comparisons!#REF!)*1000000))</f>
        <v/>
      </c>
      <c r="N471" s="11" t="str">
        <f>IF(H471="","",N461-((1/Comparisons!#REF!)*1000000))</f>
        <v/>
      </c>
      <c r="O471" s="29" t="str">
        <f>IF(I471="","",O461-((1/Comparisons!#REF!)*1000000))</f>
        <v/>
      </c>
    </row>
    <row r="472" spans="1:15" x14ac:dyDescent="0.25">
      <c r="A472" s="30" t="s">
        <v>14</v>
      </c>
      <c r="B472" s="9" t="s">
        <v>13</v>
      </c>
      <c r="C472" s="9" t="s">
        <v>11</v>
      </c>
      <c r="D472" s="12">
        <f>IF(D462="","",(D462-'2016'!D8)/'2016'!D8)</f>
        <v>0.22802883282506237</v>
      </c>
      <c r="E472" s="12">
        <f>IF(E462="","",(E462-'2016'!E8)/'2016'!E8)</f>
        <v>0.15174907172171195</v>
      </c>
      <c r="F472" s="12">
        <f>IF(F462="","",(F462-'2016'!F8)/'2016'!F8)</f>
        <v>6.0778312199387848E-2</v>
      </c>
      <c r="G472" s="12" t="str">
        <f>IF(G462="","",(G462-#REF!)/#REF!)</f>
        <v/>
      </c>
      <c r="H472" s="12" t="str">
        <f>IF(H462="","",(H462-#REF!)/#REF!)</f>
        <v/>
      </c>
      <c r="I472" s="12" t="str">
        <f>IF(I462="","",(I462-#REF!)/#REF!)</f>
        <v/>
      </c>
      <c r="J472" s="11">
        <f>J462-'2015'!J492</f>
        <v>67.953248165262295</v>
      </c>
      <c r="K472" s="11">
        <f>K462-'2015'!K492</f>
        <v>84.839229659794682</v>
      </c>
      <c r="L472" s="11">
        <f>L462-'2015'!L492</f>
        <v>206.10057708161582</v>
      </c>
      <c r="M472" s="11" t="str">
        <f>IF(G472="","",M462-((1/Comparisons!#REF!)*1000000))</f>
        <v/>
      </c>
      <c r="N472" s="11" t="str">
        <f>IF(H472="","",N462-((1/Comparisons!#REF!)*1000000))</f>
        <v/>
      </c>
      <c r="O472" s="29" t="str">
        <f>IF(I472="","",O462-((1/Comparisons!#REF!)*1000000))</f>
        <v/>
      </c>
    </row>
    <row r="473" spans="1:15" x14ac:dyDescent="0.25">
      <c r="A473" s="30" t="s">
        <v>15</v>
      </c>
      <c r="B473" s="9" t="s">
        <v>16</v>
      </c>
      <c r="C473" s="9" t="s">
        <v>11</v>
      </c>
      <c r="D473" s="12">
        <f>IF(D463="","",(D463-'2016'!D9)/'2016'!D9)</f>
        <v>9.1124786831763921E-2</v>
      </c>
      <c r="E473" s="12">
        <f>IF(E463="","",(E463-'2016'!E9)/'2016'!E9)</f>
        <v>1.5048015048015048E-2</v>
      </c>
      <c r="F473" s="12">
        <f>IF(F463="","",(F463-'2016'!F9)/'2016'!F9)</f>
        <v>-3.3802816901408447E-2</v>
      </c>
      <c r="G473" s="12" t="str">
        <f>IF(G463="","",(G463-#REF!)/#REF!)</f>
        <v/>
      </c>
      <c r="H473" s="12" t="str">
        <f>IF(H463="","",(H463-#REF!)/#REF!)</f>
        <v/>
      </c>
      <c r="I473" s="12" t="str">
        <f>IF(I463="","",(I463-#REF!)/#REF!)</f>
        <v/>
      </c>
      <c r="J473" s="11" t="e">
        <f>J463-'2015'!J493</f>
        <v>#REF!</v>
      </c>
      <c r="K473" s="11">
        <f>K463-'2015'!K493</f>
        <v>97.532429532819663</v>
      </c>
      <c r="L473" s="11">
        <f>L463-'2015'!L493</f>
        <v>224.26553038797937</v>
      </c>
      <c r="M473" s="11" t="str">
        <f>IF(G473="","",M463-((1/Comparisons!#REF!)*1000000))</f>
        <v/>
      </c>
      <c r="N473" s="11" t="str">
        <f>IF(H473="","",N463-((1/Comparisons!#REF!)*1000000))</f>
        <v/>
      </c>
      <c r="O473" s="29" t="str">
        <f>IF(I473="","",O463-((1/Comparisons!#REF!)*1000000))</f>
        <v/>
      </c>
    </row>
    <row r="474" spans="1:15" ht="15.75" thickBot="1" x14ac:dyDescent="0.3">
      <c r="A474" s="32" t="s">
        <v>17</v>
      </c>
      <c r="B474" s="33" t="s">
        <v>18</v>
      </c>
      <c r="C474" s="34" t="s">
        <v>11</v>
      </c>
      <c r="D474" s="12">
        <f>IF(D464="","",(D464-'2016'!D10)/'2016'!D10)</f>
        <v>6.0184436175376152E-2</v>
      </c>
      <c r="E474" s="12">
        <f>IF(E464="","",(E464-'2016'!E10)/'2016'!E10)</f>
        <v>-7.5415381554074221E-2</v>
      </c>
      <c r="F474" s="12">
        <f>IF(F464="","",(F464-'2016'!F10)/'2016'!F10)</f>
        <v>-4.0508511096746393E-2</v>
      </c>
      <c r="G474" s="35" t="str">
        <f>IF(G464="","",(G464-#REF!)/#REF!)</f>
        <v/>
      </c>
      <c r="H474" s="35" t="str">
        <f>IF(H464="","",(H464-#REF!)/#REF!)</f>
        <v/>
      </c>
      <c r="I474" s="35" t="str">
        <f>IF(I464="","",(I464-#REF!)/#REF!)</f>
        <v/>
      </c>
      <c r="J474" s="36">
        <f>J464-'2015'!J494</f>
        <v>76.300930871356627</v>
      </c>
      <c r="K474" s="36">
        <f>K464-'2015'!K494</f>
        <v>107.60787689658883</v>
      </c>
      <c r="L474" s="36">
        <f>L464-'2015'!L494</f>
        <v>224.56770716370985</v>
      </c>
      <c r="M474" s="36" t="str">
        <f>IF(G474="","",M464-((1/Comparisons!#REF!)*1000000))</f>
        <v/>
      </c>
      <c r="N474" s="36" t="str">
        <f>IF(H474="","",N464-((1/Comparisons!#REF!)*1000000))</f>
        <v/>
      </c>
      <c r="O474" s="37" t="str">
        <f>IF(I474="","",O464-((1/Comparisons!#REF!)*1000000))</f>
        <v/>
      </c>
    </row>
    <row r="475" spans="1:15" ht="18.75" x14ac:dyDescent="0.3">
      <c r="A475" s="124" t="s">
        <v>136</v>
      </c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125"/>
    </row>
    <row r="476" spans="1:15" x14ac:dyDescent="0.25">
      <c r="A476" s="122" t="s">
        <v>1</v>
      </c>
      <c r="B476" s="88"/>
      <c r="C476" s="89"/>
      <c r="D476" s="105" t="s">
        <v>19</v>
      </c>
      <c r="E476" s="106"/>
      <c r="F476" s="106"/>
      <c r="G476" s="106"/>
      <c r="H476" s="106"/>
      <c r="I476" s="107"/>
      <c r="J476" s="105" t="s">
        <v>22</v>
      </c>
      <c r="K476" s="106"/>
      <c r="L476" s="106"/>
      <c r="M476" s="106"/>
      <c r="N476" s="106"/>
      <c r="O476" s="123"/>
    </row>
    <row r="477" spans="1:15" x14ac:dyDescent="0.25">
      <c r="A477" s="26" t="s">
        <v>4</v>
      </c>
      <c r="B477" s="6" t="s">
        <v>5</v>
      </c>
      <c r="C477" s="6" t="s">
        <v>6</v>
      </c>
      <c r="D477" s="7">
        <v>1</v>
      </c>
      <c r="E477" s="7">
        <v>4</v>
      </c>
      <c r="F477" s="7">
        <v>16</v>
      </c>
      <c r="G477" s="7">
        <v>32</v>
      </c>
      <c r="H477" s="7">
        <v>64</v>
      </c>
      <c r="I477" s="7">
        <v>80</v>
      </c>
      <c r="J477" s="7">
        <v>1</v>
      </c>
      <c r="K477" s="7">
        <v>4</v>
      </c>
      <c r="L477" s="7">
        <v>16</v>
      </c>
      <c r="M477" s="7">
        <v>32</v>
      </c>
      <c r="N477" s="7">
        <v>64</v>
      </c>
      <c r="O477" s="27">
        <v>80</v>
      </c>
    </row>
    <row r="478" spans="1:15" x14ac:dyDescent="0.25">
      <c r="A478" s="28" t="s">
        <v>7</v>
      </c>
      <c r="B478" s="9" t="s">
        <v>8</v>
      </c>
      <c r="C478" s="9" t="s">
        <v>9</v>
      </c>
      <c r="D478" s="12">
        <f>IF(D459="","",(D459-'2016'!D298)/'2016'!D298)</f>
        <v>-3.4132466477041851E-2</v>
      </c>
      <c r="E478" s="12">
        <f>IF(E459="","",(E459-'2016'!E298)/'2016'!E298)</f>
        <v>-5.8168942842690948E-3</v>
      </c>
      <c r="F478" s="12">
        <f>IF(F459="","",(F459-'2016'!F298)/'2016'!F298)</f>
        <v>-2.0901147849922905E-2</v>
      </c>
      <c r="G478" s="12" t="str">
        <f>IF(G459="","",(G459-'2016'!G443)/'2016'!G443)</f>
        <v/>
      </c>
      <c r="H478" s="12" t="str">
        <f>IF(H459="","",(H459-'2016'!H443)/'2016'!H443)</f>
        <v/>
      </c>
      <c r="I478" s="12" t="str">
        <f>IF(I459="","",(I459-'2016'!I443)/'2016'!I443)</f>
        <v/>
      </c>
      <c r="J478" s="11">
        <f>J468-'2015'!J498</f>
        <v>1</v>
      </c>
      <c r="K478" s="11">
        <f>K468-'2015'!K498</f>
        <v>4</v>
      </c>
      <c r="L478" s="11">
        <f>L468-'2015'!L498</f>
        <v>16</v>
      </c>
      <c r="M478" s="11" t="str">
        <f>IF(G478="","",M468-((1/Comparisons!#REF!)*1000000))</f>
        <v/>
      </c>
      <c r="N478" s="11" t="str">
        <f>IF(H478="","",N468-((1/Comparisons!#REF!)*1000000))</f>
        <v/>
      </c>
      <c r="O478" s="29" t="str">
        <f>IF(I478="","",O468-((1/Comparisons!#REF!)*1000000))</f>
        <v/>
      </c>
    </row>
    <row r="479" spans="1:15" x14ac:dyDescent="0.25">
      <c r="A479" s="28" t="s">
        <v>10</v>
      </c>
      <c r="B479" s="9" t="s">
        <v>8</v>
      </c>
      <c r="C479" s="9" t="s">
        <v>11</v>
      </c>
      <c r="D479" s="12">
        <f>IF(D460="","",(D460-'2016'!D299)/'2016'!D299)</f>
        <v>0.28824555284269271</v>
      </c>
      <c r="E479" s="12">
        <f>IF(E460="","",(E460-'2016'!E299)/'2016'!E299)</f>
        <v>0.17972571209360313</v>
      </c>
      <c r="F479" s="12">
        <f>IF(F460="","",(F460-'2016'!F299)/'2016'!F299)</f>
        <v>7.2565245066836412E-2</v>
      </c>
      <c r="G479" s="12" t="str">
        <f>IF(G469="","",(G469-#REF!)/#REF!)</f>
        <v/>
      </c>
      <c r="H479" s="12" t="str">
        <f>IF(H469="","",(H469-#REF!)/#REF!)</f>
        <v/>
      </c>
      <c r="I479" s="12" t="str">
        <f>IF(I469="","",(I469-#REF!)/#REF!)</f>
        <v/>
      </c>
      <c r="J479" s="11">
        <f>J469-'2015'!J499</f>
        <v>54.150647100232852</v>
      </c>
      <c r="K479" s="11">
        <f>K469-'2015'!K499</f>
        <v>50.877639277537526</v>
      </c>
      <c r="L479" s="11">
        <f>L469-'2015'!L499</f>
        <v>174.97812773403322</v>
      </c>
      <c r="M479" s="11" t="str">
        <f>IF(G479="","",M469-((1/Comparisons!#REF!)*1000000))</f>
        <v/>
      </c>
      <c r="N479" s="11" t="str">
        <f>IF(H479="","",N469-((1/Comparisons!#REF!)*1000000))</f>
        <v/>
      </c>
      <c r="O479" s="29" t="str">
        <f>IF(I479="","",O469-((1/Comparisons!#REF!)*1000000))</f>
        <v/>
      </c>
    </row>
    <row r="480" spans="1:15" x14ac:dyDescent="0.25">
      <c r="A480" s="30" t="s">
        <v>12</v>
      </c>
      <c r="B480" s="9" t="s">
        <v>13</v>
      </c>
      <c r="C480" s="9" t="s">
        <v>9</v>
      </c>
      <c r="D480" s="12">
        <f>IF(D461="","",(D461-'2016'!D300)/'2016'!D300)</f>
        <v>-0.11882976998448032</v>
      </c>
      <c r="E480" s="12">
        <f>IF(E461="","",(E461-'2016'!E300)/'2016'!E300)</f>
        <v>-2.3392133231072643E-2</v>
      </c>
      <c r="F480" s="12">
        <f>IF(F461="","",(F461-'2016'!F300)/'2016'!F300)</f>
        <v>-6.5871461634324372E-3</v>
      </c>
      <c r="G480" s="12" t="str">
        <f>IF(G470="","",(G470-#REF!)/#REF!)</f>
        <v/>
      </c>
      <c r="H480" s="12" t="str">
        <f>IF(H470="","",(H470-#REF!)/#REF!)</f>
        <v/>
      </c>
      <c r="I480" s="12" t="str">
        <f>IF(I470="","",(I470-#REF!)/#REF!)</f>
        <v/>
      </c>
      <c r="J480" s="11" t="e">
        <f>J470-'2015'!J500</f>
        <v>#REF!</v>
      </c>
      <c r="K480" s="11">
        <f>K470-'2015'!K500</f>
        <v>81.294203723274535</v>
      </c>
      <c r="L480" s="11">
        <f>L470-'2015'!L500</f>
        <v>197.82393669634024</v>
      </c>
      <c r="M480" s="11" t="str">
        <f>IF(G480="","",M470-((1/Comparisons!#REF!)*1000000))</f>
        <v/>
      </c>
      <c r="N480" s="11" t="str">
        <f>IF(H480="","",N470-((1/Comparisons!#REF!)*1000000))</f>
        <v/>
      </c>
      <c r="O480" s="29" t="str">
        <f>IF(I480="","",O470-((1/Comparisons!#REF!)*1000000))</f>
        <v/>
      </c>
    </row>
    <row r="481" spans="1:15" x14ac:dyDescent="0.25">
      <c r="A481" s="30" t="s">
        <v>14</v>
      </c>
      <c r="B481" s="9" t="s">
        <v>13</v>
      </c>
      <c r="C481" s="9" t="s">
        <v>11</v>
      </c>
      <c r="D481" s="12">
        <f>IF(D462="","",(D462-'2016'!D301)/'2016'!D301)</f>
        <v>0.19772865544514298</v>
      </c>
      <c r="E481" s="12">
        <f>IF(E462="","",(E462-'2016'!E301)/'2016'!E301)</f>
        <v>0.16173861620342991</v>
      </c>
      <c r="F481" s="12">
        <f>IF(F462="","",(F462-'2016'!F301)/'2016'!F301)</f>
        <v>6.6608045724335013E-2</v>
      </c>
      <c r="G481" s="12" t="str">
        <f>IF(G471="","",(G471-#REF!)/#REF!)</f>
        <v/>
      </c>
      <c r="H481" s="12" t="str">
        <f>IF(H471="","",(H471-#REF!)/#REF!)</f>
        <v/>
      </c>
      <c r="I481" s="12" t="str">
        <f>IF(I471="","",(I471-#REF!)/#REF!)</f>
        <v/>
      </c>
      <c r="J481" s="11">
        <f>J471-'2015'!J501</f>
        <v>26.287426723798006</v>
      </c>
      <c r="K481" s="11">
        <f>K471-'2015'!K501</f>
        <v>56.09468783306221</v>
      </c>
      <c r="L481" s="11">
        <f>L471-'2015'!L501</f>
        <v>179.21146953405017</v>
      </c>
      <c r="M481" s="11" t="str">
        <f>IF(G481="","",M471-((1/Comparisons!#REF!)*1000000))</f>
        <v/>
      </c>
      <c r="N481" s="11" t="str">
        <f>IF(H481="","",N471-((1/Comparisons!#REF!)*1000000))</f>
        <v/>
      </c>
      <c r="O481" s="29" t="str">
        <f>IF(I481="","",O471-((1/Comparisons!#REF!)*1000000))</f>
        <v/>
      </c>
    </row>
    <row r="482" spans="1:15" x14ac:dyDescent="0.25">
      <c r="A482" s="30" t="s">
        <v>15</v>
      </c>
      <c r="B482" s="9" t="s">
        <v>16</v>
      </c>
      <c r="C482" s="9" t="s">
        <v>11</v>
      </c>
      <c r="D482" s="12">
        <f>IF(D463="","",(D463-'2016'!D302)/'2016'!D302)</f>
        <v>0.15510204081632653</v>
      </c>
      <c r="E482" s="12">
        <f>IF(E463="","",(E463-'2016'!E302)/'2016'!E302)</f>
        <v>2.9934706177800099E-2</v>
      </c>
      <c r="F482" s="12">
        <f>IF(F463="","",(F463-'2016'!F302)/'2016'!F302)</f>
        <v>-3.4639532366313057E-2</v>
      </c>
      <c r="G482" s="12" t="str">
        <f>IF(G472="","",(G472-#REF!)/#REF!)</f>
        <v/>
      </c>
      <c r="H482" s="12" t="str">
        <f>IF(H472="","",(H472-#REF!)/#REF!)</f>
        <v/>
      </c>
      <c r="I482" s="12" t="str">
        <f>IF(I472="","",(I472-#REF!)/#REF!)</f>
        <v/>
      </c>
      <c r="J482" s="11">
        <f>J472-'2015'!J502</f>
        <v>67.953248165262295</v>
      </c>
      <c r="K482" s="11">
        <f>K472-'2015'!K502</f>
        <v>84.839229659794682</v>
      </c>
      <c r="L482" s="11">
        <f>L472-'2015'!L502</f>
        <v>206.10057708161582</v>
      </c>
      <c r="M482" s="11" t="str">
        <f>IF(G482="","",M472-((1/Comparisons!#REF!)*1000000))</f>
        <v/>
      </c>
      <c r="N482" s="11" t="str">
        <f>IF(H482="","",N472-((1/Comparisons!#REF!)*1000000))</f>
        <v/>
      </c>
      <c r="O482" s="29" t="str">
        <f>IF(I482="","",O472-((1/Comparisons!#REF!)*1000000))</f>
        <v/>
      </c>
    </row>
    <row r="483" spans="1:15" ht="15.75" thickBot="1" x14ac:dyDescent="0.3">
      <c r="A483" s="32" t="s">
        <v>17</v>
      </c>
      <c r="B483" s="33" t="s">
        <v>18</v>
      </c>
      <c r="C483" s="34" t="s">
        <v>11</v>
      </c>
      <c r="D483" s="12">
        <f>IF(D464="","",(D464-'2016'!D303)/'2016'!D303)</f>
        <v>8.3319556951562249E-2</v>
      </c>
      <c r="E483" s="12">
        <f>IF(E464="","",(E464-'2016'!E303)/'2016'!E303)</f>
        <v>-6.5560583207642034E-2</v>
      </c>
      <c r="F483" s="12">
        <f>IF(F464="","",(F464-'2016'!F303)/'2016'!F303)</f>
        <v>-4.0508511096746393E-2</v>
      </c>
      <c r="G483" s="35" t="str">
        <f>IF(G473="","",(G473-#REF!)/#REF!)</f>
        <v/>
      </c>
      <c r="H483" s="35" t="str">
        <f>IF(H473="","",(H473-#REF!)/#REF!)</f>
        <v/>
      </c>
      <c r="I483" s="35" t="str">
        <f>IF(I473="","",(I473-#REF!)/#REF!)</f>
        <v/>
      </c>
      <c r="J483" s="36" t="e">
        <f>J473-'2015'!J503</f>
        <v>#REF!</v>
      </c>
      <c r="K483" s="36">
        <f>K473-'2015'!K503</f>
        <v>97.532429532819663</v>
      </c>
      <c r="L483" s="36">
        <f>L473-'2015'!L503</f>
        <v>224.26553038797937</v>
      </c>
      <c r="M483" s="36" t="str">
        <f>IF(G483="","",M473-((1/Comparisons!#REF!)*1000000))</f>
        <v/>
      </c>
      <c r="N483" s="36" t="str">
        <f>IF(H483="","",N473-((1/Comparisons!#REF!)*1000000))</f>
        <v/>
      </c>
      <c r="O483" s="37" t="str">
        <f>IF(I483="","",O473-((1/Comparisons!#REF!)*1000000))</f>
        <v/>
      </c>
    </row>
    <row r="484" spans="1:15" ht="18.75" x14ac:dyDescent="0.25">
      <c r="A484" s="126" t="s">
        <v>93</v>
      </c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8"/>
    </row>
    <row r="485" spans="1:15" ht="15.75" x14ac:dyDescent="0.25">
      <c r="A485" s="129" t="s">
        <v>151</v>
      </c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130"/>
    </row>
    <row r="486" spans="1:15" x14ac:dyDescent="0.25">
      <c r="A486" s="122" t="s">
        <v>1</v>
      </c>
      <c r="B486" s="88"/>
      <c r="C486" s="89"/>
      <c r="D486" s="105" t="s">
        <v>2</v>
      </c>
      <c r="E486" s="106"/>
      <c r="F486" s="106"/>
      <c r="G486" s="106"/>
      <c r="H486" s="106"/>
      <c r="I486" s="107"/>
      <c r="J486" s="105" t="s">
        <v>3</v>
      </c>
      <c r="K486" s="106"/>
      <c r="L486" s="106"/>
      <c r="M486" s="106"/>
      <c r="N486" s="106"/>
      <c r="O486" s="123"/>
    </row>
    <row r="487" spans="1:15" x14ac:dyDescent="0.25">
      <c r="A487" s="26" t="s">
        <v>26</v>
      </c>
      <c r="B487" s="6" t="s">
        <v>5</v>
      </c>
      <c r="C487" s="6" t="s">
        <v>6</v>
      </c>
      <c r="D487" s="7">
        <v>1</v>
      </c>
      <c r="E487" s="7">
        <v>4</v>
      </c>
      <c r="F487" s="7">
        <v>16</v>
      </c>
      <c r="G487" s="7">
        <v>32</v>
      </c>
      <c r="H487" s="7">
        <v>64</v>
      </c>
      <c r="I487" s="7">
        <v>80</v>
      </c>
      <c r="J487" s="7">
        <v>1</v>
      </c>
      <c r="K487" s="7">
        <v>4</v>
      </c>
      <c r="L487" s="7">
        <v>16</v>
      </c>
      <c r="M487" s="7">
        <v>32</v>
      </c>
      <c r="N487" s="7">
        <v>64</v>
      </c>
      <c r="O487" s="27">
        <v>80</v>
      </c>
    </row>
    <row r="488" spans="1:15" x14ac:dyDescent="0.25">
      <c r="A488" s="28" t="s">
        <v>7</v>
      </c>
      <c r="B488" s="9" t="s">
        <v>8</v>
      </c>
      <c r="C488" s="9" t="s">
        <v>9</v>
      </c>
      <c r="D488" s="24">
        <v>43217</v>
      </c>
      <c r="E488" s="24">
        <v>19671</v>
      </c>
      <c r="F488" s="24">
        <v>5843</v>
      </c>
      <c r="G488" s="10"/>
      <c r="H488" s="10"/>
      <c r="I488" s="10"/>
      <c r="J488" s="11">
        <f>IF(D489="","",(1/D489)*1000000)</f>
        <v>57.544021176199792</v>
      </c>
      <c r="K488" s="11">
        <f t="shared" ref="K488:K493" si="140">IF(E488="","",(1/E488)*1000000)</f>
        <v>50.836256418077369</v>
      </c>
      <c r="L488" s="11">
        <f t="shared" ref="L488:L493" si="141">IF(F488="","",(1/F488)*1000000)</f>
        <v>171.14495978093444</v>
      </c>
      <c r="M488" s="11" t="str">
        <f t="shared" ref="M488:M493" si="142">IF(G488="","",(1/G488)*1000000)</f>
        <v/>
      </c>
      <c r="N488" s="11" t="str">
        <f t="shared" ref="N488:N493" si="143">IF(H488="","",(1/H488)*1000000)</f>
        <v/>
      </c>
      <c r="O488" s="29" t="str">
        <f t="shared" ref="O488:O493" si="144">IF(I488="","",(1/I488)*1000000)</f>
        <v/>
      </c>
    </row>
    <row r="489" spans="1:15" x14ac:dyDescent="0.25">
      <c r="A489" s="28" t="s">
        <v>10</v>
      </c>
      <c r="B489" s="9" t="s">
        <v>8</v>
      </c>
      <c r="C489" s="9" t="s">
        <v>11</v>
      </c>
      <c r="D489" s="24">
        <v>17378</v>
      </c>
      <c r="E489" s="24">
        <v>12141</v>
      </c>
      <c r="F489" s="24">
        <v>4995</v>
      </c>
      <c r="G489" s="10"/>
      <c r="H489" s="10"/>
      <c r="I489" s="10"/>
      <c r="J489" s="11" t="e">
        <f>IF(#REF!="","",(1/#REF!)*1000000)</f>
        <v>#REF!</v>
      </c>
      <c r="K489" s="11">
        <f t="shared" si="140"/>
        <v>82.365538258792526</v>
      </c>
      <c r="L489" s="11">
        <f t="shared" si="141"/>
        <v>200.20020020020021</v>
      </c>
      <c r="M489" s="11" t="str">
        <f t="shared" si="142"/>
        <v/>
      </c>
      <c r="N489" s="11" t="str">
        <f t="shared" si="143"/>
        <v/>
      </c>
      <c r="O489" s="29" t="str">
        <f t="shared" si="144"/>
        <v/>
      </c>
    </row>
    <row r="490" spans="1:15" x14ac:dyDescent="0.25">
      <c r="A490" s="30" t="s">
        <v>12</v>
      </c>
      <c r="B490" s="9" t="s">
        <v>13</v>
      </c>
      <c r="C490" s="9" t="s">
        <v>9</v>
      </c>
      <c r="D490" s="24">
        <v>41379</v>
      </c>
      <c r="E490" s="24">
        <v>17977</v>
      </c>
      <c r="F490" s="24">
        <v>5589</v>
      </c>
      <c r="G490" s="10"/>
      <c r="H490" s="10"/>
      <c r="I490" s="10"/>
      <c r="J490" s="11">
        <f t="shared" ref="J490" si="145">IF(D490="","",(1/D490)*1000000)</f>
        <v>24.16684791802605</v>
      </c>
      <c r="K490" s="11">
        <f t="shared" si="140"/>
        <v>55.626634032374703</v>
      </c>
      <c r="L490" s="11">
        <f t="shared" si="141"/>
        <v>178.92288423689388</v>
      </c>
      <c r="M490" s="11" t="str">
        <f t="shared" si="142"/>
        <v/>
      </c>
      <c r="N490" s="11" t="str">
        <f t="shared" si="143"/>
        <v/>
      </c>
      <c r="O490" s="29" t="str">
        <f t="shared" si="144"/>
        <v/>
      </c>
    </row>
    <row r="491" spans="1:15" x14ac:dyDescent="0.25">
      <c r="A491" s="30" t="s">
        <v>14</v>
      </c>
      <c r="B491" s="9" t="s">
        <v>13</v>
      </c>
      <c r="C491" s="9" t="s">
        <v>11</v>
      </c>
      <c r="D491" s="24">
        <v>16150</v>
      </c>
      <c r="E491" s="24">
        <v>11513</v>
      </c>
      <c r="F491" s="24">
        <v>4856</v>
      </c>
      <c r="G491" s="10"/>
      <c r="H491" s="10"/>
      <c r="I491" s="10"/>
      <c r="J491" s="11">
        <f>IF(D492="","",(1/D492)*1000000)</f>
        <v>69.051236017124708</v>
      </c>
      <c r="K491" s="11">
        <f t="shared" si="140"/>
        <v>86.858334057152788</v>
      </c>
      <c r="L491" s="11">
        <f t="shared" si="141"/>
        <v>205.93080724876441</v>
      </c>
      <c r="M491" s="11" t="str">
        <f t="shared" si="142"/>
        <v/>
      </c>
      <c r="N491" s="11" t="str">
        <f t="shared" si="143"/>
        <v/>
      </c>
      <c r="O491" s="29" t="str">
        <f t="shared" si="144"/>
        <v/>
      </c>
    </row>
    <row r="492" spans="1:15" x14ac:dyDescent="0.25">
      <c r="A492" s="30" t="s">
        <v>15</v>
      </c>
      <c r="B492" s="9" t="s">
        <v>16</v>
      </c>
      <c r="C492" s="9" t="s">
        <v>11</v>
      </c>
      <c r="D492" s="24">
        <v>14482</v>
      </c>
      <c r="E492" s="24">
        <v>10500</v>
      </c>
      <c r="F492" s="24">
        <v>4777</v>
      </c>
      <c r="G492" s="10"/>
      <c r="H492" s="10"/>
      <c r="I492" s="10"/>
      <c r="J492" s="11" t="e">
        <f>IF(#REF!="","",(1/#REF!)*1000000)</f>
        <v>#REF!</v>
      </c>
      <c r="K492" s="11">
        <f t="shared" si="140"/>
        <v>95.238095238095241</v>
      </c>
      <c r="L492" s="11">
        <f t="shared" si="141"/>
        <v>209.33640360058615</v>
      </c>
      <c r="M492" s="11" t="str">
        <f t="shared" si="142"/>
        <v/>
      </c>
      <c r="N492" s="11" t="str">
        <f t="shared" si="143"/>
        <v/>
      </c>
      <c r="O492" s="29" t="str">
        <f t="shared" si="144"/>
        <v/>
      </c>
    </row>
    <row r="493" spans="1:15" x14ac:dyDescent="0.25">
      <c r="A493" s="30" t="s">
        <v>17</v>
      </c>
      <c r="B493" s="8" t="s">
        <v>18</v>
      </c>
      <c r="C493" s="9" t="s">
        <v>11</v>
      </c>
      <c r="D493" s="24">
        <v>13071</v>
      </c>
      <c r="E493" s="24">
        <v>8847</v>
      </c>
      <c r="F493" s="24">
        <v>4433</v>
      </c>
      <c r="G493" s="10"/>
      <c r="H493" s="10"/>
      <c r="I493" s="10"/>
      <c r="J493" s="11">
        <f t="shared" ref="J493" si="146">IF(D493="","",(1/D493)*1000000)</f>
        <v>76.505240608981708</v>
      </c>
      <c r="K493" s="11">
        <f t="shared" si="140"/>
        <v>113.03266644060133</v>
      </c>
      <c r="L493" s="11">
        <f t="shared" si="141"/>
        <v>225.58087074216107</v>
      </c>
      <c r="M493" s="11" t="str">
        <f t="shared" si="142"/>
        <v/>
      </c>
      <c r="N493" s="11" t="str">
        <f t="shared" si="143"/>
        <v/>
      </c>
      <c r="O493" s="29" t="str">
        <f t="shared" si="144"/>
        <v/>
      </c>
    </row>
    <row r="494" spans="1:15" x14ac:dyDescent="0.25">
      <c r="A494" s="131" t="s">
        <v>152</v>
      </c>
      <c r="B494" s="102"/>
      <c r="C494" s="102"/>
      <c r="D494" s="102"/>
      <c r="E494" s="132"/>
      <c r="F494" s="132"/>
      <c r="G494" s="132"/>
      <c r="H494" s="132"/>
      <c r="I494" s="132"/>
      <c r="J494" s="19"/>
      <c r="K494" s="19"/>
      <c r="L494" s="19"/>
      <c r="M494" s="19"/>
      <c r="N494" s="19"/>
      <c r="O494" s="31"/>
    </row>
    <row r="495" spans="1:15" ht="18.75" x14ac:dyDescent="0.3">
      <c r="A495" s="124" t="s">
        <v>137</v>
      </c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125"/>
    </row>
    <row r="496" spans="1:15" x14ac:dyDescent="0.25">
      <c r="A496" s="122" t="s">
        <v>1</v>
      </c>
      <c r="B496" s="88"/>
      <c r="C496" s="89"/>
      <c r="D496" s="105" t="s">
        <v>19</v>
      </c>
      <c r="E496" s="106"/>
      <c r="F496" s="106"/>
      <c r="G496" s="106"/>
      <c r="H496" s="106"/>
      <c r="I496" s="107"/>
      <c r="J496" s="105" t="s">
        <v>22</v>
      </c>
      <c r="K496" s="106"/>
      <c r="L496" s="106"/>
      <c r="M496" s="106"/>
      <c r="N496" s="106"/>
      <c r="O496" s="123"/>
    </row>
    <row r="497" spans="1:15" x14ac:dyDescent="0.25">
      <c r="A497" s="26" t="s">
        <v>4</v>
      </c>
      <c r="B497" s="6" t="s">
        <v>5</v>
      </c>
      <c r="C497" s="6" t="s">
        <v>6</v>
      </c>
      <c r="D497" s="7">
        <v>1</v>
      </c>
      <c r="E497" s="7">
        <v>4</v>
      </c>
      <c r="F497" s="7">
        <v>16</v>
      </c>
      <c r="G497" s="7">
        <v>32</v>
      </c>
      <c r="H497" s="7">
        <v>64</v>
      </c>
      <c r="I497" s="7">
        <v>80</v>
      </c>
      <c r="J497" s="7">
        <v>1</v>
      </c>
      <c r="K497" s="7">
        <v>4</v>
      </c>
      <c r="L497" s="7">
        <v>16</v>
      </c>
      <c r="M497" s="7">
        <v>32</v>
      </c>
      <c r="N497" s="7">
        <v>64</v>
      </c>
      <c r="O497" s="27">
        <v>80</v>
      </c>
    </row>
    <row r="498" spans="1:15" x14ac:dyDescent="0.25">
      <c r="A498" s="28" t="s">
        <v>7</v>
      </c>
      <c r="B498" s="9" t="s">
        <v>8</v>
      </c>
      <c r="C498" s="9" t="s">
        <v>9</v>
      </c>
      <c r="D498" s="12">
        <f>IF(D488="","",(D488-'2016'!D5)/'2016'!D5)</f>
        <v>-3.5636185120721205E-2</v>
      </c>
      <c r="E498" s="12">
        <f>IF(E488="","",(E488-'2016'!E5)/'2016'!E5)</f>
        <v>-2.1051060017915797E-2</v>
      </c>
      <c r="F498" s="12">
        <f>IF(F488="","",(F488-'2016'!F5)/'2016'!F5)</f>
        <v>0</v>
      </c>
      <c r="G498" s="12" t="str">
        <f>IF(G488="","",(G488-#REF!)/#REF!)</f>
        <v/>
      </c>
      <c r="H498" s="12" t="str">
        <f>IF(H488="","",(H488-#REF!)/#REF!)</f>
        <v/>
      </c>
      <c r="I498" s="12" t="str">
        <f>IF(I488="","",(I488-#REF!)/#REF!)</f>
        <v/>
      </c>
      <c r="J498" s="11">
        <f>J488-'2015'!J518</f>
        <v>57.544021176199792</v>
      </c>
      <c r="K498" s="11">
        <f>K488-'2015'!K518</f>
        <v>50.836256418077369</v>
      </c>
      <c r="L498" s="11">
        <f>L488-'2015'!L518</f>
        <v>171.14495978093444</v>
      </c>
      <c r="M498" s="11" t="str">
        <f>IF(G498="","",M488-((1/Comparisons!#REF!)*1000000))</f>
        <v/>
      </c>
      <c r="N498" s="11" t="str">
        <f>IF(H498="","",N488-((1/Comparisons!#REF!)*1000000))</f>
        <v/>
      </c>
      <c r="O498" s="29" t="str">
        <f>IF(I498="","",O488-((1/Comparisons!#REF!)*1000000))</f>
        <v/>
      </c>
    </row>
    <row r="499" spans="1:15" x14ac:dyDescent="0.25">
      <c r="A499" s="28" t="s">
        <v>10</v>
      </c>
      <c r="B499" s="9" t="s">
        <v>8</v>
      </c>
      <c r="C499" s="9" t="s">
        <v>11</v>
      </c>
      <c r="D499" s="12">
        <f>IF(D489="","",(D489-'2016'!D6)/'2016'!D6)</f>
        <v>0.16521389298645567</v>
      </c>
      <c r="E499" s="12">
        <f>IF(E489="","",(E489-'2016'!E6)/'2016'!E6)</f>
        <v>0.12084564254062038</v>
      </c>
      <c r="F499" s="12">
        <f>IF(F489="","",(F489-'2016'!F6)/'2016'!F6)</f>
        <v>4.5635335984927777E-2</v>
      </c>
      <c r="G499" s="12" t="str">
        <f>IF(G489="","",(G489-#REF!)/#REF!)</f>
        <v/>
      </c>
      <c r="H499" s="12" t="str">
        <f>IF(H489="","",(H489-#REF!)/#REF!)</f>
        <v/>
      </c>
      <c r="I499" s="12" t="str">
        <f>IF(I489="","",(I489-#REF!)/#REF!)</f>
        <v/>
      </c>
      <c r="J499" s="11" t="e">
        <f>J489-'2015'!J519</f>
        <v>#REF!</v>
      </c>
      <c r="K499" s="11">
        <f>K489-'2015'!K519</f>
        <v>82.365538258792526</v>
      </c>
      <c r="L499" s="11">
        <f>L489-'2015'!L519</f>
        <v>200.20020020020021</v>
      </c>
      <c r="M499" s="11" t="str">
        <f>IF(G499="","",M489-((1/Comparisons!#REF!)*1000000))</f>
        <v/>
      </c>
      <c r="N499" s="11" t="str">
        <f>IF(H499="","",N489-((1/Comparisons!#REF!)*1000000))</f>
        <v/>
      </c>
      <c r="O499" s="29" t="str">
        <f>IF(I499="","",O489-((1/Comparisons!#REF!)*1000000))</f>
        <v/>
      </c>
    </row>
    <row r="500" spans="1:15" x14ac:dyDescent="0.25">
      <c r="A500" s="30" t="s">
        <v>12</v>
      </c>
      <c r="B500" s="9" t="s">
        <v>13</v>
      </c>
      <c r="C500" s="9" t="s">
        <v>9</v>
      </c>
      <c r="D500" s="12">
        <f>IF(D490="","",(D490-'2016'!D7)/'2016'!D7)</f>
        <v>-4.7291230170607601E-2</v>
      </c>
      <c r="E500" s="12">
        <f>IF(E490="","",(E490-'2016'!E7)/'2016'!E7)</f>
        <v>-2.0059961842463888E-2</v>
      </c>
      <c r="F500" s="12">
        <f>IF(F490="","",(F490-'2016'!F7)/'2016'!F7)</f>
        <v>-8.5151676423629585E-3</v>
      </c>
      <c r="G500" s="12" t="str">
        <f>IF(G490="","",(G490-#REF!)/#REF!)</f>
        <v/>
      </c>
      <c r="H500" s="12" t="str">
        <f>IF(H490="","",(H490-#REF!)/#REF!)</f>
        <v/>
      </c>
      <c r="I500" s="12" t="str">
        <f>IF(I490="","",(I490-#REF!)/#REF!)</f>
        <v/>
      </c>
      <c r="J500" s="11">
        <f>J490-'2015'!J520</f>
        <v>24.16684791802605</v>
      </c>
      <c r="K500" s="11">
        <f>K490-'2015'!K520</f>
        <v>55.626634032374703</v>
      </c>
      <c r="L500" s="11">
        <f>L490-'2015'!L520</f>
        <v>178.92288423689388</v>
      </c>
      <c r="M500" s="11" t="str">
        <f>IF(G500="","",M490-((1/Comparisons!#REF!)*1000000))</f>
        <v/>
      </c>
      <c r="N500" s="11" t="str">
        <f>IF(H500="","",N490-((1/Comparisons!#REF!)*1000000))</f>
        <v/>
      </c>
      <c r="O500" s="29" t="str">
        <f>IF(I500="","",O490-((1/Comparisons!#REF!)*1000000))</f>
        <v/>
      </c>
    </row>
    <row r="501" spans="1:15" x14ac:dyDescent="0.25">
      <c r="A501" s="30" t="s">
        <v>14</v>
      </c>
      <c r="B501" s="9" t="s">
        <v>13</v>
      </c>
      <c r="C501" s="9" t="s">
        <v>11</v>
      </c>
      <c r="D501" s="12">
        <f>IF(D491="","",(D491-'2016'!D8)/'2016'!D8)</f>
        <v>0.11935126143609648</v>
      </c>
      <c r="E501" s="12">
        <f>IF(E491="","",(E491-'2016'!E8)/'2016'!E8)</f>
        <v>0.12497557162399843</v>
      </c>
      <c r="F501" s="12">
        <f>IF(F491="","",(F491-'2016'!F8)/'2016'!F8)</f>
        <v>6.1652820288587672E-2</v>
      </c>
      <c r="G501" s="12" t="str">
        <f>IF(G491="","",(G491-#REF!)/#REF!)</f>
        <v/>
      </c>
      <c r="H501" s="12" t="str">
        <f>IF(H491="","",(H491-#REF!)/#REF!)</f>
        <v/>
      </c>
      <c r="I501" s="12" t="str">
        <f>IF(I491="","",(I491-#REF!)/#REF!)</f>
        <v/>
      </c>
      <c r="J501" s="11">
        <f>J491-'2015'!J521</f>
        <v>69.051236017124708</v>
      </c>
      <c r="K501" s="11">
        <f>K491-'2015'!K521</f>
        <v>86.858334057152788</v>
      </c>
      <c r="L501" s="11">
        <f>L491-'2015'!L521</f>
        <v>205.93080724876441</v>
      </c>
      <c r="M501" s="11" t="str">
        <f>IF(G501="","",M491-((1/Comparisons!#REF!)*1000000))</f>
        <v/>
      </c>
      <c r="N501" s="11" t="str">
        <f>IF(H501="","",N491-((1/Comparisons!#REF!)*1000000))</f>
        <v/>
      </c>
      <c r="O501" s="29" t="str">
        <f>IF(I501="","",O491-((1/Comparisons!#REF!)*1000000))</f>
        <v/>
      </c>
    </row>
    <row r="502" spans="1:15" x14ac:dyDescent="0.25">
      <c r="A502" s="30" t="s">
        <v>15</v>
      </c>
      <c r="B502" s="9" t="s">
        <v>16</v>
      </c>
      <c r="C502" s="9" t="s">
        <v>11</v>
      </c>
      <c r="D502" s="12">
        <f>IF(D492="","",(D492-'2016'!D9)/'2016'!D9)</f>
        <v>7.3774746051753534E-2</v>
      </c>
      <c r="E502" s="12">
        <f>IF(E492="","",(E492-'2016'!E9)/'2016'!E9)</f>
        <v>3.9501039501039503E-2</v>
      </c>
      <c r="F502" s="12">
        <f>IF(F492="","",(F492-'2016'!F9)/'2016'!F9)</f>
        <v>3.5102925243770317E-2</v>
      </c>
      <c r="G502" s="12" t="str">
        <f>IF(G492="","",(G492-#REF!)/#REF!)</f>
        <v/>
      </c>
      <c r="H502" s="12" t="str">
        <f>IF(H492="","",(H492-#REF!)/#REF!)</f>
        <v/>
      </c>
      <c r="I502" s="12" t="str">
        <f>IF(I492="","",(I492-#REF!)/#REF!)</f>
        <v/>
      </c>
      <c r="J502" s="11" t="e">
        <f>J492-'2015'!J522</f>
        <v>#REF!</v>
      </c>
      <c r="K502" s="11">
        <f>K492-'2015'!K522</f>
        <v>95.238095238095241</v>
      </c>
      <c r="L502" s="11">
        <f>L492-'2015'!L522</f>
        <v>209.33640360058615</v>
      </c>
      <c r="M502" s="11" t="str">
        <f>IF(G502="","",M492-((1/Comparisons!#REF!)*1000000))</f>
        <v/>
      </c>
      <c r="N502" s="11" t="str">
        <f>IF(H502="","",N492-((1/Comparisons!#REF!)*1000000))</f>
        <v/>
      </c>
      <c r="O502" s="29" t="str">
        <f>IF(I502="","",O492-((1/Comparisons!#REF!)*1000000))</f>
        <v/>
      </c>
    </row>
    <row r="503" spans="1:15" ht="15.75" thickBot="1" x14ac:dyDescent="0.3">
      <c r="A503" s="32" t="s">
        <v>17</v>
      </c>
      <c r="B503" s="33" t="s">
        <v>18</v>
      </c>
      <c r="C503" s="34" t="s">
        <v>11</v>
      </c>
      <c r="D503" s="12">
        <f>IF(D493="","",(D493-'2016'!D10)/'2016'!D10)</f>
        <v>5.7353179097233455E-2</v>
      </c>
      <c r="E503" s="12">
        <f>IF(E493="","",(E493-'2016'!E10)/'2016'!E10)</f>
        <v>-0.11978907571385931</v>
      </c>
      <c r="F503" s="12">
        <f>IF(F493="","",(F493-'2016'!F10)/'2016'!F10)</f>
        <v>-4.4817927170868348E-2</v>
      </c>
      <c r="G503" s="35" t="str">
        <f>IF(G493="","",(G493-#REF!)/#REF!)</f>
        <v/>
      </c>
      <c r="H503" s="35" t="str">
        <f>IF(H493="","",(H493-#REF!)/#REF!)</f>
        <v/>
      </c>
      <c r="I503" s="35" t="str">
        <f>IF(I493="","",(I493-#REF!)/#REF!)</f>
        <v/>
      </c>
      <c r="J503" s="36">
        <f>J493-'2015'!J523</f>
        <v>76.505240608981708</v>
      </c>
      <c r="K503" s="36">
        <f>K493-'2015'!K523</f>
        <v>113.03266644060133</v>
      </c>
      <c r="L503" s="36">
        <f>L493-'2015'!L523</f>
        <v>225.58087074216107</v>
      </c>
      <c r="M503" s="36" t="str">
        <f>IF(G503="","",M493-((1/Comparisons!#REF!)*1000000))</f>
        <v/>
      </c>
      <c r="N503" s="36" t="str">
        <f>IF(H503="","",N493-((1/Comparisons!#REF!)*1000000))</f>
        <v/>
      </c>
      <c r="O503" s="37" t="str">
        <f>IF(I503="","",O493-((1/Comparisons!#REF!)*1000000))</f>
        <v/>
      </c>
    </row>
    <row r="504" spans="1:15" ht="18.75" x14ac:dyDescent="0.3">
      <c r="A504" s="124" t="s">
        <v>136</v>
      </c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125"/>
    </row>
    <row r="505" spans="1:15" x14ac:dyDescent="0.25">
      <c r="A505" s="122" t="s">
        <v>1</v>
      </c>
      <c r="B505" s="88"/>
      <c r="C505" s="89"/>
      <c r="D505" s="105" t="s">
        <v>19</v>
      </c>
      <c r="E505" s="106"/>
      <c r="F505" s="106"/>
      <c r="G505" s="106"/>
      <c r="H505" s="106"/>
      <c r="I505" s="107"/>
      <c r="J505" s="105" t="s">
        <v>22</v>
      </c>
      <c r="K505" s="106"/>
      <c r="L505" s="106"/>
      <c r="M505" s="106"/>
      <c r="N505" s="106"/>
      <c r="O505" s="123"/>
    </row>
    <row r="506" spans="1:15" x14ac:dyDescent="0.25">
      <c r="A506" s="26" t="s">
        <v>4</v>
      </c>
      <c r="B506" s="6" t="s">
        <v>5</v>
      </c>
      <c r="C506" s="6" t="s">
        <v>6</v>
      </c>
      <c r="D506" s="7">
        <v>1</v>
      </c>
      <c r="E506" s="7">
        <v>4</v>
      </c>
      <c r="F506" s="7">
        <v>16</v>
      </c>
      <c r="G506" s="7">
        <v>32</v>
      </c>
      <c r="H506" s="7">
        <v>64</v>
      </c>
      <c r="I506" s="7">
        <v>80</v>
      </c>
      <c r="J506" s="7">
        <v>1</v>
      </c>
      <c r="K506" s="7">
        <v>4</v>
      </c>
      <c r="L506" s="7">
        <v>16</v>
      </c>
      <c r="M506" s="7">
        <v>32</v>
      </c>
      <c r="N506" s="7">
        <v>64</v>
      </c>
      <c r="O506" s="27">
        <v>80</v>
      </c>
    </row>
    <row r="507" spans="1:15" x14ac:dyDescent="0.25">
      <c r="A507" s="28" t="s">
        <v>7</v>
      </c>
      <c r="B507" s="9" t="s">
        <v>8</v>
      </c>
      <c r="C507" s="9" t="s">
        <v>9</v>
      </c>
      <c r="D507" s="12">
        <f>IF(D488="","",(D488-'2016'!D298)/'2016'!D298)</f>
        <v>-2.4402907580477674E-2</v>
      </c>
      <c r="E507" s="12">
        <f>IF(E488="","",(E488-'2016'!E298)/'2016'!E298)</f>
        <v>-5.0075872534142644E-3</v>
      </c>
      <c r="F507" s="12">
        <f>IF(F488="","",(F488-'2016'!F298)/'2016'!F298)</f>
        <v>1.027925304094569E-3</v>
      </c>
      <c r="G507" s="12" t="str">
        <f>IF(G488="","",(G488-'2016'!G472)/'2016'!G472)</f>
        <v/>
      </c>
      <c r="H507" s="12" t="str">
        <f>IF(H488="","",(H488-'2016'!H472)/'2016'!H472)</f>
        <v/>
      </c>
      <c r="I507" s="12" t="str">
        <f>IF(I488="","",(I488-'2016'!I472)/'2016'!I472)</f>
        <v/>
      </c>
      <c r="J507" s="11">
        <f>J497-'2015'!J527</f>
        <v>1</v>
      </c>
      <c r="K507" s="11">
        <f>K497-'2015'!K527</f>
        <v>4</v>
      </c>
      <c r="L507" s="11">
        <f>L497-'2015'!L527</f>
        <v>16</v>
      </c>
      <c r="M507" s="11" t="str">
        <f>IF(G507="","",M497-((1/Comparisons!#REF!)*1000000))</f>
        <v/>
      </c>
      <c r="N507" s="11" t="str">
        <f>IF(H507="","",N497-((1/Comparisons!#REF!)*1000000))</f>
        <v/>
      </c>
      <c r="O507" s="29" t="str">
        <f>IF(I507="","",O497-((1/Comparisons!#REF!)*1000000))</f>
        <v/>
      </c>
    </row>
    <row r="508" spans="1:15" x14ac:dyDescent="0.25">
      <c r="A508" s="28" t="s">
        <v>10</v>
      </c>
      <c r="B508" s="9" t="s">
        <v>8</v>
      </c>
      <c r="C508" s="9" t="s">
        <v>11</v>
      </c>
      <c r="D508" s="12">
        <f>IF(D489="","",(D489-'2016'!D299)/'2016'!D299)</f>
        <v>0.21227764213463551</v>
      </c>
      <c r="E508" s="12">
        <f>IF(E489="","",(E489-'2016'!E299)/'2016'!E299)</f>
        <v>0.16438093411335955</v>
      </c>
      <c r="F508" s="12">
        <f>IF(F489="","",(F489-'2016'!F299)/'2016'!F299)</f>
        <v>5.9834500318268619E-2</v>
      </c>
      <c r="G508" s="12" t="str">
        <f>IF(G498="","",(G498-#REF!)/#REF!)</f>
        <v/>
      </c>
      <c r="H508" s="12" t="str">
        <f>IF(H498="","",(H498-#REF!)/#REF!)</f>
        <v/>
      </c>
      <c r="I508" s="12" t="str">
        <f>IF(I498="","",(I498-#REF!)/#REF!)</f>
        <v/>
      </c>
      <c r="J508" s="11">
        <f>J498-'2015'!J528</f>
        <v>57.544021176199792</v>
      </c>
      <c r="K508" s="11">
        <f>K498-'2015'!K528</f>
        <v>50.836256418077369</v>
      </c>
      <c r="L508" s="11">
        <f>L498-'2015'!L528</f>
        <v>171.14495978093444</v>
      </c>
      <c r="M508" s="11" t="str">
        <f>IF(G508="","",M498-((1/Comparisons!#REF!)*1000000))</f>
        <v/>
      </c>
      <c r="N508" s="11" t="str">
        <f>IF(H508="","",N498-((1/Comparisons!#REF!)*1000000))</f>
        <v/>
      </c>
      <c r="O508" s="29" t="str">
        <f>IF(I508="","",O498-((1/Comparisons!#REF!)*1000000))</f>
        <v/>
      </c>
    </row>
    <row r="509" spans="1:15" x14ac:dyDescent="0.25">
      <c r="A509" s="30" t="s">
        <v>12</v>
      </c>
      <c r="B509" s="9" t="s">
        <v>13</v>
      </c>
      <c r="C509" s="9" t="s">
        <v>9</v>
      </c>
      <c r="D509" s="12">
        <f>IF(D490="","",(D490-'2016'!D300)/'2016'!D300)</f>
        <v>-4.1509346552083576E-2</v>
      </c>
      <c r="E509" s="12">
        <f>IF(E490="","",(E490-'2016'!E300)/'2016'!E300)</f>
        <v>-1.5174756217815274E-2</v>
      </c>
      <c r="F509" s="12">
        <f>IF(F490="","",(F490-'2016'!F300)/'2016'!F300)</f>
        <v>-4.9848673669218441E-3</v>
      </c>
      <c r="G509" s="12" t="str">
        <f>IF(G499="","",(G499-#REF!)/#REF!)</f>
        <v/>
      </c>
      <c r="H509" s="12" t="str">
        <f>IF(H499="","",(H499-#REF!)/#REF!)</f>
        <v/>
      </c>
      <c r="I509" s="12" t="str">
        <f>IF(I499="","",(I499-#REF!)/#REF!)</f>
        <v/>
      </c>
      <c r="J509" s="11" t="e">
        <f>J499-'2015'!J529</f>
        <v>#REF!</v>
      </c>
      <c r="K509" s="11">
        <f>K499-'2015'!K529</f>
        <v>82.365538258792526</v>
      </c>
      <c r="L509" s="11">
        <f>L499-'2015'!L529</f>
        <v>200.20020020020021</v>
      </c>
      <c r="M509" s="11" t="str">
        <f>IF(G509="","",M499-((1/Comparisons!#REF!)*1000000))</f>
        <v/>
      </c>
      <c r="N509" s="11" t="str">
        <f>IF(H509="","",N499-((1/Comparisons!#REF!)*1000000))</f>
        <v/>
      </c>
      <c r="O509" s="29" t="str">
        <f>IF(I509="","",O499-((1/Comparisons!#REF!)*1000000))</f>
        <v/>
      </c>
    </row>
    <row r="510" spans="1:15" x14ac:dyDescent="0.25">
      <c r="A510" s="30" t="s">
        <v>14</v>
      </c>
      <c r="B510" s="9" t="s">
        <v>13</v>
      </c>
      <c r="C510" s="9" t="s">
        <v>11</v>
      </c>
      <c r="D510" s="12">
        <f>IF(D491="","",(D491-'2016'!D301)/'2016'!D301)</f>
        <v>9.1732576218481715E-2</v>
      </c>
      <c r="E510" s="12">
        <f>IF(E491="","",(E491-'2016'!E301)/'2016'!E301)</f>
        <v>0.13473289966489257</v>
      </c>
      <c r="F510" s="12">
        <f>IF(F491="","",(F491-'2016'!F301)/'2016'!F301)</f>
        <v>6.7487359859309745E-2</v>
      </c>
      <c r="G510" s="12" t="str">
        <f>IF(G500="","",(G500-#REF!)/#REF!)</f>
        <v/>
      </c>
      <c r="H510" s="12" t="str">
        <f>IF(H500="","",(H500-#REF!)/#REF!)</f>
        <v/>
      </c>
      <c r="I510" s="12" t="str">
        <f>IF(I500="","",(I500-#REF!)/#REF!)</f>
        <v/>
      </c>
      <c r="J510" s="11">
        <f>J500-'2015'!J530</f>
        <v>24.16684791802605</v>
      </c>
      <c r="K510" s="11">
        <f>K500-'2015'!K530</f>
        <v>55.626634032374703</v>
      </c>
      <c r="L510" s="11">
        <f>L500-'2015'!L530</f>
        <v>178.92288423689388</v>
      </c>
      <c r="M510" s="11" t="str">
        <f>IF(G510="","",M500-((1/Comparisons!#REF!)*1000000))</f>
        <v/>
      </c>
      <c r="N510" s="11" t="str">
        <f>IF(H510="","",N500-((1/Comparisons!#REF!)*1000000))</f>
        <v/>
      </c>
      <c r="O510" s="29" t="str">
        <f>IF(I510="","",O500-((1/Comparisons!#REF!)*1000000))</f>
        <v/>
      </c>
    </row>
    <row r="511" spans="1:15" x14ac:dyDescent="0.25">
      <c r="A511" s="30" t="s">
        <v>15</v>
      </c>
      <c r="B511" s="9" t="s">
        <v>16</v>
      </c>
      <c r="C511" s="9" t="s">
        <v>11</v>
      </c>
      <c r="D511" s="12">
        <f>IF(D492="","",(D492-'2016'!D302)/'2016'!D302)</f>
        <v>0.13673469387755102</v>
      </c>
      <c r="E511" s="12">
        <f>IF(E492="","",(E492-'2016'!E302)/'2016'!E302)</f>
        <v>5.4746358613761932E-2</v>
      </c>
      <c r="F511" s="12">
        <f>IF(F492="","",(F492-'2016'!F302)/'2016'!F302)</f>
        <v>3.4206538211734139E-2</v>
      </c>
      <c r="G511" s="12" t="str">
        <f>IF(G501="","",(G501-#REF!)/#REF!)</f>
        <v/>
      </c>
      <c r="H511" s="12" t="str">
        <f>IF(H501="","",(H501-#REF!)/#REF!)</f>
        <v/>
      </c>
      <c r="I511" s="12" t="str">
        <f>IF(I501="","",(I501-#REF!)/#REF!)</f>
        <v/>
      </c>
      <c r="J511" s="11">
        <f>J501-'2015'!J531</f>
        <v>69.051236017124708</v>
      </c>
      <c r="K511" s="11">
        <f>K501-'2015'!K531</f>
        <v>86.858334057152788</v>
      </c>
      <c r="L511" s="11">
        <f>L501-'2015'!L531</f>
        <v>205.93080724876441</v>
      </c>
      <c r="M511" s="11" t="str">
        <f>IF(G511="","",M501-((1/Comparisons!#REF!)*1000000))</f>
        <v/>
      </c>
      <c r="N511" s="11" t="str">
        <f>IF(H511="","",N501-((1/Comparisons!#REF!)*1000000))</f>
        <v/>
      </c>
      <c r="O511" s="29" t="str">
        <f>IF(I511="","",O501-((1/Comparisons!#REF!)*1000000))</f>
        <v/>
      </c>
    </row>
    <row r="512" spans="1:15" ht="15.75" thickBot="1" x14ac:dyDescent="0.3">
      <c r="A512" s="38" t="s">
        <v>17</v>
      </c>
      <c r="B512" s="39" t="s">
        <v>18</v>
      </c>
      <c r="C512" s="40" t="s">
        <v>11</v>
      </c>
      <c r="D512" s="41">
        <f>IF(D493="","",(D493-'2016'!D303)/'2016'!D303)</f>
        <v>8.0426516779633E-2</v>
      </c>
      <c r="E512" s="41">
        <f>IF(E493="","",(E493-'2016'!E303)/'2016'!E303)</f>
        <v>-0.11040723981900452</v>
      </c>
      <c r="F512" s="41">
        <f>IF(F493="","",(F493-'2016'!F303)/'2016'!F303)</f>
        <v>-4.4817927170868348E-2</v>
      </c>
      <c r="G512" s="41" t="str">
        <f>IF(G502="","",(G502-#REF!)/#REF!)</f>
        <v/>
      </c>
      <c r="H512" s="41" t="str">
        <f>IF(H502="","",(H502-#REF!)/#REF!)</f>
        <v/>
      </c>
      <c r="I512" s="41" t="str">
        <f>IF(I502="","",(I502-#REF!)/#REF!)</f>
        <v/>
      </c>
      <c r="J512" s="42" t="e">
        <f>J502-'2015'!J532</f>
        <v>#REF!</v>
      </c>
      <c r="K512" s="42">
        <f>K502-'2015'!K532</f>
        <v>95.238095238095241</v>
      </c>
      <c r="L512" s="42">
        <f>L502-'2015'!L532</f>
        <v>209.33640360058615</v>
      </c>
      <c r="M512" s="42" t="str">
        <f>IF(G512="","",M502-((1/Comparisons!#REF!)*1000000))</f>
        <v/>
      </c>
      <c r="N512" s="42" t="str">
        <f>IF(H512="","",N502-((1/Comparisons!#REF!)*1000000))</f>
        <v/>
      </c>
      <c r="O512" s="43" t="str">
        <f>IF(I512="","",O502-((1/Comparisons!#REF!)*1000000))</f>
        <v/>
      </c>
    </row>
    <row r="513" spans="1:15" ht="18.75" x14ac:dyDescent="0.25">
      <c r="A513" s="110" t="s">
        <v>93</v>
      </c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2"/>
    </row>
    <row r="514" spans="1:15" ht="15.75" x14ac:dyDescent="0.25">
      <c r="A514" s="113" t="s">
        <v>153</v>
      </c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5"/>
    </row>
    <row r="515" spans="1:15" x14ac:dyDescent="0.25">
      <c r="A515" s="108" t="s">
        <v>1</v>
      </c>
      <c r="B515" s="72"/>
      <c r="C515" s="72"/>
      <c r="D515" s="73" t="s">
        <v>2</v>
      </c>
      <c r="E515" s="73"/>
      <c r="F515" s="73"/>
      <c r="G515" s="73"/>
      <c r="H515" s="73"/>
      <c r="I515" s="73"/>
      <c r="J515" s="73" t="s">
        <v>3</v>
      </c>
      <c r="K515" s="73"/>
      <c r="L515" s="73"/>
      <c r="M515" s="73"/>
      <c r="N515" s="73"/>
      <c r="O515" s="109"/>
    </row>
    <row r="516" spans="1:15" x14ac:dyDescent="0.25">
      <c r="A516" s="26" t="s">
        <v>26</v>
      </c>
      <c r="B516" s="6" t="s">
        <v>5</v>
      </c>
      <c r="C516" s="6" t="s">
        <v>6</v>
      </c>
      <c r="D516" s="7">
        <v>1</v>
      </c>
      <c r="E516" s="7">
        <v>4</v>
      </c>
      <c r="F516" s="7">
        <v>16</v>
      </c>
      <c r="G516" s="7">
        <v>32</v>
      </c>
      <c r="H516" s="7">
        <v>64</v>
      </c>
      <c r="I516" s="7">
        <v>80</v>
      </c>
      <c r="J516" s="7">
        <v>1</v>
      </c>
      <c r="K516" s="7">
        <v>4</v>
      </c>
      <c r="L516" s="7">
        <v>16</v>
      </c>
      <c r="M516" s="7">
        <v>32</v>
      </c>
      <c r="N516" s="7">
        <v>64</v>
      </c>
      <c r="O516" s="27">
        <v>80</v>
      </c>
    </row>
    <row r="517" spans="1:15" x14ac:dyDescent="0.25">
      <c r="A517" s="28" t="s">
        <v>7</v>
      </c>
      <c r="B517" s="9" t="s">
        <v>8</v>
      </c>
      <c r="C517" s="9" t="s">
        <v>9</v>
      </c>
      <c r="D517" s="24">
        <v>42666</v>
      </c>
      <c r="E517" s="24">
        <v>19733</v>
      </c>
      <c r="F517" s="24">
        <v>5837</v>
      </c>
      <c r="G517" s="10"/>
      <c r="H517" s="10"/>
      <c r="I517" s="10"/>
      <c r="J517" s="11">
        <f>IF(D518="","",(1/D518)*1000000)</f>
        <v>57.47126436781609</v>
      </c>
      <c r="K517" s="11">
        <f t="shared" ref="K517:K522" si="147">IF(E517="","",(1/E517)*1000000)</f>
        <v>50.676531698170578</v>
      </c>
      <c r="L517" s="11">
        <f t="shared" ref="L517:L522" si="148">IF(F517="","",(1/F517)*1000000)</f>
        <v>171.32088401576152</v>
      </c>
      <c r="M517" s="11" t="str">
        <f t="shared" ref="M517:M522" si="149">IF(G517="","",(1/G517)*1000000)</f>
        <v/>
      </c>
      <c r="N517" s="11" t="str">
        <f t="shared" ref="N517:N522" si="150">IF(H517="","",(1/H517)*1000000)</f>
        <v/>
      </c>
      <c r="O517" s="29" t="str">
        <f t="shared" ref="O517:O522" si="151">IF(I517="","",(1/I517)*1000000)</f>
        <v/>
      </c>
    </row>
    <row r="518" spans="1:15" x14ac:dyDescent="0.25">
      <c r="A518" s="28" t="s">
        <v>10</v>
      </c>
      <c r="B518" s="9" t="s">
        <v>8</v>
      </c>
      <c r="C518" s="9" t="s">
        <v>11</v>
      </c>
      <c r="D518" s="24">
        <v>17400</v>
      </c>
      <c r="E518" s="24">
        <v>11491</v>
      </c>
      <c r="F518" s="24">
        <v>4862</v>
      </c>
      <c r="G518" s="10"/>
      <c r="H518" s="10"/>
      <c r="I518" s="10"/>
      <c r="J518" s="11" t="e">
        <f>IF(#REF!="","",(1/#REF!)*1000000)</f>
        <v>#REF!</v>
      </c>
      <c r="K518" s="11">
        <f t="shared" si="147"/>
        <v>87.024627969715425</v>
      </c>
      <c r="L518" s="11">
        <f t="shared" si="148"/>
        <v>205.67667626491158</v>
      </c>
      <c r="M518" s="11" t="str">
        <f t="shared" si="149"/>
        <v/>
      </c>
      <c r="N518" s="11" t="str">
        <f t="shared" si="150"/>
        <v/>
      </c>
      <c r="O518" s="29" t="str">
        <f t="shared" si="151"/>
        <v/>
      </c>
    </row>
    <row r="519" spans="1:15" x14ac:dyDescent="0.25">
      <c r="A519" s="30" t="s">
        <v>12</v>
      </c>
      <c r="B519" s="9" t="s">
        <v>13</v>
      </c>
      <c r="C519" s="9" t="s">
        <v>9</v>
      </c>
      <c r="D519" s="24">
        <v>37110</v>
      </c>
      <c r="E519" s="24">
        <v>17888</v>
      </c>
      <c r="F519" s="24">
        <v>5589</v>
      </c>
      <c r="G519" s="10"/>
      <c r="H519" s="10"/>
      <c r="I519" s="10"/>
      <c r="J519" s="11">
        <f t="shared" ref="J519" si="152">IF(D519="","",(1/D519)*1000000)</f>
        <v>26.946914578280786</v>
      </c>
      <c r="K519" s="11">
        <f t="shared" si="147"/>
        <v>55.903398926654738</v>
      </c>
      <c r="L519" s="11">
        <f t="shared" si="148"/>
        <v>178.92288423689388</v>
      </c>
      <c r="M519" s="11" t="str">
        <f t="shared" si="149"/>
        <v/>
      </c>
      <c r="N519" s="11" t="str">
        <f t="shared" si="150"/>
        <v/>
      </c>
      <c r="O519" s="29" t="str">
        <f t="shared" si="151"/>
        <v/>
      </c>
    </row>
    <row r="520" spans="1:15" x14ac:dyDescent="0.25">
      <c r="A520" s="30" t="s">
        <v>14</v>
      </c>
      <c r="B520" s="9" t="s">
        <v>13</v>
      </c>
      <c r="C520" s="9" t="s">
        <v>11</v>
      </c>
      <c r="D520" s="24">
        <v>16117</v>
      </c>
      <c r="E520" s="24">
        <v>11039</v>
      </c>
      <c r="F520" s="24">
        <v>4789</v>
      </c>
      <c r="G520" s="10"/>
      <c r="H520" s="10"/>
      <c r="I520" s="10"/>
      <c r="J520" s="11">
        <f>IF(D521="","",(1/D521)*1000000)</f>
        <v>72.611094975312227</v>
      </c>
      <c r="K520" s="11">
        <f t="shared" si="147"/>
        <v>90.587915572062684</v>
      </c>
      <c r="L520" s="11">
        <f t="shared" si="148"/>
        <v>208.81186051367717</v>
      </c>
      <c r="M520" s="11" t="str">
        <f t="shared" si="149"/>
        <v/>
      </c>
      <c r="N520" s="11" t="str">
        <f t="shared" si="150"/>
        <v/>
      </c>
      <c r="O520" s="29" t="str">
        <f t="shared" si="151"/>
        <v/>
      </c>
    </row>
    <row r="521" spans="1:15" x14ac:dyDescent="0.25">
      <c r="A521" s="30" t="s">
        <v>15</v>
      </c>
      <c r="B521" s="9" t="s">
        <v>16</v>
      </c>
      <c r="C521" s="9" t="s">
        <v>11</v>
      </c>
      <c r="D521" s="24">
        <v>13772</v>
      </c>
      <c r="E521" s="24">
        <v>10140</v>
      </c>
      <c r="F521" s="24">
        <v>4441</v>
      </c>
      <c r="G521" s="10"/>
      <c r="H521" s="10"/>
      <c r="I521" s="10"/>
      <c r="J521" s="11" t="e">
        <f>IF(#REF!="","",(1/#REF!)*1000000)</f>
        <v>#REF!</v>
      </c>
      <c r="K521" s="11">
        <f t="shared" si="147"/>
        <v>98.619329388560161</v>
      </c>
      <c r="L521" s="11">
        <f t="shared" si="148"/>
        <v>225.17451024544022</v>
      </c>
      <c r="M521" s="11" t="str">
        <f t="shared" si="149"/>
        <v/>
      </c>
      <c r="N521" s="11" t="str">
        <f t="shared" si="150"/>
        <v/>
      </c>
      <c r="O521" s="29" t="str">
        <f t="shared" si="151"/>
        <v/>
      </c>
    </row>
    <row r="522" spans="1:15" x14ac:dyDescent="0.25">
      <c r="A522" s="30" t="s">
        <v>17</v>
      </c>
      <c r="B522" s="8" t="s">
        <v>18</v>
      </c>
      <c r="C522" s="9" t="s">
        <v>11</v>
      </c>
      <c r="D522" s="24">
        <v>13980</v>
      </c>
      <c r="E522" s="24">
        <v>9564</v>
      </c>
      <c r="F522" s="24">
        <v>4453</v>
      </c>
      <c r="G522" s="10"/>
      <c r="H522" s="10"/>
      <c r="I522" s="10"/>
      <c r="J522" s="11">
        <f t="shared" ref="J522" si="153">IF(D522="","",(1/D522)*1000000)</f>
        <v>71.530758226037207</v>
      </c>
      <c r="K522" s="11">
        <f t="shared" si="147"/>
        <v>104.55876202425763</v>
      </c>
      <c r="L522" s="11">
        <f t="shared" si="148"/>
        <v>224.56770716370985</v>
      </c>
      <c r="M522" s="11" t="str">
        <f t="shared" si="149"/>
        <v/>
      </c>
      <c r="N522" s="11" t="str">
        <f t="shared" si="150"/>
        <v/>
      </c>
      <c r="O522" s="29" t="str">
        <f t="shared" si="151"/>
        <v/>
      </c>
    </row>
    <row r="523" spans="1:15" x14ac:dyDescent="0.25">
      <c r="A523" s="116" t="s">
        <v>152</v>
      </c>
      <c r="B523" s="117"/>
      <c r="C523" s="117"/>
      <c r="D523" s="117"/>
      <c r="E523" s="118"/>
      <c r="F523" s="118"/>
      <c r="G523" s="118"/>
      <c r="H523" s="118"/>
      <c r="I523" s="118"/>
      <c r="J523" s="44"/>
      <c r="K523" s="44"/>
      <c r="L523" s="44"/>
      <c r="M523" s="44"/>
      <c r="N523" s="44"/>
      <c r="O523" s="45"/>
    </row>
    <row r="524" spans="1:15" ht="18.75" x14ac:dyDescent="0.3">
      <c r="A524" s="119" t="s">
        <v>154</v>
      </c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1"/>
    </row>
    <row r="525" spans="1:15" x14ac:dyDescent="0.25">
      <c r="A525" s="108" t="s">
        <v>1</v>
      </c>
      <c r="B525" s="72"/>
      <c r="C525" s="72"/>
      <c r="D525" s="73" t="s">
        <v>19</v>
      </c>
      <c r="E525" s="73"/>
      <c r="F525" s="73"/>
      <c r="G525" s="73"/>
      <c r="H525" s="73"/>
      <c r="I525" s="73"/>
      <c r="J525" s="73" t="s">
        <v>22</v>
      </c>
      <c r="K525" s="73"/>
      <c r="L525" s="73"/>
      <c r="M525" s="73"/>
      <c r="N525" s="73"/>
      <c r="O525" s="109"/>
    </row>
    <row r="526" spans="1:15" x14ac:dyDescent="0.25">
      <c r="A526" s="26" t="s">
        <v>4</v>
      </c>
      <c r="B526" s="6" t="s">
        <v>5</v>
      </c>
      <c r="C526" s="6" t="s">
        <v>6</v>
      </c>
      <c r="D526" s="7">
        <v>1</v>
      </c>
      <c r="E526" s="7">
        <v>4</v>
      </c>
      <c r="F526" s="7">
        <v>16</v>
      </c>
      <c r="G526" s="7">
        <v>32</v>
      </c>
      <c r="H526" s="7">
        <v>64</v>
      </c>
      <c r="I526" s="7">
        <v>80</v>
      </c>
      <c r="J526" s="7">
        <v>1</v>
      </c>
      <c r="K526" s="7">
        <v>4</v>
      </c>
      <c r="L526" s="7">
        <v>16</v>
      </c>
      <c r="M526" s="7">
        <v>32</v>
      </c>
      <c r="N526" s="7">
        <v>64</v>
      </c>
      <c r="O526" s="27">
        <v>80</v>
      </c>
    </row>
    <row r="527" spans="1:15" x14ac:dyDescent="0.25">
      <c r="A527" s="28" t="s">
        <v>7</v>
      </c>
      <c r="B527" s="9" t="s">
        <v>8</v>
      </c>
      <c r="C527" s="9" t="s">
        <v>9</v>
      </c>
      <c r="D527" s="12">
        <f>IF(D517="","",(D517-'2017'!D488)/'2017'!D488)</f>
        <v>-1.2749612421038017E-2</v>
      </c>
      <c r="E527" s="12">
        <f>IF(E517="","",(E517-'2017'!E488)/'2017'!E488)</f>
        <v>3.1518478979207969E-3</v>
      </c>
      <c r="F527" s="12">
        <f>IF(F517="","",(F517-'2017'!F488)/'2017'!F488)</f>
        <v>-1.0268697586856067E-3</v>
      </c>
      <c r="G527" s="12" t="str">
        <f>IF(G517="","",(G517-#REF!)/#REF!)</f>
        <v/>
      </c>
      <c r="H527" s="12" t="str">
        <f>IF(H517="","",(H517-#REF!)/#REF!)</f>
        <v/>
      </c>
      <c r="I527" s="12" t="str">
        <f>IF(I517="","",(I517-#REF!)/#REF!)</f>
        <v/>
      </c>
      <c r="J527" s="11">
        <f>J517-'2015'!J547</f>
        <v>57.47126436781609</v>
      </c>
      <c r="K527" s="11">
        <f>K517-'2015'!K547</f>
        <v>50.676531698170578</v>
      </c>
      <c r="L527" s="11">
        <f>L517-'2015'!L547</f>
        <v>171.32088401576152</v>
      </c>
      <c r="M527" s="11" t="str">
        <f>IF(G527="","",M517-((1/Comparisons!#REF!)*1000000))</f>
        <v/>
      </c>
      <c r="N527" s="11" t="str">
        <f>IF(H527="","",N517-((1/Comparisons!#REF!)*1000000))</f>
        <v/>
      </c>
      <c r="O527" s="29" t="str">
        <f>IF(I527="","",O517-((1/Comparisons!#REF!)*1000000))</f>
        <v/>
      </c>
    </row>
    <row r="528" spans="1:15" x14ac:dyDescent="0.25">
      <c r="A528" s="28" t="s">
        <v>10</v>
      </c>
      <c r="B528" s="9" t="s">
        <v>8</v>
      </c>
      <c r="C528" s="9" t="s">
        <v>11</v>
      </c>
      <c r="D528" s="12">
        <f>IF(D518="","",(D518-'2017'!D489)/'2017'!D489)</f>
        <v>1.2659684658763955E-3</v>
      </c>
      <c r="E528" s="12">
        <f>IF(E518="","",(E518-'2017'!E489)/'2017'!E489)</f>
        <v>-5.3537599868215137E-2</v>
      </c>
      <c r="F528" s="12">
        <f>IF(F518="","",(F518-'2017'!F489)/'2017'!F489)</f>
        <v>-2.6626626626626626E-2</v>
      </c>
      <c r="G528" s="12" t="str">
        <f>IF(G518="","",(G518-#REF!)/#REF!)</f>
        <v/>
      </c>
      <c r="H528" s="12" t="str">
        <f>IF(H518="","",(H518-#REF!)/#REF!)</f>
        <v/>
      </c>
      <c r="I528" s="12" t="str">
        <f>IF(I518="","",(I518-#REF!)/#REF!)</f>
        <v/>
      </c>
      <c r="J528" s="11" t="e">
        <f>J518-'2015'!J548</f>
        <v>#REF!</v>
      </c>
      <c r="K528" s="11">
        <f>K518-'2015'!K548</f>
        <v>87.024627969715425</v>
      </c>
      <c r="L528" s="11">
        <f>L518-'2015'!L548</f>
        <v>205.67667626491158</v>
      </c>
      <c r="M528" s="11" t="str">
        <f>IF(G528="","",M518-((1/Comparisons!#REF!)*1000000))</f>
        <v/>
      </c>
      <c r="N528" s="11" t="str">
        <f>IF(H528="","",N518-((1/Comparisons!#REF!)*1000000))</f>
        <v/>
      </c>
      <c r="O528" s="29" t="str">
        <f>IF(I528="","",O518-((1/Comparisons!#REF!)*1000000))</f>
        <v/>
      </c>
    </row>
    <row r="529" spans="1:15" x14ac:dyDescent="0.25">
      <c r="A529" s="30" t="s">
        <v>12</v>
      </c>
      <c r="B529" s="9" t="s">
        <v>13</v>
      </c>
      <c r="C529" s="9" t="s">
        <v>9</v>
      </c>
      <c r="D529" s="12">
        <f>IF(D519="","",(D519-'2017'!D490)/'2017'!D490)</f>
        <v>-0.10316827376205322</v>
      </c>
      <c r="E529" s="12">
        <f>IF(E519="","",(E519-'2017'!E490)/'2017'!E490)</f>
        <v>-4.9507704288813481E-3</v>
      </c>
      <c r="F529" s="12">
        <f>IF(F519="","",(F519-'2017'!F490)/'2017'!F490)</f>
        <v>0</v>
      </c>
      <c r="G529" s="12" t="str">
        <f>IF(G519="","",(G519-#REF!)/#REF!)</f>
        <v/>
      </c>
      <c r="H529" s="12" t="str">
        <f>IF(H519="","",(H519-#REF!)/#REF!)</f>
        <v/>
      </c>
      <c r="I529" s="12" t="str">
        <f>IF(I519="","",(I519-#REF!)/#REF!)</f>
        <v/>
      </c>
      <c r="J529" s="11">
        <f>J519-'2015'!J549</f>
        <v>26.946914578280786</v>
      </c>
      <c r="K529" s="11">
        <f>K519-'2015'!K549</f>
        <v>55.903398926654738</v>
      </c>
      <c r="L529" s="11">
        <f>L519-'2015'!L549</f>
        <v>178.92288423689388</v>
      </c>
      <c r="M529" s="11" t="str">
        <f>IF(G529="","",M519-((1/Comparisons!#REF!)*1000000))</f>
        <v/>
      </c>
      <c r="N529" s="11" t="str">
        <f>IF(H529="","",N519-((1/Comparisons!#REF!)*1000000))</f>
        <v/>
      </c>
      <c r="O529" s="29" t="str">
        <f>IF(I529="","",O519-((1/Comparisons!#REF!)*1000000))</f>
        <v/>
      </c>
    </row>
    <row r="530" spans="1:15" x14ac:dyDescent="0.25">
      <c r="A530" s="30" t="s">
        <v>14</v>
      </c>
      <c r="B530" s="9" t="s">
        <v>13</v>
      </c>
      <c r="C530" s="9" t="s">
        <v>11</v>
      </c>
      <c r="D530" s="12">
        <f>IF(D520="","",(D520-'2017'!D491)/'2017'!D491)</f>
        <v>-2.0433436532507742E-3</v>
      </c>
      <c r="E530" s="12">
        <f>IF(E520="","",(E520-'2017'!E491)/'2017'!E491)</f>
        <v>-4.1170850343090419E-2</v>
      </c>
      <c r="F530" s="12">
        <f>IF(F520="","",(F520-'2017'!F491)/'2017'!F491)</f>
        <v>-1.3797364085667216E-2</v>
      </c>
      <c r="G530" s="12" t="str">
        <f>IF(G520="","",(G520-#REF!)/#REF!)</f>
        <v/>
      </c>
      <c r="H530" s="12" t="str">
        <f>IF(H520="","",(H520-#REF!)/#REF!)</f>
        <v/>
      </c>
      <c r="I530" s="12" t="str">
        <f>IF(I520="","",(I520-#REF!)/#REF!)</f>
        <v/>
      </c>
      <c r="J530" s="11">
        <f>J520-'2015'!J550</f>
        <v>72.611094975312227</v>
      </c>
      <c r="K530" s="11">
        <f>K520-'2015'!K550</f>
        <v>90.587915572062684</v>
      </c>
      <c r="L530" s="11">
        <f>L520-'2015'!L550</f>
        <v>208.81186051367717</v>
      </c>
      <c r="M530" s="11" t="str">
        <f>IF(G530="","",M520-((1/Comparisons!#REF!)*1000000))</f>
        <v/>
      </c>
      <c r="N530" s="11" t="str">
        <f>IF(H530="","",N520-((1/Comparisons!#REF!)*1000000))</f>
        <v/>
      </c>
      <c r="O530" s="29" t="str">
        <f>IF(I530="","",O520-((1/Comparisons!#REF!)*1000000))</f>
        <v/>
      </c>
    </row>
    <row r="531" spans="1:15" x14ac:dyDescent="0.25">
      <c r="A531" s="30" t="s">
        <v>15</v>
      </c>
      <c r="B531" s="9" t="s">
        <v>16</v>
      </c>
      <c r="C531" s="9" t="s">
        <v>11</v>
      </c>
      <c r="D531" s="12">
        <f>IF(D521="","",(D521-'2017'!D492)/'2017'!D492)</f>
        <v>-4.9026377572158539E-2</v>
      </c>
      <c r="E531" s="12">
        <f>IF(E521="","",(E521-'2017'!E492)/'2017'!E492)</f>
        <v>-3.4285714285714287E-2</v>
      </c>
      <c r="F531" s="12">
        <f>IF(F521="","",(F521-'2017'!F492)/'2017'!F492)</f>
        <v>-7.0337031609796943E-2</v>
      </c>
      <c r="G531" s="12" t="str">
        <f>IF(G521="","",(G521-#REF!)/#REF!)</f>
        <v/>
      </c>
      <c r="H531" s="12" t="str">
        <f>IF(H521="","",(H521-#REF!)/#REF!)</f>
        <v/>
      </c>
      <c r="I531" s="12" t="str">
        <f>IF(I521="","",(I521-#REF!)/#REF!)</f>
        <v/>
      </c>
      <c r="J531" s="11" t="e">
        <f>J521-'2015'!J551</f>
        <v>#REF!</v>
      </c>
      <c r="K531" s="11">
        <f>K521-'2015'!K551</f>
        <v>98.619329388560161</v>
      </c>
      <c r="L531" s="11">
        <f>L521-'2015'!L551</f>
        <v>225.17451024544022</v>
      </c>
      <c r="M531" s="11" t="str">
        <f>IF(G531="","",M521-((1/Comparisons!#REF!)*1000000))</f>
        <v/>
      </c>
      <c r="N531" s="11" t="str">
        <f>IF(H531="","",N521-((1/Comparisons!#REF!)*1000000))</f>
        <v/>
      </c>
      <c r="O531" s="29" t="str">
        <f>IF(I531="","",O521-((1/Comparisons!#REF!)*1000000))</f>
        <v/>
      </c>
    </row>
    <row r="532" spans="1:15" ht="15.75" thickBot="1" x14ac:dyDescent="0.3">
      <c r="A532" s="32" t="s">
        <v>17</v>
      </c>
      <c r="B532" s="33" t="s">
        <v>18</v>
      </c>
      <c r="C532" s="34" t="s">
        <v>11</v>
      </c>
      <c r="D532" s="35">
        <f>IF(D522="","",(D522-'2017'!D493)/'2017'!D493)</f>
        <v>6.9543263713564382E-2</v>
      </c>
      <c r="E532" s="35">
        <f>IF(E522="","",(E522-'2017'!E493)/'2017'!E493)</f>
        <v>8.1044421837911162E-2</v>
      </c>
      <c r="F532" s="35">
        <f>IF(F522="","",(F522-'2017'!F493)/'2017'!F493)</f>
        <v>4.5116174148432213E-3</v>
      </c>
      <c r="G532" s="35" t="str">
        <f>IF(G522="","",(G522-#REF!)/#REF!)</f>
        <v/>
      </c>
      <c r="H532" s="35" t="str">
        <f>IF(H522="","",(H522-#REF!)/#REF!)</f>
        <v/>
      </c>
      <c r="I532" s="35" t="str">
        <f>IF(I522="","",(I522-#REF!)/#REF!)</f>
        <v/>
      </c>
      <c r="J532" s="36">
        <f>J522-'2015'!J552</f>
        <v>71.530758226037207</v>
      </c>
      <c r="K532" s="36">
        <f>K522-'2015'!K552</f>
        <v>104.55876202425763</v>
      </c>
      <c r="L532" s="36">
        <f>L522-'2015'!L552</f>
        <v>224.56770716370985</v>
      </c>
      <c r="M532" s="36" t="str">
        <f>IF(G532="","",M522-((1/Comparisons!#REF!)*1000000))</f>
        <v/>
      </c>
      <c r="N532" s="36" t="str">
        <f>IF(H532="","",N522-((1/Comparisons!#REF!)*1000000))</f>
        <v/>
      </c>
      <c r="O532" s="37" t="str">
        <f>IF(I532="","",O522-((1/Comparisons!#REF!)*1000000))</f>
        <v/>
      </c>
    </row>
    <row r="533" spans="1:15" ht="18.75" x14ac:dyDescent="0.25">
      <c r="A533" s="110" t="s">
        <v>93</v>
      </c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2"/>
    </row>
    <row r="534" spans="1:15" ht="15.75" x14ac:dyDescent="0.25">
      <c r="A534" s="113" t="s">
        <v>155</v>
      </c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5"/>
    </row>
    <row r="535" spans="1:15" x14ac:dyDescent="0.25">
      <c r="A535" s="108" t="s">
        <v>1</v>
      </c>
      <c r="B535" s="72"/>
      <c r="C535" s="72"/>
      <c r="D535" s="73" t="s">
        <v>2</v>
      </c>
      <c r="E535" s="73"/>
      <c r="F535" s="73"/>
      <c r="G535" s="73"/>
      <c r="H535" s="73"/>
      <c r="I535" s="73"/>
      <c r="J535" s="73" t="s">
        <v>3</v>
      </c>
      <c r="K535" s="73"/>
      <c r="L535" s="73"/>
      <c r="M535" s="73"/>
      <c r="N535" s="73"/>
      <c r="O535" s="109"/>
    </row>
    <row r="536" spans="1:15" x14ac:dyDescent="0.25">
      <c r="A536" s="26" t="s">
        <v>26</v>
      </c>
      <c r="B536" s="6" t="s">
        <v>5</v>
      </c>
      <c r="C536" s="6" t="s">
        <v>6</v>
      </c>
      <c r="D536" s="7">
        <v>1</v>
      </c>
      <c r="E536" s="7">
        <v>4</v>
      </c>
      <c r="F536" s="7">
        <v>16</v>
      </c>
      <c r="G536" s="7">
        <v>32</v>
      </c>
      <c r="H536" s="7">
        <v>64</v>
      </c>
      <c r="I536" s="7">
        <v>80</v>
      </c>
      <c r="J536" s="7">
        <v>1</v>
      </c>
      <c r="K536" s="7">
        <v>4</v>
      </c>
      <c r="L536" s="7">
        <v>16</v>
      </c>
      <c r="M536" s="7">
        <v>32</v>
      </c>
      <c r="N536" s="7">
        <v>64</v>
      </c>
      <c r="O536" s="27">
        <v>80</v>
      </c>
    </row>
    <row r="537" spans="1:15" x14ac:dyDescent="0.25">
      <c r="A537" s="28" t="s">
        <v>7</v>
      </c>
      <c r="B537" s="9" t="s">
        <v>8</v>
      </c>
      <c r="C537" s="9" t="s">
        <v>9</v>
      </c>
      <c r="D537" s="24">
        <v>41621</v>
      </c>
      <c r="E537" s="24">
        <v>19447</v>
      </c>
      <c r="F537" s="24">
        <v>5843</v>
      </c>
      <c r="G537" s="10"/>
      <c r="H537" s="10"/>
      <c r="I537" s="10"/>
      <c r="J537" s="11">
        <f>IF(D538="","",(1/D538)*1000000)</f>
        <v>57.934071027171079</v>
      </c>
      <c r="K537" s="11">
        <f t="shared" ref="K537:K542" si="154">IF(E537="","",(1/E537)*1000000)</f>
        <v>51.421813133131074</v>
      </c>
      <c r="L537" s="11">
        <f t="shared" ref="L537:L542" si="155">IF(F537="","",(1/F537)*1000000)</f>
        <v>171.14495978093444</v>
      </c>
      <c r="M537" s="11" t="str">
        <f t="shared" ref="M537:M542" si="156">IF(G537="","",(1/G537)*1000000)</f>
        <v/>
      </c>
      <c r="N537" s="11" t="str">
        <f t="shared" ref="N537:N542" si="157">IF(H537="","",(1/H537)*1000000)</f>
        <v/>
      </c>
      <c r="O537" s="29" t="str">
        <f t="shared" ref="O537:O542" si="158">IF(I537="","",(1/I537)*1000000)</f>
        <v/>
      </c>
    </row>
    <row r="538" spans="1:15" x14ac:dyDescent="0.25">
      <c r="A538" s="28" t="s">
        <v>10</v>
      </c>
      <c r="B538" s="9" t="s">
        <v>8</v>
      </c>
      <c r="C538" s="9" t="s">
        <v>11</v>
      </c>
      <c r="D538" s="24">
        <v>17261</v>
      </c>
      <c r="E538" s="24">
        <v>11410</v>
      </c>
      <c r="F538" s="24">
        <v>4856</v>
      </c>
      <c r="G538" s="10"/>
      <c r="H538" s="10"/>
      <c r="I538" s="10"/>
      <c r="J538" s="11" t="e">
        <f>IF(#REF!="","",(1/#REF!)*1000000)</f>
        <v>#REF!</v>
      </c>
      <c r="K538" s="11">
        <f t="shared" si="154"/>
        <v>87.642418930762489</v>
      </c>
      <c r="L538" s="11">
        <f t="shared" si="155"/>
        <v>205.93080724876441</v>
      </c>
      <c r="M538" s="11" t="str">
        <f t="shared" si="156"/>
        <v/>
      </c>
      <c r="N538" s="11" t="str">
        <f t="shared" si="157"/>
        <v/>
      </c>
      <c r="O538" s="29" t="str">
        <f t="shared" si="158"/>
        <v/>
      </c>
    </row>
    <row r="539" spans="1:15" x14ac:dyDescent="0.25">
      <c r="A539" s="30" t="s">
        <v>12</v>
      </c>
      <c r="B539" s="9" t="s">
        <v>13</v>
      </c>
      <c r="C539" s="9" t="s">
        <v>9</v>
      </c>
      <c r="D539" s="24">
        <v>39956</v>
      </c>
      <c r="E539" s="24">
        <v>17916</v>
      </c>
      <c r="F539" s="24">
        <v>5599</v>
      </c>
      <c r="G539" s="10"/>
      <c r="H539" s="10"/>
      <c r="I539" s="10"/>
      <c r="J539" s="11">
        <f t="shared" ref="J539" si="159">IF(D539="","",(1/D539)*1000000)</f>
        <v>25.027530283311641</v>
      </c>
      <c r="K539" s="11">
        <f t="shared" si="154"/>
        <v>55.816030363920518</v>
      </c>
      <c r="L539" s="11">
        <f t="shared" si="155"/>
        <v>178.60332202178961</v>
      </c>
      <c r="M539" s="11" t="str">
        <f t="shared" si="156"/>
        <v/>
      </c>
      <c r="N539" s="11" t="str">
        <f t="shared" si="157"/>
        <v/>
      </c>
      <c r="O539" s="29" t="str">
        <f t="shared" si="158"/>
        <v/>
      </c>
    </row>
    <row r="540" spans="1:15" x14ac:dyDescent="0.25">
      <c r="A540" s="30" t="s">
        <v>14</v>
      </c>
      <c r="B540" s="9" t="s">
        <v>13</v>
      </c>
      <c r="C540" s="9" t="s">
        <v>11</v>
      </c>
      <c r="D540" s="24">
        <v>17896</v>
      </c>
      <c r="E540" s="24">
        <v>10617</v>
      </c>
      <c r="F540" s="24">
        <v>4780</v>
      </c>
      <c r="G540" s="10"/>
      <c r="H540" s="10"/>
      <c r="I540" s="10"/>
      <c r="J540" s="11">
        <f>IF(D541="","",(1/D541)*1000000)</f>
        <v>72.249114948341884</v>
      </c>
      <c r="K540" s="11">
        <f t="shared" si="154"/>
        <v>94.188565508147306</v>
      </c>
      <c r="L540" s="11">
        <f t="shared" si="155"/>
        <v>209.20502092050208</v>
      </c>
      <c r="M540" s="11" t="str">
        <f t="shared" si="156"/>
        <v/>
      </c>
      <c r="N540" s="11" t="str">
        <f t="shared" si="157"/>
        <v/>
      </c>
      <c r="O540" s="29" t="str">
        <f t="shared" si="158"/>
        <v/>
      </c>
    </row>
    <row r="541" spans="1:15" x14ac:dyDescent="0.25">
      <c r="A541" s="30" t="s">
        <v>15</v>
      </c>
      <c r="B541" s="9" t="s">
        <v>16</v>
      </c>
      <c r="C541" s="9" t="s">
        <v>11</v>
      </c>
      <c r="D541" s="24">
        <v>13841</v>
      </c>
      <c r="E541" s="24">
        <v>10399</v>
      </c>
      <c r="F541" s="24">
        <v>4837</v>
      </c>
      <c r="G541" s="10"/>
      <c r="H541" s="10"/>
      <c r="I541" s="10"/>
      <c r="J541" s="11" t="e">
        <f>IF(#REF!="","",(1/#REF!)*1000000)</f>
        <v>#REF!</v>
      </c>
      <c r="K541" s="11">
        <f t="shared" si="154"/>
        <v>96.163092605058182</v>
      </c>
      <c r="L541" s="11">
        <f t="shared" si="155"/>
        <v>206.73971469919371</v>
      </c>
      <c r="M541" s="11" t="str">
        <f t="shared" si="156"/>
        <v/>
      </c>
      <c r="N541" s="11" t="str">
        <f t="shared" si="157"/>
        <v/>
      </c>
      <c r="O541" s="29" t="str">
        <f t="shared" si="158"/>
        <v/>
      </c>
    </row>
    <row r="542" spans="1:15" x14ac:dyDescent="0.25">
      <c r="A542" s="30" t="s">
        <v>17</v>
      </c>
      <c r="B542" s="8" t="s">
        <v>18</v>
      </c>
      <c r="C542" s="9" t="s">
        <v>11</v>
      </c>
      <c r="D542" s="24">
        <v>13702</v>
      </c>
      <c r="E542" s="24">
        <v>8803</v>
      </c>
      <c r="F542" s="24">
        <v>4419</v>
      </c>
      <c r="G542" s="10"/>
      <c r="H542" s="10"/>
      <c r="I542" s="10"/>
      <c r="J542" s="11">
        <f t="shared" ref="J542" si="160">IF(D542="","",(1/D542)*1000000)</f>
        <v>72.982046416581511</v>
      </c>
      <c r="K542" s="11">
        <f t="shared" si="154"/>
        <v>113.59763716914689</v>
      </c>
      <c r="L542" s="11">
        <f t="shared" si="155"/>
        <v>226.29554197782304</v>
      </c>
      <c r="M542" s="11" t="str">
        <f t="shared" si="156"/>
        <v/>
      </c>
      <c r="N542" s="11" t="str">
        <f t="shared" si="157"/>
        <v/>
      </c>
      <c r="O542" s="29" t="str">
        <f t="shared" si="158"/>
        <v/>
      </c>
    </row>
    <row r="543" spans="1:15" x14ac:dyDescent="0.25">
      <c r="A543" s="116" t="s">
        <v>158</v>
      </c>
      <c r="B543" s="117"/>
      <c r="C543" s="117"/>
      <c r="D543" s="117"/>
      <c r="E543" s="118"/>
      <c r="F543" s="118"/>
      <c r="G543" s="118"/>
      <c r="H543" s="118"/>
      <c r="I543" s="118"/>
      <c r="J543" s="44"/>
      <c r="K543" s="44"/>
      <c r="L543" s="44"/>
      <c r="M543" s="44"/>
      <c r="N543" s="44"/>
      <c r="O543" s="45"/>
    </row>
    <row r="544" spans="1:15" ht="18.75" x14ac:dyDescent="0.3">
      <c r="A544" s="119" t="s">
        <v>154</v>
      </c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1"/>
    </row>
    <row r="545" spans="1:15" x14ac:dyDescent="0.25">
      <c r="A545" s="108" t="s">
        <v>1</v>
      </c>
      <c r="B545" s="72"/>
      <c r="C545" s="72"/>
      <c r="D545" s="73" t="s">
        <v>19</v>
      </c>
      <c r="E545" s="73"/>
      <c r="F545" s="73"/>
      <c r="G545" s="73"/>
      <c r="H545" s="73"/>
      <c r="I545" s="73"/>
      <c r="J545" s="73" t="s">
        <v>22</v>
      </c>
      <c r="K545" s="73"/>
      <c r="L545" s="73"/>
      <c r="M545" s="73"/>
      <c r="N545" s="73"/>
      <c r="O545" s="109"/>
    </row>
    <row r="546" spans="1:15" x14ac:dyDescent="0.25">
      <c r="A546" s="26" t="s">
        <v>4</v>
      </c>
      <c r="B546" s="6" t="s">
        <v>5</v>
      </c>
      <c r="C546" s="6" t="s">
        <v>6</v>
      </c>
      <c r="D546" s="7">
        <v>1</v>
      </c>
      <c r="E546" s="7">
        <v>4</v>
      </c>
      <c r="F546" s="7">
        <v>16</v>
      </c>
      <c r="G546" s="7">
        <v>32</v>
      </c>
      <c r="H546" s="7">
        <v>64</v>
      </c>
      <c r="I546" s="7">
        <v>80</v>
      </c>
      <c r="J546" s="7">
        <v>1</v>
      </c>
      <c r="K546" s="7">
        <v>4</v>
      </c>
      <c r="L546" s="7">
        <v>16</v>
      </c>
      <c r="M546" s="7">
        <v>32</v>
      </c>
      <c r="N546" s="7">
        <v>64</v>
      </c>
      <c r="O546" s="27">
        <v>80</v>
      </c>
    </row>
    <row r="547" spans="1:15" x14ac:dyDescent="0.25">
      <c r="A547" s="28" t="s">
        <v>7</v>
      </c>
      <c r="B547" s="9" t="s">
        <v>8</v>
      </c>
      <c r="C547" s="9" t="s">
        <v>9</v>
      </c>
      <c r="D547" s="12">
        <f>IF(D537="","",(D537-'2017'!D488)/'2017'!D488)</f>
        <v>-3.6929911840248048E-2</v>
      </c>
      <c r="E547" s="12">
        <f>IF(E537="","",(E537-'2017'!E488)/'2017'!E488)</f>
        <v>-1.1387321437649332E-2</v>
      </c>
      <c r="F547" s="12">
        <f>IF(F537="","",(F537-'2017'!F488)/'2017'!F488)</f>
        <v>0</v>
      </c>
      <c r="G547" s="12" t="str">
        <f>IF(G537="","",(G537-#REF!)/#REF!)</f>
        <v/>
      </c>
      <c r="H547" s="12" t="str">
        <f>IF(H537="","",(H537-#REF!)/#REF!)</f>
        <v/>
      </c>
      <c r="I547" s="12" t="str">
        <f>IF(I537="","",(I537-#REF!)/#REF!)</f>
        <v/>
      </c>
      <c r="J547" s="11">
        <f>J537-'2015'!J567</f>
        <v>57.934071027171079</v>
      </c>
      <c r="K547" s="11">
        <f>K537-'2015'!K567</f>
        <v>51.421813133131074</v>
      </c>
      <c r="L547" s="11">
        <f>L537-'2015'!L567</f>
        <v>171.14495978093444</v>
      </c>
      <c r="M547" s="11" t="str">
        <f>IF(G547="","",M537-((1/Comparisons!#REF!)*1000000))</f>
        <v/>
      </c>
      <c r="N547" s="11" t="str">
        <f>IF(H547="","",N537-((1/Comparisons!#REF!)*1000000))</f>
        <v/>
      </c>
      <c r="O547" s="29" t="str">
        <f>IF(I547="","",O537-((1/Comparisons!#REF!)*1000000))</f>
        <v/>
      </c>
    </row>
    <row r="548" spans="1:15" x14ac:dyDescent="0.25">
      <c r="A548" s="28" t="s">
        <v>10</v>
      </c>
      <c r="B548" s="9" t="s">
        <v>8</v>
      </c>
      <c r="C548" s="9" t="s">
        <v>11</v>
      </c>
      <c r="D548" s="12">
        <f>IF(D538="","",(D538-'2017'!D489)/'2017'!D489)</f>
        <v>-6.7326504776153758E-3</v>
      </c>
      <c r="E548" s="12">
        <f>IF(E538="","",(E538-'2017'!E489)/'2017'!E489)</f>
        <v>-6.0209208467177332E-2</v>
      </c>
      <c r="F548" s="12">
        <f>IF(F538="","",(F538-'2017'!F489)/'2017'!F489)</f>
        <v>-2.7827827827827827E-2</v>
      </c>
      <c r="G548" s="12" t="str">
        <f>IF(G538="","",(G538-#REF!)/#REF!)</f>
        <v/>
      </c>
      <c r="H548" s="12" t="str">
        <f>IF(H538="","",(H538-#REF!)/#REF!)</f>
        <v/>
      </c>
      <c r="I548" s="12" t="str">
        <f>IF(I538="","",(I538-#REF!)/#REF!)</f>
        <v/>
      </c>
      <c r="J548" s="11" t="e">
        <f>J538-'2015'!J568</f>
        <v>#REF!</v>
      </c>
      <c r="K548" s="11">
        <f>K538-'2015'!K568</f>
        <v>87.642418930762489</v>
      </c>
      <c r="L548" s="11">
        <f>L538-'2015'!L568</f>
        <v>205.93080724876441</v>
      </c>
      <c r="M548" s="11" t="str">
        <f>IF(G548="","",M538-((1/Comparisons!#REF!)*1000000))</f>
        <v/>
      </c>
      <c r="N548" s="11" t="str">
        <f>IF(H548="","",N538-((1/Comparisons!#REF!)*1000000))</f>
        <v/>
      </c>
      <c r="O548" s="29" t="str">
        <f>IF(I548="","",O538-((1/Comparisons!#REF!)*1000000))</f>
        <v/>
      </c>
    </row>
    <row r="549" spans="1:15" x14ac:dyDescent="0.25">
      <c r="A549" s="30" t="s">
        <v>12</v>
      </c>
      <c r="B549" s="9" t="s">
        <v>13</v>
      </c>
      <c r="C549" s="9" t="s">
        <v>9</v>
      </c>
      <c r="D549" s="12">
        <f>IF(D539="","",(D539-'2017'!D490)/'2017'!D490)</f>
        <v>-3.4389424587351072E-2</v>
      </c>
      <c r="E549" s="12">
        <f>IF(E539="","",(E539-'2017'!E490)/'2017'!E490)</f>
        <v>-3.3932246759748566E-3</v>
      </c>
      <c r="F549" s="12">
        <f>IF(F539="","",(F539-'2017'!F490)/'2017'!F490)</f>
        <v>1.7892288423689391E-3</v>
      </c>
      <c r="G549" s="12" t="str">
        <f>IF(G539="","",(G539-#REF!)/#REF!)</f>
        <v/>
      </c>
      <c r="H549" s="12" t="str">
        <f>IF(H539="","",(H539-#REF!)/#REF!)</f>
        <v/>
      </c>
      <c r="I549" s="12" t="str">
        <f>IF(I539="","",(I539-#REF!)/#REF!)</f>
        <v/>
      </c>
      <c r="J549" s="11">
        <f>J539-'2015'!J569</f>
        <v>25.027530283311641</v>
      </c>
      <c r="K549" s="11">
        <f>K539-'2015'!K569</f>
        <v>55.816030363920518</v>
      </c>
      <c r="L549" s="11">
        <f>L539-'2015'!L569</f>
        <v>178.60332202178961</v>
      </c>
      <c r="M549" s="11" t="str">
        <f>IF(G549="","",M539-((1/Comparisons!#REF!)*1000000))</f>
        <v/>
      </c>
      <c r="N549" s="11" t="str">
        <f>IF(H549="","",N539-((1/Comparisons!#REF!)*1000000))</f>
        <v/>
      </c>
      <c r="O549" s="29" t="str">
        <f>IF(I549="","",O539-((1/Comparisons!#REF!)*1000000))</f>
        <v/>
      </c>
    </row>
    <row r="550" spans="1:15" x14ac:dyDescent="0.25">
      <c r="A550" s="30" t="s">
        <v>14</v>
      </c>
      <c r="B550" s="9" t="s">
        <v>13</v>
      </c>
      <c r="C550" s="9" t="s">
        <v>11</v>
      </c>
      <c r="D550" s="12">
        <f>IF(D540="","",(D540-'2017'!D491)/'2017'!D491)</f>
        <v>0.10811145510835914</v>
      </c>
      <c r="E550" s="12">
        <f>IF(E540="","",(E540-'2017'!E491)/'2017'!E491)</f>
        <v>-7.7825067315208898E-2</v>
      </c>
      <c r="F550" s="12">
        <f>IF(F540="","",(F540-'2017'!F491)/'2017'!F491)</f>
        <v>-1.5650741350906095E-2</v>
      </c>
      <c r="G550" s="12" t="str">
        <f>IF(G540="","",(G540-#REF!)/#REF!)</f>
        <v/>
      </c>
      <c r="H550" s="12" t="str">
        <f>IF(H540="","",(H540-#REF!)/#REF!)</f>
        <v/>
      </c>
      <c r="I550" s="12" t="str">
        <f>IF(I540="","",(I540-#REF!)/#REF!)</f>
        <v/>
      </c>
      <c r="J550" s="11">
        <f>J540-'2015'!J570</f>
        <v>72.249114948341884</v>
      </c>
      <c r="K550" s="11">
        <f>K540-'2015'!K570</f>
        <v>94.188565508147306</v>
      </c>
      <c r="L550" s="11">
        <f>L540-'2015'!L570</f>
        <v>209.20502092050208</v>
      </c>
      <c r="M550" s="11" t="str">
        <f>IF(G550="","",M540-((1/Comparisons!#REF!)*1000000))</f>
        <v/>
      </c>
      <c r="N550" s="11" t="str">
        <f>IF(H550="","",N540-((1/Comparisons!#REF!)*1000000))</f>
        <v/>
      </c>
      <c r="O550" s="29" t="str">
        <f>IF(I550="","",O540-((1/Comparisons!#REF!)*1000000))</f>
        <v/>
      </c>
    </row>
    <row r="551" spans="1:15" x14ac:dyDescent="0.25">
      <c r="A551" s="30" t="s">
        <v>15</v>
      </c>
      <c r="B551" s="9" t="s">
        <v>16</v>
      </c>
      <c r="C551" s="9" t="s">
        <v>11</v>
      </c>
      <c r="D551" s="12">
        <f>IF(D541="","",(D541-'2017'!D492)/'2017'!D492)</f>
        <v>-4.4261842286976938E-2</v>
      </c>
      <c r="E551" s="12">
        <f>IF(E541="","",(E541-'2017'!E492)/'2017'!E492)</f>
        <v>-9.6190476190476191E-3</v>
      </c>
      <c r="F551" s="12">
        <f>IF(F541="","",(F541-'2017'!F492)/'2017'!F492)</f>
        <v>1.2560184216035169E-2</v>
      </c>
      <c r="G551" s="12" t="str">
        <f>IF(G541="","",(G541-#REF!)/#REF!)</f>
        <v/>
      </c>
      <c r="H551" s="12" t="str">
        <f>IF(H541="","",(H541-#REF!)/#REF!)</f>
        <v/>
      </c>
      <c r="I551" s="12" t="str">
        <f>IF(I541="","",(I541-#REF!)/#REF!)</f>
        <v/>
      </c>
      <c r="J551" s="11" t="e">
        <f>J541-'2015'!J571</f>
        <v>#REF!</v>
      </c>
      <c r="K551" s="11">
        <f>K541-'2015'!K571</f>
        <v>96.163092605058182</v>
      </c>
      <c r="L551" s="11">
        <f>L541-'2015'!L571</f>
        <v>206.73971469919371</v>
      </c>
      <c r="M551" s="11" t="str">
        <f>IF(G551="","",M541-((1/Comparisons!#REF!)*1000000))</f>
        <v/>
      </c>
      <c r="N551" s="11" t="str">
        <f>IF(H551="","",N541-((1/Comparisons!#REF!)*1000000))</f>
        <v/>
      </c>
      <c r="O551" s="29" t="str">
        <f>IF(I551="","",O541-((1/Comparisons!#REF!)*1000000))</f>
        <v/>
      </c>
    </row>
    <row r="552" spans="1:15" ht="15.75" thickBot="1" x14ac:dyDescent="0.3">
      <c r="A552" s="32" t="s">
        <v>17</v>
      </c>
      <c r="B552" s="33" t="s">
        <v>18</v>
      </c>
      <c r="C552" s="34" t="s">
        <v>11</v>
      </c>
      <c r="D552" s="12">
        <f>IF(D542="","",(D542-'2017'!D493)/'2017'!D493)</f>
        <v>4.8274806824267463E-2</v>
      </c>
      <c r="E552" s="12">
        <f>IF(E542="","",(E542-'2017'!E493)/'2017'!E493)</f>
        <v>-4.9734373233864589E-3</v>
      </c>
      <c r="F552" s="12">
        <f>IF(F542="","",(F542-'2017'!F493)/'2017'!F493)</f>
        <v>-3.1581321903902549E-3</v>
      </c>
      <c r="G552" s="35" t="str">
        <f>IF(G542="","",(G542-#REF!)/#REF!)</f>
        <v/>
      </c>
      <c r="H552" s="35" t="str">
        <f>IF(H542="","",(H542-#REF!)/#REF!)</f>
        <v/>
      </c>
      <c r="I552" s="35" t="str">
        <f>IF(I542="","",(I542-#REF!)/#REF!)</f>
        <v/>
      </c>
      <c r="J552" s="36">
        <f>J542-'2015'!J572</f>
        <v>72.982046416581511</v>
      </c>
      <c r="K552" s="36">
        <f>K542-'2015'!K572</f>
        <v>113.59763716914689</v>
      </c>
      <c r="L552" s="36">
        <f>L542-'2015'!L572</f>
        <v>226.29554197782304</v>
      </c>
      <c r="M552" s="36" t="str">
        <f>IF(G552="","",M542-((1/Comparisons!#REF!)*1000000))</f>
        <v/>
      </c>
      <c r="N552" s="36" t="str">
        <f>IF(H552="","",N542-((1/Comparisons!#REF!)*1000000))</f>
        <v/>
      </c>
      <c r="O552" s="37" t="str">
        <f>IF(I552="","",O542-((1/Comparisons!#REF!)*1000000))</f>
        <v/>
      </c>
    </row>
    <row r="553" spans="1:15" ht="18.75" x14ac:dyDescent="0.25">
      <c r="A553" s="110" t="s">
        <v>93</v>
      </c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2"/>
    </row>
    <row r="554" spans="1:15" ht="15.75" x14ac:dyDescent="0.25">
      <c r="A554" s="113" t="s">
        <v>156</v>
      </c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5"/>
    </row>
    <row r="555" spans="1:15" x14ac:dyDescent="0.25">
      <c r="A555" s="108" t="s">
        <v>1</v>
      </c>
      <c r="B555" s="72"/>
      <c r="C555" s="72"/>
      <c r="D555" s="73" t="s">
        <v>2</v>
      </c>
      <c r="E555" s="73"/>
      <c r="F555" s="73"/>
      <c r="G555" s="73"/>
      <c r="H555" s="73"/>
      <c r="I555" s="73"/>
      <c r="J555" s="73" t="s">
        <v>3</v>
      </c>
      <c r="K555" s="73"/>
      <c r="L555" s="73"/>
      <c r="M555" s="73"/>
      <c r="N555" s="73"/>
      <c r="O555" s="109"/>
    </row>
    <row r="556" spans="1:15" x14ac:dyDescent="0.25">
      <c r="A556" s="26" t="s">
        <v>26</v>
      </c>
      <c r="B556" s="6" t="s">
        <v>5</v>
      </c>
      <c r="C556" s="6" t="s">
        <v>6</v>
      </c>
      <c r="D556" s="7">
        <v>1</v>
      </c>
      <c r="E556" s="7">
        <v>4</v>
      </c>
      <c r="F556" s="7">
        <v>16</v>
      </c>
      <c r="G556" s="7">
        <v>32</v>
      </c>
      <c r="H556" s="7">
        <v>64</v>
      </c>
      <c r="I556" s="7">
        <v>80</v>
      </c>
      <c r="J556" s="7">
        <v>1</v>
      </c>
      <c r="K556" s="7">
        <v>4</v>
      </c>
      <c r="L556" s="7">
        <v>16</v>
      </c>
      <c r="M556" s="7">
        <v>32</v>
      </c>
      <c r="N556" s="7">
        <v>64</v>
      </c>
      <c r="O556" s="27">
        <v>80</v>
      </c>
    </row>
    <row r="557" spans="1:15" x14ac:dyDescent="0.25">
      <c r="A557" s="28" t="s">
        <v>7</v>
      </c>
      <c r="B557" s="9" t="s">
        <v>8</v>
      </c>
      <c r="C557" s="9" t="s">
        <v>9</v>
      </c>
      <c r="D557" s="24">
        <v>41621</v>
      </c>
      <c r="E557" s="24">
        <v>19511</v>
      </c>
      <c r="F557" s="24">
        <v>5837</v>
      </c>
      <c r="G557" s="10"/>
      <c r="H557" s="10"/>
      <c r="I557" s="10"/>
      <c r="J557" s="11">
        <f>IF(D558="","",(1/D558)*1000000)</f>
        <v>58.647586651809277</v>
      </c>
      <c r="K557" s="11">
        <f t="shared" ref="K557:K562" si="161">IF(E557="","",(1/E557)*1000000)</f>
        <v>51.253139254779356</v>
      </c>
      <c r="L557" s="11">
        <f t="shared" ref="L557:L562" si="162">IF(F557="","",(1/F557)*1000000)</f>
        <v>171.32088401576152</v>
      </c>
      <c r="M557" s="11" t="str">
        <f t="shared" ref="M557:M562" si="163">IF(G557="","",(1/G557)*1000000)</f>
        <v/>
      </c>
      <c r="N557" s="11" t="str">
        <f t="shared" ref="N557:N562" si="164">IF(H557="","",(1/H557)*1000000)</f>
        <v/>
      </c>
      <c r="O557" s="29" t="str">
        <f t="shared" ref="O557:O562" si="165">IF(I557="","",(1/I557)*1000000)</f>
        <v/>
      </c>
    </row>
    <row r="558" spans="1:15" x14ac:dyDescent="0.25">
      <c r="A558" s="28" t="s">
        <v>10</v>
      </c>
      <c r="B558" s="9" t="s">
        <v>8</v>
      </c>
      <c r="C558" s="9" t="s">
        <v>11</v>
      </c>
      <c r="D558" s="24">
        <v>17051</v>
      </c>
      <c r="E558" s="24">
        <v>11433</v>
      </c>
      <c r="F558" s="24">
        <v>4850</v>
      </c>
      <c r="G558" s="10"/>
      <c r="H558" s="10"/>
      <c r="I558" s="10"/>
      <c r="J558" s="11" t="e">
        <f>IF(#REF!="","",(1/#REF!)*1000000)</f>
        <v>#REF!</v>
      </c>
      <c r="K558" s="11">
        <f t="shared" si="161"/>
        <v>87.466106883582611</v>
      </c>
      <c r="L558" s="11">
        <f t="shared" si="162"/>
        <v>206.18556701030928</v>
      </c>
      <c r="M558" s="11" t="str">
        <f t="shared" si="163"/>
        <v/>
      </c>
      <c r="N558" s="11" t="str">
        <f t="shared" si="164"/>
        <v/>
      </c>
      <c r="O558" s="29" t="str">
        <f t="shared" si="165"/>
        <v/>
      </c>
    </row>
    <row r="559" spans="1:15" x14ac:dyDescent="0.25">
      <c r="A559" s="30" t="s">
        <v>12</v>
      </c>
      <c r="B559" s="9" t="s">
        <v>13</v>
      </c>
      <c r="C559" s="9" t="s">
        <v>9</v>
      </c>
      <c r="D559" s="24">
        <v>38041</v>
      </c>
      <c r="E559" s="24">
        <v>17916</v>
      </c>
      <c r="F559" s="24">
        <v>5571</v>
      </c>
      <c r="G559" s="10"/>
      <c r="H559" s="10"/>
      <c r="I559" s="10"/>
      <c r="J559" s="11">
        <f t="shared" ref="J559" si="166">IF(D559="","",(1/D559)*1000000)</f>
        <v>26.287426723798006</v>
      </c>
      <c r="K559" s="11">
        <f t="shared" si="161"/>
        <v>55.816030363920518</v>
      </c>
      <c r="L559" s="11">
        <f t="shared" si="162"/>
        <v>179.50098725542992</v>
      </c>
      <c r="M559" s="11" t="str">
        <f t="shared" si="163"/>
        <v/>
      </c>
      <c r="N559" s="11" t="str">
        <f t="shared" si="164"/>
        <v/>
      </c>
      <c r="O559" s="29" t="str">
        <f t="shared" si="165"/>
        <v/>
      </c>
    </row>
    <row r="560" spans="1:15" x14ac:dyDescent="0.25">
      <c r="A560" s="30" t="s">
        <v>14</v>
      </c>
      <c r="B560" s="9" t="s">
        <v>13</v>
      </c>
      <c r="C560" s="9" t="s">
        <v>11</v>
      </c>
      <c r="D560" s="24">
        <v>17323</v>
      </c>
      <c r="E560" s="24">
        <v>11456</v>
      </c>
      <c r="F560" s="24">
        <v>4801</v>
      </c>
      <c r="G560" s="10"/>
      <c r="H560" s="10"/>
      <c r="I560" s="10"/>
      <c r="J560" s="11">
        <f>IF(D561="","",(1/D561)*1000000)</f>
        <v>76.086129498592413</v>
      </c>
      <c r="K560" s="11">
        <f t="shared" si="161"/>
        <v>87.290502793296099</v>
      </c>
      <c r="L560" s="11">
        <f t="shared" si="162"/>
        <v>208.28993959591753</v>
      </c>
      <c r="M560" s="11" t="str">
        <f t="shared" si="163"/>
        <v/>
      </c>
      <c r="N560" s="11" t="str">
        <f t="shared" si="164"/>
        <v/>
      </c>
      <c r="O560" s="29" t="str">
        <f t="shared" si="165"/>
        <v/>
      </c>
    </row>
    <row r="561" spans="1:15" x14ac:dyDescent="0.25">
      <c r="A561" s="30" t="s">
        <v>15</v>
      </c>
      <c r="B561" s="9" t="s">
        <v>16</v>
      </c>
      <c r="C561" s="9" t="s">
        <v>11</v>
      </c>
      <c r="D561" s="24">
        <v>13143</v>
      </c>
      <c r="E561" s="24">
        <v>9757</v>
      </c>
      <c r="F561" s="24">
        <v>4801</v>
      </c>
      <c r="G561" s="10"/>
      <c r="H561" s="10"/>
      <c r="I561" s="10"/>
      <c r="J561" s="11" t="e">
        <f>IF(#REF!="","",(1/#REF!)*1000000)</f>
        <v>#REF!</v>
      </c>
      <c r="K561" s="11">
        <f t="shared" si="161"/>
        <v>102.49051962693451</v>
      </c>
      <c r="L561" s="11">
        <f t="shared" si="162"/>
        <v>208.28993959591753</v>
      </c>
      <c r="M561" s="11" t="str">
        <f t="shared" si="163"/>
        <v/>
      </c>
      <c r="N561" s="11" t="str">
        <f t="shared" si="164"/>
        <v/>
      </c>
      <c r="O561" s="29" t="str">
        <f t="shared" si="165"/>
        <v/>
      </c>
    </row>
    <row r="562" spans="1:15" x14ac:dyDescent="0.25">
      <c r="A562" s="30" t="s">
        <v>17</v>
      </c>
      <c r="B562" s="8" t="s">
        <v>18</v>
      </c>
      <c r="C562" s="9" t="s">
        <v>11</v>
      </c>
      <c r="D562" s="24">
        <v>14181</v>
      </c>
      <c r="E562" s="24">
        <v>9154</v>
      </c>
      <c r="F562" s="24">
        <v>4430</v>
      </c>
      <c r="G562" s="10"/>
      <c r="H562" s="10"/>
      <c r="I562" s="10"/>
      <c r="J562" s="11">
        <f t="shared" ref="J562" si="167">IF(D562="","",(1/D562)*1000000)</f>
        <v>70.516888794866375</v>
      </c>
      <c r="K562" s="11">
        <f t="shared" si="161"/>
        <v>109.24186148131963</v>
      </c>
      <c r="L562" s="11">
        <f t="shared" si="162"/>
        <v>225.73363431151239</v>
      </c>
      <c r="M562" s="11" t="str">
        <f t="shared" si="163"/>
        <v/>
      </c>
      <c r="N562" s="11" t="str">
        <f t="shared" si="164"/>
        <v/>
      </c>
      <c r="O562" s="29" t="str">
        <f t="shared" si="165"/>
        <v/>
      </c>
    </row>
    <row r="563" spans="1:15" x14ac:dyDescent="0.25">
      <c r="A563" s="116" t="s">
        <v>157</v>
      </c>
      <c r="B563" s="117"/>
      <c r="C563" s="117"/>
      <c r="D563" s="117"/>
      <c r="E563" s="118"/>
      <c r="F563" s="118"/>
      <c r="G563" s="118"/>
      <c r="H563" s="118"/>
      <c r="I563" s="118"/>
      <c r="J563" s="44"/>
      <c r="K563" s="44"/>
      <c r="L563" s="44"/>
      <c r="M563" s="44"/>
      <c r="N563" s="44"/>
      <c r="O563" s="45"/>
    </row>
    <row r="564" spans="1:15" ht="18.75" x14ac:dyDescent="0.3">
      <c r="A564" s="119" t="s">
        <v>154</v>
      </c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1"/>
    </row>
    <row r="565" spans="1:15" x14ac:dyDescent="0.25">
      <c r="A565" s="108" t="s">
        <v>1</v>
      </c>
      <c r="B565" s="72"/>
      <c r="C565" s="72"/>
      <c r="D565" s="73" t="s">
        <v>19</v>
      </c>
      <c r="E565" s="73"/>
      <c r="F565" s="73"/>
      <c r="G565" s="73"/>
      <c r="H565" s="73"/>
      <c r="I565" s="73"/>
      <c r="J565" s="73" t="s">
        <v>22</v>
      </c>
      <c r="K565" s="73"/>
      <c r="L565" s="73"/>
      <c r="M565" s="73"/>
      <c r="N565" s="73"/>
      <c r="O565" s="109"/>
    </row>
    <row r="566" spans="1:15" x14ac:dyDescent="0.25">
      <c r="A566" s="26" t="s">
        <v>4</v>
      </c>
      <c r="B566" s="6" t="s">
        <v>5</v>
      </c>
      <c r="C566" s="6" t="s">
        <v>6</v>
      </c>
      <c r="D566" s="7">
        <v>1</v>
      </c>
      <c r="E566" s="7">
        <v>4</v>
      </c>
      <c r="F566" s="7">
        <v>16</v>
      </c>
      <c r="G566" s="7">
        <v>32</v>
      </c>
      <c r="H566" s="7">
        <v>64</v>
      </c>
      <c r="I566" s="7">
        <v>80</v>
      </c>
      <c r="J566" s="7">
        <v>1</v>
      </c>
      <c r="K566" s="7">
        <v>4</v>
      </c>
      <c r="L566" s="7">
        <v>16</v>
      </c>
      <c r="M566" s="7">
        <v>32</v>
      </c>
      <c r="N566" s="7">
        <v>64</v>
      </c>
      <c r="O566" s="27">
        <v>80</v>
      </c>
    </row>
    <row r="567" spans="1:15" x14ac:dyDescent="0.25">
      <c r="A567" s="28" t="s">
        <v>7</v>
      </c>
      <c r="B567" s="9" t="s">
        <v>8</v>
      </c>
      <c r="C567" s="9" t="s">
        <v>9</v>
      </c>
      <c r="D567" s="12">
        <f>IF(D557="","",(D557-'2017'!D488)/'2017'!D488)</f>
        <v>-3.6929911840248048E-2</v>
      </c>
      <c r="E567" s="12">
        <f>IF(E557="","",(E557-'2017'!E488)/'2017'!E488)</f>
        <v>-8.1338010268923802E-3</v>
      </c>
      <c r="F567" s="12">
        <f>IF(F557="","",(F557-'2017'!F488)/'2017'!F488)</f>
        <v>-1.0268697586856067E-3</v>
      </c>
      <c r="G567" s="12" t="str">
        <f>IF(G557="","",(G557-#REF!)/#REF!)</f>
        <v/>
      </c>
      <c r="H567" s="12" t="str">
        <f>IF(H557="","",(H557-#REF!)/#REF!)</f>
        <v/>
      </c>
      <c r="I567" s="12" t="str">
        <f>IF(I557="","",(I557-#REF!)/#REF!)</f>
        <v/>
      </c>
      <c r="J567" s="11">
        <f>J557-'2015'!J587</f>
        <v>58.647586651809277</v>
      </c>
      <c r="K567" s="11">
        <f>K557-'2015'!K587</f>
        <v>51.253139254779356</v>
      </c>
      <c r="L567" s="11">
        <f>L557-'2015'!L587</f>
        <v>171.32088401576152</v>
      </c>
      <c r="M567" s="11" t="str">
        <f>IF(G567="","",M557-((1/Comparisons!#REF!)*1000000))</f>
        <v/>
      </c>
      <c r="N567" s="11" t="str">
        <f>IF(H567="","",N557-((1/Comparisons!#REF!)*1000000))</f>
        <v/>
      </c>
      <c r="O567" s="29" t="str">
        <f>IF(I567="","",O557-((1/Comparisons!#REF!)*1000000))</f>
        <v/>
      </c>
    </row>
    <row r="568" spans="1:15" x14ac:dyDescent="0.25">
      <c r="A568" s="28" t="s">
        <v>10</v>
      </c>
      <c r="B568" s="9" t="s">
        <v>8</v>
      </c>
      <c r="C568" s="9" t="s">
        <v>11</v>
      </c>
      <c r="D568" s="12">
        <f>IF(D558="","",(D558-'2017'!D489)/'2017'!D489)</f>
        <v>-1.8816894924617331E-2</v>
      </c>
      <c r="E568" s="12">
        <f>IF(E558="","",(E558-'2017'!E489)/'2017'!E489)</f>
        <v>-5.8314801087225102E-2</v>
      </c>
      <c r="F568" s="12">
        <f>IF(F558="","",(F558-'2017'!F489)/'2017'!F489)</f>
        <v>-2.9029029029029031E-2</v>
      </c>
      <c r="G568" s="12" t="str">
        <f>IF(G558="","",(G558-#REF!)/#REF!)</f>
        <v/>
      </c>
      <c r="H568" s="12" t="str">
        <f>IF(H558="","",(H558-#REF!)/#REF!)</f>
        <v/>
      </c>
      <c r="I568" s="12" t="str">
        <f>IF(I558="","",(I558-#REF!)/#REF!)</f>
        <v/>
      </c>
      <c r="J568" s="11" t="e">
        <f>J558-'2015'!J588</f>
        <v>#REF!</v>
      </c>
      <c r="K568" s="11">
        <f>K558-'2015'!K588</f>
        <v>87.466106883582611</v>
      </c>
      <c r="L568" s="11">
        <f>L558-'2015'!L588</f>
        <v>206.18556701030928</v>
      </c>
      <c r="M568" s="11" t="str">
        <f>IF(G568="","",M558-((1/Comparisons!#REF!)*1000000))</f>
        <v/>
      </c>
      <c r="N568" s="11" t="str">
        <f>IF(H568="","",N558-((1/Comparisons!#REF!)*1000000))</f>
        <v/>
      </c>
      <c r="O568" s="29" t="str">
        <f>IF(I568="","",O558-((1/Comparisons!#REF!)*1000000))</f>
        <v/>
      </c>
    </row>
    <row r="569" spans="1:15" x14ac:dyDescent="0.25">
      <c r="A569" s="30" t="s">
        <v>12</v>
      </c>
      <c r="B569" s="9" t="s">
        <v>13</v>
      </c>
      <c r="C569" s="9" t="s">
        <v>9</v>
      </c>
      <c r="D569" s="12">
        <f>IF(D559="","",(D559-'2017'!D490)/'2017'!D490)</f>
        <v>-8.0668938350370964E-2</v>
      </c>
      <c r="E569" s="12">
        <f>IF(E559="","",(E559-'2017'!E490)/'2017'!E490)</f>
        <v>-3.3932246759748566E-3</v>
      </c>
      <c r="F569" s="12">
        <f>IF(F559="","",(F559-'2017'!F490)/'2017'!F490)</f>
        <v>-3.2206119162640902E-3</v>
      </c>
      <c r="G569" s="12" t="str">
        <f>IF(G559="","",(G559-#REF!)/#REF!)</f>
        <v/>
      </c>
      <c r="H569" s="12" t="str">
        <f>IF(H559="","",(H559-#REF!)/#REF!)</f>
        <v/>
      </c>
      <c r="I569" s="12" t="str">
        <f>IF(I559="","",(I559-#REF!)/#REF!)</f>
        <v/>
      </c>
      <c r="J569" s="11">
        <f>J559-'2015'!J589</f>
        <v>26.287426723798006</v>
      </c>
      <c r="K569" s="11">
        <f>K559-'2015'!K589</f>
        <v>55.816030363920518</v>
      </c>
      <c r="L569" s="11">
        <f>L559-'2015'!L589</f>
        <v>179.50098725542992</v>
      </c>
      <c r="M569" s="11" t="str">
        <f>IF(G569="","",M559-((1/Comparisons!#REF!)*1000000))</f>
        <v/>
      </c>
      <c r="N569" s="11" t="str">
        <f>IF(H569="","",N559-((1/Comparisons!#REF!)*1000000))</f>
        <v/>
      </c>
      <c r="O569" s="29" t="str">
        <f>IF(I569="","",O559-((1/Comparisons!#REF!)*1000000))</f>
        <v/>
      </c>
    </row>
    <row r="570" spans="1:15" x14ac:dyDescent="0.25">
      <c r="A570" s="30" t="s">
        <v>14</v>
      </c>
      <c r="B570" s="9" t="s">
        <v>13</v>
      </c>
      <c r="C570" s="9" t="s">
        <v>11</v>
      </c>
      <c r="D570" s="12">
        <f>IF(D560="","",(D560-'2017'!D491)/'2017'!D491)</f>
        <v>7.2631578947368422E-2</v>
      </c>
      <c r="E570" s="12">
        <f>IF(E560="","",(E560-'2017'!E491)/'2017'!E491)</f>
        <v>-4.9509250412577083E-3</v>
      </c>
      <c r="F570" s="12">
        <f>IF(F560="","",(F560-'2017'!F491)/'2017'!F491)</f>
        <v>-1.1326194398682043E-2</v>
      </c>
      <c r="G570" s="12" t="str">
        <f>IF(G560="","",(G560-#REF!)/#REF!)</f>
        <v/>
      </c>
      <c r="H570" s="12" t="str">
        <f>IF(H560="","",(H560-#REF!)/#REF!)</f>
        <v/>
      </c>
      <c r="I570" s="12" t="str">
        <f>IF(I560="","",(I560-#REF!)/#REF!)</f>
        <v/>
      </c>
      <c r="J570" s="11">
        <f>J560-'2015'!J590</f>
        <v>76.086129498592413</v>
      </c>
      <c r="K570" s="11">
        <f>K560-'2015'!K590</f>
        <v>87.290502793296099</v>
      </c>
      <c r="L570" s="11">
        <f>L560-'2015'!L590</f>
        <v>208.28993959591753</v>
      </c>
      <c r="M570" s="11" t="str">
        <f>IF(G570="","",M560-((1/Comparisons!#REF!)*1000000))</f>
        <v/>
      </c>
      <c r="N570" s="11" t="str">
        <f>IF(H570="","",N560-((1/Comparisons!#REF!)*1000000))</f>
        <v/>
      </c>
      <c r="O570" s="29" t="str">
        <f>IF(I570="","",O560-((1/Comparisons!#REF!)*1000000))</f>
        <v/>
      </c>
    </row>
    <row r="571" spans="1:15" x14ac:dyDescent="0.25">
      <c r="A571" s="30" t="s">
        <v>15</v>
      </c>
      <c r="B571" s="9" t="s">
        <v>16</v>
      </c>
      <c r="C571" s="9" t="s">
        <v>11</v>
      </c>
      <c r="D571" s="12">
        <f>IF(D561="","",(D561-'2017'!D492)/'2017'!D492)</f>
        <v>-9.2459605026929986E-2</v>
      </c>
      <c r="E571" s="12">
        <f>IF(E561="","",(E561-'2017'!E492)/'2017'!E492)</f>
        <v>-7.0761904761904762E-2</v>
      </c>
      <c r="F571" s="12">
        <f>IF(F561="","",(F561-'2017'!F492)/'2017'!F492)</f>
        <v>5.0240736864140675E-3</v>
      </c>
      <c r="G571" s="12" t="str">
        <f>IF(G561="","",(G561-#REF!)/#REF!)</f>
        <v/>
      </c>
      <c r="H571" s="12" t="str">
        <f>IF(H561="","",(H561-#REF!)/#REF!)</f>
        <v/>
      </c>
      <c r="I571" s="12" t="str">
        <f>IF(I561="","",(I561-#REF!)/#REF!)</f>
        <v/>
      </c>
      <c r="J571" s="11" t="e">
        <f>J561-'2015'!J591</f>
        <v>#REF!</v>
      </c>
      <c r="K571" s="11">
        <f>K561-'2015'!K591</f>
        <v>102.49051962693451</v>
      </c>
      <c r="L571" s="11">
        <f>L561-'2015'!L591</f>
        <v>208.28993959591753</v>
      </c>
      <c r="M571" s="11" t="str">
        <f>IF(G571="","",M561-((1/Comparisons!#REF!)*1000000))</f>
        <v/>
      </c>
      <c r="N571" s="11" t="str">
        <f>IF(H571="","",N561-((1/Comparisons!#REF!)*1000000))</f>
        <v/>
      </c>
      <c r="O571" s="29" t="str">
        <f>IF(I571="","",O561-((1/Comparisons!#REF!)*1000000))</f>
        <v/>
      </c>
    </row>
    <row r="572" spans="1:15" ht="15.75" thickBot="1" x14ac:dyDescent="0.3">
      <c r="A572" s="32" t="s">
        <v>17</v>
      </c>
      <c r="B572" s="33" t="s">
        <v>18</v>
      </c>
      <c r="C572" s="34" t="s">
        <v>11</v>
      </c>
      <c r="D572" s="12">
        <f>IF(D562="","",(D562-'2017'!D493)/'2017'!D493)</f>
        <v>8.4920817075969698E-2</v>
      </c>
      <c r="E572" s="12">
        <f>IF(E562="","",(E562-'2017'!E493)/'2017'!E493)</f>
        <v>3.4701028597264608E-2</v>
      </c>
      <c r="F572" s="12">
        <f>IF(F562="","",(F562-'2017'!F493)/'2017'!F493)</f>
        <v>-6.7674261222648319E-4</v>
      </c>
      <c r="G572" s="35" t="str">
        <f>IF(G562="","",(G562-#REF!)/#REF!)</f>
        <v/>
      </c>
      <c r="H572" s="35" t="str">
        <f>IF(H562="","",(H562-#REF!)/#REF!)</f>
        <v/>
      </c>
      <c r="I572" s="35" t="str">
        <f>IF(I562="","",(I562-#REF!)/#REF!)</f>
        <v/>
      </c>
      <c r="J572" s="36">
        <f>J562-'2015'!J592</f>
        <v>70.516888794866375</v>
      </c>
      <c r="K572" s="36">
        <f>K562-'2015'!K592</f>
        <v>109.24186148131963</v>
      </c>
      <c r="L572" s="36">
        <f>L562-'2015'!L592</f>
        <v>225.73363431151239</v>
      </c>
      <c r="M572" s="36" t="str">
        <f>IF(G572="","",M562-((1/Comparisons!#REF!)*1000000))</f>
        <v/>
      </c>
      <c r="N572" s="36" t="str">
        <f>IF(H572="","",N562-((1/Comparisons!#REF!)*1000000))</f>
        <v/>
      </c>
      <c r="O572" s="37" t="str">
        <f>IF(I572="","",O562-((1/Comparisons!#REF!)*1000000))</f>
        <v/>
      </c>
    </row>
  </sheetData>
  <mergeCells count="324">
    <mergeCell ref="A545:C545"/>
    <mergeCell ref="D545:I545"/>
    <mergeCell ref="J545:O545"/>
    <mergeCell ref="A533:O533"/>
    <mergeCell ref="A534:O534"/>
    <mergeCell ref="A535:C535"/>
    <mergeCell ref="D535:I535"/>
    <mergeCell ref="J535:O535"/>
    <mergeCell ref="A543:D543"/>
    <mergeCell ref="E543:G543"/>
    <mergeCell ref="H543:I543"/>
    <mergeCell ref="A544:O544"/>
    <mergeCell ref="A496:C496"/>
    <mergeCell ref="D496:I496"/>
    <mergeCell ref="J496:O496"/>
    <mergeCell ref="A504:O504"/>
    <mergeCell ref="A505:C505"/>
    <mergeCell ref="D505:I505"/>
    <mergeCell ref="J505:O505"/>
    <mergeCell ref="A484:O484"/>
    <mergeCell ref="A485:O485"/>
    <mergeCell ref="A486:C486"/>
    <mergeCell ref="D486:I486"/>
    <mergeCell ref="J486:O486"/>
    <mergeCell ref="A494:D494"/>
    <mergeCell ref="E494:G494"/>
    <mergeCell ref="H494:I494"/>
    <mergeCell ref="A495:O495"/>
    <mergeCell ref="A409:C409"/>
    <mergeCell ref="D409:I409"/>
    <mergeCell ref="J409:O409"/>
    <mergeCell ref="A417:O417"/>
    <mergeCell ref="A418:C418"/>
    <mergeCell ref="D418:I418"/>
    <mergeCell ref="J418:O418"/>
    <mergeCell ref="A397:O397"/>
    <mergeCell ref="A398:O398"/>
    <mergeCell ref="A399:C399"/>
    <mergeCell ref="D399:I399"/>
    <mergeCell ref="J399:O399"/>
    <mergeCell ref="A407:D407"/>
    <mergeCell ref="E407:G407"/>
    <mergeCell ref="H407:I407"/>
    <mergeCell ref="A408:O408"/>
    <mergeCell ref="A351:C351"/>
    <mergeCell ref="D351:I351"/>
    <mergeCell ref="J351:O351"/>
    <mergeCell ref="A359:O359"/>
    <mergeCell ref="A360:C360"/>
    <mergeCell ref="D360:I360"/>
    <mergeCell ref="J360:O360"/>
    <mergeCell ref="A339:O339"/>
    <mergeCell ref="A340:O340"/>
    <mergeCell ref="A341:C341"/>
    <mergeCell ref="D341:I341"/>
    <mergeCell ref="J341:O341"/>
    <mergeCell ref="A349:D349"/>
    <mergeCell ref="E349:G349"/>
    <mergeCell ref="H349:I349"/>
    <mergeCell ref="A350:O350"/>
    <mergeCell ref="A330:O330"/>
    <mergeCell ref="A331:C331"/>
    <mergeCell ref="D331:I331"/>
    <mergeCell ref="J331:O331"/>
    <mergeCell ref="A322:C322"/>
    <mergeCell ref="D322:I322"/>
    <mergeCell ref="J322:O322"/>
    <mergeCell ref="A310:O310"/>
    <mergeCell ref="A311:O311"/>
    <mergeCell ref="A312:C312"/>
    <mergeCell ref="D312:I312"/>
    <mergeCell ref="J312:O312"/>
    <mergeCell ref="A320:D320"/>
    <mergeCell ref="E320:G320"/>
    <mergeCell ref="H320:I320"/>
    <mergeCell ref="A321:O321"/>
    <mergeCell ref="A262:C262"/>
    <mergeCell ref="D262:I262"/>
    <mergeCell ref="J262:O262"/>
    <mergeCell ref="A250:O250"/>
    <mergeCell ref="A251:O251"/>
    <mergeCell ref="A252:C252"/>
    <mergeCell ref="D252:I252"/>
    <mergeCell ref="J252:O252"/>
    <mergeCell ref="A260:D260"/>
    <mergeCell ref="E260:G260"/>
    <mergeCell ref="H260:I260"/>
    <mergeCell ref="A261:O261"/>
    <mergeCell ref="A222:C222"/>
    <mergeCell ref="D222:I222"/>
    <mergeCell ref="J222:O222"/>
    <mergeCell ref="A210:O210"/>
    <mergeCell ref="A211:O211"/>
    <mergeCell ref="A212:C212"/>
    <mergeCell ref="D212:I212"/>
    <mergeCell ref="J212:O212"/>
    <mergeCell ref="A220:D220"/>
    <mergeCell ref="E220:G220"/>
    <mergeCell ref="H220:I220"/>
    <mergeCell ref="A221:O221"/>
    <mergeCell ref="A158:D158"/>
    <mergeCell ref="E158:G158"/>
    <mergeCell ref="H158:I158"/>
    <mergeCell ref="A159:O159"/>
    <mergeCell ref="A160:C160"/>
    <mergeCell ref="D160:I160"/>
    <mergeCell ref="J160:O160"/>
    <mergeCell ref="A138:O138"/>
    <mergeCell ref="A139:C139"/>
    <mergeCell ref="D139:I139"/>
    <mergeCell ref="J139:O139"/>
    <mergeCell ref="A148:O148"/>
    <mergeCell ref="A149:O149"/>
    <mergeCell ref="A150:C150"/>
    <mergeCell ref="D150:I150"/>
    <mergeCell ref="J150:O150"/>
    <mergeCell ref="A118:C118"/>
    <mergeCell ref="D118:I118"/>
    <mergeCell ref="J118:O118"/>
    <mergeCell ref="A127:O127"/>
    <mergeCell ref="A128:O128"/>
    <mergeCell ref="A129:C129"/>
    <mergeCell ref="D129:I129"/>
    <mergeCell ref="J129:O129"/>
    <mergeCell ref="A137:D137"/>
    <mergeCell ref="E137:G137"/>
    <mergeCell ref="H137:I137"/>
    <mergeCell ref="A106:O106"/>
    <mergeCell ref="A107:O107"/>
    <mergeCell ref="A108:C108"/>
    <mergeCell ref="D108:I108"/>
    <mergeCell ref="J108:O108"/>
    <mergeCell ref="A116:D116"/>
    <mergeCell ref="E116:G116"/>
    <mergeCell ref="H116:I116"/>
    <mergeCell ref="A117:O117"/>
    <mergeCell ref="A85:O85"/>
    <mergeCell ref="A86:O86"/>
    <mergeCell ref="A87:C87"/>
    <mergeCell ref="D87:I87"/>
    <mergeCell ref="J87:O87"/>
    <mergeCell ref="A95:D95"/>
    <mergeCell ref="A96:O96"/>
    <mergeCell ref="A97:C97"/>
    <mergeCell ref="D97:I97"/>
    <mergeCell ref="J97:O97"/>
    <mergeCell ref="E95:G95"/>
    <mergeCell ref="H95:I95"/>
    <mergeCell ref="A43:O43"/>
    <mergeCell ref="A44:O44"/>
    <mergeCell ref="A45:C45"/>
    <mergeCell ref="D45:I45"/>
    <mergeCell ref="J45:O45"/>
    <mergeCell ref="A53:D53"/>
    <mergeCell ref="E53:O53"/>
    <mergeCell ref="A54:O54"/>
    <mergeCell ref="A55:C55"/>
    <mergeCell ref="D55:I55"/>
    <mergeCell ref="J55:O55"/>
    <mergeCell ref="A33:O33"/>
    <mergeCell ref="A34:C34"/>
    <mergeCell ref="D34:I34"/>
    <mergeCell ref="J34:O34"/>
    <mergeCell ref="A23:O23"/>
    <mergeCell ref="A24:C24"/>
    <mergeCell ref="D24:I24"/>
    <mergeCell ref="J24:O24"/>
    <mergeCell ref="A32:D32"/>
    <mergeCell ref="E32:O32"/>
    <mergeCell ref="A22:O22"/>
    <mergeCell ref="A11:D11"/>
    <mergeCell ref="E11:O11"/>
    <mergeCell ref="A12:O12"/>
    <mergeCell ref="A13:C13"/>
    <mergeCell ref="D13:I13"/>
    <mergeCell ref="J13:O13"/>
    <mergeCell ref="A1:O1"/>
    <mergeCell ref="A2:O2"/>
    <mergeCell ref="A3:C3"/>
    <mergeCell ref="D3:I3"/>
    <mergeCell ref="J3:O3"/>
    <mergeCell ref="A74:D74"/>
    <mergeCell ref="E74:O74"/>
    <mergeCell ref="A75:O75"/>
    <mergeCell ref="A76:C76"/>
    <mergeCell ref="D76:I76"/>
    <mergeCell ref="J76:O76"/>
    <mergeCell ref="A64:O64"/>
    <mergeCell ref="A65:O65"/>
    <mergeCell ref="A66:C66"/>
    <mergeCell ref="D66:I66"/>
    <mergeCell ref="J66:O66"/>
    <mergeCell ref="A179:D179"/>
    <mergeCell ref="E179:G179"/>
    <mergeCell ref="H179:I179"/>
    <mergeCell ref="A180:O180"/>
    <mergeCell ref="A181:C181"/>
    <mergeCell ref="D181:I181"/>
    <mergeCell ref="J181:O181"/>
    <mergeCell ref="A169:O169"/>
    <mergeCell ref="A170:O170"/>
    <mergeCell ref="A171:C171"/>
    <mergeCell ref="D171:I171"/>
    <mergeCell ref="J171:O171"/>
    <mergeCell ref="A202:C202"/>
    <mergeCell ref="D202:I202"/>
    <mergeCell ref="J202:O202"/>
    <mergeCell ref="A190:O190"/>
    <mergeCell ref="A191:O191"/>
    <mergeCell ref="A192:C192"/>
    <mergeCell ref="D192:I192"/>
    <mergeCell ref="J192:O192"/>
    <mergeCell ref="A200:D200"/>
    <mergeCell ref="E200:G200"/>
    <mergeCell ref="H200:I200"/>
    <mergeCell ref="A201:O201"/>
    <mergeCell ref="A242:C242"/>
    <mergeCell ref="D242:I242"/>
    <mergeCell ref="J242:O242"/>
    <mergeCell ref="A230:O230"/>
    <mergeCell ref="A231:O231"/>
    <mergeCell ref="A232:C232"/>
    <mergeCell ref="D232:I232"/>
    <mergeCell ref="J232:O232"/>
    <mergeCell ref="A240:D240"/>
    <mergeCell ref="E240:G240"/>
    <mergeCell ref="H240:I240"/>
    <mergeCell ref="A241:O241"/>
    <mergeCell ref="A282:C282"/>
    <mergeCell ref="D282:I282"/>
    <mergeCell ref="J282:O282"/>
    <mergeCell ref="A270:O270"/>
    <mergeCell ref="A271:O271"/>
    <mergeCell ref="A272:C272"/>
    <mergeCell ref="D272:I272"/>
    <mergeCell ref="J272:O272"/>
    <mergeCell ref="A280:D280"/>
    <mergeCell ref="E280:G280"/>
    <mergeCell ref="H280:I280"/>
    <mergeCell ref="A281:O281"/>
    <mergeCell ref="A302:C302"/>
    <mergeCell ref="D302:I302"/>
    <mergeCell ref="J302:O302"/>
    <mergeCell ref="A290:O290"/>
    <mergeCell ref="A291:O291"/>
    <mergeCell ref="A292:C292"/>
    <mergeCell ref="D292:I292"/>
    <mergeCell ref="J292:O292"/>
    <mergeCell ref="A300:D300"/>
    <mergeCell ref="E300:G300"/>
    <mergeCell ref="H300:I300"/>
    <mergeCell ref="A301:O301"/>
    <mergeCell ref="A380:C380"/>
    <mergeCell ref="D380:I380"/>
    <mergeCell ref="J380:O380"/>
    <mergeCell ref="A388:O388"/>
    <mergeCell ref="A389:C389"/>
    <mergeCell ref="D389:I389"/>
    <mergeCell ref="J389:O389"/>
    <mergeCell ref="A368:O368"/>
    <mergeCell ref="A369:O369"/>
    <mergeCell ref="A370:C370"/>
    <mergeCell ref="D370:I370"/>
    <mergeCell ref="J370:O370"/>
    <mergeCell ref="A378:D378"/>
    <mergeCell ref="E378:G378"/>
    <mergeCell ref="H378:I378"/>
    <mergeCell ref="A379:O379"/>
    <mergeCell ref="A438:C438"/>
    <mergeCell ref="D438:I438"/>
    <mergeCell ref="J438:O438"/>
    <mergeCell ref="A446:O446"/>
    <mergeCell ref="A447:C447"/>
    <mergeCell ref="D447:I447"/>
    <mergeCell ref="J447:O447"/>
    <mergeCell ref="A426:O426"/>
    <mergeCell ref="A427:O427"/>
    <mergeCell ref="A428:C428"/>
    <mergeCell ref="D428:I428"/>
    <mergeCell ref="J428:O428"/>
    <mergeCell ref="A436:D436"/>
    <mergeCell ref="E436:G436"/>
    <mergeCell ref="H436:I436"/>
    <mergeCell ref="A437:O437"/>
    <mergeCell ref="A467:C467"/>
    <mergeCell ref="D467:I467"/>
    <mergeCell ref="J467:O467"/>
    <mergeCell ref="A475:O475"/>
    <mergeCell ref="A476:C476"/>
    <mergeCell ref="D476:I476"/>
    <mergeCell ref="J476:O476"/>
    <mergeCell ref="A455:O455"/>
    <mergeCell ref="A456:O456"/>
    <mergeCell ref="A457:C457"/>
    <mergeCell ref="D457:I457"/>
    <mergeCell ref="J457:O457"/>
    <mergeCell ref="A465:D465"/>
    <mergeCell ref="E465:G465"/>
    <mergeCell ref="H465:I465"/>
    <mergeCell ref="A466:O466"/>
    <mergeCell ref="A525:C525"/>
    <mergeCell ref="D525:I525"/>
    <mergeCell ref="J525:O525"/>
    <mergeCell ref="A513:O513"/>
    <mergeCell ref="A514:O514"/>
    <mergeCell ref="A515:C515"/>
    <mergeCell ref="D515:I515"/>
    <mergeCell ref="J515:O515"/>
    <mergeCell ref="A523:D523"/>
    <mergeCell ref="E523:G523"/>
    <mergeCell ref="H523:I523"/>
    <mergeCell ref="A524:O524"/>
    <mergeCell ref="A565:C565"/>
    <mergeCell ref="D565:I565"/>
    <mergeCell ref="J565:O565"/>
    <mergeCell ref="A553:O553"/>
    <mergeCell ref="A554:O554"/>
    <mergeCell ref="A555:C555"/>
    <mergeCell ref="D555:I555"/>
    <mergeCell ref="J555:O555"/>
    <mergeCell ref="A563:D563"/>
    <mergeCell ref="E563:G563"/>
    <mergeCell ref="H563:I563"/>
    <mergeCell ref="A564:O564"/>
  </mergeCells>
  <conditionalFormatting sqref="D15:I20">
    <cfRule type="colorScale" priority="5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I41">
    <cfRule type="colorScale" priority="5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I62">
    <cfRule type="colorScale" priority="5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I83">
    <cfRule type="colorScale" priority="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I104">
    <cfRule type="colorScale" priority="5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I125">
    <cfRule type="colorScale" priority="5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I146">
    <cfRule type="colorScale" priority="5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2:I167">
    <cfRule type="colorScale" priority="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83:I188">
    <cfRule type="colorScale" priority="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3:F188">
    <cfRule type="colorScale" priority="4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04:I209">
    <cfRule type="colorScale" priority="4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4:F209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24:I229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4:F229">
    <cfRule type="colorScale" priority="4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44:I249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4:F249">
    <cfRule type="colorScale" priority="4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64:I269">
    <cfRule type="colorScale" priority="4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4:F269">
    <cfRule type="colorScale" priority="3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84:I289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4:F289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04:I309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4:F309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24:I329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4:F329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34:I338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3:I333 D334:F338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53:I358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3:F358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63:I367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2:I362 D363:F367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82:I387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2:F387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92:I396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1:I391 D392:F396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11:I416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1:F416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21:I425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20:I420 D421:F425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40:I445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0:F445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50:I454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9:I449 D450:F454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69:I474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69:F474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79:I483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78:I478 D479:F483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98:I503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98:F503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08:I512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07:I507 D508:F512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27:I532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27:F532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47:I552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47:F552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67:I572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67:F572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display="9033_sp_online_int_reboots_16.0a12" xr:uid="{00000000-0004-0000-0400-000000000000}"/>
    <hyperlink ref="A11:D11" r:id="rId2" location="TSsummary" display="9033_sp_online_int_reboots_17.0d41" xr:uid="{00000000-0004-0000-0400-000001000000}"/>
    <hyperlink ref="A32" r:id="rId3" display="9033_sp_online_int_reboots_16.0a12" xr:uid="{00000000-0004-0000-0400-000002000000}"/>
    <hyperlink ref="A32:D32" r:id="rId4" location="TSsummary" display="9033_sp_online_int_reboots_17.0d65" xr:uid="{00000000-0004-0000-0400-000003000000}"/>
    <hyperlink ref="A53" r:id="rId5" display="9033_sp_online_int_reboots_16.0a12" xr:uid="{00000000-0004-0000-0400-000004000000}"/>
    <hyperlink ref="A53:D53" r:id="rId6" location="TSsummary" display="9033_sp_online_int_reboots_17.0d75" xr:uid="{00000000-0004-0000-0400-000005000000}"/>
    <hyperlink ref="A74" r:id="rId7" display="9033_sp_online_int_reboots_16.0a12" xr:uid="{00000000-0004-0000-0400-000006000000}"/>
    <hyperlink ref="A74:D74" r:id="rId8" location="TSsummary" display="9033_sp_online_int_reboots_17.0d80" xr:uid="{00000000-0004-0000-0400-000007000000}"/>
    <hyperlink ref="E74:O74" r:id="rId9" display="CAR : 607849" xr:uid="{00000000-0004-0000-0400-000008000000}"/>
    <hyperlink ref="E53:O53" r:id="rId10" display="CAR :607849" xr:uid="{00000000-0004-0000-0400-000009000000}"/>
    <hyperlink ref="A95" r:id="rId11" display="9033_sp_online_int_reboots_16.0a12" xr:uid="{00000000-0004-0000-0400-00000A000000}"/>
    <hyperlink ref="A95:D95" r:id="rId12" location="TSsummary" display="9033_sp_online_int_reboots_17.0d88" xr:uid="{00000000-0004-0000-0400-00000B000000}"/>
    <hyperlink ref="E95:G95" r:id="rId13" location="TSsummary" display="T2 Cases were run again" xr:uid="{00000000-0004-0000-0400-00000C000000}"/>
    <hyperlink ref="H95:I95" r:id="rId14" display="CAR : 607849" xr:uid="{00000000-0004-0000-0400-00000D000000}"/>
    <hyperlink ref="A116" r:id="rId15" display="9033_sp_online_int_reboots_16.0a12" xr:uid="{00000000-0004-0000-0400-00000E000000}"/>
    <hyperlink ref="A116:D116" r:id="rId16" location="Test_cRIO-Benchmark.lvproj%5CRT%20Target%5CAI-AO%5CTest_cRIO_AI-AO_01_INT.vi" display="Worst of 10 iterations 9033_sp_online_int_reboots_17.0d93" xr:uid="{00000000-0004-0000-0400-00000F000000}"/>
    <hyperlink ref="H116:I116" r:id="rId17" display="CAR : 607849" xr:uid="{00000000-0004-0000-0400-000010000000}"/>
    <hyperlink ref="A137" r:id="rId18" display="9033_sp_online_int_reboots_16.0a12" xr:uid="{00000000-0004-0000-0400-000011000000}"/>
    <hyperlink ref="A137:D137" r:id="rId19" location="Test_cRIO-Benchmark.lvproj%5CRT%20Target%5CAI-AO%5CTest_cRIO_AI-AO_01_INT.vi" display="Worst of 10 iterations 9033_sp_online_int_reboots_17.0a2" xr:uid="{00000000-0004-0000-0400-000012000000}"/>
    <hyperlink ref="H137:I137" r:id="rId20" display="CAR : 607849" xr:uid="{00000000-0004-0000-0400-000013000000}"/>
    <hyperlink ref="E137:G137" r:id="rId21" location="Test_cRIO-Benchmark.lvproj%5CRT%20Target%5CAI-AO-PID%5CTest_cRIO_AI-AO-PID_01_INT.vi" display="T2 Cases were run again" xr:uid="{00000000-0004-0000-0400-000014000000}"/>
    <hyperlink ref="A158" r:id="rId22" display="9033_sp_online_int_reboots_16.0a12" xr:uid="{00000000-0004-0000-0400-000015000000}"/>
    <hyperlink ref="A158:D158" r:id="rId23" display="Worst of 10 iterations 9033_sp_online_int_reboots_17.0a12" xr:uid="{00000000-0004-0000-0400-000016000000}"/>
    <hyperlink ref="H158:I158" r:id="rId24" display="CAR : 607849" xr:uid="{00000000-0004-0000-0400-000017000000}"/>
    <hyperlink ref="A179" r:id="rId25" display="9033_sp_online_int_reboots_16.0a12" xr:uid="{00000000-0004-0000-0400-000018000000}"/>
    <hyperlink ref="A179:D179" r:id="rId26" display="Worst of 10 iterations 9033_sp_online_int_reboots_17.0a17" xr:uid="{00000000-0004-0000-0400-000019000000}"/>
    <hyperlink ref="H179:I179" r:id="rId27" display="CAR : 607849" xr:uid="{00000000-0004-0000-0400-00001A000000}"/>
    <hyperlink ref="E179:G179" r:id="rId28" display="T2 Cases were run again" xr:uid="{00000000-0004-0000-0400-00001B000000}"/>
    <hyperlink ref="A200" r:id="rId29" display="9033_sp_online_int_reboots_16.0a12" xr:uid="{00000000-0004-0000-0400-00001C000000}"/>
    <hyperlink ref="A200:D200" r:id="rId30" location="TSsummary" display="Worst of 10 iterations 9033_sp_online_int_reboots_17.0a20 with nisdmon off" xr:uid="{00000000-0004-0000-0400-00001D000000}"/>
    <hyperlink ref="H200:I200" r:id="rId31" display="CAR : 607849" xr:uid="{00000000-0004-0000-0400-00001E000000}"/>
    <hyperlink ref="A220" r:id="rId32" display="9033_sp_online_int_reboots_16.0a12" xr:uid="{00000000-0004-0000-0400-00001F000000}"/>
    <hyperlink ref="A220:D220" r:id="rId33" location="TSsummary" display="Worst of 10 iterations 9033_sp_online_int_reboots_17.0a40" xr:uid="{00000000-0004-0000-0400-000020000000}"/>
    <hyperlink ref="A240" r:id="rId34" display="9033_sp_online_int_reboots_16.0a12" xr:uid="{00000000-0004-0000-0400-000021000000}"/>
    <hyperlink ref="A240:D240" r:id="rId35" display="Worst of 10 iterations 9033_sp_online_int_reboots_17.0a48" xr:uid="{00000000-0004-0000-0400-000022000000}"/>
    <hyperlink ref="A260" r:id="rId36" display="9033_sp_online_int_reboots_16.0a12" xr:uid="{00000000-0004-0000-0400-000023000000}"/>
    <hyperlink ref="A260:D260" r:id="rId37" location="Test_cRIO-Benchmark.lvproj%5CRT%20Target%5CAI-AO%5CTest_cRIO_AI-AO_01_INT.vi" display="Worst of 10 iterations 9033_sp_online_int_reboots_17.0b3" xr:uid="{00000000-0004-0000-0400-000024000000}"/>
    <hyperlink ref="A280" r:id="rId38" display="9033_sp_online_int_reboots_16.0a12" xr:uid="{00000000-0004-0000-0400-000025000000}"/>
    <hyperlink ref="A280:D280" r:id="rId39" display="Worst of 10 iterations 9033_sp_online_int_reboots_17.0b8" xr:uid="{00000000-0004-0000-0400-000026000000}"/>
    <hyperlink ref="A300" r:id="rId40" display="9033_sp_online_int_reboots_16.0a12" xr:uid="{00000000-0004-0000-0400-000027000000}"/>
    <hyperlink ref="A300:D300" r:id="rId41" display="Worst of 10 iterations 9033_sp_online_int_reboots_17.0b19" xr:uid="{00000000-0004-0000-0400-000028000000}"/>
    <hyperlink ref="A320" r:id="rId42" display="9033_sp_online_int_reboots_16.0a12" xr:uid="{00000000-0004-0000-0400-000029000000}"/>
    <hyperlink ref="A320:D320" r:id="rId43" display="Worst of 10 iterations 9033_sp_online_int_reboots_17.0b19" xr:uid="{00000000-0004-0000-0400-00002A000000}"/>
    <hyperlink ref="A349" r:id="rId44" display="9033_sp_online_int_reboots_16.0a12" xr:uid="{00000000-0004-0000-0400-00002B000000}"/>
    <hyperlink ref="A349:D349" r:id="rId45" display="Worst of 10 iterations 9033_sp_online_int_reboots_17.0b23" xr:uid="{00000000-0004-0000-0400-00002C000000}"/>
    <hyperlink ref="A378" r:id="rId46" display="9033_sp_online_int_reboots_16.0a12" xr:uid="{00000000-0004-0000-0400-00002D000000}"/>
    <hyperlink ref="A378:D378" r:id="rId47" display="Worst of 10 iterations 9033_sp_online_int_reboots_17.0b23" xr:uid="{00000000-0004-0000-0400-00002E000000}"/>
    <hyperlink ref="A407" r:id="rId48" display="9033_sp_online_int_reboots_16.0a12" xr:uid="{00000000-0004-0000-0400-00002F000000}"/>
    <hyperlink ref="A407:D407" r:id="rId49" display="Worst of 10 iterations 9033_sp_online_int_reboots_17.0b35" xr:uid="{00000000-0004-0000-0400-000030000000}"/>
    <hyperlink ref="A436" r:id="rId50" display="9033_sp_online_int_reboots_16.0a12" xr:uid="{00000000-0004-0000-0400-000031000000}"/>
    <hyperlink ref="A436:D436" r:id="rId51" display="Worst of 10 iterations 9033_sp_online_int_reboots_17.0b40" xr:uid="{00000000-0004-0000-0400-000032000000}"/>
    <hyperlink ref="A465" r:id="rId52" display="9033_sp_online_int_reboots_16.0a12" xr:uid="{00000000-0004-0000-0400-000033000000}"/>
    <hyperlink ref="A465:D465" r:id="rId53" display="Worst of 10 iterations 9033_sp_online_int_reboots_17.0rc0" xr:uid="{00000000-0004-0000-0400-000034000000}"/>
    <hyperlink ref="A494" r:id="rId54" display="9033_sp_online_int_reboots_16.0a12" xr:uid="{00000000-0004-0000-0400-000035000000}"/>
    <hyperlink ref="A494:D494" r:id="rId55" display="Worst of 10 iterations 9033_sp_online_int_reboots_17.0" xr:uid="{00000000-0004-0000-0400-000036000000}"/>
    <hyperlink ref="A523" r:id="rId56" display="9033_sp_online_int_reboots_16.0a12" xr:uid="{01A720F4-C485-4E75-BC67-24596DD6E757}"/>
    <hyperlink ref="A523:D523" r:id="rId57" location="Test_cRIO-Benchmark.lvproj%255CRT%2520Target%255CAI-AO%255CTest_cRIO_AI-AO_01_INT.vi" display="Worst of 10 iterations 9033_sp_online_int_reboots_17.0" xr:uid="{4C4FCF83-9194-4E99-8B0C-26EB2A35E8D4}"/>
    <hyperlink ref="A543" r:id="rId58" display="9033_sp_online_int_reboots_16.0a12" xr:uid="{A4AD713F-0D29-41D8-B505-1887EC30FDB5}"/>
    <hyperlink ref="A543:D543" r:id="rId59" location="Test_cRIO-Benchmark.lvproj%5CRT%20Target%5CAI-AO%5CTest_cRIO_AI-AO_01_INT.vi" display="Worst of 10 iterations 9033_sp_online_int_reboots_17.0.1b10" xr:uid="{B921A709-3AEE-41AD-B820-B0D8E8838673}"/>
    <hyperlink ref="A563" r:id="rId60" display="9033_sp_online_int_reboots_16.0a12" xr:uid="{70354B5A-674F-45FC-8F80-EFDE57B87A86}"/>
    <hyperlink ref="A563:D563" r:id="rId61" location="TSsummary" display="Worst of 10 iterations 9033_sp_online_int_reboots_17.0.1" xr:uid="{0CF77CEE-1534-4599-AF63-7C5119838116}"/>
  </hyperlinks>
  <pageMargins left="0.7" right="0.7" top="0.75" bottom="0.75" header="0.3" footer="0.3"/>
  <pageSetup paperSize="9" orientation="portrait" r:id="rId6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0"/>
  <sheetViews>
    <sheetView topLeftCell="A37" workbookViewId="0">
      <selection activeCell="D47" sqref="D47"/>
    </sheetView>
  </sheetViews>
  <sheetFormatPr defaultRowHeight="15" x14ac:dyDescent="0.25"/>
  <sheetData>
    <row r="1" spans="1:15" ht="18.75" x14ac:dyDescent="0.25">
      <c r="A1" s="77" t="s">
        <v>93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84"/>
    </row>
    <row r="2" spans="1:15" ht="15.75" x14ac:dyDescent="0.25">
      <c r="A2" s="79" t="s">
        <v>104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92"/>
    </row>
    <row r="3" spans="1:15" x14ac:dyDescent="0.25">
      <c r="A3" s="87" t="s">
        <v>1</v>
      </c>
      <c r="B3" s="88"/>
      <c r="C3" s="89"/>
      <c r="D3" s="105" t="s">
        <v>2</v>
      </c>
      <c r="E3" s="106"/>
      <c r="F3" s="106"/>
      <c r="G3" s="106"/>
      <c r="H3" s="106"/>
      <c r="I3" s="107"/>
      <c r="J3" s="105" t="s">
        <v>3</v>
      </c>
      <c r="K3" s="106"/>
      <c r="L3" s="106"/>
      <c r="M3" s="106"/>
      <c r="N3" s="106"/>
      <c r="O3" s="107"/>
    </row>
    <row r="4" spans="1:15" x14ac:dyDescent="0.25">
      <c r="A4" s="6" t="s">
        <v>26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24">
        <v>35555</v>
      </c>
      <c r="E5" s="24">
        <v>18154</v>
      </c>
      <c r="F5" s="24">
        <v>5837</v>
      </c>
      <c r="G5" s="10"/>
      <c r="H5" s="10"/>
      <c r="I5" s="10"/>
      <c r="J5" s="11">
        <f t="shared" ref="J5:O10" si="0">IF(D5="","",(1/D5)*1000000)</f>
        <v>28.125439459991561</v>
      </c>
      <c r="K5" s="11">
        <f t="shared" si="0"/>
        <v>55.084278946788586</v>
      </c>
      <c r="L5" s="11">
        <f t="shared" si="0"/>
        <v>171.32088401576152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10</v>
      </c>
      <c r="B6" s="9" t="s">
        <v>8</v>
      </c>
      <c r="C6" s="9" t="s">
        <v>11</v>
      </c>
      <c r="D6" s="24">
        <v>13772</v>
      </c>
      <c r="E6" s="24">
        <v>10451</v>
      </c>
      <c r="F6" s="24">
        <v>4697</v>
      </c>
      <c r="G6" s="10"/>
      <c r="H6" s="10"/>
      <c r="I6" s="10"/>
      <c r="J6" s="11">
        <f t="shared" si="0"/>
        <v>72.611094975312227</v>
      </c>
      <c r="K6" s="11">
        <f t="shared" si="0"/>
        <v>95.684623481006597</v>
      </c>
      <c r="L6" s="11">
        <f t="shared" si="0"/>
        <v>212.90185224611454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12</v>
      </c>
      <c r="B7" s="9" t="s">
        <v>13</v>
      </c>
      <c r="C7" s="9" t="s">
        <v>9</v>
      </c>
      <c r="D7" s="24">
        <v>31701</v>
      </c>
      <c r="E7" s="24">
        <v>17058</v>
      </c>
      <c r="F7" s="24">
        <v>5589</v>
      </c>
      <c r="G7" s="10"/>
      <c r="H7" s="10"/>
      <c r="I7" s="10"/>
      <c r="J7" s="11">
        <f t="shared" si="0"/>
        <v>31.544746222516643</v>
      </c>
      <c r="K7" s="11">
        <f t="shared" si="0"/>
        <v>58.623519756126157</v>
      </c>
      <c r="L7" s="11">
        <f t="shared" si="0"/>
        <v>178.92288423689388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14</v>
      </c>
      <c r="B8" s="9" t="s">
        <v>13</v>
      </c>
      <c r="C8" s="9" t="s">
        <v>11</v>
      </c>
      <c r="D8" s="24">
        <v>14839</v>
      </c>
      <c r="E8" s="24">
        <v>10100</v>
      </c>
      <c r="F8" s="24">
        <v>4481</v>
      </c>
      <c r="G8" s="10"/>
      <c r="H8" s="10"/>
      <c r="I8" s="10"/>
      <c r="J8" s="11">
        <f t="shared" si="0"/>
        <v>67.389985848102967</v>
      </c>
      <c r="K8" s="11">
        <f t="shared" si="0"/>
        <v>99.009900990099013</v>
      </c>
      <c r="L8" s="11">
        <f t="shared" si="0"/>
        <v>223.1644722160232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15</v>
      </c>
      <c r="B9" s="9" t="s">
        <v>16</v>
      </c>
      <c r="C9" s="9" t="s">
        <v>11</v>
      </c>
      <c r="D9" s="24">
        <v>11534</v>
      </c>
      <c r="E9" s="24" t="s">
        <v>99</v>
      </c>
      <c r="F9" s="24" t="s">
        <v>99</v>
      </c>
      <c r="G9" s="10"/>
      <c r="H9" s="10"/>
      <c r="I9" s="10"/>
      <c r="J9" s="11">
        <f t="shared" si="0"/>
        <v>86.700190740419629</v>
      </c>
      <c r="K9" s="11" t="e">
        <f t="shared" si="0"/>
        <v>#VALUE!</v>
      </c>
      <c r="L9" s="11" t="e">
        <f t="shared" si="0"/>
        <v>#VALUE!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17</v>
      </c>
      <c r="B10" s="8" t="s">
        <v>18</v>
      </c>
      <c r="C10" s="9" t="s">
        <v>11</v>
      </c>
      <c r="D10" s="24">
        <v>11477</v>
      </c>
      <c r="E10" s="24" t="s">
        <v>99</v>
      </c>
      <c r="F10" s="24" t="s">
        <v>99</v>
      </c>
      <c r="G10" s="10"/>
      <c r="H10" s="10"/>
      <c r="I10" s="10"/>
      <c r="J10" s="11">
        <f t="shared" si="0"/>
        <v>87.130783305741915</v>
      </c>
      <c r="K10" s="11" t="e">
        <f t="shared" si="0"/>
        <v>#VALUE!</v>
      </c>
      <c r="L10" s="11" t="e">
        <f t="shared" si="0"/>
        <v>#VALUE!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102" t="s">
        <v>108</v>
      </c>
      <c r="B11" s="102"/>
      <c r="C11" s="102"/>
      <c r="D11" s="102"/>
      <c r="E11" s="104" t="s">
        <v>105</v>
      </c>
      <c r="F11" s="104"/>
      <c r="G11" s="104"/>
      <c r="H11" s="104" t="s">
        <v>106</v>
      </c>
      <c r="I11" s="104"/>
      <c r="J11" s="23"/>
      <c r="K11" s="23"/>
      <c r="L11" s="23"/>
      <c r="M11" s="23"/>
      <c r="N11" s="23"/>
      <c r="O11" s="23"/>
    </row>
    <row r="12" spans="1:15" ht="18.75" x14ac:dyDescent="0.3">
      <c r="A12" s="75" t="s">
        <v>95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3"/>
    </row>
    <row r="13" spans="1:15" x14ac:dyDescent="0.25">
      <c r="A13" s="87" t="s">
        <v>1</v>
      </c>
      <c r="B13" s="88"/>
      <c r="C13" s="89"/>
      <c r="D13" s="105" t="s">
        <v>19</v>
      </c>
      <c r="E13" s="106"/>
      <c r="F13" s="106"/>
      <c r="G13" s="106"/>
      <c r="H13" s="106"/>
      <c r="I13" s="107"/>
      <c r="J13" s="105" t="s">
        <v>22</v>
      </c>
      <c r="K13" s="106"/>
      <c r="L13" s="106"/>
      <c r="M13" s="106"/>
      <c r="N13" s="106"/>
      <c r="O13" s="107"/>
    </row>
    <row r="14" spans="1:15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7</v>
      </c>
      <c r="B15" s="9" t="s">
        <v>8</v>
      </c>
      <c r="C15" s="9" t="s">
        <v>9</v>
      </c>
      <c r="D15" s="12">
        <f>IF(D5="","",(D5-'2016'!D5)/'2016'!D5)</f>
        <v>-0.20660954166108805</v>
      </c>
      <c r="E15" s="12">
        <f>IF(E5="","",(E5-'2016'!E5)/'2016'!E5)</f>
        <v>-9.6546232706280488E-2</v>
      </c>
      <c r="F15" s="12">
        <f>IF(F5="","",(F5-'2016'!F5)/'2016'!F5)</f>
        <v>-1.0268697586856067E-3</v>
      </c>
      <c r="G15" s="12" t="str">
        <f>IF(G5="","",(G5-#REF!)/#REF!)</f>
        <v/>
      </c>
      <c r="H15" s="12" t="str">
        <f>IF(H5="","",(H5-#REF!)/#REF!)</f>
        <v/>
      </c>
      <c r="I15" s="12" t="str">
        <f>IF(I5="","",(I5-#REF!)/#REF!)</f>
        <v/>
      </c>
      <c r="J15" s="11">
        <f>J5-'2015'!J35</f>
        <v>4.6875732433319257</v>
      </c>
      <c r="K15" s="11">
        <f>K5-'2015'!K35</f>
        <v>31.832250207281064</v>
      </c>
      <c r="L15" s="11">
        <f>L5-'2015'!L35</f>
        <v>122.87361886387934</v>
      </c>
      <c r="M15" s="11" t="str">
        <f>IF(G15="","",M5-((1/Comparisons!#REF!)*1000000))</f>
        <v/>
      </c>
      <c r="N15" s="11" t="str">
        <f>IF(H15="","",N5-((1/Comparisons!#REF!)*1000000))</f>
        <v/>
      </c>
      <c r="O15" s="11" t="str">
        <f>IF(I15="","",O5-((1/Comparisons!#REF!)*1000000))</f>
        <v/>
      </c>
    </row>
    <row r="16" spans="1:15" x14ac:dyDescent="0.25">
      <c r="A16" s="8" t="s">
        <v>10</v>
      </c>
      <c r="B16" s="9" t="s">
        <v>8</v>
      </c>
      <c r="C16" s="9" t="s">
        <v>11</v>
      </c>
      <c r="D16" s="12">
        <f>IF(D6="","",(D6-'2016'!D6)/'2016'!D6)</f>
        <v>-7.6572348129274506E-2</v>
      </c>
      <c r="E16" s="12">
        <f>IF(E6="","",(E6-'2016'!E6)/'2016'!E6)</f>
        <v>-3.5173559822747412E-2</v>
      </c>
      <c r="F16" s="12">
        <f>IF(F6="","",(F6-'2016'!F6)/'2016'!F6)</f>
        <v>-1.6746912288046891E-2</v>
      </c>
      <c r="G16" s="12" t="str">
        <f>IF(G6="","",(G6-#REF!)/#REF!)</f>
        <v/>
      </c>
      <c r="H16" s="12" t="str">
        <f>IF(H6="","",(H6-#REF!)/#REF!)</f>
        <v/>
      </c>
      <c r="I16" s="12" t="str">
        <f>IF(I6="","",(I6-#REF!)/#REF!)</f>
        <v/>
      </c>
      <c r="J16" s="11">
        <f>J6-'2015'!J36</f>
        <v>11.163386974820646</v>
      </c>
      <c r="K16" s="11">
        <f>K6-'2015'!K36</f>
        <v>30.273843784512607</v>
      </c>
      <c r="L16" s="11">
        <f>L6-'2015'!L36</f>
        <v>131.01518339580338</v>
      </c>
      <c r="M16" s="11" t="str">
        <f>IF(G16="","",M6-((1/Comparisons!#REF!)*1000000))</f>
        <v/>
      </c>
      <c r="N16" s="11" t="str">
        <f>IF(H16="","",N6-((1/Comparisons!#REF!)*1000000))</f>
        <v/>
      </c>
      <c r="O16" s="11" t="str">
        <f>IF(I16="","",O6-((1/Comparisons!#REF!)*1000000))</f>
        <v/>
      </c>
    </row>
    <row r="17" spans="1:15" x14ac:dyDescent="0.25">
      <c r="A17" s="9" t="s">
        <v>12</v>
      </c>
      <c r="B17" s="9" t="s">
        <v>13</v>
      </c>
      <c r="C17" s="9" t="s">
        <v>9</v>
      </c>
      <c r="D17" s="12">
        <f>IF(D7="","",(D7-'2016'!D7)/'2016'!D7)</f>
        <v>-0.27011719199686873</v>
      </c>
      <c r="E17" s="12">
        <f>IF(E7="","",(E7-'2016'!E7)/'2016'!E7)</f>
        <v>-7.0155355682747347E-2</v>
      </c>
      <c r="F17" s="12">
        <f>IF(F7="","",(F7-'2016'!F7)/'2016'!F7)</f>
        <v>-8.5151676423629585E-3</v>
      </c>
      <c r="G17" s="12" t="str">
        <f>IF(G7="","",(G7-#REF!)/#REF!)</f>
        <v/>
      </c>
      <c r="H17" s="12" t="str">
        <f>IF(H7="","",(H7-#REF!)/#REF!)</f>
        <v/>
      </c>
      <c r="I17" s="12" t="str">
        <f>IF(I7="","",(I7-#REF!)/#REF!)</f>
        <v/>
      </c>
      <c r="J17" s="11">
        <f>J7-'2015'!J37</f>
        <v>11.51028695257234</v>
      </c>
      <c r="K17" s="11">
        <f>K7-'2015'!K37</f>
        <v>31.676605177845371</v>
      </c>
      <c r="L17" s="11">
        <f>L7-'2015'!L37</f>
        <v>126.37703798604001</v>
      </c>
      <c r="M17" s="11" t="str">
        <f>IF(G17="","",M7-((1/Comparisons!#REF!)*1000000))</f>
        <v/>
      </c>
      <c r="N17" s="11" t="str">
        <f>IF(H17="","",N7-((1/Comparisons!#REF!)*1000000))</f>
        <v/>
      </c>
      <c r="O17" s="11" t="str">
        <f>IF(I17="","",O7-((1/Comparisons!#REF!)*1000000))</f>
        <v/>
      </c>
    </row>
    <row r="18" spans="1:15" x14ac:dyDescent="0.25">
      <c r="A18" s="9" t="s">
        <v>14</v>
      </c>
      <c r="B18" s="9" t="s">
        <v>13</v>
      </c>
      <c r="C18" s="9" t="s">
        <v>11</v>
      </c>
      <c r="D18" s="12">
        <f>IF(D8="","",(D8-'2016'!D8)/'2016'!D8)</f>
        <v>2.8486276684225119E-2</v>
      </c>
      <c r="E18" s="12">
        <f>IF(E8="","",(E8-'2016'!E8)/'2016'!E8)</f>
        <v>-1.3093609536837992E-2</v>
      </c>
      <c r="F18" s="12">
        <f>IF(F8="","",(F8-'2016'!F8)/'2016'!F8)</f>
        <v>-2.0332313073895932E-2</v>
      </c>
      <c r="G18" s="12" t="str">
        <f>IF(G8="","",(G8-#REF!)/#REF!)</f>
        <v/>
      </c>
      <c r="H18" s="12" t="str">
        <f>IF(H8="","",(H8-#REF!)/#REF!)</f>
        <v/>
      </c>
      <c r="I18" s="12" t="str">
        <f>IF(I8="","",(I8-#REF!)/#REF!)</f>
        <v/>
      </c>
      <c r="J18" s="11">
        <f>J8-'2015'!J38</f>
        <v>1.7559611697096784</v>
      </c>
      <c r="K18" s="11">
        <f>K8-'2015'!K38</f>
        <v>29.560633679869127</v>
      </c>
      <c r="L18" s="11">
        <f>L8-'2015'!L38</f>
        <v>130.93907334117307</v>
      </c>
      <c r="M18" s="11" t="str">
        <f>IF(G18="","",M8-((1/Comparisons!#REF!)*1000000))</f>
        <v/>
      </c>
      <c r="N18" s="11" t="str">
        <f>IF(H18="","",N8-((1/Comparisons!#REF!)*1000000))</f>
        <v/>
      </c>
      <c r="O18" s="11" t="str">
        <f>IF(I18="","",O8-((1/Comparisons!#REF!)*1000000))</f>
        <v/>
      </c>
    </row>
    <row r="19" spans="1:15" x14ac:dyDescent="0.25">
      <c r="A19" s="9" t="s">
        <v>15</v>
      </c>
      <c r="B19" s="9" t="s">
        <v>16</v>
      </c>
      <c r="C19" s="9" t="s">
        <v>11</v>
      </c>
      <c r="D19" s="12">
        <f>IF(D9="","",(D9-'2016'!D9)/'2016'!D9)</f>
        <v>-0.14480610958700971</v>
      </c>
      <c r="E19" s="12" t="e">
        <f>IF(E9="","",(E9-'2016'!E9)/'2016'!E9)</f>
        <v>#VALUE!</v>
      </c>
      <c r="F19" s="12" t="e">
        <f>IF(F9="","",(F9-'2016'!F9)/'2016'!F9)</f>
        <v>#VALUE!</v>
      </c>
      <c r="G19" s="12" t="str">
        <f>IF(G9="","",(G9-#REF!)/#REF!)</f>
        <v/>
      </c>
      <c r="H19" s="12" t="str">
        <f>IF(H9="","",(H9-#REF!)/#REF!)</f>
        <v/>
      </c>
      <c r="I19" s="12" t="str">
        <f>IF(I9="","",(I9-#REF!)/#REF!)</f>
        <v/>
      </c>
      <c r="J19" s="11">
        <f>J9-'2015'!J39</f>
        <v>8.2072551046268529</v>
      </c>
      <c r="K19" s="11" t="e">
        <f>K9-'2015'!K39</f>
        <v>#VALUE!</v>
      </c>
      <c r="L19" s="11" t="e">
        <f>L9-'2015'!L39</f>
        <v>#VALUE!</v>
      </c>
      <c r="M19" s="11" t="str">
        <f>IF(G19="","",M9-((1/Comparisons!#REF!)*1000000))</f>
        <v/>
      </c>
      <c r="N19" s="11" t="str">
        <f>IF(H19="","",N9-((1/Comparisons!#REF!)*1000000))</f>
        <v/>
      </c>
      <c r="O19" s="11" t="str">
        <f>IF(I19="","",O9-((1/Comparisons!#REF!)*1000000))</f>
        <v/>
      </c>
    </row>
    <row r="20" spans="1:15" x14ac:dyDescent="0.25">
      <c r="A20" s="9" t="s">
        <v>17</v>
      </c>
      <c r="B20" s="8" t="s">
        <v>18</v>
      </c>
      <c r="C20" s="9" t="s">
        <v>11</v>
      </c>
      <c r="D20" s="12">
        <f>IF(D10="","",(D10-'2016'!D10)/'2016'!D10)</f>
        <v>-7.1590357547322445E-2</v>
      </c>
      <c r="E20" s="12" t="e">
        <f>IF(E10="","",(E10-'2016'!E10)/'2016'!E10)</f>
        <v>#VALUE!</v>
      </c>
      <c r="F20" s="12" t="e">
        <f>IF(F10="","",(F10-'2016'!F10)/'2016'!F10)</f>
        <v>#VALUE!</v>
      </c>
      <c r="G20" s="12" t="str">
        <f>IF(G10="","",(G10-#REF!)/#REF!)</f>
        <v/>
      </c>
      <c r="H20" s="12" t="str">
        <f>IF(H10="","",(H10-#REF!)/#REF!)</f>
        <v/>
      </c>
      <c r="I20" s="12" t="str">
        <f>IF(I10="","",(I10-#REF!)/#REF!)</f>
        <v/>
      </c>
      <c r="J20" s="11">
        <f>J10-'2015'!J40</f>
        <v>-8.4897942425464805</v>
      </c>
      <c r="K20" s="11" t="e">
        <f>K10-'2015'!K40</f>
        <v>#VALUE!</v>
      </c>
      <c r="L20" s="11" t="e">
        <f>L10-'2015'!L40</f>
        <v>#VALUE!</v>
      </c>
      <c r="M20" s="11" t="str">
        <f>IF(G20="","",M10-((1/Comparisons!#REF!)*1000000))</f>
        <v/>
      </c>
      <c r="N20" s="11" t="str">
        <f>IF(H20="","",N10-((1/Comparisons!#REF!)*1000000))</f>
        <v/>
      </c>
      <c r="O20" s="11" t="str">
        <f>IF(I20="","",O10-((1/Comparisons!#REF!)*1000000))</f>
        <v/>
      </c>
    </row>
    <row r="21" spans="1:15" ht="18.75" x14ac:dyDescent="0.25">
      <c r="A21" s="77" t="s">
        <v>93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84"/>
    </row>
    <row r="22" spans="1:15" ht="15.75" x14ac:dyDescent="0.25">
      <c r="A22" s="79" t="s">
        <v>121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92"/>
    </row>
    <row r="23" spans="1:15" x14ac:dyDescent="0.25">
      <c r="A23" s="87" t="s">
        <v>1</v>
      </c>
      <c r="B23" s="88"/>
      <c r="C23" s="89"/>
      <c r="D23" s="105" t="s">
        <v>2</v>
      </c>
      <c r="E23" s="106"/>
      <c r="F23" s="106"/>
      <c r="G23" s="106"/>
      <c r="H23" s="106"/>
      <c r="I23" s="107"/>
      <c r="J23" s="105" t="s">
        <v>3</v>
      </c>
      <c r="K23" s="106"/>
      <c r="L23" s="106"/>
      <c r="M23" s="106"/>
      <c r="N23" s="106"/>
      <c r="O23" s="107"/>
    </row>
    <row r="24" spans="1:15" x14ac:dyDescent="0.25">
      <c r="A24" s="6" t="s">
        <v>26</v>
      </c>
      <c r="B24" s="6" t="s">
        <v>5</v>
      </c>
      <c r="C24" s="6" t="s">
        <v>6</v>
      </c>
      <c r="D24" s="7">
        <v>1</v>
      </c>
      <c r="E24" s="7">
        <v>4</v>
      </c>
      <c r="F24" s="7">
        <v>16</v>
      </c>
      <c r="G24" s="7">
        <v>32</v>
      </c>
      <c r="H24" s="7">
        <v>64</v>
      </c>
      <c r="I24" s="7">
        <v>80</v>
      </c>
      <c r="J24" s="7">
        <v>1</v>
      </c>
      <c r="K24" s="7">
        <v>4</v>
      </c>
      <c r="L24" s="7">
        <v>16</v>
      </c>
      <c r="M24" s="7">
        <v>32</v>
      </c>
      <c r="N24" s="7">
        <v>64</v>
      </c>
      <c r="O24" s="7">
        <v>80</v>
      </c>
    </row>
    <row r="25" spans="1:15" x14ac:dyDescent="0.25">
      <c r="A25" s="8" t="s">
        <v>7</v>
      </c>
      <c r="B25" s="9" t="s">
        <v>8</v>
      </c>
      <c r="C25" s="9" t="s">
        <v>9</v>
      </c>
      <c r="D25" s="24">
        <v>35555</v>
      </c>
      <c r="E25" s="24">
        <v>18867</v>
      </c>
      <c r="F25" s="24">
        <v>5837</v>
      </c>
      <c r="G25" s="10"/>
      <c r="H25" s="10"/>
      <c r="I25" s="10"/>
      <c r="J25" s="11">
        <f t="shared" ref="J25:J30" si="1">IF(D25="","",(1/D25)*1000000)</f>
        <v>28.125439459991561</v>
      </c>
      <c r="K25" s="11">
        <f t="shared" ref="K25:K30" si="2">IF(E25="","",(1/E25)*1000000)</f>
        <v>53.002597127259236</v>
      </c>
      <c r="L25" s="11">
        <f t="shared" ref="L25:L30" si="3">IF(F25="","",(1/F25)*1000000)</f>
        <v>171.32088401576152</v>
      </c>
      <c r="M25" s="11" t="str">
        <f t="shared" ref="M25:M30" si="4">IF(G25="","",(1/G25)*1000000)</f>
        <v/>
      </c>
      <c r="N25" s="11" t="str">
        <f t="shared" ref="N25:N30" si="5">IF(H25="","",(1/H25)*1000000)</f>
        <v/>
      </c>
      <c r="O25" s="11" t="str">
        <f t="shared" ref="O25:O30" si="6">IF(I25="","",(1/I25)*1000000)</f>
        <v/>
      </c>
    </row>
    <row r="26" spans="1:15" x14ac:dyDescent="0.25">
      <c r="A26" s="8" t="s">
        <v>10</v>
      </c>
      <c r="B26" s="9" t="s">
        <v>8</v>
      </c>
      <c r="C26" s="9" t="s">
        <v>11</v>
      </c>
      <c r="D26" s="24">
        <v>12740</v>
      </c>
      <c r="E26" s="24">
        <v>9516</v>
      </c>
      <c r="F26" s="24">
        <v>4459</v>
      </c>
      <c r="G26" s="10"/>
      <c r="H26" s="10"/>
      <c r="I26" s="10"/>
      <c r="J26" s="11">
        <f t="shared" si="1"/>
        <v>78.492935635792776</v>
      </c>
      <c r="K26" s="11">
        <f t="shared" si="2"/>
        <v>105.08617065994115</v>
      </c>
      <c r="L26" s="11">
        <f t="shared" si="3"/>
        <v>224.26553038797937</v>
      </c>
      <c r="M26" s="11" t="str">
        <f t="shared" si="4"/>
        <v/>
      </c>
      <c r="N26" s="11" t="str">
        <f t="shared" si="5"/>
        <v/>
      </c>
      <c r="O26" s="11" t="str">
        <f t="shared" si="6"/>
        <v/>
      </c>
    </row>
    <row r="27" spans="1:15" x14ac:dyDescent="0.25">
      <c r="A27" s="9" t="s">
        <v>12</v>
      </c>
      <c r="B27" s="9" t="s">
        <v>13</v>
      </c>
      <c r="C27" s="9" t="s">
        <v>9</v>
      </c>
      <c r="D27" s="24">
        <v>34441</v>
      </c>
      <c r="E27" s="24">
        <v>17058</v>
      </c>
      <c r="F27" s="24">
        <v>5569</v>
      </c>
      <c r="G27" s="10"/>
      <c r="H27" s="10"/>
      <c r="I27" s="10"/>
      <c r="J27" s="11">
        <f t="shared" si="1"/>
        <v>29.035161580674195</v>
      </c>
      <c r="K27" s="11">
        <f t="shared" si="2"/>
        <v>58.623519756126157</v>
      </c>
      <c r="L27" s="11">
        <f t="shared" si="3"/>
        <v>179.56545160711082</v>
      </c>
      <c r="M27" s="11" t="str">
        <f t="shared" si="4"/>
        <v/>
      </c>
      <c r="N27" s="11" t="str">
        <f t="shared" si="5"/>
        <v/>
      </c>
      <c r="O27" s="11" t="str">
        <f t="shared" si="6"/>
        <v/>
      </c>
    </row>
    <row r="28" spans="1:15" x14ac:dyDescent="0.25">
      <c r="A28" s="9" t="s">
        <v>14</v>
      </c>
      <c r="B28" s="9" t="s">
        <v>13</v>
      </c>
      <c r="C28" s="9" t="s">
        <v>11</v>
      </c>
      <c r="D28" s="24">
        <v>13228</v>
      </c>
      <c r="E28" s="24">
        <v>9245</v>
      </c>
      <c r="F28" s="24">
        <v>4242</v>
      </c>
      <c r="G28" s="10"/>
      <c r="H28" s="10"/>
      <c r="I28" s="10"/>
      <c r="J28" s="11">
        <f t="shared" si="1"/>
        <v>75.597218022376779</v>
      </c>
      <c r="K28" s="11">
        <f t="shared" si="2"/>
        <v>108.1665765278529</v>
      </c>
      <c r="L28" s="11">
        <f t="shared" si="3"/>
        <v>235.73785950023574</v>
      </c>
      <c r="M28" s="11" t="str">
        <f t="shared" si="4"/>
        <v/>
      </c>
      <c r="N28" s="11" t="str">
        <f t="shared" si="5"/>
        <v/>
      </c>
      <c r="O28" s="11" t="str">
        <f t="shared" si="6"/>
        <v/>
      </c>
    </row>
    <row r="29" spans="1:15" x14ac:dyDescent="0.25">
      <c r="A29" s="9" t="s">
        <v>15</v>
      </c>
      <c r="B29" s="9" t="s">
        <v>16</v>
      </c>
      <c r="C29" s="9" t="s">
        <v>11</v>
      </c>
      <c r="D29" s="24">
        <v>12740</v>
      </c>
      <c r="E29" s="24">
        <v>8420</v>
      </c>
      <c r="F29" s="24">
        <v>4322</v>
      </c>
      <c r="G29" s="10"/>
      <c r="H29" s="10"/>
      <c r="I29" s="10"/>
      <c r="J29" s="11">
        <f t="shared" si="1"/>
        <v>78.492935635792776</v>
      </c>
      <c r="K29" s="11">
        <f t="shared" si="2"/>
        <v>118.76484560570071</v>
      </c>
      <c r="L29" s="11">
        <f t="shared" si="3"/>
        <v>231.37436372049979</v>
      </c>
      <c r="M29" s="11" t="str">
        <f t="shared" si="4"/>
        <v/>
      </c>
      <c r="N29" s="11" t="str">
        <f t="shared" si="5"/>
        <v/>
      </c>
      <c r="O29" s="11" t="str">
        <f t="shared" si="6"/>
        <v/>
      </c>
    </row>
    <row r="30" spans="1:15" x14ac:dyDescent="0.25">
      <c r="A30" s="9" t="s">
        <v>17</v>
      </c>
      <c r="B30" s="8" t="s">
        <v>18</v>
      </c>
      <c r="C30" s="9" t="s">
        <v>11</v>
      </c>
      <c r="D30" s="24">
        <v>11534</v>
      </c>
      <c r="E30" s="24">
        <v>7744</v>
      </c>
      <c r="F30" s="24">
        <v>4212</v>
      </c>
      <c r="G30" s="10"/>
      <c r="H30" s="10"/>
      <c r="I30" s="10"/>
      <c r="J30" s="11">
        <f t="shared" si="1"/>
        <v>86.700190740419629</v>
      </c>
      <c r="K30" s="11">
        <f t="shared" si="2"/>
        <v>129.13223140495867</v>
      </c>
      <c r="L30" s="11">
        <f t="shared" si="3"/>
        <v>237.41690408357076</v>
      </c>
      <c r="M30" s="11" t="str">
        <f t="shared" si="4"/>
        <v/>
      </c>
      <c r="N30" s="11" t="str">
        <f t="shared" si="5"/>
        <v/>
      </c>
      <c r="O30" s="11" t="str">
        <f t="shared" si="6"/>
        <v/>
      </c>
    </row>
    <row r="31" spans="1:15" x14ac:dyDescent="0.25">
      <c r="A31" s="102" t="s">
        <v>122</v>
      </c>
      <c r="B31" s="102"/>
      <c r="C31" s="102"/>
      <c r="D31" s="102"/>
      <c r="E31" s="104"/>
      <c r="F31" s="104"/>
      <c r="G31" s="104"/>
      <c r="H31" s="104"/>
      <c r="I31" s="104"/>
      <c r="J31" s="23"/>
      <c r="K31" s="23"/>
      <c r="L31" s="23"/>
      <c r="M31" s="23"/>
      <c r="N31" s="23"/>
      <c r="O31" s="23"/>
    </row>
    <row r="32" spans="1:15" ht="18.75" x14ac:dyDescent="0.3">
      <c r="A32" s="75" t="s">
        <v>95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93"/>
    </row>
    <row r="33" spans="1:15" x14ac:dyDescent="0.25">
      <c r="A33" s="87" t="s">
        <v>1</v>
      </c>
      <c r="B33" s="88"/>
      <c r="C33" s="89"/>
      <c r="D33" s="105" t="s">
        <v>19</v>
      </c>
      <c r="E33" s="106"/>
      <c r="F33" s="106"/>
      <c r="G33" s="106"/>
      <c r="H33" s="106"/>
      <c r="I33" s="107"/>
      <c r="J33" s="105" t="s">
        <v>22</v>
      </c>
      <c r="K33" s="106"/>
      <c r="L33" s="106"/>
      <c r="M33" s="106"/>
      <c r="N33" s="106"/>
      <c r="O33" s="107"/>
    </row>
    <row r="34" spans="1:15" x14ac:dyDescent="0.25">
      <c r="A34" s="6" t="s">
        <v>4</v>
      </c>
      <c r="B34" s="6" t="s">
        <v>5</v>
      </c>
      <c r="C34" s="6" t="s">
        <v>6</v>
      </c>
      <c r="D34" s="7">
        <v>1</v>
      </c>
      <c r="E34" s="7">
        <v>4</v>
      </c>
      <c r="F34" s="7">
        <v>16</v>
      </c>
      <c r="G34" s="7">
        <v>32</v>
      </c>
      <c r="H34" s="7">
        <v>64</v>
      </c>
      <c r="I34" s="7">
        <v>80</v>
      </c>
      <c r="J34" s="7">
        <v>1</v>
      </c>
      <c r="K34" s="7">
        <v>4</v>
      </c>
      <c r="L34" s="7">
        <v>16</v>
      </c>
      <c r="M34" s="7">
        <v>32</v>
      </c>
      <c r="N34" s="7">
        <v>64</v>
      </c>
      <c r="O34" s="7">
        <v>80</v>
      </c>
    </row>
    <row r="35" spans="1:15" x14ac:dyDescent="0.25">
      <c r="A35" s="8" t="s">
        <v>7</v>
      </c>
      <c r="B35" s="9" t="s">
        <v>8</v>
      </c>
      <c r="C35" s="9" t="s">
        <v>9</v>
      </c>
      <c r="D35" s="12">
        <f>IF(D25="","",(D25-'2016'!D5)/'2016'!D5)</f>
        <v>-0.20660954166108805</v>
      </c>
      <c r="E35" s="12">
        <f>IF(E25="","",(E25-'2016'!E5)/'2016'!E5)</f>
        <v>-6.1063003881755749E-2</v>
      </c>
      <c r="F35" s="12">
        <f>IF(F25="","",(F25-'2016'!F5)/'2016'!F5)</f>
        <v>-1.0268697586856067E-3</v>
      </c>
      <c r="G35" s="12" t="str">
        <f>IF(G25="","",(G25-#REF!)/#REF!)</f>
        <v/>
      </c>
      <c r="H35" s="12" t="str">
        <f>IF(H25="","",(H25-#REF!)/#REF!)</f>
        <v/>
      </c>
      <c r="I35" s="12" t="str">
        <f>IF(I25="","",(I25-#REF!)/#REF!)</f>
        <v/>
      </c>
      <c r="J35" s="11">
        <f>J25-'2015'!J55</f>
        <v>26.451779829180836</v>
      </c>
      <c r="K35" s="11">
        <f>K25-'2015'!K55</f>
        <v>54.92490063858876</v>
      </c>
      <c r="L35" s="11">
        <f>L25-'2015'!L55</f>
        <v>170.8789954660588</v>
      </c>
      <c r="M35" s="11" t="str">
        <f>IF(G35="","",M25-((1/Comparisons!#REF!)*1000000))</f>
        <v/>
      </c>
      <c r="N35" s="11" t="str">
        <f>IF(H35="","",N25-((1/Comparisons!#REF!)*1000000))</f>
        <v/>
      </c>
      <c r="O35" s="11" t="str">
        <f>IF(I35="","",O25-((1/Comparisons!#REF!)*1000000))</f>
        <v/>
      </c>
    </row>
    <row r="36" spans="1:15" x14ac:dyDescent="0.25">
      <c r="A36" s="8" t="s">
        <v>10</v>
      </c>
      <c r="B36" s="9" t="s">
        <v>8</v>
      </c>
      <c r="C36" s="9" t="s">
        <v>11</v>
      </c>
      <c r="D36" s="12">
        <f>IF(D26="","",(D26-'2016'!D6)/'2016'!D6)</f>
        <v>-0.14576907603593939</v>
      </c>
      <c r="E36" s="12">
        <f>IF(E26="","",(E26-'2016'!E6)/'2016'!E6)</f>
        <v>-0.12149187592319055</v>
      </c>
      <c r="F36" s="12">
        <f>IF(F26="","",(F26-'2016'!F6)/'2016'!F6)</f>
        <v>-6.6568976344986389E-2</v>
      </c>
      <c r="G36" s="12" t="str">
        <f>IF(G26="","",(G26-#REF!)/#REF!)</f>
        <v/>
      </c>
      <c r="H36" s="12" t="str">
        <f>IF(H26="","",(H26-#REF!)/#REF!)</f>
        <v/>
      </c>
      <c r="I36" s="12" t="str">
        <f>IF(I26="","",(I26-#REF!)/#REF!)</f>
        <v/>
      </c>
      <c r="J36" s="11">
        <f>J26-'2015'!J56</f>
        <v>91.778057767578304</v>
      </c>
      <c r="K36" s="11">
        <f>K26-'2015'!K56</f>
        <v>116.99099325198898</v>
      </c>
      <c r="L36" s="11">
        <f>L26-'2015'!L56</f>
        <v>238.2101983848172</v>
      </c>
      <c r="M36" s="11" t="str">
        <f>IF(G36="","",M26-((1/Comparisons!#REF!)*1000000))</f>
        <v/>
      </c>
      <c r="N36" s="11" t="str">
        <f>IF(H36="","",N26-((1/Comparisons!#REF!)*1000000))</f>
        <v/>
      </c>
      <c r="O36" s="11" t="str">
        <f>IF(I36="","",O26-((1/Comparisons!#REF!)*1000000))</f>
        <v/>
      </c>
    </row>
    <row r="37" spans="1:15" x14ac:dyDescent="0.25">
      <c r="A37" s="9" t="s">
        <v>12</v>
      </c>
      <c r="B37" s="9" t="s">
        <v>13</v>
      </c>
      <c r="C37" s="9" t="s">
        <v>9</v>
      </c>
      <c r="D37" s="12">
        <f>IF(D27="","",(D27-'2016'!D7)/'2016'!D7)</f>
        <v>-0.20703151981212442</v>
      </c>
      <c r="E37" s="12">
        <f>IF(E27="","",(E27-'2016'!E7)/'2016'!E7)</f>
        <v>-7.0155355682747347E-2</v>
      </c>
      <c r="F37" s="12">
        <f>IF(F27="","",(F27-'2016'!F7)/'2016'!F7)</f>
        <v>-1.2063154160014192E-2</v>
      </c>
      <c r="G37" s="12" t="str">
        <f>IF(G27="","",(G27-#REF!)/#REF!)</f>
        <v/>
      </c>
      <c r="H37" s="12" t="str">
        <f>IF(H27="","",(H27-#REF!)/#REF!)</f>
        <v/>
      </c>
      <c r="I37" s="12" t="str">
        <f>IF(I27="","",(I27-#REF!)/#REF!)</f>
        <v/>
      </c>
      <c r="J37" s="11">
        <f>J27-'2015'!J57</f>
        <v>31.818728551460069</v>
      </c>
      <c r="K37" s="11">
        <f>K27-'2015'!K57</f>
        <v>61.932875789929724</v>
      </c>
      <c r="L37" s="11">
        <f>L27-'2015'!L57</f>
        <v>182.43354750410134</v>
      </c>
      <c r="M37" s="11" t="str">
        <f>IF(G37="","",M27-((1/Comparisons!#REF!)*1000000))</f>
        <v/>
      </c>
      <c r="N37" s="11" t="str">
        <f>IF(H37="","",N27-((1/Comparisons!#REF!)*1000000))</f>
        <v/>
      </c>
      <c r="O37" s="11" t="str">
        <f>IF(I37="","",O27-((1/Comparisons!#REF!)*1000000))</f>
        <v/>
      </c>
    </row>
    <row r="38" spans="1:15" x14ac:dyDescent="0.25">
      <c r="A38" s="9" t="s">
        <v>14</v>
      </c>
      <c r="B38" s="9" t="s">
        <v>13</v>
      </c>
      <c r="C38" s="9" t="s">
        <v>11</v>
      </c>
      <c r="D38" s="12">
        <f>IF(D28="","",(D28-'2016'!D8)/'2016'!D8)</f>
        <v>-8.3171610756861664E-2</v>
      </c>
      <c r="E38" s="12">
        <f>IF(E28="","",(E28-'2016'!E8)/'2016'!E8)</f>
        <v>-9.6638655462184878E-2</v>
      </c>
      <c r="F38" s="12">
        <f>IF(F28="","",(F28-'2016'!F8)/'2016'!F8)</f>
        <v>-7.2584171403585487E-2</v>
      </c>
      <c r="G38" s="12" t="str">
        <f>IF(G28="","",(G28-#REF!)/#REF!)</f>
        <v/>
      </c>
      <c r="H38" s="12" t="str">
        <f>IF(H28="","",(H28-#REF!)/#REF!)</f>
        <v/>
      </c>
      <c r="I38" s="12" t="str">
        <f>IF(I28="","",(I28-#REF!)/#REF!)</f>
        <v/>
      </c>
      <c r="J38" s="11">
        <f>J28-'2015'!J58</f>
        <v>84.312635723165656</v>
      </c>
      <c r="K38" s="11">
        <f>K28-'2015'!K58</f>
        <v>120.36995884610346</v>
      </c>
      <c r="L38" s="11">
        <f>L28-'2015'!L58</f>
        <v>247.21462800068377</v>
      </c>
      <c r="M38" s="11" t="str">
        <f>IF(G38="","",M28-((1/Comparisons!#REF!)*1000000))</f>
        <v/>
      </c>
      <c r="N38" s="11" t="str">
        <f>IF(H38="","",N28-((1/Comparisons!#REF!)*1000000))</f>
        <v/>
      </c>
      <c r="O38" s="11" t="str">
        <f>IF(I38="","",O28-((1/Comparisons!#REF!)*1000000))</f>
        <v/>
      </c>
    </row>
    <row r="39" spans="1:15" x14ac:dyDescent="0.25">
      <c r="A39" s="9" t="s">
        <v>15</v>
      </c>
      <c r="B39" s="9" t="s">
        <v>16</v>
      </c>
      <c r="C39" s="9" t="s">
        <v>11</v>
      </c>
      <c r="D39" s="12">
        <f>IF(D29="","",(D29-'2016'!D9)/'2016'!D9)</f>
        <v>-5.538666864387929E-2</v>
      </c>
      <c r="E39" s="12">
        <f>IF(E29="","",(E29-'2016'!E9)/'2016'!E9)</f>
        <v>-0.16641916641916643</v>
      </c>
      <c r="F39" s="12">
        <f>IF(F29="","",(F29-'2016'!F9)/'2016'!F9)</f>
        <v>-6.3488624052004339E-2</v>
      </c>
      <c r="G39" s="12" t="str">
        <f>IF(G29="","",(G29-#REF!)/#REF!)</f>
        <v/>
      </c>
      <c r="H39" s="12" t="str">
        <f>IF(H29="","",(H29-#REF!)/#REF!)</f>
        <v/>
      </c>
      <c r="I39" s="12" t="str">
        <f>IF(I29="","",(I29-#REF!)/#REF!)</f>
        <v/>
      </c>
      <c r="J39" s="11">
        <f>J29-'2015'!J59</f>
        <v>94.188565508147306</v>
      </c>
      <c r="K39" s="11">
        <f>K29-'2015'!K59</f>
        <v>132.31214680698355</v>
      </c>
      <c r="L39" s="11">
        <f>L29-'2015'!L59</f>
        <v>237.26513439039064</v>
      </c>
      <c r="M39" s="11" t="str">
        <f>IF(G39="","",M29-((1/Comparisons!#REF!)*1000000))</f>
        <v/>
      </c>
      <c r="N39" s="11" t="str">
        <f>IF(H39="","",N29-((1/Comparisons!#REF!)*1000000))</f>
        <v/>
      </c>
      <c r="O39" s="11" t="str">
        <f>IF(I39="","",O29-((1/Comparisons!#REF!)*1000000))</f>
        <v/>
      </c>
    </row>
    <row r="40" spans="1:15" x14ac:dyDescent="0.25">
      <c r="A40" s="9" t="s">
        <v>17</v>
      </c>
      <c r="B40" s="8" t="s">
        <v>18</v>
      </c>
      <c r="C40" s="9" t="s">
        <v>11</v>
      </c>
      <c r="D40" s="12">
        <f>IF(D30="","",(D30-'2016'!D10)/'2016'!D10)</f>
        <v>-6.6979453162918617E-2</v>
      </c>
      <c r="E40" s="12">
        <f>IF(E30="","",(E30-'2016'!E10)/'2016'!E10)</f>
        <v>-0.22952940005969555</v>
      </c>
      <c r="F40" s="12">
        <f>IF(F30="","",(F30-'2016'!F10)/'2016'!F10)</f>
        <v>-9.2436974789915971E-2</v>
      </c>
      <c r="G40" s="12" t="str">
        <f>IF(G30="","",(G30-#REF!)/#REF!)</f>
        <v/>
      </c>
      <c r="H40" s="12" t="str">
        <f>IF(H30="","",(H30-#REF!)/#REF!)</f>
        <v/>
      </c>
      <c r="I40" s="12" t="str">
        <f>IF(I30="","",(I30-#REF!)/#REF!)</f>
        <v/>
      </c>
      <c r="J40" s="11">
        <f>J30-'2015'!J60</f>
        <v>82.696653961714375</v>
      </c>
      <c r="K40" s="11">
        <f>K30-'2015'!K60</f>
        <v>152.50703417280167</v>
      </c>
      <c r="L40" s="11">
        <f>L30-'2015'!L60</f>
        <v>243.15667593008232</v>
      </c>
      <c r="M40" s="11" t="str">
        <f>IF(G40="","",M30-((1/Comparisons!#REF!)*1000000))</f>
        <v/>
      </c>
      <c r="N40" s="11" t="str">
        <f>IF(H40="","",N30-((1/Comparisons!#REF!)*1000000))</f>
        <v/>
      </c>
      <c r="O40" s="11" t="str">
        <f>IF(I40="","",O30-((1/Comparisons!#REF!)*1000000))</f>
        <v/>
      </c>
    </row>
    <row r="41" spans="1:15" ht="18.75" x14ac:dyDescent="0.25">
      <c r="A41" s="77" t="s">
        <v>93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84"/>
    </row>
    <row r="42" spans="1:15" ht="15.75" x14ac:dyDescent="0.25">
      <c r="A42" s="79" t="s">
        <v>143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92"/>
    </row>
    <row r="43" spans="1:15" x14ac:dyDescent="0.25">
      <c r="A43" s="87" t="s">
        <v>1</v>
      </c>
      <c r="B43" s="88"/>
      <c r="C43" s="89"/>
      <c r="D43" s="105" t="s">
        <v>2</v>
      </c>
      <c r="E43" s="106"/>
      <c r="F43" s="106"/>
      <c r="G43" s="106"/>
      <c r="H43" s="106"/>
      <c r="I43" s="107"/>
      <c r="J43" s="105" t="s">
        <v>3</v>
      </c>
      <c r="K43" s="106"/>
      <c r="L43" s="106"/>
      <c r="M43" s="106"/>
      <c r="N43" s="106"/>
      <c r="O43" s="107"/>
    </row>
    <row r="44" spans="1:15" x14ac:dyDescent="0.25">
      <c r="A44" s="6" t="s">
        <v>26</v>
      </c>
      <c r="B44" s="6" t="s">
        <v>5</v>
      </c>
      <c r="C44" s="6" t="s">
        <v>6</v>
      </c>
      <c r="D44" s="7">
        <v>1</v>
      </c>
      <c r="E44" s="7">
        <v>4</v>
      </c>
      <c r="F44" s="7">
        <v>16</v>
      </c>
      <c r="G44" s="7">
        <v>32</v>
      </c>
      <c r="H44" s="7">
        <v>64</v>
      </c>
      <c r="I44" s="7">
        <v>80</v>
      </c>
      <c r="J44" s="7">
        <v>1</v>
      </c>
      <c r="K44" s="7">
        <v>4</v>
      </c>
      <c r="L44" s="7">
        <v>16</v>
      </c>
      <c r="M44" s="7">
        <v>32</v>
      </c>
      <c r="N44" s="7">
        <v>64</v>
      </c>
      <c r="O44" s="7">
        <v>80</v>
      </c>
    </row>
    <row r="45" spans="1:15" x14ac:dyDescent="0.25">
      <c r="A45" s="8" t="s">
        <v>7</v>
      </c>
      <c r="B45" s="9" t="s">
        <v>8</v>
      </c>
      <c r="C45" s="9" t="s">
        <v>9</v>
      </c>
      <c r="D45" s="24">
        <v>42572</v>
      </c>
      <c r="E45" s="24">
        <v>19695</v>
      </c>
      <c r="F45" s="24">
        <v>5837</v>
      </c>
      <c r="G45" s="10"/>
      <c r="H45" s="10"/>
      <c r="I45" s="10"/>
      <c r="J45" s="11">
        <f t="shared" ref="J45:J50" si="7">IF(D45="","",(1/D45)*1000000)</f>
        <v>23.489617589025649</v>
      </c>
      <c r="K45" s="11">
        <f t="shared" ref="K45:K50" si="8">IF(E45="","",(1/E45)*1000000)</f>
        <v>50.774308200050775</v>
      </c>
      <c r="L45" s="11">
        <f t="shared" ref="L45:L50" si="9">IF(F45="","",(1/F45)*1000000)</f>
        <v>171.32088401576152</v>
      </c>
      <c r="M45" s="11" t="str">
        <f t="shared" ref="M45:M50" si="10">IF(G45="","",(1/G45)*1000000)</f>
        <v/>
      </c>
      <c r="N45" s="11" t="str">
        <f t="shared" ref="N45:N50" si="11">IF(H45="","",(1/H45)*1000000)</f>
        <v/>
      </c>
      <c r="O45" s="11" t="str">
        <f t="shared" ref="O45:O50" si="12">IF(I45="","",(1/I45)*1000000)</f>
        <v/>
      </c>
    </row>
    <row r="46" spans="1:15" x14ac:dyDescent="0.25">
      <c r="A46" s="8" t="s">
        <v>10</v>
      </c>
      <c r="B46" s="9" t="s">
        <v>8</v>
      </c>
      <c r="C46" s="9" t="s">
        <v>11</v>
      </c>
      <c r="D46" s="24">
        <v>15923</v>
      </c>
      <c r="E46" s="24">
        <v>11424</v>
      </c>
      <c r="F46" s="24">
        <v>4968</v>
      </c>
      <c r="G46" s="10"/>
      <c r="H46" s="10"/>
      <c r="I46" s="10"/>
      <c r="J46" s="11">
        <f t="shared" si="7"/>
        <v>62.802235759593039</v>
      </c>
      <c r="K46" s="11">
        <f t="shared" si="8"/>
        <v>87.535014005602235</v>
      </c>
      <c r="L46" s="11">
        <f t="shared" si="9"/>
        <v>201.28824476650564</v>
      </c>
      <c r="M46" s="11" t="str">
        <f t="shared" si="10"/>
        <v/>
      </c>
      <c r="N46" s="11" t="str">
        <f t="shared" si="11"/>
        <v/>
      </c>
      <c r="O46" s="11" t="str">
        <f t="shared" si="12"/>
        <v/>
      </c>
    </row>
    <row r="47" spans="1:15" x14ac:dyDescent="0.25">
      <c r="A47" s="9" t="s">
        <v>12</v>
      </c>
      <c r="B47" s="9" t="s">
        <v>13</v>
      </c>
      <c r="C47" s="9" t="s">
        <v>9</v>
      </c>
      <c r="D47" s="24">
        <v>40640</v>
      </c>
      <c r="E47" s="24">
        <v>17773</v>
      </c>
      <c r="F47" s="24">
        <v>5569</v>
      </c>
      <c r="G47" s="10"/>
      <c r="H47" s="10"/>
      <c r="I47" s="10"/>
      <c r="J47" s="11">
        <f t="shared" si="7"/>
        <v>24.606299212598426</v>
      </c>
      <c r="K47" s="11">
        <f t="shared" si="8"/>
        <v>56.265121251336296</v>
      </c>
      <c r="L47" s="11">
        <f t="shared" si="9"/>
        <v>179.56545160711082</v>
      </c>
      <c r="M47" s="11" t="str">
        <f t="shared" si="10"/>
        <v/>
      </c>
      <c r="N47" s="11" t="str">
        <f t="shared" si="11"/>
        <v/>
      </c>
      <c r="O47" s="11" t="str">
        <f t="shared" si="12"/>
        <v/>
      </c>
    </row>
    <row r="48" spans="1:15" x14ac:dyDescent="0.25">
      <c r="A48" s="9" t="s">
        <v>14</v>
      </c>
      <c r="B48" s="9" t="s">
        <v>13</v>
      </c>
      <c r="C48" s="9" t="s">
        <v>11</v>
      </c>
      <c r="D48" s="24">
        <v>15701</v>
      </c>
      <c r="E48" s="24">
        <v>10617</v>
      </c>
      <c r="F48" s="24">
        <v>4671</v>
      </c>
      <c r="G48" s="10"/>
      <c r="H48" s="10"/>
      <c r="I48" s="10"/>
      <c r="J48" s="11">
        <f t="shared" si="7"/>
        <v>63.690210814597805</v>
      </c>
      <c r="K48" s="11">
        <f t="shared" si="8"/>
        <v>94.188565508147306</v>
      </c>
      <c r="L48" s="11">
        <f t="shared" si="9"/>
        <v>214.08691928923142</v>
      </c>
      <c r="M48" s="11" t="str">
        <f t="shared" si="10"/>
        <v/>
      </c>
      <c r="N48" s="11" t="str">
        <f t="shared" si="11"/>
        <v/>
      </c>
      <c r="O48" s="11" t="str">
        <f t="shared" si="12"/>
        <v/>
      </c>
    </row>
    <row r="49" spans="1:15" x14ac:dyDescent="0.25">
      <c r="A49" s="9" t="s">
        <v>15</v>
      </c>
      <c r="B49" s="9" t="s">
        <v>16</v>
      </c>
      <c r="C49" s="9" t="s">
        <v>11</v>
      </c>
      <c r="D49" s="24">
        <v>13703</v>
      </c>
      <c r="E49" s="24">
        <v>8962</v>
      </c>
      <c r="F49" s="24">
        <v>4414</v>
      </c>
      <c r="G49" s="10"/>
      <c r="H49" s="10"/>
      <c r="I49" s="10"/>
      <c r="J49" s="11">
        <f t="shared" si="7"/>
        <v>72.976720426184045</v>
      </c>
      <c r="K49" s="11">
        <f t="shared" si="8"/>
        <v>111.5822361080116</v>
      </c>
      <c r="L49" s="11">
        <f t="shared" si="9"/>
        <v>226.55188038060717</v>
      </c>
      <c r="M49" s="11" t="str">
        <f t="shared" si="10"/>
        <v/>
      </c>
      <c r="N49" s="11" t="str">
        <f t="shared" si="11"/>
        <v/>
      </c>
      <c r="O49" s="11" t="str">
        <f t="shared" si="12"/>
        <v/>
      </c>
    </row>
    <row r="50" spans="1:15" x14ac:dyDescent="0.25">
      <c r="A50" s="9" t="s">
        <v>17</v>
      </c>
      <c r="B50" s="8" t="s">
        <v>18</v>
      </c>
      <c r="C50" s="9" t="s">
        <v>11</v>
      </c>
      <c r="D50" s="24">
        <v>13381</v>
      </c>
      <c r="E50" s="24">
        <v>8023</v>
      </c>
      <c r="F50" s="24">
        <v>4186</v>
      </c>
      <c r="G50" s="10"/>
      <c r="H50" s="10"/>
      <c r="I50" s="10"/>
      <c r="J50" s="11">
        <f t="shared" si="7"/>
        <v>74.732830132277101</v>
      </c>
      <c r="K50" s="11">
        <f t="shared" si="8"/>
        <v>124.64165524118161</v>
      </c>
      <c r="L50" s="11">
        <f t="shared" si="9"/>
        <v>238.89154323936933</v>
      </c>
      <c r="M50" s="11" t="str">
        <f t="shared" si="10"/>
        <v/>
      </c>
      <c r="N50" s="11" t="str">
        <f t="shared" si="11"/>
        <v/>
      </c>
      <c r="O50" s="11" t="str">
        <f t="shared" si="12"/>
        <v/>
      </c>
    </row>
    <row r="51" spans="1:15" x14ac:dyDescent="0.25">
      <c r="A51" s="102" t="s">
        <v>141</v>
      </c>
      <c r="B51" s="102"/>
      <c r="C51" s="102"/>
      <c r="D51" s="102"/>
      <c r="E51" s="104" t="s">
        <v>142</v>
      </c>
      <c r="F51" s="104"/>
      <c r="G51" s="104"/>
      <c r="H51" s="104"/>
      <c r="I51" s="104"/>
      <c r="J51" s="23"/>
      <c r="K51" s="23"/>
      <c r="L51" s="23"/>
      <c r="M51" s="23"/>
      <c r="N51" s="23"/>
      <c r="O51" s="23"/>
    </row>
    <row r="52" spans="1:15" ht="18.75" x14ac:dyDescent="0.3">
      <c r="A52" s="75" t="s">
        <v>95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93"/>
    </row>
    <row r="53" spans="1:15" x14ac:dyDescent="0.25">
      <c r="A53" s="87" t="s">
        <v>1</v>
      </c>
      <c r="B53" s="88"/>
      <c r="C53" s="89"/>
      <c r="D53" s="105" t="s">
        <v>19</v>
      </c>
      <c r="E53" s="106"/>
      <c r="F53" s="106"/>
      <c r="G53" s="106"/>
      <c r="H53" s="106"/>
      <c r="I53" s="107"/>
      <c r="J53" s="105" t="s">
        <v>22</v>
      </c>
      <c r="K53" s="106"/>
      <c r="L53" s="106"/>
      <c r="M53" s="106"/>
      <c r="N53" s="106"/>
      <c r="O53" s="107"/>
    </row>
    <row r="54" spans="1:15" x14ac:dyDescent="0.25">
      <c r="A54" s="6" t="s">
        <v>4</v>
      </c>
      <c r="B54" s="6" t="s">
        <v>5</v>
      </c>
      <c r="C54" s="6" t="s">
        <v>6</v>
      </c>
      <c r="D54" s="7">
        <v>1</v>
      </c>
      <c r="E54" s="7">
        <v>4</v>
      </c>
      <c r="F54" s="7">
        <v>16</v>
      </c>
      <c r="G54" s="7">
        <v>32</v>
      </c>
      <c r="H54" s="7">
        <v>64</v>
      </c>
      <c r="I54" s="7">
        <v>80</v>
      </c>
      <c r="J54" s="7">
        <v>1</v>
      </c>
      <c r="K54" s="7">
        <v>4</v>
      </c>
      <c r="L54" s="7">
        <v>16</v>
      </c>
      <c r="M54" s="7">
        <v>32</v>
      </c>
      <c r="N54" s="7">
        <v>64</v>
      </c>
      <c r="O54" s="7">
        <v>80</v>
      </c>
    </row>
    <row r="55" spans="1:15" x14ac:dyDescent="0.25">
      <c r="A55" s="8" t="s">
        <v>7</v>
      </c>
      <c r="B55" s="9" t="s">
        <v>8</v>
      </c>
      <c r="C55" s="9" t="s">
        <v>9</v>
      </c>
      <c r="D55" s="12">
        <f>IF(D45="","",(D45-'2016'!D5)/'2016'!D5)</f>
        <v>-5.0029008791895389E-2</v>
      </c>
      <c r="E55" s="12">
        <f>IF(E45="","",(E45-'2016'!E5)/'2016'!E5)</f>
        <v>-1.9856673633920574E-2</v>
      </c>
      <c r="F55" s="12">
        <f>IF(F45="","",(F45-'2016'!F5)/'2016'!F5)</f>
        <v>-1.0268697586856067E-3</v>
      </c>
      <c r="G55" s="12" t="str">
        <f>IF(G45="","",(G45-#REF!)/#REF!)</f>
        <v/>
      </c>
      <c r="H55" s="12" t="str">
        <f>IF(H45="","",(H45-#REF!)/#REF!)</f>
        <v/>
      </c>
      <c r="I55" s="12" t="str">
        <f>IF(I45="","",(I45-#REF!)/#REF!)</f>
        <v/>
      </c>
      <c r="J55" s="11">
        <f>J45-'2015'!J75</f>
        <v>22.489617589025649</v>
      </c>
      <c r="K55" s="11">
        <f>K45-'2015'!K75</f>
        <v>46.774308200050775</v>
      </c>
      <c r="L55" s="11">
        <f>L45-'2015'!L75</f>
        <v>155.32088401576152</v>
      </c>
      <c r="M55" s="11" t="str">
        <f>IF(G55="","",M45-((1/Comparisons!#REF!)*1000000))</f>
        <v/>
      </c>
      <c r="N55" s="11" t="str">
        <f>IF(H55="","",N45-((1/Comparisons!#REF!)*1000000))</f>
        <v/>
      </c>
      <c r="O55" s="11" t="str">
        <f>IF(I55="","",O45-((1/Comparisons!#REF!)*1000000))</f>
        <v/>
      </c>
    </row>
    <row r="56" spans="1:15" x14ac:dyDescent="0.25">
      <c r="A56" s="8" t="s">
        <v>10</v>
      </c>
      <c r="B56" s="9" t="s">
        <v>8</v>
      </c>
      <c r="C56" s="9" t="s">
        <v>11</v>
      </c>
      <c r="D56" s="12">
        <f>IF(D46="","",(D46-'2016'!D6)/'2016'!D6)</f>
        <v>6.7654552769210133E-2</v>
      </c>
      <c r="E56" s="12">
        <f>IF(E46="","",(E46-'2016'!E6)/'2016'!E6)</f>
        <v>5.4652880354505169E-2</v>
      </c>
      <c r="F56" s="12">
        <f>IF(F46="","",(F46-'2016'!F6)/'2016'!F6)</f>
        <v>3.9983253087711952E-2</v>
      </c>
      <c r="G56" s="12" t="str">
        <f>IF(G46="","",(G46-#REF!)/#REF!)</f>
        <v/>
      </c>
      <c r="H56" s="12" t="str">
        <f>IF(H46="","",(H46-#REF!)/#REF!)</f>
        <v/>
      </c>
      <c r="I56" s="12" t="str">
        <f>IF(I46="","",(I46-#REF!)/#REF!)</f>
        <v/>
      </c>
      <c r="J56" s="11">
        <f>J46-'2015'!J76</f>
        <v>66.860632586124581</v>
      </c>
      <c r="K56" s="11">
        <f>K46-'2015'!K76</f>
        <v>87.998136384725996</v>
      </c>
      <c r="L56" s="11">
        <f>L46-'2015'!L76</f>
        <v>201.28824476650564</v>
      </c>
      <c r="M56" s="11" t="str">
        <f>IF(G56="","",M46-((1/Comparisons!#REF!)*1000000))</f>
        <v/>
      </c>
      <c r="N56" s="11" t="str">
        <f>IF(H56="","",N46-((1/Comparisons!#REF!)*1000000))</f>
        <v/>
      </c>
      <c r="O56" s="11" t="str">
        <f>IF(I56="","",O46-((1/Comparisons!#REF!)*1000000))</f>
        <v/>
      </c>
    </row>
    <row r="57" spans="1:15" x14ac:dyDescent="0.25">
      <c r="A57" s="9" t="s">
        <v>12</v>
      </c>
      <c r="B57" s="9" t="s">
        <v>13</v>
      </c>
      <c r="C57" s="9" t="s">
        <v>9</v>
      </c>
      <c r="D57" s="12">
        <f>IF(D47="","",(D47-'2016'!D7)/'2016'!D7)</f>
        <v>-6.4305942486128059E-2</v>
      </c>
      <c r="E57" s="12">
        <f>IF(E47="","",(E47-'2016'!E7)/'2016'!E7)</f>
        <v>-3.118015808122104E-2</v>
      </c>
      <c r="F57" s="12">
        <f>IF(F47="","",(F47-'2016'!F7)/'2016'!F7)</f>
        <v>-1.2063154160014192E-2</v>
      </c>
      <c r="G57" s="12" t="str">
        <f>IF(G47="","",(G47-#REF!)/#REF!)</f>
        <v/>
      </c>
      <c r="H57" s="12" t="str">
        <f>IF(H47="","",(H47-#REF!)/#REF!)</f>
        <v/>
      </c>
      <c r="I57" s="12" t="str">
        <f>IF(I47="","",(I47-#REF!)/#REF!)</f>
        <v/>
      </c>
      <c r="J57" s="11">
        <f>J47-'2015'!J77</f>
        <v>15.976922419817416</v>
      </c>
      <c r="K57" s="11">
        <f>K47-'2015'!K77</f>
        <v>49.426785999488402</v>
      </c>
      <c r="L57" s="11">
        <f>L47-'2015'!L77</f>
        <v>169.69216450220085</v>
      </c>
      <c r="M57" s="11" t="str">
        <f>IF(G57="","",M47-((1/Comparisons!#REF!)*1000000))</f>
        <v/>
      </c>
      <c r="N57" s="11" t="str">
        <f>IF(H57="","",N47-((1/Comparisons!#REF!)*1000000))</f>
        <v/>
      </c>
      <c r="O57" s="11" t="str">
        <f>IF(I57="","",O47-((1/Comparisons!#REF!)*1000000))</f>
        <v/>
      </c>
    </row>
    <row r="58" spans="1:15" x14ac:dyDescent="0.25">
      <c r="A58" s="9" t="s">
        <v>14</v>
      </c>
      <c r="B58" s="9" t="s">
        <v>13</v>
      </c>
      <c r="C58" s="9" t="s">
        <v>11</v>
      </c>
      <c r="D58" s="12">
        <f>IF(D48="","",(D48-'2016'!D8)/'2016'!D8)</f>
        <v>8.8231217077904073E-2</v>
      </c>
      <c r="E58" s="12">
        <f>IF(E48="","",(E48-'2016'!E8)/'2016'!E8)</f>
        <v>3.7424272034395155E-2</v>
      </c>
      <c r="F58" s="12">
        <f>IF(F48="","",(F48-'2016'!F8)/'2016'!F8)</f>
        <v>2.120682116309576E-2</v>
      </c>
      <c r="G58" s="12" t="str">
        <f>IF(G48="","",(G48-#REF!)/#REF!)</f>
        <v/>
      </c>
      <c r="H58" s="12" t="str">
        <f>IF(H48="","",(H48-#REF!)/#REF!)</f>
        <v/>
      </c>
      <c r="I58" s="12" t="str">
        <f>IF(I48="","",(I48-#REF!)/#REF!)</f>
        <v/>
      </c>
      <c r="J58" s="11">
        <f>J48-'2015'!J78</f>
        <v>63.423399224986298</v>
      </c>
      <c r="K58" s="11">
        <f>K48-'2015'!K78</f>
        <v>94.188565508147306</v>
      </c>
      <c r="L58" s="11">
        <f>L48-'2015'!L78</f>
        <v>213.94850232950628</v>
      </c>
      <c r="M58" s="11" t="str">
        <f>IF(G58="","",M48-((1/Comparisons!#REF!)*1000000))</f>
        <v/>
      </c>
      <c r="N58" s="11" t="str">
        <f>IF(H58="","",N48-((1/Comparisons!#REF!)*1000000))</f>
        <v/>
      </c>
      <c r="O58" s="11" t="str">
        <f>IF(I58="","",O48-((1/Comparisons!#REF!)*1000000))</f>
        <v/>
      </c>
    </row>
    <row r="59" spans="1:15" x14ac:dyDescent="0.25">
      <c r="A59" s="9" t="s">
        <v>15</v>
      </c>
      <c r="B59" s="9" t="s">
        <v>16</v>
      </c>
      <c r="C59" s="9" t="s">
        <v>11</v>
      </c>
      <c r="D59" s="12">
        <f>IF(D49="","",(D49-'2016'!D9)/'2016'!D9)</f>
        <v>1.6015422258471121E-2</v>
      </c>
      <c r="E59" s="12">
        <f>IF(E49="","",(E49-'2016'!E9)/'2016'!E9)</f>
        <v>-0.11276111276111277</v>
      </c>
      <c r="F59" s="12">
        <f>IF(F49="","",(F49-'2016'!F9)/'2016'!F9)</f>
        <v>-4.3553629469122425E-2</v>
      </c>
      <c r="G59" s="12" t="str">
        <f>IF(G49="","",(G49-#REF!)/#REF!)</f>
        <v/>
      </c>
      <c r="H59" s="12" t="str">
        <f>IF(H49="","",(H49-#REF!)/#REF!)</f>
        <v/>
      </c>
      <c r="I59" s="12" t="str">
        <f>IF(I49="","",(I49-#REF!)/#REF!)</f>
        <v/>
      </c>
      <c r="J59" s="11">
        <f>J49-'2015'!J79</f>
        <v>68.292202104788288</v>
      </c>
      <c r="K59" s="11">
        <f>K49-'2015'!K79</f>
        <v>101.74822426181557</v>
      </c>
      <c r="L59" s="11">
        <f>L49-'2015'!L79</f>
        <v>218.33533469941068</v>
      </c>
      <c r="M59" s="11" t="str">
        <f>IF(G59="","",M49-((1/Comparisons!#REF!)*1000000))</f>
        <v/>
      </c>
      <c r="N59" s="11" t="str">
        <f>IF(H59="","",N49-((1/Comparisons!#REF!)*1000000))</f>
        <v/>
      </c>
      <c r="O59" s="11" t="str">
        <f>IF(I59="","",O49-((1/Comparisons!#REF!)*1000000))</f>
        <v/>
      </c>
    </row>
    <row r="60" spans="1:15" x14ac:dyDescent="0.25">
      <c r="A60" s="9" t="s">
        <v>17</v>
      </c>
      <c r="B60" s="8" t="s">
        <v>18</v>
      </c>
      <c r="C60" s="9" t="s">
        <v>11</v>
      </c>
      <c r="D60" s="12">
        <f>IF(D50="","",(D50-'2016'!D10)/'2016'!D10)</f>
        <v>8.2430027503640188E-2</v>
      </c>
      <c r="E60" s="12">
        <f>IF(E50="","",(E50-'2016'!E10)/'2016'!E10)</f>
        <v>-0.20177096806287931</v>
      </c>
      <c r="F60" s="12">
        <f>IF(F50="","",(F50-'2016'!F10)/'2016'!F10)</f>
        <v>-9.8039215686274508E-2</v>
      </c>
      <c r="G60" s="12" t="str">
        <f>IF(G50="","",(G50-#REF!)/#REF!)</f>
        <v/>
      </c>
      <c r="H60" s="12" t="str">
        <f>IF(H50="","",(H50-#REF!)/#REF!)</f>
        <v/>
      </c>
      <c r="I60" s="12" t="str">
        <f>IF(I50="","",(I50-#REF!)/#REF!)</f>
        <v/>
      </c>
      <c r="J60" s="11">
        <f>J50-'2015'!J80</f>
        <v>80.976650819727993</v>
      </c>
      <c r="K60" s="11">
        <f>K50-'2015'!K80</f>
        <v>127.97676917464921</v>
      </c>
      <c r="L60" s="11">
        <f>L50-'2015'!L80</f>
        <v>240.68467588162767</v>
      </c>
      <c r="M60" s="11" t="str">
        <f>IF(G60="","",M50-((1/Comparisons!#REF!)*1000000))</f>
        <v/>
      </c>
      <c r="N60" s="11" t="str">
        <f>IF(H60="","",N50-((1/Comparisons!#REF!)*1000000))</f>
        <v/>
      </c>
      <c r="O60" s="11" t="str">
        <f>IF(I60="","",O50-((1/Comparisons!#REF!)*1000000))</f>
        <v/>
      </c>
    </row>
    <row r="61" spans="1:15" ht="18.75" x14ac:dyDescent="0.3">
      <c r="A61" s="75" t="s">
        <v>144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93"/>
    </row>
    <row r="62" spans="1:15" x14ac:dyDescent="0.25">
      <c r="A62" s="87" t="s">
        <v>1</v>
      </c>
      <c r="B62" s="88"/>
      <c r="C62" s="89"/>
      <c r="D62" s="105" t="s">
        <v>19</v>
      </c>
      <c r="E62" s="106"/>
      <c r="F62" s="106"/>
      <c r="G62" s="106"/>
      <c r="H62" s="106"/>
      <c r="I62" s="107"/>
      <c r="J62" s="105" t="s">
        <v>22</v>
      </c>
      <c r="K62" s="106"/>
      <c r="L62" s="106"/>
      <c r="M62" s="106"/>
      <c r="N62" s="106"/>
      <c r="O62" s="107"/>
    </row>
    <row r="63" spans="1:15" x14ac:dyDescent="0.25">
      <c r="A63" s="6" t="s">
        <v>4</v>
      </c>
      <c r="B63" s="6" t="s">
        <v>5</v>
      </c>
      <c r="C63" s="6" t="s">
        <v>6</v>
      </c>
      <c r="D63" s="7">
        <v>1</v>
      </c>
      <c r="E63" s="7">
        <v>4</v>
      </c>
      <c r="F63" s="7">
        <v>16</v>
      </c>
      <c r="G63" s="7">
        <v>32</v>
      </c>
      <c r="H63" s="7">
        <v>64</v>
      </c>
      <c r="I63" s="7">
        <v>80</v>
      </c>
      <c r="J63" s="7">
        <v>1</v>
      </c>
      <c r="K63" s="7">
        <v>4</v>
      </c>
      <c r="L63" s="7">
        <v>16</v>
      </c>
      <c r="M63" s="7">
        <v>32</v>
      </c>
      <c r="N63" s="7">
        <v>64</v>
      </c>
      <c r="O63" s="7">
        <v>80</v>
      </c>
    </row>
    <row r="64" spans="1:15" x14ac:dyDescent="0.25">
      <c r="A64" s="8" t="s">
        <v>7</v>
      </c>
      <c r="B64" s="9" t="s">
        <v>8</v>
      </c>
      <c r="C64" s="9" t="s">
        <v>9</v>
      </c>
      <c r="D64" s="12">
        <f>IF(D45="","",(D45-'2016'!D298)/'2016'!D298)</f>
        <v>-3.8963384351437987E-2</v>
      </c>
      <c r="E64" s="12">
        <f>IF(E45="","",(E45-'2016'!E298)/'2016'!E298)</f>
        <v>-3.7936267071320183E-3</v>
      </c>
      <c r="F64" s="12">
        <f>IF(F45="","",(F45-'2016'!F298)/'2016'!F298)</f>
        <v>0</v>
      </c>
      <c r="G64" s="12" t="e">
        <f>IF(G54="","",(G54-#REF!)/#REF!)</f>
        <v>#REF!</v>
      </c>
      <c r="H64" s="12" t="e">
        <f>IF(H54="","",(H54-#REF!)/#REF!)</f>
        <v>#REF!</v>
      </c>
      <c r="I64" s="12" t="e">
        <f>IF(I54="","",(I54-#REF!)/#REF!)</f>
        <v>#REF!</v>
      </c>
      <c r="J64" s="11" t="e">
        <f>J54-'2015'!J84</f>
        <v>#VALUE!</v>
      </c>
      <c r="K64" s="11">
        <f>K54-'2015'!K84</f>
        <v>4</v>
      </c>
      <c r="L64" s="11">
        <f>L54-'2015'!L84</f>
        <v>16</v>
      </c>
      <c r="M64" s="11" t="e">
        <f>IF(G64="","",M54-((1/Comparisons!#REF!)*1000000))</f>
        <v>#REF!</v>
      </c>
      <c r="N64" s="11" t="e">
        <f>IF(H64="","",N54-((1/Comparisons!#REF!)*1000000))</f>
        <v>#REF!</v>
      </c>
      <c r="O64" s="11" t="e">
        <f>IF(I64="","",O54-((1/Comparisons!#REF!)*1000000))</f>
        <v>#REF!</v>
      </c>
    </row>
    <row r="65" spans="1:15" x14ac:dyDescent="0.25">
      <c r="A65" s="8" t="s">
        <v>10</v>
      </c>
      <c r="B65" s="9" t="s">
        <v>8</v>
      </c>
      <c r="C65" s="9" t="s">
        <v>11</v>
      </c>
      <c r="D65" s="12">
        <f>IF(D46="","",(D46-'2016'!D299)/'2016'!D299)</f>
        <v>0.11077781653296129</v>
      </c>
      <c r="E65" s="12">
        <f>IF(E46="","",(E46-'2016'!E299)/'2016'!E299)</f>
        <v>9.5617147789392926E-2</v>
      </c>
      <c r="F65" s="12">
        <f>IF(F46="","",(F46-'2016'!F299)/'2016'!F299)</f>
        <v>5.4105665181413111E-2</v>
      </c>
      <c r="G65" s="12" t="str">
        <f>IF(G55="","",(G55-#REF!)/#REF!)</f>
        <v/>
      </c>
      <c r="H65" s="12" t="str">
        <f>IF(H55="","",(H55-#REF!)/#REF!)</f>
        <v/>
      </c>
      <c r="I65" s="12" t="str">
        <f>IF(I55="","",(I55-#REF!)/#REF!)</f>
        <v/>
      </c>
      <c r="J65" s="11">
        <f>J55-'2015'!J85</f>
        <v>21.489617589025649</v>
      </c>
      <c r="K65" s="11">
        <f>K55-'2015'!K85</f>
        <v>42.774308200050775</v>
      </c>
      <c r="L65" s="11">
        <f>L55-'2015'!L85</f>
        <v>139.32088401576152</v>
      </c>
      <c r="M65" s="11" t="str">
        <f>IF(G65="","",M55-((1/Comparisons!#REF!)*1000000))</f>
        <v/>
      </c>
      <c r="N65" s="11" t="str">
        <f>IF(H65="","",N55-((1/Comparisons!#REF!)*1000000))</f>
        <v/>
      </c>
      <c r="O65" s="11" t="str">
        <f>IF(I65="","",O55-((1/Comparisons!#REF!)*1000000))</f>
        <v/>
      </c>
    </row>
    <row r="66" spans="1:15" x14ac:dyDescent="0.25">
      <c r="A66" s="9" t="s">
        <v>12</v>
      </c>
      <c r="B66" s="9" t="s">
        <v>13</v>
      </c>
      <c r="C66" s="9" t="s">
        <v>9</v>
      </c>
      <c r="D66" s="12">
        <f>IF(D47="","",(D47-'2016'!D300)/'2016'!D300)</f>
        <v>-5.8627319265247502E-2</v>
      </c>
      <c r="E66" s="12">
        <f>IF(E47="","",(E47-'2016'!E300)/'2016'!E300)</f>
        <v>-2.6350388955845294E-2</v>
      </c>
      <c r="F66" s="12">
        <f>IF(F47="","",(F47-'2016'!F300)/'2016'!F300)</f>
        <v>-8.5454869147231615E-3</v>
      </c>
      <c r="G66" s="12" t="str">
        <f>IF(G56="","",(G56-#REF!)/#REF!)</f>
        <v/>
      </c>
      <c r="H66" s="12" t="str">
        <f>IF(H56="","",(H56-#REF!)/#REF!)</f>
        <v/>
      </c>
      <c r="I66" s="12" t="str">
        <f>IF(I56="","",(I56-#REF!)/#REF!)</f>
        <v/>
      </c>
      <c r="J66" s="11">
        <f>J56-'2015'!J86</f>
        <v>47.481163195996487</v>
      </c>
      <c r="K66" s="11">
        <f>K56-'2015'!K86</f>
        <v>65.209230024342233</v>
      </c>
      <c r="L66" s="11">
        <f>L56-'2015'!L86</f>
        <v>152.84097961462345</v>
      </c>
      <c r="M66" s="11" t="str">
        <f>IF(G66="","",M56-((1/Comparisons!#REF!)*1000000))</f>
        <v/>
      </c>
      <c r="N66" s="11" t="str">
        <f>IF(H66="","",N56-((1/Comparisons!#REF!)*1000000))</f>
        <v/>
      </c>
      <c r="O66" s="11" t="str">
        <f>IF(I66="","",O56-((1/Comparisons!#REF!)*1000000))</f>
        <v/>
      </c>
    </row>
    <row r="67" spans="1:15" x14ac:dyDescent="0.25">
      <c r="A67" s="9" t="s">
        <v>14</v>
      </c>
      <c r="B67" s="9" t="s">
        <v>13</v>
      </c>
      <c r="C67" s="9" t="s">
        <v>11</v>
      </c>
      <c r="D67" s="12">
        <f>IF(D48="","",(D48-'2016'!D301)/'2016'!D301)</f>
        <v>6.1380382613398232E-2</v>
      </c>
      <c r="E67" s="12">
        <f>IF(E48="","",(E48-'2016'!E301)/'2016'!E301)</f>
        <v>4.6422235363690126E-2</v>
      </c>
      <c r="F67" s="12">
        <f>IF(F48="","",(F48-'2016'!F301)/'2016'!F301)</f>
        <v>2.6819081116728951E-2</v>
      </c>
      <c r="G67" s="12" t="str">
        <f>IF(G57="","",(G57-#REF!)/#REF!)</f>
        <v/>
      </c>
      <c r="H67" s="12" t="str">
        <f>IF(H57="","",(H57-#REF!)/#REF!)</f>
        <v/>
      </c>
      <c r="I67" s="12" t="str">
        <f>IF(I57="","",(I57-#REF!)/#REF!)</f>
        <v/>
      </c>
      <c r="J67" s="11">
        <f>J57-'2015'!J87</f>
        <v>-54.100162373455177</v>
      </c>
      <c r="K67" s="11">
        <f>K57-'2015'!K87</f>
        <v>-22.822328948853482</v>
      </c>
      <c r="L67" s="11">
        <f>L57-'2015'!L87</f>
        <v>77.932208546979709</v>
      </c>
      <c r="M67" s="11" t="str">
        <f>IF(G67="","",M57-((1/Comparisons!#REF!)*1000000))</f>
        <v/>
      </c>
      <c r="N67" s="11" t="str">
        <f>IF(H67="","",N57-((1/Comparisons!#REF!)*1000000))</f>
        <v/>
      </c>
      <c r="O67" s="11" t="str">
        <f>IF(I67="","",O57-((1/Comparisons!#REF!)*1000000))</f>
        <v/>
      </c>
    </row>
    <row r="68" spans="1:15" x14ac:dyDescent="0.25">
      <c r="A68" s="9" t="s">
        <v>15</v>
      </c>
      <c r="B68" s="9" t="s">
        <v>16</v>
      </c>
      <c r="C68" s="9" t="s">
        <v>11</v>
      </c>
      <c r="D68" s="12">
        <f>IF(D49="","",(D49-'2016'!D302)/'2016'!D302)</f>
        <v>7.5588697017268447E-2</v>
      </c>
      <c r="E68" s="12">
        <f>IF(E49="","",(E49-'2016'!E302)/'2016'!E302)</f>
        <v>-9.9748869914615776E-2</v>
      </c>
      <c r="F68" s="12">
        <f>IF(F49="","",(F49-'2016'!F302)/'2016'!F302)</f>
        <v>-4.4381900844338601E-2</v>
      </c>
      <c r="G68" s="12" t="str">
        <f>IF(G58="","",(G58-#REF!)/#REF!)</f>
        <v/>
      </c>
      <c r="H68" s="12" t="str">
        <f>IF(H58="","",(H58-#REF!)/#REF!)</f>
        <v/>
      </c>
      <c r="I68" s="12" t="str">
        <f>IF(I58="","",(I58-#REF!)/#REF!)</f>
        <v/>
      </c>
      <c r="J68" s="11">
        <f>J58-'2015'!J88</f>
        <v>43.25885655681401</v>
      </c>
      <c r="K68" s="11">
        <f>K58-'2015'!K88</f>
        <v>67.975558614126498</v>
      </c>
      <c r="L68" s="11">
        <f>L58-'2015'!L88</f>
        <v>161.05803848013832</v>
      </c>
      <c r="M68" s="11" t="str">
        <f>IF(G68="","",M58-((1/Comparisons!#REF!)*1000000))</f>
        <v/>
      </c>
      <c r="N68" s="11" t="str">
        <f>IF(H68="","",N58-((1/Comparisons!#REF!)*1000000))</f>
        <v/>
      </c>
      <c r="O68" s="11" t="str">
        <f>IF(I68="","",O58-((1/Comparisons!#REF!)*1000000))</f>
        <v/>
      </c>
    </row>
    <row r="69" spans="1:15" x14ac:dyDescent="0.25">
      <c r="A69" s="9" t="s">
        <v>17</v>
      </c>
      <c r="B69" s="8" t="s">
        <v>18</v>
      </c>
      <c r="C69" s="9" t="s">
        <v>11</v>
      </c>
      <c r="D69" s="12">
        <f>IF(D50="","",(D50-'2016'!D303)/'2016'!D303)</f>
        <v>0.10605058687386344</v>
      </c>
      <c r="E69" s="12">
        <f>IF(E50="","",(E50-'2016'!E303)/'2016'!E303)</f>
        <v>-0.19326294620412268</v>
      </c>
      <c r="F69" s="12">
        <f>IF(F50="","",(F50-'2016'!F303)/'2016'!F303)</f>
        <v>-9.8039215686274508E-2</v>
      </c>
      <c r="G69" s="12" t="str">
        <f>IF(G59="","",(G59-#REF!)/#REF!)</f>
        <v/>
      </c>
      <c r="H69" s="12" t="str">
        <f>IF(H59="","",(H59-#REF!)/#REF!)</f>
        <v/>
      </c>
      <c r="I69" s="12" t="str">
        <f>IF(I59="","",(I59-#REF!)/#REF!)</f>
        <v/>
      </c>
      <c r="J69" s="11">
        <f>J59-'2015'!J89</f>
        <v>-4.3188928705239391</v>
      </c>
      <c r="K69" s="11">
        <f>K59-'2015'!K89</f>
        <v>25.650514802870276</v>
      </c>
      <c r="L69" s="11">
        <f>L59-'2015'!L89</f>
        <v>114.2987138088572</v>
      </c>
      <c r="M69" s="11" t="str">
        <f>IF(G69="","",M59-((1/Comparisons!#REF!)*1000000))</f>
        <v/>
      </c>
      <c r="N69" s="11" t="str">
        <f>IF(H69="","",N59-((1/Comparisons!#REF!)*1000000))</f>
        <v/>
      </c>
      <c r="O69" s="11" t="str">
        <f>IF(I69="","",O59-((1/Comparisons!#REF!)*1000000))</f>
        <v/>
      </c>
    </row>
    <row r="70" spans="1:15" x14ac:dyDescent="0.25">
      <c r="E70" s="12"/>
    </row>
  </sheetData>
  <mergeCells count="40">
    <mergeCell ref="A51:D51"/>
    <mergeCell ref="E51:G51"/>
    <mergeCell ref="H51:I51"/>
    <mergeCell ref="A52:O52"/>
    <mergeCell ref="A53:C53"/>
    <mergeCell ref="D53:I53"/>
    <mergeCell ref="J53:O53"/>
    <mergeCell ref="A12:O12"/>
    <mergeCell ref="A13:C13"/>
    <mergeCell ref="D13:I13"/>
    <mergeCell ref="J13:O13"/>
    <mergeCell ref="E11:G11"/>
    <mergeCell ref="H11:I11"/>
    <mergeCell ref="A11:D11"/>
    <mergeCell ref="A1:O1"/>
    <mergeCell ref="A2:O2"/>
    <mergeCell ref="A3:C3"/>
    <mergeCell ref="D3:I3"/>
    <mergeCell ref="J3:O3"/>
    <mergeCell ref="A21:O21"/>
    <mergeCell ref="A22:O22"/>
    <mergeCell ref="A23:C23"/>
    <mergeCell ref="D23:I23"/>
    <mergeCell ref="J23:O23"/>
    <mergeCell ref="A61:O61"/>
    <mergeCell ref="A62:C62"/>
    <mergeCell ref="D62:I62"/>
    <mergeCell ref="J62:O62"/>
    <mergeCell ref="A31:D31"/>
    <mergeCell ref="E31:G31"/>
    <mergeCell ref="H31:I31"/>
    <mergeCell ref="A32:O32"/>
    <mergeCell ref="A33:C33"/>
    <mergeCell ref="D33:I33"/>
    <mergeCell ref="J33:O33"/>
    <mergeCell ref="A41:O41"/>
    <mergeCell ref="A42:O42"/>
    <mergeCell ref="A43:C43"/>
    <mergeCell ref="D43:I43"/>
    <mergeCell ref="J43:O43"/>
  </mergeCells>
  <conditionalFormatting sqref="D15:I20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:I4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:I60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64:I64 D65:D69 E65:E70 F65:I69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display="9033_sp_online_int_reboots_16.0a12" xr:uid="{00000000-0004-0000-0500-000000000000}"/>
    <hyperlink ref="A11:D11" r:id="rId2" location="TSsummary" display="Worst of 100 iterations 9033_sp_online_int_reboots_17.0d65" xr:uid="{00000000-0004-0000-0500-000001000000}"/>
    <hyperlink ref="H11" r:id="rId3" xr:uid="{00000000-0004-0000-0500-000002000000}"/>
    <hyperlink ref="E11:G11" r:id="rId4" location="TSsummary" display="T2 Cases were run again" xr:uid="{00000000-0004-0000-0500-000003000000}"/>
    <hyperlink ref="A31" r:id="rId5" display="9033_sp_online_int_reboots_16.0a12" xr:uid="{00000000-0004-0000-0500-000004000000}"/>
    <hyperlink ref="A31:D31" r:id="rId6" display="Worst of 100 iterations 9033_sp_online_int_reboots_17.0a18" xr:uid="{00000000-0004-0000-0500-000005000000}"/>
    <hyperlink ref="A51" r:id="rId7" display="9033_sp_online_int_reboots_16.0a12" xr:uid="{00000000-0004-0000-0500-000006000000}"/>
    <hyperlink ref="A51:D51" r:id="rId8" location="TSsummary" display="Worst of 100 iterations 9033_sp_online_int_reboots_17.0a24" xr:uid="{00000000-0004-0000-0500-000007000000}"/>
    <hyperlink ref="E51:G51" r:id="rId9" location="TSsummary" display="T4 and T2 cases were run again" xr:uid="{00000000-0004-0000-0500-000008000000}"/>
  </hyperlinks>
  <pageMargins left="0.7" right="0.7" top="0.75" bottom="0.75" header="0.3" footer="0.3"/>
  <pageSetup paperSize="9"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85"/>
  <sheetViews>
    <sheetView topLeftCell="A295" workbookViewId="0">
      <selection activeCell="D311" sqref="D311"/>
    </sheetView>
  </sheetViews>
  <sheetFormatPr defaultRowHeight="15" x14ac:dyDescent="0.25"/>
  <cols>
    <col min="1" max="1" width="9.140625" style="46"/>
    <col min="2" max="2" width="23.28515625" style="46" customWidth="1"/>
    <col min="3" max="3" width="17.42578125" style="46" customWidth="1"/>
    <col min="4" max="4" width="22.42578125" style="46" customWidth="1"/>
    <col min="5" max="5" width="12.140625" style="46" bestFit="1" customWidth="1"/>
    <col min="6" max="6" width="14" style="46" bestFit="1" customWidth="1"/>
    <col min="7" max="16384" width="9.140625" style="46"/>
  </cols>
  <sheetData>
    <row r="1" spans="1:15" ht="18.75" x14ac:dyDescent="0.25">
      <c r="A1" s="138" t="s">
        <v>159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40"/>
    </row>
    <row r="2" spans="1:15" ht="15.75" x14ac:dyDescent="0.25">
      <c r="A2" s="149" t="s">
        <v>160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2"/>
    </row>
    <row r="3" spans="1:15" x14ac:dyDescent="0.25">
      <c r="A3" s="134" t="s">
        <v>1</v>
      </c>
      <c r="B3" s="135"/>
      <c r="C3" s="135"/>
      <c r="D3" s="136" t="s">
        <v>2</v>
      </c>
      <c r="E3" s="136"/>
      <c r="F3" s="136"/>
      <c r="G3" s="136"/>
      <c r="H3" s="136"/>
      <c r="I3" s="136"/>
      <c r="J3" s="136" t="s">
        <v>3</v>
      </c>
      <c r="K3" s="136"/>
      <c r="L3" s="136"/>
      <c r="M3" s="136"/>
      <c r="N3" s="136"/>
      <c r="O3" s="137"/>
    </row>
    <row r="4" spans="1:15" x14ac:dyDescent="0.25">
      <c r="A4" s="47" t="s">
        <v>26</v>
      </c>
      <c r="B4" s="48" t="s">
        <v>5</v>
      </c>
      <c r="C4" s="48" t="s">
        <v>6</v>
      </c>
      <c r="D4" s="49">
        <v>1</v>
      </c>
      <c r="E4" s="49">
        <v>4</v>
      </c>
      <c r="F4" s="49">
        <v>16</v>
      </c>
      <c r="G4" s="49">
        <v>32</v>
      </c>
      <c r="H4" s="49">
        <v>64</v>
      </c>
      <c r="I4" s="49">
        <v>80</v>
      </c>
      <c r="J4" s="49">
        <v>1</v>
      </c>
      <c r="K4" s="49">
        <v>4</v>
      </c>
      <c r="L4" s="49">
        <v>16</v>
      </c>
      <c r="M4" s="49">
        <v>32</v>
      </c>
      <c r="N4" s="49">
        <v>64</v>
      </c>
      <c r="O4" s="50">
        <v>80</v>
      </c>
    </row>
    <row r="5" spans="1:15" x14ac:dyDescent="0.25">
      <c r="A5" s="51" t="s">
        <v>7</v>
      </c>
      <c r="B5" s="52" t="s">
        <v>8</v>
      </c>
      <c r="C5" s="52" t="s">
        <v>9</v>
      </c>
      <c r="D5" s="53">
        <v>43217</v>
      </c>
      <c r="E5" s="53">
        <v>20271</v>
      </c>
      <c r="F5" s="53">
        <v>5843</v>
      </c>
      <c r="G5" s="54"/>
      <c r="H5" s="54"/>
      <c r="I5" s="54"/>
      <c r="J5" s="55">
        <f>IF(D6="","",(1/D6)*1000000)</f>
        <v>56.170308374992977</v>
      </c>
      <c r="K5" s="55">
        <f t="shared" ref="K5:O10" si="0">IF(E5="","",(1/E5)*1000000)</f>
        <v>49.331557397267034</v>
      </c>
      <c r="L5" s="55">
        <f t="shared" si="0"/>
        <v>171.14495978093444</v>
      </c>
      <c r="M5" s="55" t="str">
        <f t="shared" si="0"/>
        <v/>
      </c>
      <c r="N5" s="55" t="str">
        <f t="shared" si="0"/>
        <v/>
      </c>
      <c r="O5" s="56" t="str">
        <f t="shared" si="0"/>
        <v/>
      </c>
    </row>
    <row r="6" spans="1:15" x14ac:dyDescent="0.25">
      <c r="A6" s="51" t="s">
        <v>10</v>
      </c>
      <c r="B6" s="52" t="s">
        <v>8</v>
      </c>
      <c r="C6" s="52" t="s">
        <v>11</v>
      </c>
      <c r="D6" s="53">
        <v>17803</v>
      </c>
      <c r="E6" s="53">
        <v>12343</v>
      </c>
      <c r="F6" s="53">
        <v>4995</v>
      </c>
      <c r="G6" s="54"/>
      <c r="H6" s="54"/>
      <c r="I6" s="54"/>
      <c r="J6" s="55" t="e">
        <f>IF(#REF!="","",(1/#REF!)*1000000)</f>
        <v>#REF!</v>
      </c>
      <c r="K6" s="55">
        <f t="shared" si="0"/>
        <v>81.017580815036865</v>
      </c>
      <c r="L6" s="55">
        <f t="shared" si="0"/>
        <v>200.20020020020021</v>
      </c>
      <c r="M6" s="55" t="str">
        <f t="shared" si="0"/>
        <v/>
      </c>
      <c r="N6" s="55" t="str">
        <f t="shared" si="0"/>
        <v/>
      </c>
      <c r="O6" s="56" t="str">
        <f t="shared" si="0"/>
        <v/>
      </c>
    </row>
    <row r="7" spans="1:15" x14ac:dyDescent="0.25">
      <c r="A7" s="51" t="s">
        <v>12</v>
      </c>
      <c r="B7" s="52" t="s">
        <v>13</v>
      </c>
      <c r="C7" s="52" t="s">
        <v>9</v>
      </c>
      <c r="D7" s="53">
        <v>39956</v>
      </c>
      <c r="E7" s="53">
        <v>17773</v>
      </c>
      <c r="F7" s="53">
        <v>5628</v>
      </c>
      <c r="G7" s="54"/>
      <c r="H7" s="54"/>
      <c r="I7" s="54"/>
      <c r="J7" s="55">
        <f t="shared" ref="J7" si="1">IF(D7="","",(1/D7)*1000000)</f>
        <v>25.027530283311641</v>
      </c>
      <c r="K7" s="55">
        <f t="shared" si="0"/>
        <v>56.265121251336296</v>
      </c>
      <c r="L7" s="55">
        <f t="shared" si="0"/>
        <v>177.68301350390902</v>
      </c>
      <c r="M7" s="55" t="str">
        <f t="shared" si="0"/>
        <v/>
      </c>
      <c r="N7" s="55" t="str">
        <f t="shared" si="0"/>
        <v/>
      </c>
      <c r="O7" s="56" t="str">
        <f t="shared" si="0"/>
        <v/>
      </c>
    </row>
    <row r="8" spans="1:15" x14ac:dyDescent="0.25">
      <c r="A8" s="51" t="s">
        <v>14</v>
      </c>
      <c r="B8" s="52" t="s">
        <v>13</v>
      </c>
      <c r="C8" s="52" t="s">
        <v>11</v>
      </c>
      <c r="D8" s="53">
        <v>16332</v>
      </c>
      <c r="E8" s="53">
        <v>11762</v>
      </c>
      <c r="F8" s="53">
        <v>4828</v>
      </c>
      <c r="G8" s="54"/>
      <c r="H8" s="54"/>
      <c r="I8" s="54"/>
      <c r="J8" s="55">
        <f>IF(D9="","",(1/D9)*1000000)</f>
        <v>67.792014100738939</v>
      </c>
      <c r="K8" s="55">
        <f t="shared" si="0"/>
        <v>85.019554497534429</v>
      </c>
      <c r="L8" s="55">
        <f t="shared" si="0"/>
        <v>207.12510356255177</v>
      </c>
      <c r="M8" s="55" t="str">
        <f t="shared" si="0"/>
        <v/>
      </c>
      <c r="N8" s="55" t="str">
        <f t="shared" si="0"/>
        <v/>
      </c>
      <c r="O8" s="56" t="str">
        <f t="shared" si="0"/>
        <v/>
      </c>
    </row>
    <row r="9" spans="1:15" x14ac:dyDescent="0.25">
      <c r="A9" s="51" t="s">
        <v>15</v>
      </c>
      <c r="B9" s="52" t="s">
        <v>16</v>
      </c>
      <c r="C9" s="52" t="s">
        <v>11</v>
      </c>
      <c r="D9" s="53">
        <v>14751</v>
      </c>
      <c r="E9" s="53">
        <v>10555</v>
      </c>
      <c r="F9" s="53">
        <v>4823</v>
      </c>
      <c r="G9" s="54"/>
      <c r="H9" s="54"/>
      <c r="I9" s="54"/>
      <c r="J9" s="55" t="e">
        <f>IF(#REF!="","",(1/#REF!)*1000000)</f>
        <v>#REF!</v>
      </c>
      <c r="K9" s="55">
        <f t="shared" si="0"/>
        <v>94.741828517290386</v>
      </c>
      <c r="L9" s="55">
        <f t="shared" si="0"/>
        <v>207.33982998133942</v>
      </c>
      <c r="M9" s="55" t="str">
        <f t="shared" si="0"/>
        <v/>
      </c>
      <c r="N9" s="55" t="str">
        <f t="shared" si="0"/>
        <v/>
      </c>
      <c r="O9" s="56" t="str">
        <f t="shared" si="0"/>
        <v/>
      </c>
    </row>
    <row r="10" spans="1:15" x14ac:dyDescent="0.25">
      <c r="A10" s="51" t="s">
        <v>17</v>
      </c>
      <c r="B10" s="52" t="s">
        <v>18</v>
      </c>
      <c r="C10" s="52" t="s">
        <v>11</v>
      </c>
      <c r="D10" s="53">
        <v>12789</v>
      </c>
      <c r="E10" s="53">
        <v>8847</v>
      </c>
      <c r="F10" s="53">
        <v>4224</v>
      </c>
      <c r="G10" s="54"/>
      <c r="H10" s="54"/>
      <c r="I10" s="54"/>
      <c r="J10" s="55">
        <f t="shared" ref="J10" si="2">IF(D10="","",(1/D10)*1000000)</f>
        <v>78.192196418797408</v>
      </c>
      <c r="K10" s="55">
        <f t="shared" si="0"/>
        <v>113.03266644060133</v>
      </c>
      <c r="L10" s="55">
        <f t="shared" si="0"/>
        <v>236.74242424242425</v>
      </c>
      <c r="M10" s="55" t="str">
        <f t="shared" si="0"/>
        <v/>
      </c>
      <c r="N10" s="55" t="str">
        <f t="shared" si="0"/>
        <v/>
      </c>
      <c r="O10" s="56" t="str">
        <f t="shared" si="0"/>
        <v/>
      </c>
    </row>
    <row r="11" spans="1:15" x14ac:dyDescent="0.25">
      <c r="A11" s="147" t="s">
        <v>161</v>
      </c>
      <c r="B11" s="148"/>
      <c r="C11" s="148"/>
      <c r="D11" s="148"/>
      <c r="E11" s="143"/>
      <c r="F11" s="143"/>
      <c r="G11" s="143"/>
      <c r="H11" s="143"/>
      <c r="I11" s="143"/>
      <c r="J11" s="57"/>
      <c r="K11" s="57"/>
      <c r="L11" s="57"/>
      <c r="M11" s="57"/>
      <c r="N11" s="57"/>
      <c r="O11" s="58"/>
    </row>
    <row r="12" spans="1:15" ht="18.75" x14ac:dyDescent="0.3">
      <c r="A12" s="146" t="s">
        <v>154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5"/>
    </row>
    <row r="13" spans="1:15" x14ac:dyDescent="0.25">
      <c r="A13" s="134" t="s">
        <v>1</v>
      </c>
      <c r="B13" s="135"/>
      <c r="C13" s="135"/>
      <c r="D13" s="136" t="s">
        <v>19</v>
      </c>
      <c r="E13" s="136"/>
      <c r="F13" s="136"/>
      <c r="G13" s="136"/>
      <c r="H13" s="136"/>
      <c r="I13" s="136"/>
      <c r="J13" s="136" t="s">
        <v>22</v>
      </c>
      <c r="K13" s="136"/>
      <c r="L13" s="136"/>
      <c r="M13" s="136"/>
      <c r="N13" s="136"/>
      <c r="O13" s="137"/>
    </row>
    <row r="14" spans="1:15" x14ac:dyDescent="0.25">
      <c r="A14" s="47" t="s">
        <v>4</v>
      </c>
      <c r="B14" s="48" t="s">
        <v>5</v>
      </c>
      <c r="C14" s="48" t="s">
        <v>6</v>
      </c>
      <c r="D14" s="49">
        <v>1</v>
      </c>
      <c r="E14" s="49">
        <v>4</v>
      </c>
      <c r="F14" s="49">
        <v>16</v>
      </c>
      <c r="G14" s="49">
        <v>32</v>
      </c>
      <c r="H14" s="49">
        <v>64</v>
      </c>
      <c r="I14" s="49">
        <v>80</v>
      </c>
      <c r="J14" s="49">
        <v>1</v>
      </c>
      <c r="K14" s="49">
        <v>4</v>
      </c>
      <c r="L14" s="49">
        <v>16</v>
      </c>
      <c r="M14" s="49">
        <v>32</v>
      </c>
      <c r="N14" s="49">
        <v>64</v>
      </c>
      <c r="O14" s="50">
        <v>80</v>
      </c>
    </row>
    <row r="15" spans="1:15" x14ac:dyDescent="0.25">
      <c r="A15" s="51" t="s">
        <v>7</v>
      </c>
      <c r="B15" s="52" t="s">
        <v>8</v>
      </c>
      <c r="C15" s="52" t="s">
        <v>9</v>
      </c>
      <c r="D15" s="59">
        <f>IF(D5="","",(D5-'2017'!D488)/'2017'!D488)</f>
        <v>0</v>
      </c>
      <c r="E15" s="59">
        <f>IF(E5="","",(E5-'2017'!E488)/'2017'!E488)</f>
        <v>3.0501753850846424E-2</v>
      </c>
      <c r="F15" s="59">
        <f>IF(F5="","",(F5-'2017'!F488)/'2017'!F488)</f>
        <v>0</v>
      </c>
      <c r="G15" s="59" t="str">
        <f>IF(G5="","",(G5-#REF!)/#REF!)</f>
        <v/>
      </c>
      <c r="H15" s="59" t="str">
        <f>IF(H5="","",(H5-#REF!)/#REF!)</f>
        <v/>
      </c>
      <c r="I15" s="59" t="str">
        <f>IF(I5="","",(I5-#REF!)/#REF!)</f>
        <v/>
      </c>
      <c r="J15" s="55">
        <f>J5-'2015'!J35</f>
        <v>32.732442158333342</v>
      </c>
      <c r="K15" s="55">
        <f>K5-'2015'!K35</f>
        <v>26.079528657759511</v>
      </c>
      <c r="L15" s="55">
        <f>L5-'2015'!L35</f>
        <v>122.69769462905226</v>
      </c>
      <c r="M15" s="55" t="str">
        <f>IF(G15="","",M5-((1/Comparisons!#REF!)*1000000))</f>
        <v/>
      </c>
      <c r="N15" s="55" t="str">
        <f>IF(H15="","",N5-((1/Comparisons!#REF!)*1000000))</f>
        <v/>
      </c>
      <c r="O15" s="56" t="str">
        <f>IF(I15="","",O5-((1/Comparisons!#REF!)*1000000))</f>
        <v/>
      </c>
    </row>
    <row r="16" spans="1:15" x14ac:dyDescent="0.25">
      <c r="A16" s="51" t="s">
        <v>10</v>
      </c>
      <c r="B16" s="52" t="s">
        <v>8</v>
      </c>
      <c r="C16" s="52" t="s">
        <v>11</v>
      </c>
      <c r="D16" s="59">
        <f>IF(D6="","",(D6-'2017'!D489)/'2017'!D489)</f>
        <v>2.4456208999884911E-2</v>
      </c>
      <c r="E16" s="59">
        <f>IF(E6="","",(E6-'2017'!E489)/'2017'!E489)</f>
        <v>1.6637838728276091E-2</v>
      </c>
      <c r="F16" s="59">
        <f>IF(F6="","",(F6-'2017'!F489)/'2017'!F489)</f>
        <v>0</v>
      </c>
      <c r="G16" s="59" t="str">
        <f>IF(G6="","",(G6-#REF!)/#REF!)</f>
        <v/>
      </c>
      <c r="H16" s="59" t="str">
        <f>IF(H6="","",(H6-#REF!)/#REF!)</f>
        <v/>
      </c>
      <c r="I16" s="59" t="str">
        <f>IF(I6="","",(I6-#REF!)/#REF!)</f>
        <v/>
      </c>
      <c r="J16" s="55" t="e">
        <f>J6-'2015'!J36</f>
        <v>#REF!</v>
      </c>
      <c r="K16" s="55">
        <f>K6-'2015'!K36</f>
        <v>15.606801118542876</v>
      </c>
      <c r="L16" s="55">
        <f>L6-'2015'!L36</f>
        <v>118.31353134988905</v>
      </c>
      <c r="M16" s="55" t="str">
        <f>IF(G16="","",M6-((1/Comparisons!#REF!)*1000000))</f>
        <v/>
      </c>
      <c r="N16" s="55" t="str">
        <f>IF(H16="","",N6-((1/Comparisons!#REF!)*1000000))</f>
        <v/>
      </c>
      <c r="O16" s="56" t="str">
        <f>IF(I16="","",O6-((1/Comparisons!#REF!)*1000000))</f>
        <v/>
      </c>
    </row>
    <row r="17" spans="1:15" x14ac:dyDescent="0.25">
      <c r="A17" s="51" t="s">
        <v>12</v>
      </c>
      <c r="B17" s="52" t="s">
        <v>13</v>
      </c>
      <c r="C17" s="52" t="s">
        <v>9</v>
      </c>
      <c r="D17" s="59">
        <f>IF(D7="","",(D7-'2017'!D490)/'2017'!D490)</f>
        <v>-3.4389424587351072E-2</v>
      </c>
      <c r="E17" s="59">
        <f>IF(E7="","",(E7-'2017'!E490)/'2017'!E490)</f>
        <v>-1.1347833342604439E-2</v>
      </c>
      <c r="F17" s="59">
        <f>IF(F7="","",(F7-'2017'!F490)/'2017'!F490)</f>
        <v>6.9779924852388618E-3</v>
      </c>
      <c r="G17" s="59" t="str">
        <f>IF(G7="","",(G7-#REF!)/#REF!)</f>
        <v/>
      </c>
      <c r="H17" s="59" t="str">
        <f>IF(H7="","",(H7-#REF!)/#REF!)</f>
        <v/>
      </c>
      <c r="I17" s="59" t="str">
        <f>IF(I7="","",(I7-#REF!)/#REF!)</f>
        <v/>
      </c>
      <c r="J17" s="55">
        <f>J7-'2015'!J37</f>
        <v>4.9930710133673379</v>
      </c>
      <c r="K17" s="55">
        <f>K7-'2015'!K37</f>
        <v>29.31820667305551</v>
      </c>
      <c r="L17" s="55">
        <f>L7-'2015'!L37</f>
        <v>125.13716725305515</v>
      </c>
      <c r="M17" s="55" t="str">
        <f>IF(G17="","",M7-((1/Comparisons!#REF!)*1000000))</f>
        <v/>
      </c>
      <c r="N17" s="55" t="str">
        <f>IF(H17="","",N7-((1/Comparisons!#REF!)*1000000))</f>
        <v/>
      </c>
      <c r="O17" s="56" t="str">
        <f>IF(I17="","",O7-((1/Comparisons!#REF!)*1000000))</f>
        <v/>
      </c>
    </row>
    <row r="18" spans="1:15" x14ac:dyDescent="0.25">
      <c r="A18" s="51" t="s">
        <v>14</v>
      </c>
      <c r="B18" s="52" t="s">
        <v>13</v>
      </c>
      <c r="C18" s="52" t="s">
        <v>11</v>
      </c>
      <c r="D18" s="59">
        <f>IF(D8="","",(D8-'2017'!D491)/'2017'!D491)</f>
        <v>1.1269349845201239E-2</v>
      </c>
      <c r="E18" s="59">
        <f>IF(E8="","",(E8-'2017'!E491)/'2017'!E491)</f>
        <v>2.1627725180231042E-2</v>
      </c>
      <c r="F18" s="59">
        <f>IF(F8="","",(F8-'2017'!F491)/'2017'!F491)</f>
        <v>-5.7660626029654039E-3</v>
      </c>
      <c r="G18" s="59" t="str">
        <f>IF(G8="","",(G8-#REF!)/#REF!)</f>
        <v/>
      </c>
      <c r="H18" s="59" t="str">
        <f>IF(H8="","",(H8-#REF!)/#REF!)</f>
        <v/>
      </c>
      <c r="I18" s="59" t="str">
        <f>IF(I8="","",(I8-#REF!)/#REF!)</f>
        <v/>
      </c>
      <c r="J18" s="55">
        <f>J8-'2015'!J38</f>
        <v>2.1579894223456506</v>
      </c>
      <c r="K18" s="55">
        <f>K8-'2015'!K38</f>
        <v>15.570287187304544</v>
      </c>
      <c r="L18" s="55">
        <f>L8-'2015'!L38</f>
        <v>114.89970468770164</v>
      </c>
      <c r="M18" s="55" t="str">
        <f>IF(G18="","",M8-((1/Comparisons!#REF!)*1000000))</f>
        <v/>
      </c>
      <c r="N18" s="55" t="str">
        <f>IF(H18="","",N8-((1/Comparisons!#REF!)*1000000))</f>
        <v/>
      </c>
      <c r="O18" s="56" t="str">
        <f>IF(I18="","",O8-((1/Comparisons!#REF!)*1000000))</f>
        <v/>
      </c>
    </row>
    <row r="19" spans="1:15" x14ac:dyDescent="0.25">
      <c r="A19" s="51" t="s">
        <v>15</v>
      </c>
      <c r="B19" s="52" t="s">
        <v>16</v>
      </c>
      <c r="C19" s="52" t="s">
        <v>11</v>
      </c>
      <c r="D19" s="59">
        <f>IF(D9="","",(D9-'2017'!D492)/'2017'!D492)</f>
        <v>1.8574782488606546E-2</v>
      </c>
      <c r="E19" s="59">
        <f>IF(E9="","",(E9-'2017'!E492)/'2017'!E492)</f>
        <v>5.2380952380952379E-3</v>
      </c>
      <c r="F19" s="59">
        <f>IF(F9="","",(F9-'2017'!F492)/'2017'!F492)</f>
        <v>9.6294745656269626E-3</v>
      </c>
      <c r="G19" s="59" t="str">
        <f>IF(G9="","",(G9-#REF!)/#REF!)</f>
        <v/>
      </c>
      <c r="H19" s="59" t="str">
        <f>IF(H9="","",(H9-#REF!)/#REF!)</f>
        <v/>
      </c>
      <c r="I19" s="59" t="str">
        <f>IF(I9="","",(I9-#REF!)/#REF!)</f>
        <v/>
      </c>
      <c r="J19" s="55" t="e">
        <f>J9-'2015'!J39</f>
        <v>#REF!</v>
      </c>
      <c r="K19" s="55">
        <f>K9-'2015'!K39</f>
        <v>21.588938978153578</v>
      </c>
      <c r="L19" s="55">
        <f>L9-'2015'!L39</f>
        <v>115.11443110648929</v>
      </c>
      <c r="M19" s="55" t="str">
        <f>IF(G19="","",M9-((1/Comparisons!#REF!)*1000000))</f>
        <v/>
      </c>
      <c r="N19" s="55" t="str">
        <f>IF(H19="","",N9-((1/Comparisons!#REF!)*1000000))</f>
        <v/>
      </c>
      <c r="O19" s="56" t="str">
        <f>IF(I19="","",O9-((1/Comparisons!#REF!)*1000000))</f>
        <v/>
      </c>
    </row>
    <row r="20" spans="1:15" ht="15.75" thickBot="1" x14ac:dyDescent="0.3">
      <c r="A20" s="60" t="s">
        <v>17</v>
      </c>
      <c r="B20" s="61" t="s">
        <v>18</v>
      </c>
      <c r="C20" s="61" t="s">
        <v>11</v>
      </c>
      <c r="D20" s="59">
        <f>IF(D10="","",(D10-'2017'!D493)/'2017'!D493)</f>
        <v>-2.1574477851732842E-2</v>
      </c>
      <c r="E20" s="59">
        <f>IF(E10="","",(E10-'2017'!E493)/'2017'!E493)</f>
        <v>0</v>
      </c>
      <c r="F20" s="59">
        <f>IF(F10="","",(F10-'2017'!F493)/'2017'!F493)</f>
        <v>-4.7146401985111663E-2</v>
      </c>
      <c r="G20" s="62" t="str">
        <f>IF(G10="","",(G10-#REF!)/#REF!)</f>
        <v/>
      </c>
      <c r="H20" s="62" t="str">
        <f>IF(H10="","",(H10-#REF!)/#REF!)</f>
        <v/>
      </c>
      <c r="I20" s="62" t="str">
        <f>IF(I10="","",(I10-#REF!)/#REF!)</f>
        <v/>
      </c>
      <c r="J20" s="63">
        <f>J10-'2015'!J40</f>
        <v>-17.428381129490987</v>
      </c>
      <c r="K20" s="63">
        <f>K10-'2015'!K40</f>
        <v>35.955435054752712</v>
      </c>
      <c r="L20" s="63">
        <f>L10-'2015'!L40</f>
        <v>146.17091803827606</v>
      </c>
      <c r="M20" s="63" t="str">
        <f>IF(G20="","",M10-((1/Comparisons!#REF!)*1000000))</f>
        <v/>
      </c>
      <c r="N20" s="63" t="str">
        <f>IF(H20="","",N10-((1/Comparisons!#REF!)*1000000))</f>
        <v/>
      </c>
      <c r="O20" s="64" t="str">
        <f>IF(I20="","",O10-((1/Comparisons!#REF!)*1000000))</f>
        <v/>
      </c>
    </row>
    <row r="21" spans="1:15" x14ac:dyDescent="0.25">
      <c r="A21" s="52"/>
      <c r="B21" s="52"/>
      <c r="C21" s="52"/>
      <c r="D21" s="54"/>
      <c r="E21" s="54"/>
      <c r="F21" s="54"/>
      <c r="G21" s="54"/>
      <c r="H21" s="54"/>
      <c r="I21" s="54"/>
      <c r="J21" s="55"/>
      <c r="K21" s="55"/>
      <c r="L21" s="55"/>
      <c r="M21" s="55"/>
      <c r="N21" s="55"/>
      <c r="O21" s="55"/>
    </row>
    <row r="22" spans="1:15" ht="15.75" thickBot="1" x14ac:dyDescent="0.3">
      <c r="A22" s="52"/>
      <c r="B22" s="52"/>
      <c r="C22" s="52"/>
      <c r="D22" s="54"/>
      <c r="E22" s="54"/>
      <c r="F22" s="54"/>
      <c r="G22" s="54"/>
      <c r="H22" s="54"/>
      <c r="I22" s="54"/>
      <c r="J22" s="55"/>
      <c r="K22" s="55"/>
      <c r="L22" s="55"/>
      <c r="M22" s="55"/>
      <c r="N22" s="55"/>
      <c r="O22" s="55"/>
    </row>
    <row r="23" spans="1:15" ht="18.75" x14ac:dyDescent="0.25">
      <c r="A23" s="138" t="s">
        <v>159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40"/>
    </row>
    <row r="24" spans="1:15" ht="15.75" x14ac:dyDescent="0.25">
      <c r="A24" s="149" t="s">
        <v>162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2"/>
    </row>
    <row r="25" spans="1:15" x14ac:dyDescent="0.25">
      <c r="A25" s="134" t="s">
        <v>1</v>
      </c>
      <c r="B25" s="135"/>
      <c r="C25" s="135"/>
      <c r="D25" s="136" t="s">
        <v>2</v>
      </c>
      <c r="E25" s="136"/>
      <c r="F25" s="136"/>
      <c r="G25" s="136"/>
      <c r="H25" s="136"/>
      <c r="I25" s="136"/>
      <c r="J25" s="136" t="s">
        <v>3</v>
      </c>
      <c r="K25" s="136"/>
      <c r="L25" s="136"/>
      <c r="M25" s="136"/>
      <c r="N25" s="136"/>
      <c r="O25" s="137"/>
    </row>
    <row r="26" spans="1:15" x14ac:dyDescent="0.25">
      <c r="A26" s="47" t="s">
        <v>26</v>
      </c>
      <c r="B26" s="48" t="s">
        <v>5</v>
      </c>
      <c r="C26" s="48" t="s">
        <v>6</v>
      </c>
      <c r="D26" s="49">
        <v>1</v>
      </c>
      <c r="E26" s="49">
        <v>4</v>
      </c>
      <c r="F26" s="49">
        <v>16</v>
      </c>
      <c r="G26" s="49">
        <v>32</v>
      </c>
      <c r="H26" s="49">
        <v>64</v>
      </c>
      <c r="I26" s="49">
        <v>80</v>
      </c>
      <c r="J26" s="49">
        <v>1</v>
      </c>
      <c r="K26" s="49">
        <v>4</v>
      </c>
      <c r="L26" s="49">
        <v>16</v>
      </c>
      <c r="M26" s="49">
        <v>32</v>
      </c>
      <c r="N26" s="49">
        <v>64</v>
      </c>
      <c r="O26" s="50">
        <v>80</v>
      </c>
    </row>
    <row r="27" spans="1:15" x14ac:dyDescent="0.25">
      <c r="A27" s="51" t="s">
        <v>7</v>
      </c>
      <c r="B27" s="52" t="s">
        <v>8</v>
      </c>
      <c r="C27" s="52" t="s">
        <v>9</v>
      </c>
      <c r="D27" s="53">
        <v>44589</v>
      </c>
      <c r="E27" s="53">
        <v>19447</v>
      </c>
      <c r="F27" s="53">
        <v>5843</v>
      </c>
      <c r="G27" s="54"/>
      <c r="H27" s="54"/>
      <c r="I27" s="54"/>
      <c r="J27" s="55">
        <f>IF(D28="","",(1/D28)*1000000)</f>
        <v>54.297659770863874</v>
      </c>
      <c r="K27" s="55">
        <f t="shared" ref="K27:K32" si="3">IF(E27="","",(1/E27)*1000000)</f>
        <v>51.421813133131074</v>
      </c>
      <c r="L27" s="55">
        <f t="shared" ref="L27:L32" si="4">IF(F27="","",(1/F27)*1000000)</f>
        <v>171.14495978093444</v>
      </c>
      <c r="M27" s="55" t="str">
        <f t="shared" ref="M27:M32" si="5">IF(G27="","",(1/G27)*1000000)</f>
        <v/>
      </c>
      <c r="N27" s="55" t="str">
        <f t="shared" ref="N27:N32" si="6">IF(H27="","",(1/H27)*1000000)</f>
        <v/>
      </c>
      <c r="O27" s="56" t="str">
        <f t="shared" ref="O27:O32" si="7">IF(I27="","",(1/I27)*1000000)</f>
        <v/>
      </c>
    </row>
    <row r="28" spans="1:15" x14ac:dyDescent="0.25">
      <c r="A28" s="51" t="s">
        <v>10</v>
      </c>
      <c r="B28" s="52" t="s">
        <v>8</v>
      </c>
      <c r="C28" s="52" t="s">
        <v>11</v>
      </c>
      <c r="D28" s="53">
        <v>18417</v>
      </c>
      <c r="E28" s="53">
        <v>11910</v>
      </c>
      <c r="F28" s="53">
        <v>4961</v>
      </c>
      <c r="G28" s="54"/>
      <c r="H28" s="54"/>
      <c r="I28" s="54"/>
      <c r="J28" s="55" t="e">
        <f>IF(#REF!="","",(1/#REF!)*1000000)</f>
        <v>#REF!</v>
      </c>
      <c r="K28" s="55">
        <f t="shared" si="3"/>
        <v>83.963056255247693</v>
      </c>
      <c r="L28" s="55">
        <f t="shared" si="4"/>
        <v>201.57226365652087</v>
      </c>
      <c r="M28" s="55" t="str">
        <f t="shared" si="5"/>
        <v/>
      </c>
      <c r="N28" s="55" t="str">
        <f t="shared" si="6"/>
        <v/>
      </c>
      <c r="O28" s="56" t="str">
        <f t="shared" si="7"/>
        <v/>
      </c>
    </row>
    <row r="29" spans="1:15" x14ac:dyDescent="0.25">
      <c r="A29" s="51" t="s">
        <v>12</v>
      </c>
      <c r="B29" s="52" t="s">
        <v>13</v>
      </c>
      <c r="C29" s="52" t="s">
        <v>9</v>
      </c>
      <c r="D29" s="53">
        <v>39956</v>
      </c>
      <c r="E29" s="53">
        <v>17773</v>
      </c>
      <c r="F29" s="53">
        <v>5580</v>
      </c>
      <c r="G29" s="54"/>
      <c r="H29" s="54"/>
      <c r="I29" s="54"/>
      <c r="J29" s="55">
        <f t="shared" ref="J29" si="8">IF(D29="","",(1/D29)*1000000)</f>
        <v>25.027530283311641</v>
      </c>
      <c r="K29" s="55">
        <f t="shared" si="3"/>
        <v>56.265121251336296</v>
      </c>
      <c r="L29" s="55">
        <f t="shared" si="4"/>
        <v>179.21146953405017</v>
      </c>
      <c r="M29" s="55" t="str">
        <f t="shared" si="5"/>
        <v/>
      </c>
      <c r="N29" s="55" t="str">
        <f t="shared" si="6"/>
        <v/>
      </c>
      <c r="O29" s="56" t="str">
        <f t="shared" si="7"/>
        <v/>
      </c>
    </row>
    <row r="30" spans="1:15" x14ac:dyDescent="0.25">
      <c r="A30" s="51" t="s">
        <v>14</v>
      </c>
      <c r="B30" s="52" t="s">
        <v>13</v>
      </c>
      <c r="C30" s="52" t="s">
        <v>11</v>
      </c>
      <c r="D30" s="53">
        <v>16298</v>
      </c>
      <c r="E30" s="53">
        <v>11151</v>
      </c>
      <c r="F30" s="53">
        <v>4801</v>
      </c>
      <c r="G30" s="54"/>
      <c r="H30" s="54"/>
      <c r="I30" s="54"/>
      <c r="J30" s="55">
        <f>IF(D31="","",(1/D31)*1000000)</f>
        <v>66.449597979932221</v>
      </c>
      <c r="K30" s="55">
        <f t="shared" si="3"/>
        <v>89.678055779750693</v>
      </c>
      <c r="L30" s="55">
        <f t="shared" si="4"/>
        <v>208.28993959591753</v>
      </c>
      <c r="M30" s="55" t="str">
        <f t="shared" si="5"/>
        <v/>
      </c>
      <c r="N30" s="55" t="str">
        <f t="shared" si="6"/>
        <v/>
      </c>
      <c r="O30" s="56" t="str">
        <f t="shared" si="7"/>
        <v/>
      </c>
    </row>
    <row r="31" spans="1:15" x14ac:dyDescent="0.25">
      <c r="A31" s="51" t="s">
        <v>15</v>
      </c>
      <c r="B31" s="52" t="s">
        <v>16</v>
      </c>
      <c r="C31" s="52" t="s">
        <v>11</v>
      </c>
      <c r="D31" s="53">
        <v>15049</v>
      </c>
      <c r="E31" s="53">
        <v>8295</v>
      </c>
      <c r="F31" s="53">
        <v>4765</v>
      </c>
      <c r="G31" s="54"/>
      <c r="H31" s="54"/>
      <c r="I31" s="54"/>
      <c r="J31" s="55" t="e">
        <f>IF(#REF!="","",(1/#REF!)*1000000)</f>
        <v>#REF!</v>
      </c>
      <c r="K31" s="55">
        <f t="shared" si="3"/>
        <v>120.55455093429778</v>
      </c>
      <c r="L31" s="55">
        <f t="shared" si="4"/>
        <v>209.8635886673662</v>
      </c>
      <c r="M31" s="55" t="str">
        <f t="shared" si="5"/>
        <v/>
      </c>
      <c r="N31" s="55" t="str">
        <f t="shared" si="6"/>
        <v/>
      </c>
      <c r="O31" s="56" t="str">
        <f t="shared" si="7"/>
        <v/>
      </c>
    </row>
    <row r="32" spans="1:15" x14ac:dyDescent="0.25">
      <c r="A32" s="51" t="s">
        <v>17</v>
      </c>
      <c r="B32" s="52" t="s">
        <v>18</v>
      </c>
      <c r="C32" s="52" t="s">
        <v>11</v>
      </c>
      <c r="D32" s="53">
        <v>12740</v>
      </c>
      <c r="E32" s="53">
        <v>8817</v>
      </c>
      <c r="F32" s="53">
        <v>4224</v>
      </c>
      <c r="G32" s="54"/>
      <c r="H32" s="54"/>
      <c r="I32" s="54"/>
      <c r="J32" s="55">
        <f t="shared" ref="J32" si="9">IF(D32="","",(1/D32)*1000000)</f>
        <v>78.492935635792776</v>
      </c>
      <c r="K32" s="55">
        <f t="shared" si="3"/>
        <v>113.41726210729273</v>
      </c>
      <c r="L32" s="55">
        <f t="shared" si="4"/>
        <v>236.74242424242425</v>
      </c>
      <c r="M32" s="55" t="str">
        <f t="shared" si="5"/>
        <v/>
      </c>
      <c r="N32" s="55" t="str">
        <f t="shared" si="6"/>
        <v/>
      </c>
      <c r="O32" s="56" t="str">
        <f t="shared" si="7"/>
        <v/>
      </c>
    </row>
    <row r="33" spans="1:15" x14ac:dyDescent="0.25">
      <c r="A33" s="147" t="s">
        <v>163</v>
      </c>
      <c r="B33" s="148"/>
      <c r="C33" s="148"/>
      <c r="D33" s="148"/>
      <c r="E33" s="143"/>
      <c r="F33" s="143"/>
      <c r="G33" s="143"/>
      <c r="H33" s="143"/>
      <c r="I33" s="143"/>
      <c r="J33" s="57"/>
      <c r="K33" s="57"/>
      <c r="L33" s="57"/>
      <c r="M33" s="57"/>
      <c r="N33" s="57"/>
      <c r="O33" s="58"/>
    </row>
    <row r="34" spans="1:15" ht="18.75" x14ac:dyDescent="0.3">
      <c r="A34" s="146" t="s">
        <v>154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5"/>
    </row>
    <row r="35" spans="1:15" x14ac:dyDescent="0.25">
      <c r="A35" s="134" t="s">
        <v>1</v>
      </c>
      <c r="B35" s="135"/>
      <c r="C35" s="135"/>
      <c r="D35" s="136" t="s">
        <v>19</v>
      </c>
      <c r="E35" s="136"/>
      <c r="F35" s="136"/>
      <c r="G35" s="136"/>
      <c r="H35" s="136"/>
      <c r="I35" s="136"/>
      <c r="J35" s="136" t="s">
        <v>22</v>
      </c>
      <c r="K35" s="136"/>
      <c r="L35" s="136"/>
      <c r="M35" s="136"/>
      <c r="N35" s="136"/>
      <c r="O35" s="137"/>
    </row>
    <row r="36" spans="1:15" x14ac:dyDescent="0.25">
      <c r="A36" s="47" t="s">
        <v>4</v>
      </c>
      <c r="B36" s="48" t="s">
        <v>5</v>
      </c>
      <c r="C36" s="48" t="s">
        <v>6</v>
      </c>
      <c r="D36" s="49">
        <v>1</v>
      </c>
      <c r="E36" s="49">
        <v>4</v>
      </c>
      <c r="F36" s="49">
        <v>16</v>
      </c>
      <c r="G36" s="49">
        <v>32</v>
      </c>
      <c r="H36" s="49">
        <v>64</v>
      </c>
      <c r="I36" s="49">
        <v>80</v>
      </c>
      <c r="J36" s="49">
        <v>1</v>
      </c>
      <c r="K36" s="49">
        <v>4</v>
      </c>
      <c r="L36" s="49">
        <v>16</v>
      </c>
      <c r="M36" s="49">
        <v>32</v>
      </c>
      <c r="N36" s="49">
        <v>64</v>
      </c>
      <c r="O36" s="50">
        <v>80</v>
      </c>
    </row>
    <row r="37" spans="1:15" x14ac:dyDescent="0.25">
      <c r="A37" s="51" t="s">
        <v>7</v>
      </c>
      <c r="B37" s="52" t="s">
        <v>8</v>
      </c>
      <c r="C37" s="52" t="s">
        <v>9</v>
      </c>
      <c r="D37" s="59">
        <f>IF(D27="","",(D27-'2017'!D488)/'2017'!D488)</f>
        <v>3.1746766318809724E-2</v>
      </c>
      <c r="E37" s="59">
        <f>IF(E27="","",(E27-'2017'!E488)/'2017'!E488)</f>
        <v>-1.1387321437649332E-2</v>
      </c>
      <c r="F37" s="59">
        <f>IF(F27="","",(F27-'2017'!F488)/'2017'!F488)</f>
        <v>0</v>
      </c>
      <c r="G37" s="59" t="str">
        <f>IF(G27="","",(G27-#REF!)/#REF!)</f>
        <v/>
      </c>
      <c r="H37" s="59" t="str">
        <f>IF(H27="","",(H27-#REF!)/#REF!)</f>
        <v/>
      </c>
      <c r="I37" s="59" t="str">
        <f>IF(I27="","",(I27-#REF!)/#REF!)</f>
        <v/>
      </c>
      <c r="J37" s="55">
        <f>J27-'2015'!J57</f>
        <v>57.081226741649743</v>
      </c>
      <c r="K37" s="55">
        <f>K27-'2015'!K57</f>
        <v>54.731169166934649</v>
      </c>
      <c r="L37" s="55">
        <f>L27-'2015'!L57</f>
        <v>174.01305567792497</v>
      </c>
      <c r="M37" s="55" t="str">
        <f>IF(G37="","",M27-((1/Comparisons!#REF!)*1000000))</f>
        <v/>
      </c>
      <c r="N37" s="55" t="str">
        <f>IF(H37="","",N27-((1/Comparisons!#REF!)*1000000))</f>
        <v/>
      </c>
      <c r="O37" s="56" t="str">
        <f>IF(I37="","",O27-((1/Comparisons!#REF!)*1000000))</f>
        <v/>
      </c>
    </row>
    <row r="38" spans="1:15" x14ac:dyDescent="0.25">
      <c r="A38" s="51" t="s">
        <v>10</v>
      </c>
      <c r="B38" s="52" t="s">
        <v>8</v>
      </c>
      <c r="C38" s="52" t="s">
        <v>11</v>
      </c>
      <c r="D38" s="59">
        <f>IF(D28="","",(D28-'2017'!D489)/'2017'!D489)</f>
        <v>5.9788238002071586E-2</v>
      </c>
      <c r="E38" s="59">
        <f>IF(E28="","",(E28-'2017'!E489)/'2017'!E489)</f>
        <v>-1.9026439337781073E-2</v>
      </c>
      <c r="F38" s="59">
        <f>IF(F28="","",(F28-'2017'!F489)/'2017'!F489)</f>
        <v>-6.8068068068068066E-3</v>
      </c>
      <c r="G38" s="59" t="str">
        <f>IF(G28="","",(G28-#REF!)/#REF!)</f>
        <v/>
      </c>
      <c r="H38" s="59" t="str">
        <f>IF(H28="","",(H28-#REF!)/#REF!)</f>
        <v/>
      </c>
      <c r="I38" s="59" t="str">
        <f>IF(I28="","",(I28-#REF!)/#REF!)</f>
        <v/>
      </c>
      <c r="J38" s="55" t="e">
        <f>J28-'2015'!J58</f>
        <v>#REF!</v>
      </c>
      <c r="K38" s="55">
        <f>K28-'2015'!K58</f>
        <v>96.166438573498255</v>
      </c>
      <c r="L38" s="55">
        <f>L28-'2015'!L58</f>
        <v>213.04903215696891</v>
      </c>
      <c r="M38" s="55" t="str">
        <f>IF(G38="","",M28-((1/Comparisons!#REF!)*1000000))</f>
        <v/>
      </c>
      <c r="N38" s="55" t="str">
        <f>IF(H38="","",N28-((1/Comparisons!#REF!)*1000000))</f>
        <v/>
      </c>
      <c r="O38" s="56" t="str">
        <f>IF(I38="","",O28-((1/Comparisons!#REF!)*1000000))</f>
        <v/>
      </c>
    </row>
    <row r="39" spans="1:15" x14ac:dyDescent="0.25">
      <c r="A39" s="51" t="s">
        <v>12</v>
      </c>
      <c r="B39" s="52" t="s">
        <v>13</v>
      </c>
      <c r="C39" s="52" t="s">
        <v>9</v>
      </c>
      <c r="D39" s="59">
        <f>IF(D29="","",(D29-'2017'!D490)/'2017'!D490)</f>
        <v>-3.4389424587351072E-2</v>
      </c>
      <c r="E39" s="59">
        <f>IF(E29="","",(E29-'2017'!E490)/'2017'!E490)</f>
        <v>-1.1347833342604439E-2</v>
      </c>
      <c r="F39" s="59">
        <f>IF(F29="","",(F29-'2017'!F490)/'2017'!F490)</f>
        <v>-1.6103059581320451E-3</v>
      </c>
      <c r="G39" s="59" t="str">
        <f>IF(G29="","",(G29-#REF!)/#REF!)</f>
        <v/>
      </c>
      <c r="H39" s="59" t="str">
        <f>IF(H29="","",(H29-#REF!)/#REF!)</f>
        <v/>
      </c>
      <c r="I39" s="59" t="str">
        <f>IF(I29="","",(I29-#REF!)/#REF!)</f>
        <v/>
      </c>
      <c r="J39" s="55">
        <f>J29-'2015'!J59</f>
        <v>40.723160155666172</v>
      </c>
      <c r="K39" s="55">
        <f>K29-'2015'!K59</f>
        <v>69.812422452619117</v>
      </c>
      <c r="L39" s="55">
        <f>L29-'2015'!L59</f>
        <v>185.10224020394102</v>
      </c>
      <c r="M39" s="55" t="str">
        <f>IF(G39="","",M29-((1/Comparisons!#REF!)*1000000))</f>
        <v/>
      </c>
      <c r="N39" s="55" t="str">
        <f>IF(H39="","",N29-((1/Comparisons!#REF!)*1000000))</f>
        <v/>
      </c>
      <c r="O39" s="56" t="str">
        <f>IF(I39="","",O29-((1/Comparisons!#REF!)*1000000))</f>
        <v/>
      </c>
    </row>
    <row r="40" spans="1:15" x14ac:dyDescent="0.25">
      <c r="A40" s="51" t="s">
        <v>14</v>
      </c>
      <c r="B40" s="52" t="s">
        <v>13</v>
      </c>
      <c r="C40" s="52" t="s">
        <v>11</v>
      </c>
      <c r="D40" s="59">
        <f>IF(D30="","",(D30-'2017'!D491)/'2017'!D491)</f>
        <v>9.1640866873065017E-3</v>
      </c>
      <c r="E40" s="59">
        <f>IF(E30="","",(E30-'2017'!E491)/'2017'!E491)</f>
        <v>-3.1442716928689309E-2</v>
      </c>
      <c r="F40" s="59">
        <f>IF(F30="","",(F30-'2017'!F491)/'2017'!F491)</f>
        <v>-1.1326194398682043E-2</v>
      </c>
      <c r="G40" s="59" t="str">
        <f>IF(G30="","",(G30-#REF!)/#REF!)</f>
        <v/>
      </c>
      <c r="H40" s="59" t="str">
        <f>IF(H30="","",(H30-#REF!)/#REF!)</f>
        <v/>
      </c>
      <c r="I40" s="59" t="str">
        <f>IF(I30="","",(I30-#REF!)/#REF!)</f>
        <v/>
      </c>
      <c r="J40" s="55">
        <f>J30-'2015'!J60</f>
        <v>62.446061201226968</v>
      </c>
      <c r="K40" s="55">
        <f>K30-'2015'!K60</f>
        <v>113.05285854759369</v>
      </c>
      <c r="L40" s="55">
        <f>L30-'2015'!L60</f>
        <v>214.02971144242909</v>
      </c>
      <c r="M40" s="55" t="str">
        <f>IF(G40="","",M30-((1/Comparisons!#REF!)*1000000))</f>
        <v/>
      </c>
      <c r="N40" s="55" t="str">
        <f>IF(H40="","",N30-((1/Comparisons!#REF!)*1000000))</f>
        <v/>
      </c>
      <c r="O40" s="56" t="str">
        <f>IF(I40="","",O30-((1/Comparisons!#REF!)*1000000))</f>
        <v/>
      </c>
    </row>
    <row r="41" spans="1:15" x14ac:dyDescent="0.25">
      <c r="A41" s="51" t="s">
        <v>15</v>
      </c>
      <c r="B41" s="52" t="s">
        <v>16</v>
      </c>
      <c r="C41" s="52" t="s">
        <v>11</v>
      </c>
      <c r="D41" s="59">
        <f>IF(D31="","",(D31-'2017'!D492)/'2017'!D492)</f>
        <v>3.9152050821709708E-2</v>
      </c>
      <c r="E41" s="59">
        <f>IF(E31="","",(E31-'2017'!E492)/'2017'!E492)</f>
        <v>-0.21</v>
      </c>
      <c r="F41" s="59">
        <f>IF(F31="","",(F31-'2017'!F492)/'2017'!F492)</f>
        <v>-2.5120368432070338E-3</v>
      </c>
      <c r="G41" s="59" t="str">
        <f>IF(G31="","",(G31-#REF!)/#REF!)</f>
        <v/>
      </c>
      <c r="H41" s="59" t="str">
        <f>IF(H31="","",(H31-#REF!)/#REF!)</f>
        <v/>
      </c>
      <c r="I41" s="59" t="str">
        <f>IF(I31="","",(I31-#REF!)/#REF!)</f>
        <v/>
      </c>
      <c r="J41" s="55" t="e">
        <f>J31-'2015'!J61</f>
        <v>#REF!</v>
      </c>
      <c r="K41" s="55">
        <f>K31-'2015'!K61</f>
        <v>120.55455093429778</v>
      </c>
      <c r="L41" s="55">
        <f>L31-'2015'!L61</f>
        <v>209.8635886673662</v>
      </c>
      <c r="M41" s="55" t="str">
        <f>IF(G41="","",M31-((1/Comparisons!#REF!)*1000000))</f>
        <v/>
      </c>
      <c r="N41" s="55" t="str">
        <f>IF(H41="","",N31-((1/Comparisons!#REF!)*1000000))</f>
        <v/>
      </c>
      <c r="O41" s="56" t="str">
        <f>IF(I41="","",O31-((1/Comparisons!#REF!)*1000000))</f>
        <v/>
      </c>
    </row>
    <row r="42" spans="1:15" ht="15.75" thickBot="1" x14ac:dyDescent="0.3">
      <c r="A42" s="60" t="s">
        <v>17</v>
      </c>
      <c r="B42" s="61" t="s">
        <v>18</v>
      </c>
      <c r="C42" s="61" t="s">
        <v>11</v>
      </c>
      <c r="D42" s="59">
        <f>IF(D32="","",(D32-'2017'!D493)/'2017'!D493)</f>
        <v>-2.5323234641572948E-2</v>
      </c>
      <c r="E42" s="59">
        <f>IF(E32="","",(E32-'2017'!E493)/'2017'!E493)</f>
        <v>-3.3909799932180401E-3</v>
      </c>
      <c r="F42" s="59">
        <f>IF(F32="","",(F32-'2017'!F493)/'2017'!F493)</f>
        <v>-4.7146401985111663E-2</v>
      </c>
      <c r="G42" s="62" t="str">
        <f>IF(G32="","",(G32-#REF!)/#REF!)</f>
        <v/>
      </c>
      <c r="H42" s="62" t="str">
        <f>IF(H32="","",(H32-#REF!)/#REF!)</f>
        <v/>
      </c>
      <c r="I42" s="62" t="str">
        <f>IF(I32="","",(I32-#REF!)/#REF!)</f>
        <v/>
      </c>
      <c r="J42" s="63">
        <f>J32-'2015'!J62</f>
        <v>78.492935635792776</v>
      </c>
      <c r="K42" s="63">
        <f>K32-'2015'!K62</f>
        <v>113.41726210729273</v>
      </c>
      <c r="L42" s="63">
        <f>L32-'2015'!L62</f>
        <v>236.74242424242425</v>
      </c>
      <c r="M42" s="63" t="str">
        <f>IF(G42="","",M32-((1/Comparisons!#REF!)*1000000))</f>
        <v/>
      </c>
      <c r="N42" s="63" t="str">
        <f>IF(H42="","",N32-((1/Comparisons!#REF!)*1000000))</f>
        <v/>
      </c>
      <c r="O42" s="64" t="str">
        <f>IF(I42="","",O32-((1/Comparisons!#REF!)*1000000))</f>
        <v/>
      </c>
    </row>
    <row r="43" spans="1:15" ht="18.75" x14ac:dyDescent="0.25">
      <c r="A43" s="138" t="s">
        <v>159</v>
      </c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40"/>
    </row>
    <row r="44" spans="1:15" ht="15.75" x14ac:dyDescent="0.25">
      <c r="A44" s="149" t="s">
        <v>164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2"/>
    </row>
    <row r="45" spans="1:15" x14ac:dyDescent="0.25">
      <c r="A45" s="134" t="s">
        <v>1</v>
      </c>
      <c r="B45" s="135"/>
      <c r="C45" s="135"/>
      <c r="D45" s="136" t="s">
        <v>2</v>
      </c>
      <c r="E45" s="136"/>
      <c r="F45" s="136"/>
      <c r="G45" s="136"/>
      <c r="H45" s="136"/>
      <c r="I45" s="136"/>
      <c r="J45" s="136" t="s">
        <v>3</v>
      </c>
      <c r="K45" s="136"/>
      <c r="L45" s="136"/>
      <c r="M45" s="136"/>
      <c r="N45" s="136"/>
      <c r="O45" s="137"/>
    </row>
    <row r="46" spans="1:15" x14ac:dyDescent="0.25">
      <c r="A46" s="47" t="s">
        <v>26</v>
      </c>
      <c r="B46" s="48" t="s">
        <v>5</v>
      </c>
      <c r="C46" s="48" t="s">
        <v>6</v>
      </c>
      <c r="D46" s="49">
        <v>1</v>
      </c>
      <c r="E46" s="49">
        <v>4</v>
      </c>
      <c r="F46" s="49">
        <v>16</v>
      </c>
      <c r="G46" s="49">
        <v>32</v>
      </c>
      <c r="H46" s="49">
        <v>64</v>
      </c>
      <c r="I46" s="49">
        <v>80</v>
      </c>
      <c r="J46" s="49">
        <v>1</v>
      </c>
      <c r="K46" s="49">
        <v>4</v>
      </c>
      <c r="L46" s="49">
        <v>16</v>
      </c>
      <c r="M46" s="49">
        <v>32</v>
      </c>
      <c r="N46" s="49">
        <v>64</v>
      </c>
      <c r="O46" s="50">
        <v>80</v>
      </c>
    </row>
    <row r="47" spans="1:15" x14ac:dyDescent="0.25">
      <c r="A47" s="51" t="s">
        <v>7</v>
      </c>
      <c r="B47" s="52" t="s">
        <v>8</v>
      </c>
      <c r="C47" s="52" t="s">
        <v>9</v>
      </c>
      <c r="D47" s="53">
        <v>44814</v>
      </c>
      <c r="E47" s="53">
        <v>20112</v>
      </c>
      <c r="F47" s="53">
        <v>5832</v>
      </c>
      <c r="G47" s="54"/>
      <c r="H47" s="54"/>
      <c r="I47" s="54"/>
      <c r="J47" s="55">
        <f>IF(D48="","",(1/D48)*1000000)</f>
        <v>55.878408582923562</v>
      </c>
      <c r="K47" s="55">
        <f t="shared" ref="K47:K52" si="10">IF(E47="","",(1/E47)*1000000)</f>
        <v>49.721559268098652</v>
      </c>
      <c r="L47" s="55">
        <f t="shared" ref="L47:L52" si="11">IF(F47="","",(1/F47)*1000000)</f>
        <v>171.46776406035664</v>
      </c>
      <c r="M47" s="55" t="str">
        <f t="shared" ref="M47:M52" si="12">IF(G47="","",(1/G47)*1000000)</f>
        <v/>
      </c>
      <c r="N47" s="55" t="str">
        <f t="shared" ref="N47:N52" si="13">IF(H47="","",(1/H47)*1000000)</f>
        <v/>
      </c>
      <c r="O47" s="56" t="str">
        <f t="shared" ref="O47:O52" si="14">IF(I47="","",(1/I47)*1000000)</f>
        <v/>
      </c>
    </row>
    <row r="48" spans="1:15" x14ac:dyDescent="0.25">
      <c r="A48" s="51" t="s">
        <v>10</v>
      </c>
      <c r="B48" s="52" t="s">
        <v>8</v>
      </c>
      <c r="C48" s="52" t="s">
        <v>11</v>
      </c>
      <c r="D48" s="53">
        <v>17896</v>
      </c>
      <c r="E48" s="53">
        <v>11886</v>
      </c>
      <c r="F48" s="53">
        <v>5032</v>
      </c>
      <c r="G48" s="54"/>
      <c r="H48" s="54"/>
      <c r="I48" s="54"/>
      <c r="J48" s="55" t="e">
        <f>IF(#REF!="","",(1/#REF!)*1000000)</f>
        <v>#REF!</v>
      </c>
      <c r="K48" s="55">
        <f t="shared" si="10"/>
        <v>84.132592966515233</v>
      </c>
      <c r="L48" s="55">
        <f t="shared" si="11"/>
        <v>198.72813990461052</v>
      </c>
      <c r="M48" s="55" t="str">
        <f t="shared" si="12"/>
        <v/>
      </c>
      <c r="N48" s="55" t="str">
        <f t="shared" si="13"/>
        <v/>
      </c>
      <c r="O48" s="56" t="str">
        <f t="shared" si="14"/>
        <v/>
      </c>
    </row>
    <row r="49" spans="1:15" x14ac:dyDescent="0.25">
      <c r="A49" s="51" t="s">
        <v>12</v>
      </c>
      <c r="B49" s="52" t="s">
        <v>13</v>
      </c>
      <c r="C49" s="52" t="s">
        <v>9</v>
      </c>
      <c r="D49" s="53">
        <v>43215</v>
      </c>
      <c r="E49" s="53">
        <v>17725</v>
      </c>
      <c r="F49" s="53">
        <v>5608</v>
      </c>
      <c r="G49" s="54"/>
      <c r="H49" s="54"/>
      <c r="I49" s="54"/>
      <c r="J49" s="55">
        <f t="shared" ref="J49" si="15">IF(D49="","",(1/D49)*1000000)</f>
        <v>23.140113386555594</v>
      </c>
      <c r="K49" s="55">
        <f t="shared" si="10"/>
        <v>56.417489421720731</v>
      </c>
      <c r="L49" s="55">
        <f t="shared" si="11"/>
        <v>178.31669044222539</v>
      </c>
      <c r="M49" s="55" t="str">
        <f t="shared" si="12"/>
        <v/>
      </c>
      <c r="N49" s="55" t="str">
        <f t="shared" si="13"/>
        <v/>
      </c>
      <c r="O49" s="56" t="str">
        <f t="shared" si="14"/>
        <v/>
      </c>
    </row>
    <row r="50" spans="1:15" x14ac:dyDescent="0.25">
      <c r="A50" s="51" t="s">
        <v>14</v>
      </c>
      <c r="B50" s="52" t="s">
        <v>13</v>
      </c>
      <c r="C50" s="52" t="s">
        <v>11</v>
      </c>
      <c r="D50" s="53">
        <v>17981</v>
      </c>
      <c r="E50" s="53">
        <v>11708</v>
      </c>
      <c r="F50" s="53">
        <v>4789</v>
      </c>
      <c r="G50" s="54"/>
      <c r="H50" s="54"/>
      <c r="I50" s="54"/>
      <c r="J50" s="55" t="e">
        <f>IF(#REF!="","",(1/#REF!)*1000000)</f>
        <v>#REF!</v>
      </c>
      <c r="K50" s="55">
        <f t="shared" si="10"/>
        <v>85.411684318414757</v>
      </c>
      <c r="L50" s="55">
        <f t="shared" si="11"/>
        <v>208.81186051367717</v>
      </c>
      <c r="M50" s="55" t="str">
        <f t="shared" si="12"/>
        <v/>
      </c>
      <c r="N50" s="55" t="str">
        <f t="shared" si="13"/>
        <v/>
      </c>
      <c r="O50" s="56" t="str">
        <f t="shared" si="14"/>
        <v/>
      </c>
    </row>
    <row r="51" spans="1:15" x14ac:dyDescent="0.25">
      <c r="A51" s="51" t="s">
        <v>15</v>
      </c>
      <c r="B51" s="52" t="s">
        <v>16</v>
      </c>
      <c r="C51" s="52" t="s">
        <v>11</v>
      </c>
      <c r="D51" s="53">
        <v>13841</v>
      </c>
      <c r="E51" s="53">
        <v>10496</v>
      </c>
      <c r="F51" s="53">
        <v>4753</v>
      </c>
      <c r="G51" s="54"/>
      <c r="H51" s="54"/>
      <c r="I51" s="54"/>
      <c r="J51" s="55" t="e">
        <f>IF(#REF!="","",(1/#REF!)*1000000)</f>
        <v>#REF!</v>
      </c>
      <c r="K51" s="55">
        <f t="shared" si="10"/>
        <v>95.274390243902445</v>
      </c>
      <c r="L51" s="55">
        <f t="shared" si="11"/>
        <v>210.39343572480539</v>
      </c>
      <c r="M51" s="55" t="str">
        <f t="shared" si="12"/>
        <v/>
      </c>
      <c r="N51" s="55" t="str">
        <f t="shared" si="13"/>
        <v/>
      </c>
      <c r="O51" s="56" t="str">
        <f t="shared" si="14"/>
        <v/>
      </c>
    </row>
    <row r="52" spans="1:15" x14ac:dyDescent="0.25">
      <c r="A52" s="51" t="s">
        <v>17</v>
      </c>
      <c r="B52" s="52" t="s">
        <v>18</v>
      </c>
      <c r="C52" s="52" t="s">
        <v>11</v>
      </c>
      <c r="D52" s="53">
        <v>12190</v>
      </c>
      <c r="E52" s="53">
        <v>8962</v>
      </c>
      <c r="F52" s="53">
        <v>4267</v>
      </c>
      <c r="G52" s="54"/>
      <c r="H52" s="54"/>
      <c r="I52" s="54"/>
      <c r="J52" s="55">
        <f t="shared" ref="J52" si="16">IF(D52="","",(1/D52)*1000000)</f>
        <v>82.034454470877762</v>
      </c>
      <c r="K52" s="55">
        <f t="shared" si="10"/>
        <v>111.5822361080116</v>
      </c>
      <c r="L52" s="55">
        <f t="shared" si="11"/>
        <v>234.35669088352472</v>
      </c>
      <c r="M52" s="55" t="str">
        <f t="shared" si="12"/>
        <v/>
      </c>
      <c r="N52" s="55" t="str">
        <f t="shared" si="13"/>
        <v/>
      </c>
      <c r="O52" s="56" t="str">
        <f t="shared" si="14"/>
        <v/>
      </c>
    </row>
    <row r="53" spans="1:15" x14ac:dyDescent="0.25">
      <c r="A53" s="147" t="s">
        <v>165</v>
      </c>
      <c r="B53" s="148"/>
      <c r="C53" s="148"/>
      <c r="D53" s="148"/>
      <c r="E53" s="143"/>
      <c r="F53" s="143"/>
      <c r="G53" s="143"/>
      <c r="H53" s="143"/>
      <c r="I53" s="143"/>
      <c r="J53" s="57"/>
      <c r="K53" s="57"/>
      <c r="L53" s="57"/>
      <c r="M53" s="57"/>
      <c r="N53" s="57"/>
      <c r="O53" s="58"/>
    </row>
    <row r="54" spans="1:15" ht="18.75" x14ac:dyDescent="0.3">
      <c r="A54" s="146" t="s">
        <v>154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5"/>
    </row>
    <row r="55" spans="1:15" x14ac:dyDescent="0.25">
      <c r="A55" s="134" t="s">
        <v>1</v>
      </c>
      <c r="B55" s="135"/>
      <c r="C55" s="135"/>
      <c r="D55" s="136" t="s">
        <v>19</v>
      </c>
      <c r="E55" s="136"/>
      <c r="F55" s="136"/>
      <c r="G55" s="136"/>
      <c r="H55" s="136"/>
      <c r="I55" s="136"/>
      <c r="J55" s="136" t="s">
        <v>22</v>
      </c>
      <c r="K55" s="136"/>
      <c r="L55" s="136"/>
      <c r="M55" s="136"/>
      <c r="N55" s="136"/>
      <c r="O55" s="137"/>
    </row>
    <row r="56" spans="1:15" x14ac:dyDescent="0.25">
      <c r="A56" s="47" t="s">
        <v>4</v>
      </c>
      <c r="B56" s="48" t="s">
        <v>5</v>
      </c>
      <c r="C56" s="48" t="s">
        <v>6</v>
      </c>
      <c r="D56" s="49">
        <v>1</v>
      </c>
      <c r="E56" s="49">
        <v>4</v>
      </c>
      <c r="F56" s="49">
        <v>16</v>
      </c>
      <c r="G56" s="49">
        <v>32</v>
      </c>
      <c r="H56" s="49">
        <v>64</v>
      </c>
      <c r="I56" s="49">
        <v>80</v>
      </c>
      <c r="J56" s="49">
        <v>1</v>
      </c>
      <c r="K56" s="49">
        <v>4</v>
      </c>
      <c r="L56" s="49">
        <v>16</v>
      </c>
      <c r="M56" s="49">
        <v>32</v>
      </c>
      <c r="N56" s="49">
        <v>64</v>
      </c>
      <c r="O56" s="50">
        <v>80</v>
      </c>
    </row>
    <row r="57" spans="1:15" x14ac:dyDescent="0.25">
      <c r="A57" s="51" t="s">
        <v>7</v>
      </c>
      <c r="B57" s="52" t="s">
        <v>8</v>
      </c>
      <c r="C57" s="52" t="s">
        <v>9</v>
      </c>
      <c r="D57" s="59">
        <f>IF(D47="","",(D47-'2017'!D488)/'2017'!D488)</f>
        <v>3.6953050882754475E-2</v>
      </c>
      <c r="E57" s="59">
        <f>IF(E47="","",(E47-'2017'!E488)/'2017'!E488)</f>
        <v>2.241878908037212E-2</v>
      </c>
      <c r="F57" s="59">
        <f>IF(F47="","",(F47-'2017'!F488)/'2017'!F488)</f>
        <v>-1.8825945575902789E-3</v>
      </c>
      <c r="G57" s="59" t="str">
        <f>IF(G47="","",(G47-#REF!)/#REF!)</f>
        <v/>
      </c>
      <c r="H57" s="59" t="str">
        <f>IF(H47="","",(H47-#REF!)/#REF!)</f>
        <v/>
      </c>
      <c r="I57" s="59" t="str">
        <f>IF(I47="","",(I47-#REF!)/#REF!)</f>
        <v/>
      </c>
      <c r="J57" s="55">
        <f>J47-'2015'!J77</f>
        <v>47.249031790142553</v>
      </c>
      <c r="K57" s="55">
        <f>K47-'2015'!K77</f>
        <v>42.883224016250757</v>
      </c>
      <c r="L57" s="55">
        <f>L47-'2015'!L77</f>
        <v>161.59447695544668</v>
      </c>
      <c r="M57" s="55" t="str">
        <f>IF(G57="","",M47-((1/Comparisons!#REF!)*1000000))</f>
        <v/>
      </c>
      <c r="N57" s="55" t="str">
        <f>IF(H57="","",N47-((1/Comparisons!#REF!)*1000000))</f>
        <v/>
      </c>
      <c r="O57" s="56" t="str">
        <f>IF(I57="","",O47-((1/Comparisons!#REF!)*1000000))</f>
        <v/>
      </c>
    </row>
    <row r="58" spans="1:15" x14ac:dyDescent="0.25">
      <c r="A58" s="51" t="s">
        <v>10</v>
      </c>
      <c r="B58" s="52" t="s">
        <v>8</v>
      </c>
      <c r="C58" s="52" t="s">
        <v>11</v>
      </c>
      <c r="D58" s="59">
        <f>IF(D48="","",(D48-'2017'!D489)/'2017'!D489)</f>
        <v>2.9807802969271494E-2</v>
      </c>
      <c r="E58" s="59">
        <f>IF(E48="","",(E48-'2017'!E489)/'2017'!E489)</f>
        <v>-2.1003212255992092E-2</v>
      </c>
      <c r="F58" s="59">
        <f>IF(F48="","",(F48-'2017'!F489)/'2017'!F489)</f>
        <v>7.4074074074074077E-3</v>
      </c>
      <c r="G58" s="59" t="str">
        <f>IF(G48="","",(G48-#REF!)/#REF!)</f>
        <v/>
      </c>
      <c r="H58" s="59" t="str">
        <f>IF(H48="","",(H48-#REF!)/#REF!)</f>
        <v/>
      </c>
      <c r="I58" s="59" t="str">
        <f>IF(I48="","",(I48-#REF!)/#REF!)</f>
        <v/>
      </c>
      <c r="J58" s="55" t="e">
        <f>J48-'2015'!J78</f>
        <v>#REF!</v>
      </c>
      <c r="K58" s="55">
        <f>K48-'2015'!K78</f>
        <v>84.132592966515233</v>
      </c>
      <c r="L58" s="55">
        <f>L48-'2015'!L78</f>
        <v>198.58972294488538</v>
      </c>
      <c r="M58" s="55" t="str">
        <f>IF(G58="","",M48-((1/Comparisons!#REF!)*1000000))</f>
        <v/>
      </c>
      <c r="N58" s="55" t="str">
        <f>IF(H58="","",N48-((1/Comparisons!#REF!)*1000000))</f>
        <v/>
      </c>
      <c r="O58" s="56" t="str">
        <f>IF(I58="","",O48-((1/Comparisons!#REF!)*1000000))</f>
        <v/>
      </c>
    </row>
    <row r="59" spans="1:15" x14ac:dyDescent="0.25">
      <c r="A59" s="51" t="s">
        <v>12</v>
      </c>
      <c r="B59" s="52" t="s">
        <v>13</v>
      </c>
      <c r="C59" s="52" t="s">
        <v>9</v>
      </c>
      <c r="D59" s="59">
        <f>IF(D49="","",(D49-'2017'!D490)/'2017'!D490)</f>
        <v>4.437033277749583E-2</v>
      </c>
      <c r="E59" s="59">
        <f>IF(E49="","",(E49-'2017'!E490)/'2017'!E490)</f>
        <v>-1.4017911776158425E-2</v>
      </c>
      <c r="F59" s="59">
        <f>IF(F49="","",(F49-'2017'!F490)/'2017'!F490)</f>
        <v>3.3995348005009841E-3</v>
      </c>
      <c r="G59" s="59" t="str">
        <f>IF(G49="","",(G49-#REF!)/#REF!)</f>
        <v/>
      </c>
      <c r="H59" s="59" t="str">
        <f>IF(H49="","",(H49-#REF!)/#REF!)</f>
        <v/>
      </c>
      <c r="I59" s="59" t="str">
        <f>IF(I49="","",(I49-#REF!)/#REF!)</f>
        <v/>
      </c>
      <c r="J59" s="55">
        <f>J49-'2015'!J79</f>
        <v>18.455595065159837</v>
      </c>
      <c r="K59" s="55">
        <f>K49-'2015'!K79</f>
        <v>46.583477575524697</v>
      </c>
      <c r="L59" s="55">
        <f>L49-'2015'!L79</f>
        <v>170.1001447610289</v>
      </c>
      <c r="M59" s="55" t="str">
        <f>IF(G59="","",M49-((1/Comparisons!#REF!)*1000000))</f>
        <v/>
      </c>
      <c r="N59" s="55" t="str">
        <f>IF(H59="","",N49-((1/Comparisons!#REF!)*1000000))</f>
        <v/>
      </c>
      <c r="O59" s="56" t="str">
        <f>IF(I59="","",O49-((1/Comparisons!#REF!)*1000000))</f>
        <v/>
      </c>
    </row>
    <row r="60" spans="1:15" x14ac:dyDescent="0.25">
      <c r="A60" s="51" t="s">
        <v>14</v>
      </c>
      <c r="B60" s="52" t="s">
        <v>13</v>
      </c>
      <c r="C60" s="52" t="s">
        <v>11</v>
      </c>
      <c r="D60" s="59">
        <f>IF(D50="","",(D50-'2017'!D491)/'2017'!D491)</f>
        <v>0.11337461300309598</v>
      </c>
      <c r="E60" s="59">
        <f>IF(E50="","",(E50-'2017'!E491)/'2017'!E491)</f>
        <v>1.6937375141144791E-2</v>
      </c>
      <c r="F60" s="59">
        <f>IF(F50="","",(F50-'2017'!F491)/'2017'!F491)</f>
        <v>-1.3797364085667216E-2</v>
      </c>
      <c r="G60" s="59" t="str">
        <f>IF(G50="","",(G50-#REF!)/#REF!)</f>
        <v/>
      </c>
      <c r="H60" s="59" t="str">
        <f>IF(H50="","",(H50-#REF!)/#REF!)</f>
        <v/>
      </c>
      <c r="I60" s="59" t="str">
        <f>IF(I50="","",(I50-#REF!)/#REF!)</f>
        <v/>
      </c>
      <c r="J60" s="55" t="e">
        <f>J50-'2015'!J80</f>
        <v>#REF!</v>
      </c>
      <c r="K60" s="55">
        <f>K50-'2015'!K80</f>
        <v>88.746798251882353</v>
      </c>
      <c r="L60" s="55">
        <f>L50-'2015'!L80</f>
        <v>210.60499315593552</v>
      </c>
      <c r="M60" s="55" t="str">
        <f>IF(G60="","",M50-((1/Comparisons!#REF!)*1000000))</f>
        <v/>
      </c>
      <c r="N60" s="55" t="str">
        <f>IF(H60="","",N50-((1/Comparisons!#REF!)*1000000))</f>
        <v/>
      </c>
      <c r="O60" s="56" t="str">
        <f>IF(I60="","",O50-((1/Comparisons!#REF!)*1000000))</f>
        <v/>
      </c>
    </row>
    <row r="61" spans="1:15" x14ac:dyDescent="0.25">
      <c r="A61" s="51" t="s">
        <v>15</v>
      </c>
      <c r="B61" s="52" t="s">
        <v>16</v>
      </c>
      <c r="C61" s="52" t="s">
        <v>11</v>
      </c>
      <c r="D61" s="59">
        <f>IF(D51="","",(D51-'2017'!D492)/'2017'!D492)</f>
        <v>-4.4261842286976938E-2</v>
      </c>
      <c r="E61" s="59">
        <f>IF(E51="","",(E51-'2017'!E492)/'2017'!E492)</f>
        <v>-3.8095238095238096E-4</v>
      </c>
      <c r="F61" s="59">
        <f>IF(F51="","",(F51-'2017'!F492)/'2017'!F492)</f>
        <v>-5.0240736864140675E-3</v>
      </c>
      <c r="G61" s="59" t="str">
        <f>IF(G51="","",(G51-#REF!)/#REF!)</f>
        <v/>
      </c>
      <c r="H61" s="59" t="str">
        <f>IF(H51="","",(H51-#REF!)/#REF!)</f>
        <v/>
      </c>
      <c r="I61" s="59" t="str">
        <f>IF(I51="","",(I51-#REF!)/#REF!)</f>
        <v/>
      </c>
      <c r="J61" s="55" t="e">
        <f>J51-'2015'!J81</f>
        <v>#REF!</v>
      </c>
      <c r="K61" s="55">
        <f>K51-'2015'!K81</f>
        <v>98.789756100841259</v>
      </c>
      <c r="L61" s="55">
        <f>L51-'2015'!L81</f>
        <v>211.28688614920287</v>
      </c>
      <c r="M61" s="55" t="str">
        <f>IF(G61="","",M51-((1/Comparisons!#REF!)*1000000))</f>
        <v/>
      </c>
      <c r="N61" s="55" t="str">
        <f>IF(H61="","",N51-((1/Comparisons!#REF!)*1000000))</f>
        <v/>
      </c>
      <c r="O61" s="56" t="str">
        <f>IF(I61="","",O51-((1/Comparisons!#REF!)*1000000))</f>
        <v/>
      </c>
    </row>
    <row r="62" spans="1:15" ht="15.75" thickBot="1" x14ac:dyDescent="0.3">
      <c r="A62" s="60" t="s">
        <v>17</v>
      </c>
      <c r="B62" s="61" t="s">
        <v>18</v>
      </c>
      <c r="C62" s="61" t="s">
        <v>11</v>
      </c>
      <c r="D62" s="59">
        <f>IF(D52="","",(D52-'2017'!D493)/'2017'!D493)</f>
        <v>-6.7401116976512895E-2</v>
      </c>
      <c r="E62" s="59">
        <f>IF(E52="","",(E52-'2017'!E493)/'2017'!E493)</f>
        <v>1.2998756640669153E-2</v>
      </c>
      <c r="F62" s="59">
        <f>IF(F52="","",(F52-'2017'!F493)/'2017'!F493)</f>
        <v>-3.7446424543198735E-2</v>
      </c>
      <c r="G62" s="62" t="str">
        <f>IF(G52="","",(G52-#REF!)/#REF!)</f>
        <v/>
      </c>
      <c r="H62" s="62" t="str">
        <f>IF(H52="","",(H52-#REF!)/#REF!)</f>
        <v/>
      </c>
      <c r="I62" s="62" t="str">
        <f>IF(I52="","",(I52-#REF!)/#REF!)</f>
        <v/>
      </c>
      <c r="J62" s="63">
        <f>J52-'2015'!J82</f>
        <v>82.034454470877762</v>
      </c>
      <c r="K62" s="63">
        <f>K52-'2015'!K82</f>
        <v>111.5822361080116</v>
      </c>
      <c r="L62" s="63">
        <f>L52-'2015'!L82</f>
        <v>234.35669088352472</v>
      </c>
      <c r="M62" s="63" t="str">
        <f>IF(G62="","",M52-((1/Comparisons!#REF!)*1000000))</f>
        <v/>
      </c>
      <c r="N62" s="63" t="str">
        <f>IF(H62="","",N52-((1/Comparisons!#REF!)*1000000))</f>
        <v/>
      </c>
      <c r="O62" s="64" t="str">
        <f>IF(I62="","",O52-((1/Comparisons!#REF!)*1000000))</f>
        <v/>
      </c>
    </row>
    <row r="63" spans="1:15" ht="18.75" x14ac:dyDescent="0.25">
      <c r="A63" s="138" t="s">
        <v>159</v>
      </c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40"/>
    </row>
    <row r="64" spans="1:15" ht="15.75" x14ac:dyDescent="0.25">
      <c r="A64" s="149" t="s">
        <v>166</v>
      </c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2"/>
    </row>
    <row r="65" spans="1:15" x14ac:dyDescent="0.25">
      <c r="A65" s="134" t="s">
        <v>1</v>
      </c>
      <c r="B65" s="135"/>
      <c r="C65" s="135"/>
      <c r="D65" s="136" t="s">
        <v>2</v>
      </c>
      <c r="E65" s="136"/>
      <c r="F65" s="136"/>
      <c r="G65" s="136"/>
      <c r="H65" s="136"/>
      <c r="I65" s="136"/>
      <c r="J65" s="136" t="s">
        <v>3</v>
      </c>
      <c r="K65" s="136"/>
      <c r="L65" s="136"/>
      <c r="M65" s="136"/>
      <c r="N65" s="136"/>
      <c r="O65" s="137"/>
    </row>
    <row r="66" spans="1:15" x14ac:dyDescent="0.25">
      <c r="A66" s="47" t="s">
        <v>26</v>
      </c>
      <c r="B66" s="48" t="s">
        <v>5</v>
      </c>
      <c r="C66" s="48" t="s">
        <v>6</v>
      </c>
      <c r="D66" s="49">
        <v>1</v>
      </c>
      <c r="E66" s="49">
        <v>4</v>
      </c>
      <c r="F66" s="49">
        <v>16</v>
      </c>
      <c r="G66" s="49">
        <v>32</v>
      </c>
      <c r="H66" s="49">
        <v>64</v>
      </c>
      <c r="I66" s="49">
        <v>80</v>
      </c>
      <c r="J66" s="49">
        <v>1</v>
      </c>
      <c r="K66" s="49">
        <v>4</v>
      </c>
      <c r="L66" s="49">
        <v>16</v>
      </c>
      <c r="M66" s="49">
        <v>32</v>
      </c>
      <c r="N66" s="49">
        <v>64</v>
      </c>
      <c r="O66" s="50">
        <v>80</v>
      </c>
    </row>
    <row r="67" spans="1:15" x14ac:dyDescent="0.25">
      <c r="A67" s="51" t="s">
        <v>7</v>
      </c>
      <c r="B67" s="52" t="s">
        <v>8</v>
      </c>
      <c r="C67" s="52" t="s">
        <v>9</v>
      </c>
      <c r="D67" s="53">
        <v>44814</v>
      </c>
      <c r="E67" s="53">
        <v>20112</v>
      </c>
      <c r="F67" s="53">
        <v>5837</v>
      </c>
      <c r="G67" s="54"/>
      <c r="H67" s="54"/>
      <c r="I67" s="54"/>
      <c r="J67" s="55">
        <f>IF(D68="","",(1/D68)*1000000)</f>
        <v>54.839594187003016</v>
      </c>
      <c r="K67" s="55">
        <f t="shared" ref="K67:K72" si="17">IF(E67="","",(1/E67)*1000000)</f>
        <v>49.721559268098652</v>
      </c>
      <c r="L67" s="55">
        <f t="shared" ref="L67:L72" si="18">IF(F67="","",(1/F67)*1000000)</f>
        <v>171.32088401576152</v>
      </c>
      <c r="M67" s="55" t="str">
        <f t="shared" ref="M67:M72" si="19">IF(G67="","",(1/G67)*1000000)</f>
        <v/>
      </c>
      <c r="N67" s="55" t="str">
        <f t="shared" ref="N67:N72" si="20">IF(H67="","",(1/H67)*1000000)</f>
        <v/>
      </c>
      <c r="O67" s="56" t="str">
        <f t="shared" ref="O67:O72" si="21">IF(I67="","",(1/I67)*1000000)</f>
        <v/>
      </c>
    </row>
    <row r="68" spans="1:15" x14ac:dyDescent="0.25">
      <c r="A68" s="51" t="s">
        <v>10</v>
      </c>
      <c r="B68" s="52" t="s">
        <v>8</v>
      </c>
      <c r="C68" s="52" t="s">
        <v>11</v>
      </c>
      <c r="D68" s="53">
        <v>18235</v>
      </c>
      <c r="E68" s="53">
        <v>12220</v>
      </c>
      <c r="F68" s="53">
        <v>4986</v>
      </c>
      <c r="G68" s="54"/>
      <c r="H68" s="54"/>
      <c r="I68" s="54"/>
      <c r="J68" s="55" t="e">
        <f>IF(#REF!="","",(1/#REF!)*1000000)</f>
        <v>#REF!</v>
      </c>
      <c r="K68" s="55">
        <f t="shared" si="17"/>
        <v>81.833060556464815</v>
      </c>
      <c r="L68" s="55">
        <f t="shared" si="18"/>
        <v>200.56157240272762</v>
      </c>
      <c r="M68" s="55" t="str">
        <f t="shared" si="19"/>
        <v/>
      </c>
      <c r="N68" s="55" t="str">
        <f t="shared" si="20"/>
        <v/>
      </c>
      <c r="O68" s="56" t="str">
        <f t="shared" si="21"/>
        <v/>
      </c>
    </row>
    <row r="69" spans="1:15" x14ac:dyDescent="0.25">
      <c r="A69" s="51" t="s">
        <v>12</v>
      </c>
      <c r="B69" s="52" t="s">
        <v>13</v>
      </c>
      <c r="C69" s="52" t="s">
        <v>9</v>
      </c>
      <c r="D69" s="53">
        <v>39956</v>
      </c>
      <c r="E69" s="53">
        <v>17788</v>
      </c>
      <c r="F69" s="53">
        <v>5580</v>
      </c>
      <c r="G69" s="54"/>
      <c r="H69" s="54"/>
      <c r="I69" s="54"/>
      <c r="J69" s="55">
        <f t="shared" ref="J69" si="22">IF(D69="","",(1/D69)*1000000)</f>
        <v>25.027530283311641</v>
      </c>
      <c r="K69" s="55">
        <f t="shared" si="17"/>
        <v>56.21767483696874</v>
      </c>
      <c r="L69" s="55">
        <f t="shared" si="18"/>
        <v>179.21146953405017</v>
      </c>
      <c r="M69" s="55" t="str">
        <f t="shared" si="19"/>
        <v/>
      </c>
      <c r="N69" s="55" t="str">
        <f t="shared" si="20"/>
        <v/>
      </c>
      <c r="O69" s="56" t="str">
        <f t="shared" si="21"/>
        <v/>
      </c>
    </row>
    <row r="70" spans="1:15" x14ac:dyDescent="0.25">
      <c r="A70" s="51" t="s">
        <v>14</v>
      </c>
      <c r="B70" s="52" t="s">
        <v>13</v>
      </c>
      <c r="C70" s="52" t="s">
        <v>11</v>
      </c>
      <c r="D70" s="53">
        <v>17498</v>
      </c>
      <c r="E70" s="53">
        <v>11858</v>
      </c>
      <c r="F70" s="53">
        <v>4801</v>
      </c>
      <c r="G70" s="54"/>
      <c r="H70" s="54"/>
      <c r="I70" s="54"/>
      <c r="J70" s="55" t="e">
        <f>IF(#REF!="","",(1/#REF!)*1000000)</f>
        <v>#REF!</v>
      </c>
      <c r="K70" s="55">
        <f t="shared" si="17"/>
        <v>84.331253162421987</v>
      </c>
      <c r="L70" s="55">
        <f t="shared" si="18"/>
        <v>208.28993959591753</v>
      </c>
      <c r="M70" s="55" t="str">
        <f t="shared" si="19"/>
        <v/>
      </c>
      <c r="N70" s="55" t="str">
        <f t="shared" si="20"/>
        <v/>
      </c>
      <c r="O70" s="56" t="str">
        <f t="shared" si="21"/>
        <v/>
      </c>
    </row>
    <row r="71" spans="1:15" x14ac:dyDescent="0.25">
      <c r="A71" s="51" t="s">
        <v>15</v>
      </c>
      <c r="B71" s="52" t="s">
        <v>16</v>
      </c>
      <c r="C71" s="52" t="s">
        <v>11</v>
      </c>
      <c r="D71" s="53">
        <v>14765</v>
      </c>
      <c r="E71" s="53">
        <v>9564</v>
      </c>
      <c r="F71" s="53">
        <v>4481</v>
      </c>
      <c r="G71" s="54"/>
      <c r="H71" s="54"/>
      <c r="I71" s="54"/>
      <c r="J71" s="55" t="e">
        <f>IF(#REF!="","",(1/#REF!)*1000000)</f>
        <v>#REF!</v>
      </c>
      <c r="K71" s="55">
        <f t="shared" si="17"/>
        <v>104.55876202425763</v>
      </c>
      <c r="L71" s="55">
        <f t="shared" si="18"/>
        <v>223.1644722160232</v>
      </c>
      <c r="M71" s="55" t="str">
        <f t="shared" si="19"/>
        <v/>
      </c>
      <c r="N71" s="55" t="str">
        <f t="shared" si="20"/>
        <v/>
      </c>
      <c r="O71" s="56" t="str">
        <f t="shared" si="21"/>
        <v/>
      </c>
    </row>
    <row r="72" spans="1:15" x14ac:dyDescent="0.25">
      <c r="A72" s="51" t="s">
        <v>17</v>
      </c>
      <c r="B72" s="52" t="s">
        <v>18</v>
      </c>
      <c r="C72" s="52" t="s">
        <v>11</v>
      </c>
      <c r="D72" s="53">
        <v>13196</v>
      </c>
      <c r="E72" s="53">
        <v>9314</v>
      </c>
      <c r="F72" s="53">
        <v>4224</v>
      </c>
      <c r="G72" s="54"/>
      <c r="H72" s="54"/>
      <c r="I72" s="54"/>
      <c r="J72" s="55">
        <f t="shared" ref="J72" si="23">IF(D72="","",(1/D72)*1000000)</f>
        <v>75.780539557441656</v>
      </c>
      <c r="K72" s="55">
        <f t="shared" si="17"/>
        <v>107.36525660296329</v>
      </c>
      <c r="L72" s="55">
        <f t="shared" si="18"/>
        <v>236.74242424242425</v>
      </c>
      <c r="M72" s="55" t="str">
        <f t="shared" si="19"/>
        <v/>
      </c>
      <c r="N72" s="55" t="str">
        <f t="shared" si="20"/>
        <v/>
      </c>
      <c r="O72" s="56" t="str">
        <f t="shared" si="21"/>
        <v/>
      </c>
    </row>
    <row r="73" spans="1:15" x14ac:dyDescent="0.25">
      <c r="A73" s="147" t="s">
        <v>167</v>
      </c>
      <c r="B73" s="148"/>
      <c r="C73" s="148"/>
      <c r="D73" s="148"/>
      <c r="E73" s="143"/>
      <c r="F73" s="143"/>
      <c r="G73" s="143"/>
      <c r="H73" s="143"/>
      <c r="I73" s="143"/>
      <c r="J73" s="57"/>
      <c r="K73" s="57"/>
      <c r="L73" s="57"/>
      <c r="M73" s="57"/>
      <c r="N73" s="57"/>
      <c r="O73" s="58"/>
    </row>
    <row r="74" spans="1:15" ht="18.75" x14ac:dyDescent="0.3">
      <c r="A74" s="146" t="s">
        <v>154</v>
      </c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5"/>
    </row>
    <row r="75" spans="1:15" x14ac:dyDescent="0.25">
      <c r="A75" s="134" t="s">
        <v>1</v>
      </c>
      <c r="B75" s="135"/>
      <c r="C75" s="135"/>
      <c r="D75" s="136" t="s">
        <v>19</v>
      </c>
      <c r="E75" s="136"/>
      <c r="F75" s="136"/>
      <c r="G75" s="136"/>
      <c r="H75" s="136"/>
      <c r="I75" s="136"/>
      <c r="J75" s="136" t="s">
        <v>22</v>
      </c>
      <c r="K75" s="136"/>
      <c r="L75" s="136"/>
      <c r="M75" s="136"/>
      <c r="N75" s="136"/>
      <c r="O75" s="137"/>
    </row>
    <row r="76" spans="1:15" x14ac:dyDescent="0.25">
      <c r="A76" s="47" t="s">
        <v>4</v>
      </c>
      <c r="B76" s="48" t="s">
        <v>5</v>
      </c>
      <c r="C76" s="48" t="s">
        <v>6</v>
      </c>
      <c r="D76" s="49">
        <v>1</v>
      </c>
      <c r="E76" s="49">
        <v>4</v>
      </c>
      <c r="F76" s="49">
        <v>16</v>
      </c>
      <c r="G76" s="49">
        <v>32</v>
      </c>
      <c r="H76" s="49">
        <v>64</v>
      </c>
      <c r="I76" s="49">
        <v>80</v>
      </c>
      <c r="J76" s="49">
        <v>1</v>
      </c>
      <c r="K76" s="49">
        <v>4</v>
      </c>
      <c r="L76" s="49">
        <v>16</v>
      </c>
      <c r="M76" s="49">
        <v>32</v>
      </c>
      <c r="N76" s="49">
        <v>64</v>
      </c>
      <c r="O76" s="50">
        <v>80</v>
      </c>
    </row>
    <row r="77" spans="1:15" x14ac:dyDescent="0.25">
      <c r="A77" s="51" t="s">
        <v>7</v>
      </c>
      <c r="B77" s="52" t="s">
        <v>8</v>
      </c>
      <c r="C77" s="52" t="s">
        <v>9</v>
      </c>
      <c r="D77" s="59">
        <f>IF(D67="","",(D67-'2017'!D488)/'2017'!D488)</f>
        <v>3.6953050882754475E-2</v>
      </c>
      <c r="E77" s="59">
        <f>IF(E67="","",(E67-'2017'!E488)/'2017'!E488)</f>
        <v>2.241878908037212E-2</v>
      </c>
      <c r="F77" s="59">
        <f>IF(F67="","",(F67-'2017'!F488)/'2017'!F488)</f>
        <v>-1.0268697586856067E-3</v>
      </c>
      <c r="G77" s="59" t="str">
        <f>IF(G67="","",(G67-#REF!)/#REF!)</f>
        <v/>
      </c>
      <c r="H77" s="59" t="str">
        <f>IF(H67="","",(H67-#REF!)/#REF!)</f>
        <v/>
      </c>
      <c r="I77" s="59" t="str">
        <f>IF(I67="","",(I67-#REF!)/#REF!)</f>
        <v/>
      </c>
      <c r="J77" s="55">
        <f>J67-'2015'!J97</f>
        <v>46.210217394222006</v>
      </c>
      <c r="K77" s="55">
        <f>K67-'2015'!K97</f>
        <v>42.883224016250757</v>
      </c>
      <c r="L77" s="55">
        <f>L67-'2015'!L97</f>
        <v>161.44759691085153</v>
      </c>
      <c r="M77" s="55" t="str">
        <f>IF(G77="","",M67-((1/Comparisons!#REF!)*1000000))</f>
        <v/>
      </c>
      <c r="N77" s="55" t="str">
        <f>IF(H77="","",N67-((1/Comparisons!#REF!)*1000000))</f>
        <v/>
      </c>
      <c r="O77" s="56" t="str">
        <f>IF(I77="","",O67-((1/Comparisons!#REF!)*1000000))</f>
        <v/>
      </c>
    </row>
    <row r="78" spans="1:15" x14ac:dyDescent="0.25">
      <c r="A78" s="51" t="s">
        <v>10</v>
      </c>
      <c r="B78" s="52" t="s">
        <v>8</v>
      </c>
      <c r="C78" s="52" t="s">
        <v>11</v>
      </c>
      <c r="D78" s="59">
        <f>IF(D68="","",(D68-'2017'!D489)/'2017'!D489)</f>
        <v>4.9315226148003224E-2</v>
      </c>
      <c r="E78" s="59">
        <f>IF(E68="","",(E68-'2017'!E489)/'2017'!E489)</f>
        <v>6.5068775224446096E-3</v>
      </c>
      <c r="F78" s="59">
        <f>IF(F68="","",(F68-'2017'!F489)/'2017'!F489)</f>
        <v>-1.8018018018018018E-3</v>
      </c>
      <c r="G78" s="59" t="str">
        <f>IF(G68="","",(G68-#REF!)/#REF!)</f>
        <v/>
      </c>
      <c r="H78" s="59" t="str">
        <f>IF(H68="","",(H68-#REF!)/#REF!)</f>
        <v/>
      </c>
      <c r="I78" s="59" t="str">
        <f>IF(I68="","",(I68-#REF!)/#REF!)</f>
        <v/>
      </c>
      <c r="J78" s="55" t="e">
        <f>J68-'2015'!J98</f>
        <v>#REF!</v>
      </c>
      <c r="K78" s="55">
        <f>K68-'2015'!K98</f>
        <v>82.56696824072479</v>
      </c>
      <c r="L78" s="55">
        <f>L68-'2015'!L98</f>
        <v>200.21695480421354</v>
      </c>
      <c r="M78" s="55" t="str">
        <f>IF(G78="","",M68-((1/Comparisons!#REF!)*1000000))</f>
        <v/>
      </c>
      <c r="N78" s="55" t="str">
        <f>IF(H78="","",N68-((1/Comparisons!#REF!)*1000000))</f>
        <v/>
      </c>
      <c r="O78" s="56" t="str">
        <f>IF(I78="","",O68-((1/Comparisons!#REF!)*1000000))</f>
        <v/>
      </c>
    </row>
    <row r="79" spans="1:15" x14ac:dyDescent="0.25">
      <c r="A79" s="51" t="s">
        <v>12</v>
      </c>
      <c r="B79" s="52" t="s">
        <v>13</v>
      </c>
      <c r="C79" s="52" t="s">
        <v>9</v>
      </c>
      <c r="D79" s="59">
        <f>IF(D69="","",(D69-'2017'!D490)/'2017'!D490)</f>
        <v>-3.4389424587351072E-2</v>
      </c>
      <c r="E79" s="59">
        <f>IF(E69="","",(E69-'2017'!E490)/'2017'!E490)</f>
        <v>-1.0513433832118819E-2</v>
      </c>
      <c r="F79" s="59">
        <f>IF(F69="","",(F69-'2017'!F490)/'2017'!F490)</f>
        <v>-1.6103059581320451E-3</v>
      </c>
      <c r="G79" s="59" t="str">
        <f>IF(G69="","",(G69-#REF!)/#REF!)</f>
        <v/>
      </c>
      <c r="H79" s="59" t="str">
        <f>IF(H69="","",(H69-#REF!)/#REF!)</f>
        <v/>
      </c>
      <c r="I79" s="59" t="str">
        <f>IF(I69="","",(I69-#REF!)/#REF!)</f>
        <v/>
      </c>
      <c r="J79" s="55">
        <f>J69-'2015'!J99</f>
        <v>18.050459986392703</v>
      </c>
      <c r="K79" s="55">
        <f>K69-'2015'!K99</f>
        <v>49.569232688253337</v>
      </c>
      <c r="L79" s="55">
        <f>L69-'2015'!L99</f>
        <v>167.40024751834682</v>
      </c>
      <c r="M79" s="55" t="str">
        <f>IF(G79="","",M69-((1/Comparisons!#REF!)*1000000))</f>
        <v/>
      </c>
      <c r="N79" s="55" t="str">
        <f>IF(H79="","",N69-((1/Comparisons!#REF!)*1000000))</f>
        <v/>
      </c>
      <c r="O79" s="56" t="str">
        <f>IF(I79="","",O69-((1/Comparisons!#REF!)*1000000))</f>
        <v/>
      </c>
    </row>
    <row r="80" spans="1:15" x14ac:dyDescent="0.25">
      <c r="A80" s="51" t="s">
        <v>14</v>
      </c>
      <c r="B80" s="52" t="s">
        <v>13</v>
      </c>
      <c r="C80" s="52" t="s">
        <v>11</v>
      </c>
      <c r="D80" s="59">
        <f>IF(D70="","",(D70-'2017'!D491)/'2017'!D491)</f>
        <v>8.3467492260061921E-2</v>
      </c>
      <c r="E80" s="59">
        <f>IF(E70="","",(E70-'2017'!E491)/'2017'!E491)</f>
        <v>2.9966125249717711E-2</v>
      </c>
      <c r="F80" s="59">
        <f>IF(F70="","",(F70-'2017'!F491)/'2017'!F491)</f>
        <v>-1.1326194398682043E-2</v>
      </c>
      <c r="G80" s="59" t="str">
        <f>IF(G70="","",(G70-#REF!)/#REF!)</f>
        <v/>
      </c>
      <c r="H80" s="59" t="str">
        <f>IF(H70="","",(H70-#REF!)/#REF!)</f>
        <v/>
      </c>
      <c r="I80" s="59" t="str">
        <f>IF(I70="","",(I70-#REF!)/#REF!)</f>
        <v/>
      </c>
      <c r="J80" s="55" t="e">
        <f>J70-'2015'!J100</f>
        <v>#REF!</v>
      </c>
      <c r="K80" s="55">
        <f>K70-'2015'!K100</f>
        <v>89.742644259613257</v>
      </c>
      <c r="L80" s="55">
        <f>L70-'2015'!L100</f>
        <v>210.83728269101698</v>
      </c>
      <c r="M80" s="55" t="str">
        <f>IF(G80="","",M70-((1/Comparisons!#REF!)*1000000))</f>
        <v/>
      </c>
      <c r="N80" s="55" t="str">
        <f>IF(H80="","",N70-((1/Comparisons!#REF!)*1000000))</f>
        <v/>
      </c>
      <c r="O80" s="56" t="str">
        <f>IF(I80="","",O70-((1/Comparisons!#REF!)*1000000))</f>
        <v/>
      </c>
    </row>
    <row r="81" spans="1:15" x14ac:dyDescent="0.25">
      <c r="A81" s="51" t="s">
        <v>15</v>
      </c>
      <c r="B81" s="52" t="s">
        <v>16</v>
      </c>
      <c r="C81" s="52" t="s">
        <v>11</v>
      </c>
      <c r="D81" s="59">
        <f>IF(D71="","",(D71-'2017'!D492)/'2017'!D492)</f>
        <v>1.9541499792846292E-2</v>
      </c>
      <c r="E81" s="59">
        <f>IF(E71="","",(E71-'2017'!E492)/'2017'!E492)</f>
        <v>-8.9142857142857149E-2</v>
      </c>
      <c r="F81" s="59">
        <f>IF(F71="","",(F71-'2017'!F492)/'2017'!F492)</f>
        <v>-6.1963575465773496E-2</v>
      </c>
      <c r="G81" s="59" t="str">
        <f>IF(G71="","",(G71-#REF!)/#REF!)</f>
        <v/>
      </c>
      <c r="H81" s="59" t="str">
        <f>IF(H71="","",(H71-#REF!)/#REF!)</f>
        <v/>
      </c>
      <c r="I81" s="59" t="str">
        <f>IF(I71="","",(I71-#REF!)/#REF!)</f>
        <v/>
      </c>
      <c r="J81" s="55" t="e">
        <f>J71-'2015'!J101</f>
        <v>#REF!</v>
      </c>
      <c r="K81" s="55">
        <f>K71-'2015'!K101</f>
        <v>110.56278800854264</v>
      </c>
      <c r="L81" s="55">
        <f>L71-'2015'!L101</f>
        <v>224.05792264042068</v>
      </c>
      <c r="M81" s="55" t="str">
        <f>IF(G81="","",M71-((1/Comparisons!#REF!)*1000000))</f>
        <v/>
      </c>
      <c r="N81" s="55" t="str">
        <f>IF(H81="","",N71-((1/Comparisons!#REF!)*1000000))</f>
        <v/>
      </c>
      <c r="O81" s="56" t="str">
        <f>IF(I81="","",O71-((1/Comparisons!#REF!)*1000000))</f>
        <v/>
      </c>
    </row>
    <row r="82" spans="1:15" ht="15.75" thickBot="1" x14ac:dyDescent="0.3">
      <c r="A82" s="60" t="s">
        <v>17</v>
      </c>
      <c r="B82" s="61" t="s">
        <v>18</v>
      </c>
      <c r="C82" s="61" t="s">
        <v>11</v>
      </c>
      <c r="D82" s="59">
        <f>IF(D72="","",(D72-'2017'!D493)/'2017'!D493)</f>
        <v>9.5631550761227143E-3</v>
      </c>
      <c r="E82" s="59">
        <f>IF(E72="","",(E72-'2017'!E493)/'2017'!E493)</f>
        <v>5.2786255227760821E-2</v>
      </c>
      <c r="F82" s="59">
        <f>IF(F72="","",(F72-'2017'!F493)/'2017'!F493)</f>
        <v>-4.7146401985111663E-2</v>
      </c>
      <c r="G82" s="62" t="str">
        <f>IF(G72="","",(G72-#REF!)/#REF!)</f>
        <v/>
      </c>
      <c r="H82" s="62" t="str">
        <f>IF(H72="","",(H72-#REF!)/#REF!)</f>
        <v/>
      </c>
      <c r="I82" s="62" t="str">
        <f>IF(I72="","",(I72-#REF!)/#REF!)</f>
        <v/>
      </c>
      <c r="J82" s="63">
        <f>J72-'2015'!J102</f>
        <v>75.780539557441656</v>
      </c>
      <c r="K82" s="63">
        <f>K72-'2015'!K102</f>
        <v>107.36525660296329</v>
      </c>
      <c r="L82" s="63">
        <f>L72-'2015'!L102</f>
        <v>236.74242424242425</v>
      </c>
      <c r="M82" s="63" t="str">
        <f>IF(G82="","",M72-((1/Comparisons!#REF!)*1000000))</f>
        <v/>
      </c>
      <c r="N82" s="63" t="str">
        <f>IF(H82="","",N72-((1/Comparisons!#REF!)*1000000))</f>
        <v/>
      </c>
      <c r="O82" s="64" t="str">
        <f>IF(I82="","",O72-((1/Comparisons!#REF!)*1000000))</f>
        <v/>
      </c>
    </row>
    <row r="83" spans="1:15" ht="18.75" x14ac:dyDescent="0.25">
      <c r="A83" s="138" t="s">
        <v>159</v>
      </c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40"/>
    </row>
    <row r="84" spans="1:15" ht="15.75" x14ac:dyDescent="0.25">
      <c r="A84" s="149" t="s">
        <v>168</v>
      </c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2"/>
    </row>
    <row r="85" spans="1:15" x14ac:dyDescent="0.25">
      <c r="A85" s="134" t="s">
        <v>1</v>
      </c>
      <c r="B85" s="135"/>
      <c r="C85" s="135"/>
      <c r="D85" s="136" t="s">
        <v>2</v>
      </c>
      <c r="E85" s="136"/>
      <c r="F85" s="136"/>
      <c r="G85" s="136"/>
      <c r="H85" s="136"/>
      <c r="I85" s="136"/>
      <c r="J85" s="136" t="s">
        <v>3</v>
      </c>
      <c r="K85" s="136"/>
      <c r="L85" s="136"/>
      <c r="M85" s="136"/>
      <c r="N85" s="136"/>
      <c r="O85" s="137"/>
    </row>
    <row r="86" spans="1:15" x14ac:dyDescent="0.25">
      <c r="A86" s="47" t="s">
        <v>26</v>
      </c>
      <c r="B86" s="48" t="s">
        <v>5</v>
      </c>
      <c r="C86" s="48" t="s">
        <v>6</v>
      </c>
      <c r="D86" s="49">
        <v>1</v>
      </c>
      <c r="E86" s="49">
        <v>4</v>
      </c>
      <c r="F86" s="49">
        <v>16</v>
      </c>
      <c r="G86" s="49">
        <v>32</v>
      </c>
      <c r="H86" s="49">
        <v>64</v>
      </c>
      <c r="I86" s="49">
        <v>80</v>
      </c>
      <c r="J86" s="49">
        <v>1</v>
      </c>
      <c r="K86" s="49">
        <v>4</v>
      </c>
      <c r="L86" s="49">
        <v>16</v>
      </c>
      <c r="M86" s="49">
        <v>32</v>
      </c>
      <c r="N86" s="49">
        <v>64</v>
      </c>
      <c r="O86" s="50">
        <v>80</v>
      </c>
    </row>
    <row r="87" spans="1:15" x14ac:dyDescent="0.25">
      <c r="A87" s="51" t="s">
        <v>7</v>
      </c>
      <c r="B87" s="52" t="s">
        <v>8</v>
      </c>
      <c r="C87" s="52" t="s">
        <v>9</v>
      </c>
      <c r="D87" s="53">
        <v>44414</v>
      </c>
      <c r="E87" s="53">
        <v>20094</v>
      </c>
      <c r="F87" s="53">
        <v>5837</v>
      </c>
      <c r="G87" s="54"/>
      <c r="H87" s="54"/>
      <c r="I87" s="54"/>
      <c r="J87" s="55">
        <f>IF(D88="","",(1/D88)*1000000)</f>
        <v>54.782513421715791</v>
      </c>
      <c r="K87" s="55">
        <f t="shared" ref="K87:K92" si="24">IF(E87="","",(1/E87)*1000000)</f>
        <v>49.766099333134271</v>
      </c>
      <c r="L87" s="55">
        <f t="shared" ref="L87:L92" si="25">IF(F87="","",(1/F87)*1000000)</f>
        <v>171.32088401576152</v>
      </c>
      <c r="M87" s="55" t="str">
        <f t="shared" ref="M87:M92" si="26">IF(G87="","",(1/G87)*1000000)</f>
        <v/>
      </c>
      <c r="N87" s="55" t="str">
        <f t="shared" ref="N87:N92" si="27">IF(H87="","",(1/H87)*1000000)</f>
        <v/>
      </c>
      <c r="O87" s="56" t="str">
        <f t="shared" ref="O87:O92" si="28">IF(I87="","",(1/I87)*1000000)</f>
        <v/>
      </c>
    </row>
    <row r="88" spans="1:15" x14ac:dyDescent="0.25">
      <c r="A88" s="51" t="s">
        <v>10</v>
      </c>
      <c r="B88" s="52" t="s">
        <v>8</v>
      </c>
      <c r="C88" s="52" t="s">
        <v>11</v>
      </c>
      <c r="D88" s="53">
        <v>18254</v>
      </c>
      <c r="E88" s="53">
        <v>12239</v>
      </c>
      <c r="F88" s="53">
        <v>4895</v>
      </c>
      <c r="G88" s="54"/>
      <c r="H88" s="54"/>
      <c r="I88" s="54"/>
      <c r="J88" s="55" t="e">
        <f>IF(#REF!="","",(1/#REF!)*1000000)</f>
        <v>#REF!</v>
      </c>
      <c r="K88" s="55">
        <f t="shared" si="24"/>
        <v>81.706021733801776</v>
      </c>
      <c r="L88" s="55">
        <f t="shared" si="25"/>
        <v>204.29009193054137</v>
      </c>
      <c r="M88" s="55" t="str">
        <f t="shared" si="26"/>
        <v/>
      </c>
      <c r="N88" s="55" t="str">
        <f t="shared" si="27"/>
        <v/>
      </c>
      <c r="O88" s="56" t="str">
        <f t="shared" si="28"/>
        <v/>
      </c>
    </row>
    <row r="89" spans="1:15" x14ac:dyDescent="0.25">
      <c r="A89" s="51" t="s">
        <v>12</v>
      </c>
      <c r="B89" s="52" t="s">
        <v>13</v>
      </c>
      <c r="C89" s="52" t="s">
        <v>9</v>
      </c>
      <c r="D89" s="53">
        <v>42589</v>
      </c>
      <c r="E89" s="53">
        <v>17891</v>
      </c>
      <c r="F89" s="53">
        <v>5637</v>
      </c>
      <c r="G89" s="54"/>
      <c r="H89" s="54"/>
      <c r="I89" s="54"/>
      <c r="J89" s="55">
        <f t="shared" ref="J89" si="29">IF(D89="","",(1/D89)*1000000)</f>
        <v>23.480241376881356</v>
      </c>
      <c r="K89" s="55">
        <f t="shared" si="24"/>
        <v>55.894024928735121</v>
      </c>
      <c r="L89" s="55">
        <f t="shared" si="25"/>
        <v>177.39932588256164</v>
      </c>
      <c r="M89" s="55" t="str">
        <f t="shared" si="26"/>
        <v/>
      </c>
      <c r="N89" s="55" t="str">
        <f t="shared" si="27"/>
        <v/>
      </c>
      <c r="O89" s="56" t="str">
        <f t="shared" si="28"/>
        <v/>
      </c>
    </row>
    <row r="90" spans="1:15" x14ac:dyDescent="0.25">
      <c r="A90" s="51" t="s">
        <v>14</v>
      </c>
      <c r="B90" s="52" t="s">
        <v>13</v>
      </c>
      <c r="C90" s="52" t="s">
        <v>11</v>
      </c>
      <c r="D90" s="53">
        <v>15486</v>
      </c>
      <c r="E90" s="53">
        <v>11094</v>
      </c>
      <c r="F90" s="53">
        <v>4801</v>
      </c>
      <c r="G90" s="54"/>
      <c r="H90" s="54"/>
      <c r="I90" s="54"/>
      <c r="J90" s="55" t="e">
        <f>IF(#REF!="","",(1/#REF!)*1000000)</f>
        <v>#REF!</v>
      </c>
      <c r="K90" s="55">
        <f t="shared" si="24"/>
        <v>90.138813773210742</v>
      </c>
      <c r="L90" s="55">
        <f t="shared" si="25"/>
        <v>208.28993959591753</v>
      </c>
      <c r="M90" s="55" t="str">
        <f t="shared" si="26"/>
        <v/>
      </c>
      <c r="N90" s="55" t="str">
        <f t="shared" si="27"/>
        <v/>
      </c>
      <c r="O90" s="56" t="str">
        <f t="shared" si="28"/>
        <v/>
      </c>
    </row>
    <row r="91" spans="1:15" x14ac:dyDescent="0.25">
      <c r="A91" s="51" t="s">
        <v>15</v>
      </c>
      <c r="B91" s="52" t="s">
        <v>16</v>
      </c>
      <c r="C91" s="52" t="s">
        <v>11</v>
      </c>
      <c r="D91" s="53">
        <v>13381</v>
      </c>
      <c r="E91" s="53">
        <v>10435</v>
      </c>
      <c r="F91" s="53">
        <v>4481</v>
      </c>
      <c r="G91" s="54"/>
      <c r="H91" s="54"/>
      <c r="I91" s="54"/>
      <c r="J91" s="55" t="e">
        <f>IF(#REF!="","",(1/#REF!)*1000000)</f>
        <v>#REF!</v>
      </c>
      <c r="K91" s="55">
        <f t="shared" si="24"/>
        <v>95.831336847149018</v>
      </c>
      <c r="L91" s="55">
        <f t="shared" si="25"/>
        <v>223.1644722160232</v>
      </c>
      <c r="M91" s="55" t="str">
        <f t="shared" si="26"/>
        <v/>
      </c>
      <c r="N91" s="55" t="str">
        <f t="shared" si="27"/>
        <v/>
      </c>
      <c r="O91" s="56" t="str">
        <f t="shared" si="28"/>
        <v/>
      </c>
    </row>
    <row r="92" spans="1:15" x14ac:dyDescent="0.25">
      <c r="A92" s="51" t="s">
        <v>17</v>
      </c>
      <c r="B92" s="52" t="s">
        <v>18</v>
      </c>
      <c r="C92" s="52" t="s">
        <v>11</v>
      </c>
      <c r="D92" s="53">
        <v>12281</v>
      </c>
      <c r="E92" s="53">
        <v>9226</v>
      </c>
      <c r="F92" s="53">
        <v>4326</v>
      </c>
      <c r="G92" s="54"/>
      <c r="H92" s="54"/>
      <c r="I92" s="54"/>
      <c r="J92" s="55">
        <f t="shared" ref="J92" si="30">IF(D92="","",(1/D92)*1000000)</f>
        <v>81.4265939255761</v>
      </c>
      <c r="K92" s="55">
        <f t="shared" si="24"/>
        <v>108.38933448948623</v>
      </c>
      <c r="L92" s="55">
        <f t="shared" si="25"/>
        <v>231.16042533518259</v>
      </c>
      <c r="M92" s="55" t="str">
        <f t="shared" si="26"/>
        <v/>
      </c>
      <c r="N92" s="55" t="str">
        <f t="shared" si="27"/>
        <v/>
      </c>
      <c r="O92" s="56" t="str">
        <f t="shared" si="28"/>
        <v/>
      </c>
    </row>
    <row r="93" spans="1:15" x14ac:dyDescent="0.25">
      <c r="A93" s="147" t="s">
        <v>169</v>
      </c>
      <c r="B93" s="148"/>
      <c r="C93" s="148"/>
      <c r="D93" s="148"/>
      <c r="E93" s="143"/>
      <c r="F93" s="143"/>
      <c r="G93" s="143"/>
      <c r="H93" s="143"/>
      <c r="I93" s="143"/>
      <c r="J93" s="57"/>
      <c r="K93" s="57"/>
      <c r="L93" s="57"/>
      <c r="M93" s="57"/>
      <c r="N93" s="57"/>
      <c r="O93" s="58"/>
    </row>
    <row r="94" spans="1:15" ht="18.75" x14ac:dyDescent="0.3">
      <c r="A94" s="146" t="s">
        <v>154</v>
      </c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5"/>
    </row>
    <row r="95" spans="1:15" x14ac:dyDescent="0.25">
      <c r="A95" s="134" t="s">
        <v>1</v>
      </c>
      <c r="B95" s="135"/>
      <c r="C95" s="135"/>
      <c r="D95" s="136" t="s">
        <v>19</v>
      </c>
      <c r="E95" s="136"/>
      <c r="F95" s="136"/>
      <c r="G95" s="136"/>
      <c r="H95" s="136"/>
      <c r="I95" s="136"/>
      <c r="J95" s="136" t="s">
        <v>22</v>
      </c>
      <c r="K95" s="136"/>
      <c r="L95" s="136"/>
      <c r="M95" s="136"/>
      <c r="N95" s="136"/>
      <c r="O95" s="137"/>
    </row>
    <row r="96" spans="1:15" x14ac:dyDescent="0.25">
      <c r="A96" s="47" t="s">
        <v>4</v>
      </c>
      <c r="B96" s="48" t="s">
        <v>5</v>
      </c>
      <c r="C96" s="48" t="s">
        <v>6</v>
      </c>
      <c r="D96" s="49">
        <v>1</v>
      </c>
      <c r="E96" s="49">
        <v>4</v>
      </c>
      <c r="F96" s="49">
        <v>16</v>
      </c>
      <c r="G96" s="49">
        <v>32</v>
      </c>
      <c r="H96" s="49">
        <v>64</v>
      </c>
      <c r="I96" s="49">
        <v>80</v>
      </c>
      <c r="J96" s="49">
        <v>1</v>
      </c>
      <c r="K96" s="49">
        <v>4</v>
      </c>
      <c r="L96" s="49">
        <v>16</v>
      </c>
      <c r="M96" s="49">
        <v>32</v>
      </c>
      <c r="N96" s="49">
        <v>64</v>
      </c>
      <c r="O96" s="50">
        <v>80</v>
      </c>
    </row>
    <row r="97" spans="1:15" x14ac:dyDescent="0.25">
      <c r="A97" s="51" t="s">
        <v>7</v>
      </c>
      <c r="B97" s="52" t="s">
        <v>8</v>
      </c>
      <c r="C97" s="52" t="s">
        <v>9</v>
      </c>
      <c r="D97" s="59">
        <f>IF(D87="","",(D87-'2017'!D488)/'2017'!D488)</f>
        <v>2.7697433880186039E-2</v>
      </c>
      <c r="E97" s="59">
        <f>IF(E87="","",(E87-'2017'!E488)/'2017'!E488)</f>
        <v>2.150373646484673E-2</v>
      </c>
      <c r="F97" s="59">
        <f>IF(F87="","",(F87-'2017'!F488)/'2017'!F488)</f>
        <v>-1.0268697586856067E-3</v>
      </c>
      <c r="G97" s="59" t="str">
        <f>IF(G87="","",(G87-#REF!)/#REF!)</f>
        <v/>
      </c>
      <c r="H97" s="59" t="str">
        <f>IF(H87="","",(H87-#REF!)/#REF!)</f>
        <v/>
      </c>
      <c r="I97" s="59" t="str">
        <f>IF(I87="","",(I87-#REF!)/#REF!)</f>
        <v/>
      </c>
      <c r="J97" s="55">
        <f>J87-'2015'!J117</f>
        <v>56.021900632274203</v>
      </c>
      <c r="K97" s="55">
        <f>K87-'2015'!K117</f>
        <v>54.739311037364267</v>
      </c>
      <c r="L97" s="55">
        <f>L87-'2015'!L117</f>
        <v>172.13742720737793</v>
      </c>
      <c r="M97" s="55" t="str">
        <f>IF(G97="","",M87-((1/Comparisons!#REF!)*1000000))</f>
        <v/>
      </c>
      <c r="N97" s="55" t="str">
        <f>IF(H97="","",N87-((1/Comparisons!#REF!)*1000000))</f>
        <v/>
      </c>
      <c r="O97" s="56" t="str">
        <f>IF(I97="","",O87-((1/Comparisons!#REF!)*1000000))</f>
        <v/>
      </c>
    </row>
    <row r="98" spans="1:15" x14ac:dyDescent="0.25">
      <c r="A98" s="51" t="s">
        <v>10</v>
      </c>
      <c r="B98" s="52" t="s">
        <v>8</v>
      </c>
      <c r="C98" s="52" t="s">
        <v>11</v>
      </c>
      <c r="D98" s="59">
        <f>IF(D88="","",(D88-'2017'!D489)/'2017'!D489)</f>
        <v>5.0408562550351019E-2</v>
      </c>
      <c r="E98" s="59">
        <f>IF(E88="","",(E88-'2017'!E489)/'2017'!E489)</f>
        <v>8.0718227493616675E-3</v>
      </c>
      <c r="F98" s="59">
        <f>IF(F88="","",(F88-'2017'!F489)/'2017'!F489)</f>
        <v>-2.002002002002002E-2</v>
      </c>
      <c r="G98" s="59" t="str">
        <f>IF(G88="","",(G88-#REF!)/#REF!)</f>
        <v/>
      </c>
      <c r="H98" s="59" t="str">
        <f>IF(H88="","",(H88-#REF!)/#REF!)</f>
        <v/>
      </c>
      <c r="I98" s="59" t="str">
        <f>IF(I88="","",(I88-#REF!)/#REF!)</f>
        <v/>
      </c>
      <c r="J98" s="55" t="e">
        <f>J88-'2015'!J118</f>
        <v>#REF!</v>
      </c>
      <c r="K98" s="55">
        <f>K88-'2015'!K118</f>
        <v>82.367582511220405</v>
      </c>
      <c r="L98" s="55">
        <f>L88-'2015'!L118</f>
        <v>203.99857159574586</v>
      </c>
      <c r="M98" s="55" t="str">
        <f>IF(G98="","",M88-((1/Comparisons!#REF!)*1000000))</f>
        <v/>
      </c>
      <c r="N98" s="55" t="str">
        <f>IF(H98="","",N88-((1/Comparisons!#REF!)*1000000))</f>
        <v/>
      </c>
      <c r="O98" s="56" t="str">
        <f>IF(I98="","",O88-((1/Comparisons!#REF!)*1000000))</f>
        <v/>
      </c>
    </row>
    <row r="99" spans="1:15" x14ac:dyDescent="0.25">
      <c r="A99" s="51" t="s">
        <v>12</v>
      </c>
      <c r="B99" s="52" t="s">
        <v>13</v>
      </c>
      <c r="C99" s="52" t="s">
        <v>9</v>
      </c>
      <c r="D99" s="59">
        <f>IF(D89="","",(D89-'2017'!D490)/'2017'!D490)</f>
        <v>2.9241885980811524E-2</v>
      </c>
      <c r="E99" s="59">
        <f>IF(E89="","",(E89-'2017'!E490)/'2017'!E490)</f>
        <v>-4.7838905267842246E-3</v>
      </c>
      <c r="F99" s="59">
        <f>IF(F89="","",(F89-'2017'!F490)/'2017'!F490)</f>
        <v>8.5882984433709071E-3</v>
      </c>
      <c r="G99" s="59" t="str">
        <f>IF(G89="","",(G89-#REF!)/#REF!)</f>
        <v/>
      </c>
      <c r="H99" s="59" t="str">
        <f>IF(H89="","",(H89-#REF!)/#REF!)</f>
        <v/>
      </c>
      <c r="I99" s="59" t="str">
        <f>IF(I89="","",(I89-#REF!)/#REF!)</f>
        <v/>
      </c>
      <c r="J99" s="55">
        <f>J89-'2015'!J119</f>
        <v>26.524292968963078</v>
      </c>
      <c r="K99" s="55">
        <f>K89-'2015'!K119</f>
        <v>57.730040041534309</v>
      </c>
      <c r="L99" s="55">
        <f>L89-'2015'!L119</f>
        <v>180.38681649398148</v>
      </c>
      <c r="M99" s="55" t="str">
        <f>IF(G99="","",M89-((1/Comparisons!#REF!)*1000000))</f>
        <v/>
      </c>
      <c r="N99" s="55" t="str">
        <f>IF(H99="","",N89-((1/Comparisons!#REF!)*1000000))</f>
        <v/>
      </c>
      <c r="O99" s="56" t="str">
        <f>IF(I99="","",O89-((1/Comparisons!#REF!)*1000000))</f>
        <v/>
      </c>
    </row>
    <row r="100" spans="1:15" x14ac:dyDescent="0.25">
      <c r="A100" s="51" t="s">
        <v>14</v>
      </c>
      <c r="B100" s="52" t="s">
        <v>13</v>
      </c>
      <c r="C100" s="52" t="s">
        <v>11</v>
      </c>
      <c r="D100" s="59">
        <f>IF(D90="","",(D90-'2017'!D491)/'2017'!D491)</f>
        <v>-4.1114551083591334E-2</v>
      </c>
      <c r="E100" s="59">
        <f>IF(E90="","",(E90-'2017'!E491)/'2017'!E491)</f>
        <v>-3.6393641969947016E-2</v>
      </c>
      <c r="F100" s="59">
        <f>IF(F90="","",(F90-'2017'!F491)/'2017'!F491)</f>
        <v>-1.1326194398682043E-2</v>
      </c>
      <c r="G100" s="59" t="str">
        <f>IF(G90="","",(G90-#REF!)/#REF!)</f>
        <v/>
      </c>
      <c r="H100" s="59" t="str">
        <f>IF(H90="","",(H90-#REF!)/#REF!)</f>
        <v/>
      </c>
      <c r="I100" s="59" t="str">
        <f>IF(I90="","",(I90-#REF!)/#REF!)</f>
        <v/>
      </c>
      <c r="J100" s="55" t="e">
        <f>J90-'2015'!J120</f>
        <v>#REF!</v>
      </c>
      <c r="K100" s="55">
        <f>K90-'2015'!K120</f>
        <v>95.092835413554667</v>
      </c>
      <c r="L100" s="55">
        <f>L90-'2015'!L120</f>
        <v>210.83728269101698</v>
      </c>
      <c r="M100" s="55" t="str">
        <f>IF(G100="","",M90-((1/Comparisons!#REF!)*1000000))</f>
        <v/>
      </c>
      <c r="N100" s="55" t="str">
        <f>IF(H100="","",N90-((1/Comparisons!#REF!)*1000000))</f>
        <v/>
      </c>
      <c r="O100" s="56" t="str">
        <f>IF(I100="","",O90-((1/Comparisons!#REF!)*1000000))</f>
        <v/>
      </c>
    </row>
    <row r="101" spans="1:15" x14ac:dyDescent="0.25">
      <c r="A101" s="51" t="s">
        <v>15</v>
      </c>
      <c r="B101" s="52" t="s">
        <v>16</v>
      </c>
      <c r="C101" s="52" t="s">
        <v>11</v>
      </c>
      <c r="D101" s="59">
        <f>IF(D91="","",(D91-'2017'!D492)/'2017'!D492)</f>
        <v>-7.60254108548543E-2</v>
      </c>
      <c r="E101" s="59">
        <f>IF(E91="","",(E91-'2017'!E492)/'2017'!E492)</f>
        <v>-6.1904761904761907E-3</v>
      </c>
      <c r="F101" s="59">
        <f>IF(F91="","",(F91-'2017'!F492)/'2017'!F492)</f>
        <v>-6.1963575465773496E-2</v>
      </c>
      <c r="G101" s="59" t="str">
        <f>IF(G91="","",(G91-#REF!)/#REF!)</f>
        <v/>
      </c>
      <c r="H101" s="59" t="str">
        <f>IF(H91="","",(H91-#REF!)/#REF!)</f>
        <v/>
      </c>
      <c r="I101" s="59" t="str">
        <f>IF(I91="","",(I91-#REF!)/#REF!)</f>
        <v/>
      </c>
      <c r="J101" s="55" t="e">
        <f>J91-'2015'!J121</f>
        <v>#REF!</v>
      </c>
      <c r="K101" s="55">
        <f>K91-'2015'!K121</f>
        <v>78.720002724850332</v>
      </c>
      <c r="L101" s="55">
        <f>L91-'2015'!L121</f>
        <v>227.32049276514198</v>
      </c>
      <c r="M101" s="55" t="str">
        <f>IF(G101="","",M91-((1/Comparisons!#REF!)*1000000))</f>
        <v/>
      </c>
      <c r="N101" s="55" t="str">
        <f>IF(H101="","",N91-((1/Comparisons!#REF!)*1000000))</f>
        <v/>
      </c>
      <c r="O101" s="56" t="str">
        <f>IF(I101="","",O91-((1/Comparisons!#REF!)*1000000))</f>
        <v/>
      </c>
    </row>
    <row r="102" spans="1:15" ht="15.75" thickBot="1" x14ac:dyDescent="0.3">
      <c r="A102" s="60" t="s">
        <v>17</v>
      </c>
      <c r="B102" s="61" t="s">
        <v>18</v>
      </c>
      <c r="C102" s="61" t="s">
        <v>11</v>
      </c>
      <c r="D102" s="59">
        <f>IF(D92="","",(D92-'2017'!D493)/'2017'!D493)</f>
        <v>-6.0439140081095556E-2</v>
      </c>
      <c r="E102" s="59">
        <f>IF(E92="","",(E92-'2017'!E493)/'2017'!E493)</f>
        <v>4.2839380580987907E-2</v>
      </c>
      <c r="F102" s="59">
        <f>IF(F92="","",(F92-'2017'!F493)/'2017'!F493)</f>
        <v>-2.4137153169411233E-2</v>
      </c>
      <c r="G102" s="62" t="str">
        <f>IF(G92="","",(G92-#REF!)/#REF!)</f>
        <v/>
      </c>
      <c r="H102" s="62" t="str">
        <f>IF(H92="","",(H92-#REF!)/#REF!)</f>
        <v/>
      </c>
      <c r="I102" s="62" t="str">
        <f>IF(I92="","",(I92-#REF!)/#REF!)</f>
        <v/>
      </c>
      <c r="J102" s="63">
        <f>J92-'2015'!J122</f>
        <v>81.4265939255761</v>
      </c>
      <c r="K102" s="63">
        <f>K92-'2015'!K122</f>
        <v>108.38933448948623</v>
      </c>
      <c r="L102" s="63">
        <f>L92-'2015'!L122</f>
        <v>231.16042533518259</v>
      </c>
      <c r="M102" s="63" t="str">
        <f>IF(G102="","",M92-((1/Comparisons!#REF!)*1000000))</f>
        <v/>
      </c>
      <c r="N102" s="63" t="str">
        <f>IF(H102="","",N92-((1/Comparisons!#REF!)*1000000))</f>
        <v/>
      </c>
      <c r="O102" s="64" t="str">
        <f>IF(I102="","",O92-((1/Comparisons!#REF!)*1000000))</f>
        <v/>
      </c>
    </row>
    <row r="103" spans="1:15" ht="18.75" x14ac:dyDescent="0.25">
      <c r="A103" s="138" t="s">
        <v>159</v>
      </c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40"/>
    </row>
    <row r="104" spans="1:15" ht="15.75" x14ac:dyDescent="0.25">
      <c r="A104" s="149" t="s">
        <v>170</v>
      </c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2"/>
    </row>
    <row r="105" spans="1:15" x14ac:dyDescent="0.25">
      <c r="A105" s="134" t="s">
        <v>1</v>
      </c>
      <c r="B105" s="135"/>
      <c r="C105" s="135"/>
      <c r="D105" s="136" t="s">
        <v>2</v>
      </c>
      <c r="E105" s="136"/>
      <c r="F105" s="136"/>
      <c r="G105" s="136"/>
      <c r="H105" s="136"/>
      <c r="I105" s="136"/>
      <c r="J105" s="136" t="s">
        <v>3</v>
      </c>
      <c r="K105" s="136"/>
      <c r="L105" s="136"/>
      <c r="M105" s="136"/>
      <c r="N105" s="136"/>
      <c r="O105" s="137"/>
    </row>
    <row r="106" spans="1:15" x14ac:dyDescent="0.25">
      <c r="A106" s="47" t="s">
        <v>26</v>
      </c>
      <c r="B106" s="48" t="s">
        <v>5</v>
      </c>
      <c r="C106" s="48" t="s">
        <v>6</v>
      </c>
      <c r="D106" s="49">
        <v>1</v>
      </c>
      <c r="E106" s="49">
        <v>4</v>
      </c>
      <c r="F106" s="49">
        <v>16</v>
      </c>
      <c r="G106" s="49">
        <v>32</v>
      </c>
      <c r="H106" s="49">
        <v>64</v>
      </c>
      <c r="I106" s="49">
        <v>80</v>
      </c>
      <c r="J106" s="49">
        <v>1</v>
      </c>
      <c r="K106" s="49">
        <v>4</v>
      </c>
      <c r="L106" s="49">
        <v>16</v>
      </c>
      <c r="M106" s="49">
        <v>32</v>
      </c>
      <c r="N106" s="49">
        <v>64</v>
      </c>
      <c r="O106" s="50">
        <v>80</v>
      </c>
    </row>
    <row r="107" spans="1:15" x14ac:dyDescent="0.25">
      <c r="A107" s="51" t="s">
        <v>7</v>
      </c>
      <c r="B107" s="52" t="s">
        <v>8</v>
      </c>
      <c r="C107" s="52" t="s">
        <v>9</v>
      </c>
      <c r="D107" s="53">
        <v>45489</v>
      </c>
      <c r="E107" s="53">
        <v>20110</v>
      </c>
      <c r="F107" s="53">
        <v>5843</v>
      </c>
      <c r="G107" s="54"/>
      <c r="H107" s="54"/>
      <c r="I107" s="54"/>
      <c r="J107" s="55"/>
      <c r="K107" s="55"/>
      <c r="L107" s="55"/>
      <c r="M107" s="55" t="str">
        <f t="shared" ref="M107:M112" si="31">IF(G107="","",(1/G107)*1000000)</f>
        <v/>
      </c>
      <c r="N107" s="55" t="str">
        <f t="shared" ref="N107:N112" si="32">IF(H107="","",(1/H107)*1000000)</f>
        <v/>
      </c>
      <c r="O107" s="56" t="str">
        <f t="shared" ref="O107:O112" si="33">IF(I107="","",(1/I107)*1000000)</f>
        <v/>
      </c>
    </row>
    <row r="108" spans="1:15" x14ac:dyDescent="0.25">
      <c r="A108" s="51" t="s">
        <v>10</v>
      </c>
      <c r="B108" s="52" t="s">
        <v>8</v>
      </c>
      <c r="C108" s="52" t="s">
        <v>11</v>
      </c>
      <c r="D108" s="53">
        <v>17911</v>
      </c>
      <c r="E108" s="53">
        <v>12390</v>
      </c>
      <c r="F108" s="53">
        <v>5018</v>
      </c>
      <c r="G108" s="54"/>
      <c r="H108" s="54"/>
      <c r="I108" s="54"/>
      <c r="J108" s="55"/>
      <c r="K108" s="55"/>
      <c r="L108" s="55"/>
      <c r="M108" s="55" t="str">
        <f t="shared" si="31"/>
        <v/>
      </c>
      <c r="N108" s="55" t="str">
        <f t="shared" si="32"/>
        <v/>
      </c>
      <c r="O108" s="56" t="str">
        <f t="shared" si="33"/>
        <v/>
      </c>
    </row>
    <row r="109" spans="1:15" x14ac:dyDescent="0.25">
      <c r="A109" s="51" t="s">
        <v>12</v>
      </c>
      <c r="B109" s="52" t="s">
        <v>13</v>
      </c>
      <c r="C109" s="52" t="s">
        <v>9</v>
      </c>
      <c r="D109" s="53">
        <v>39956</v>
      </c>
      <c r="E109" s="53">
        <v>17916</v>
      </c>
      <c r="F109" s="53">
        <v>5608</v>
      </c>
      <c r="G109" s="54"/>
      <c r="H109" s="54"/>
      <c r="I109" s="54"/>
      <c r="J109" s="55"/>
      <c r="K109" s="55"/>
      <c r="L109" s="55"/>
      <c r="M109" s="55" t="str">
        <f t="shared" si="31"/>
        <v/>
      </c>
      <c r="N109" s="55" t="str">
        <f t="shared" si="32"/>
        <v/>
      </c>
      <c r="O109" s="56" t="str">
        <f t="shared" si="33"/>
        <v/>
      </c>
    </row>
    <row r="110" spans="1:15" x14ac:dyDescent="0.25">
      <c r="A110" s="51" t="s">
        <v>14</v>
      </c>
      <c r="B110" s="52" t="s">
        <v>13</v>
      </c>
      <c r="C110" s="52" t="s">
        <v>11</v>
      </c>
      <c r="D110" s="53">
        <v>16609</v>
      </c>
      <c r="E110" s="53">
        <v>11438</v>
      </c>
      <c r="F110" s="53">
        <v>4804</v>
      </c>
      <c r="G110" s="54"/>
      <c r="H110" s="54"/>
      <c r="I110" s="54"/>
      <c r="J110" s="55"/>
      <c r="K110" s="55"/>
      <c r="L110" s="55"/>
      <c r="M110" s="55" t="str">
        <f t="shared" si="31"/>
        <v/>
      </c>
      <c r="N110" s="55" t="str">
        <f t="shared" si="32"/>
        <v/>
      </c>
      <c r="O110" s="56" t="str">
        <f t="shared" si="33"/>
        <v/>
      </c>
    </row>
    <row r="111" spans="1:15" x14ac:dyDescent="0.25">
      <c r="A111" s="51" t="s">
        <v>15</v>
      </c>
      <c r="B111" s="52" t="s">
        <v>16</v>
      </c>
      <c r="C111" s="52" t="s">
        <v>11</v>
      </c>
      <c r="D111" s="53">
        <v>14984</v>
      </c>
      <c r="E111" s="53">
        <v>9664</v>
      </c>
      <c r="F111" s="53">
        <v>4674</v>
      </c>
      <c r="G111" s="54"/>
      <c r="H111" s="54"/>
      <c r="I111" s="54"/>
      <c r="J111" s="55"/>
      <c r="K111" s="55"/>
      <c r="L111" s="55"/>
      <c r="M111" s="55" t="str">
        <f t="shared" si="31"/>
        <v/>
      </c>
      <c r="N111" s="55" t="str">
        <f t="shared" si="32"/>
        <v/>
      </c>
      <c r="O111" s="56" t="str">
        <f t="shared" si="33"/>
        <v/>
      </c>
    </row>
    <row r="112" spans="1:15" x14ac:dyDescent="0.25">
      <c r="A112" s="51" t="s">
        <v>17</v>
      </c>
      <c r="B112" s="52" t="s">
        <v>18</v>
      </c>
      <c r="C112" s="52" t="s">
        <v>11</v>
      </c>
      <c r="D112" s="53">
        <v>12339</v>
      </c>
      <c r="E112" s="53">
        <v>8847</v>
      </c>
      <c r="F112" s="53">
        <v>4518</v>
      </c>
      <c r="G112" s="54"/>
      <c r="H112" s="54"/>
      <c r="I112" s="54"/>
      <c r="J112" s="55"/>
      <c r="K112" s="55"/>
      <c r="L112" s="55"/>
      <c r="M112" s="55" t="str">
        <f t="shared" si="31"/>
        <v/>
      </c>
      <c r="N112" s="55" t="str">
        <f t="shared" si="32"/>
        <v/>
      </c>
      <c r="O112" s="56" t="str">
        <f t="shared" si="33"/>
        <v/>
      </c>
    </row>
    <row r="113" spans="1:15" x14ac:dyDescent="0.25">
      <c r="A113" s="116" t="s">
        <v>171</v>
      </c>
      <c r="B113" s="117"/>
      <c r="C113" s="117"/>
      <c r="D113" s="117"/>
      <c r="E113" s="143"/>
      <c r="F113" s="143"/>
      <c r="G113" s="143"/>
      <c r="H113" s="143"/>
      <c r="I113" s="143"/>
      <c r="J113" s="57"/>
      <c r="K113" s="57"/>
      <c r="L113" s="57"/>
      <c r="M113" s="57"/>
      <c r="N113" s="57"/>
      <c r="O113" s="58"/>
    </row>
    <row r="114" spans="1:15" ht="18.75" x14ac:dyDescent="0.3">
      <c r="A114" s="146" t="s">
        <v>154</v>
      </c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5"/>
    </row>
    <row r="115" spans="1:15" x14ac:dyDescent="0.25">
      <c r="A115" s="134" t="s">
        <v>1</v>
      </c>
      <c r="B115" s="135"/>
      <c r="C115" s="135"/>
      <c r="D115" s="136" t="s">
        <v>19</v>
      </c>
      <c r="E115" s="136"/>
      <c r="F115" s="136"/>
      <c r="G115" s="136"/>
      <c r="H115" s="136"/>
      <c r="I115" s="136"/>
      <c r="J115" s="136" t="s">
        <v>22</v>
      </c>
      <c r="K115" s="136"/>
      <c r="L115" s="136"/>
      <c r="M115" s="136"/>
      <c r="N115" s="136"/>
      <c r="O115" s="137"/>
    </row>
    <row r="116" spans="1:15" x14ac:dyDescent="0.25">
      <c r="A116" s="47" t="s">
        <v>4</v>
      </c>
      <c r="B116" s="48" t="s">
        <v>5</v>
      </c>
      <c r="C116" s="48" t="s">
        <v>6</v>
      </c>
      <c r="D116" s="49">
        <v>1</v>
      </c>
      <c r="E116" s="49">
        <v>4</v>
      </c>
      <c r="F116" s="49">
        <v>16</v>
      </c>
      <c r="G116" s="49">
        <v>32</v>
      </c>
      <c r="H116" s="49">
        <v>64</v>
      </c>
      <c r="I116" s="49">
        <v>80</v>
      </c>
      <c r="J116" s="49">
        <v>1</v>
      </c>
      <c r="K116" s="49">
        <v>4</v>
      </c>
      <c r="L116" s="49">
        <v>16</v>
      </c>
      <c r="M116" s="49">
        <v>32</v>
      </c>
      <c r="N116" s="49">
        <v>64</v>
      </c>
      <c r="O116" s="50">
        <v>80</v>
      </c>
    </row>
    <row r="117" spans="1:15" x14ac:dyDescent="0.25">
      <c r="A117" s="51" t="s">
        <v>7</v>
      </c>
      <c r="B117" s="52" t="s">
        <v>8</v>
      </c>
      <c r="C117" s="52" t="s">
        <v>9</v>
      </c>
      <c r="D117" s="59">
        <f>IF(D107="","",(D107-'2017'!D488)/'2017'!D488)</f>
        <v>5.2571904574588706E-2</v>
      </c>
      <c r="E117" s="59">
        <f>IF(E107="","",(E107-'2017'!E488)/'2017'!E488)</f>
        <v>2.2317116567535968E-2</v>
      </c>
      <c r="F117" s="59">
        <f>IF(F107="","",(F107-'2017'!F488)/'2017'!F488)</f>
        <v>0</v>
      </c>
      <c r="G117" s="59" t="str">
        <f>IF(G107="","",(G107-#REF!)/#REF!)</f>
        <v/>
      </c>
      <c r="H117" s="59" t="str">
        <f>IF(H107="","",(H107-#REF!)/#REF!)</f>
        <v/>
      </c>
      <c r="I117" s="59" t="str">
        <f>IF(I107="","",(I107-#REF!)/#REF!)</f>
        <v/>
      </c>
      <c r="J117" s="55"/>
      <c r="K117" s="55"/>
      <c r="L117" s="55"/>
      <c r="M117" s="55" t="str">
        <f>IF(G117="","",M107-((1/Comparisons!#REF!)*1000000))</f>
        <v/>
      </c>
      <c r="N117" s="55" t="str">
        <f>IF(H117="","",N107-((1/Comparisons!#REF!)*1000000))</f>
        <v/>
      </c>
      <c r="O117" s="56" t="str">
        <f>IF(I117="","",O107-((1/Comparisons!#REF!)*1000000))</f>
        <v/>
      </c>
    </row>
    <row r="118" spans="1:15" x14ac:dyDescent="0.25">
      <c r="A118" s="51" t="s">
        <v>10</v>
      </c>
      <c r="B118" s="52" t="s">
        <v>8</v>
      </c>
      <c r="C118" s="52" t="s">
        <v>11</v>
      </c>
      <c r="D118" s="59">
        <f>IF(D108="","",(D108-'2017'!D489)/'2017'!D489)</f>
        <v>3.0670963286914491E-2</v>
      </c>
      <c r="E118" s="59">
        <f>IF(E108="","",(E108-'2017'!E489)/'2017'!E489)</f>
        <v>2.0509019026439337E-2</v>
      </c>
      <c r="F118" s="59">
        <f>IF(F108="","",(F108-'2017'!F489)/'2017'!F489)</f>
        <v>4.6046046046046042E-3</v>
      </c>
      <c r="G118" s="59" t="str">
        <f>IF(G108="","",(G108-#REF!)/#REF!)</f>
        <v/>
      </c>
      <c r="H118" s="59" t="str">
        <f>IF(H108="","",(H108-#REF!)/#REF!)</f>
        <v/>
      </c>
      <c r="I118" s="59" t="str">
        <f>IF(I108="","",(I108-#REF!)/#REF!)</f>
        <v/>
      </c>
      <c r="J118" s="55"/>
      <c r="K118" s="55"/>
      <c r="L118" s="55"/>
      <c r="M118" s="55" t="str">
        <f>IF(G118="","",M108-((1/Comparisons!#REF!)*1000000))</f>
        <v/>
      </c>
      <c r="N118" s="55" t="str">
        <f>IF(H118="","",N108-((1/Comparisons!#REF!)*1000000))</f>
        <v/>
      </c>
      <c r="O118" s="56" t="str">
        <f>IF(I118="","",O108-((1/Comparisons!#REF!)*1000000))</f>
        <v/>
      </c>
    </row>
    <row r="119" spans="1:15" x14ac:dyDescent="0.25">
      <c r="A119" s="51" t="s">
        <v>12</v>
      </c>
      <c r="B119" s="52" t="s">
        <v>13</v>
      </c>
      <c r="C119" s="52" t="s">
        <v>9</v>
      </c>
      <c r="D119" s="59">
        <f>IF(D109="","",(D109-'2017'!D490)/'2017'!D490)</f>
        <v>-3.4389424587351072E-2</v>
      </c>
      <c r="E119" s="59">
        <f>IF(E109="","",(E109-'2017'!E490)/'2017'!E490)</f>
        <v>-3.3932246759748566E-3</v>
      </c>
      <c r="F119" s="59">
        <f>IF(F109="","",(F109-'2017'!F490)/'2017'!F490)</f>
        <v>3.3995348005009841E-3</v>
      </c>
      <c r="G119" s="59" t="str">
        <f>IF(G109="","",(G109-#REF!)/#REF!)</f>
        <v/>
      </c>
      <c r="H119" s="59" t="str">
        <f>IF(H109="","",(H109-#REF!)/#REF!)</f>
        <v/>
      </c>
      <c r="I119" s="59" t="str">
        <f>IF(I109="","",(I109-#REF!)/#REF!)</f>
        <v/>
      </c>
      <c r="J119" s="55"/>
      <c r="K119" s="55"/>
      <c r="L119" s="55"/>
      <c r="M119" s="55" t="str">
        <f>IF(G119="","",M109-((1/Comparisons!#REF!)*1000000))</f>
        <v/>
      </c>
      <c r="N119" s="55" t="str">
        <f>IF(H119="","",N109-((1/Comparisons!#REF!)*1000000))</f>
        <v/>
      </c>
      <c r="O119" s="56" t="str">
        <f>IF(I119="","",O109-((1/Comparisons!#REF!)*1000000))</f>
        <v/>
      </c>
    </row>
    <row r="120" spans="1:15" x14ac:dyDescent="0.25">
      <c r="A120" s="51" t="s">
        <v>14</v>
      </c>
      <c r="B120" s="52" t="s">
        <v>13</v>
      </c>
      <c r="C120" s="52" t="s">
        <v>11</v>
      </c>
      <c r="D120" s="59">
        <f>IF(D110="","",(D110-'2017'!D491)/'2017'!D491)</f>
        <v>2.8421052631578948E-2</v>
      </c>
      <c r="E120" s="59">
        <f>IF(E110="","",(E110-'2017'!E491)/'2017'!E491)</f>
        <v>-6.5143750542864592E-3</v>
      </c>
      <c r="F120" s="59">
        <f>IF(F110="","",(F110-'2017'!F491)/'2017'!F491)</f>
        <v>-1.070840197693575E-2</v>
      </c>
      <c r="G120" s="59" t="str">
        <f>IF(G110="","",(G110-#REF!)/#REF!)</f>
        <v/>
      </c>
      <c r="H120" s="59" t="str">
        <f>IF(H110="","",(H110-#REF!)/#REF!)</f>
        <v/>
      </c>
      <c r="I120" s="59" t="str">
        <f>IF(I110="","",(I110-#REF!)/#REF!)</f>
        <v/>
      </c>
      <c r="J120" s="55"/>
      <c r="K120" s="55"/>
      <c r="L120" s="55"/>
      <c r="M120" s="55" t="str">
        <f>IF(G120="","",M110-((1/Comparisons!#REF!)*1000000))</f>
        <v/>
      </c>
      <c r="N120" s="55" t="str">
        <f>IF(H120="","",N110-((1/Comparisons!#REF!)*1000000))</f>
        <v/>
      </c>
      <c r="O120" s="56" t="str">
        <f>IF(I120="","",O110-((1/Comparisons!#REF!)*1000000))</f>
        <v/>
      </c>
    </row>
    <row r="121" spans="1:15" x14ac:dyDescent="0.25">
      <c r="A121" s="51" t="s">
        <v>15</v>
      </c>
      <c r="B121" s="52" t="s">
        <v>16</v>
      </c>
      <c r="C121" s="52" t="s">
        <v>11</v>
      </c>
      <c r="D121" s="59">
        <f>IF(D111="","",(D111-'2017'!D492)/'2017'!D492)</f>
        <v>3.4663720480596599E-2</v>
      </c>
      <c r="E121" s="59">
        <f>IF(E111="","",(E111-'2017'!E492)/'2017'!E492)</f>
        <v>-7.9619047619047617E-2</v>
      </c>
      <c r="F121" s="59">
        <f>IF(F111="","",(F111-'2017'!F492)/'2017'!F492)</f>
        <v>-2.1561649570860372E-2</v>
      </c>
      <c r="G121" s="59" t="str">
        <f>IF(G111="","",(G111-#REF!)/#REF!)</f>
        <v/>
      </c>
      <c r="H121" s="59" t="str">
        <f>IF(H111="","",(H111-#REF!)/#REF!)</f>
        <v/>
      </c>
      <c r="I121" s="59" t="str">
        <f>IF(I111="","",(I111-#REF!)/#REF!)</f>
        <v/>
      </c>
      <c r="J121" s="55"/>
      <c r="K121" s="55"/>
      <c r="L121" s="55"/>
      <c r="M121" s="55" t="str">
        <f>IF(G121="","",M111-((1/Comparisons!#REF!)*1000000))</f>
        <v/>
      </c>
      <c r="N121" s="55" t="str">
        <f>IF(H121="","",N111-((1/Comparisons!#REF!)*1000000))</f>
        <v/>
      </c>
      <c r="O121" s="56" t="str">
        <f>IF(I121="","",O111-((1/Comparisons!#REF!)*1000000))</f>
        <v/>
      </c>
    </row>
    <row r="122" spans="1:15" ht="15.75" thickBot="1" x14ac:dyDescent="0.3">
      <c r="A122" s="60" t="s">
        <v>17</v>
      </c>
      <c r="B122" s="61" t="s">
        <v>18</v>
      </c>
      <c r="C122" s="61" t="s">
        <v>11</v>
      </c>
      <c r="D122" s="59">
        <f>IF(D112="","",(D112-'2017'!D493)/'2017'!D493)</f>
        <v>-5.6001836125774612E-2</v>
      </c>
      <c r="E122" s="59">
        <f>IF(E112="","",(E112-'2017'!E493)/'2017'!E493)</f>
        <v>0</v>
      </c>
      <c r="F122" s="59">
        <f>IF(F112="","",(F112-'2017'!F493)/'2017'!F493)</f>
        <v>1.9174374013083691E-2</v>
      </c>
      <c r="G122" s="62" t="str">
        <f>IF(G112="","",(G112-#REF!)/#REF!)</f>
        <v/>
      </c>
      <c r="H122" s="62" t="str">
        <f>IF(H112="","",(H112-#REF!)/#REF!)</f>
        <v/>
      </c>
      <c r="I122" s="62" t="str">
        <f>IF(I112="","",(I112-#REF!)/#REF!)</f>
        <v/>
      </c>
      <c r="J122" s="63"/>
      <c r="K122" s="63"/>
      <c r="L122" s="63"/>
      <c r="M122" s="63" t="str">
        <f>IF(G122="","",M112-((1/Comparisons!#REF!)*1000000))</f>
        <v/>
      </c>
      <c r="N122" s="63" t="str">
        <f>IF(H122="","",N112-((1/Comparisons!#REF!)*1000000))</f>
        <v/>
      </c>
      <c r="O122" s="64" t="str">
        <f>IF(I122="","",O112-((1/Comparisons!#REF!)*1000000))</f>
        <v/>
      </c>
    </row>
    <row r="123" spans="1:15" ht="18.75" x14ac:dyDescent="0.25">
      <c r="A123" s="138" t="s">
        <v>159</v>
      </c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40"/>
    </row>
    <row r="124" spans="1:15" ht="15.75" x14ac:dyDescent="0.25">
      <c r="A124" s="113" t="s">
        <v>173</v>
      </c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2"/>
    </row>
    <row r="125" spans="1:15" x14ac:dyDescent="0.25">
      <c r="A125" s="134" t="s">
        <v>1</v>
      </c>
      <c r="B125" s="135"/>
      <c r="C125" s="135"/>
      <c r="D125" s="136" t="s">
        <v>2</v>
      </c>
      <c r="E125" s="136"/>
      <c r="F125" s="136"/>
      <c r="G125" s="136"/>
      <c r="H125" s="136"/>
      <c r="I125" s="136"/>
      <c r="J125" s="136" t="s">
        <v>3</v>
      </c>
      <c r="K125" s="136"/>
      <c r="L125" s="136"/>
      <c r="M125" s="136"/>
      <c r="N125" s="136"/>
      <c r="O125" s="137"/>
    </row>
    <row r="126" spans="1:15" x14ac:dyDescent="0.25">
      <c r="A126" s="47" t="s">
        <v>26</v>
      </c>
      <c r="B126" s="48" t="s">
        <v>5</v>
      </c>
      <c r="C126" s="48" t="s">
        <v>6</v>
      </c>
      <c r="D126" s="49">
        <v>1</v>
      </c>
      <c r="E126" s="49">
        <v>4</v>
      </c>
      <c r="F126" s="49">
        <v>16</v>
      </c>
      <c r="G126" s="49">
        <v>32</v>
      </c>
      <c r="H126" s="49">
        <v>64</v>
      </c>
      <c r="I126" s="49">
        <v>80</v>
      </c>
      <c r="J126" s="49">
        <v>1</v>
      </c>
      <c r="K126" s="49">
        <v>4</v>
      </c>
      <c r="L126" s="49">
        <v>16</v>
      </c>
      <c r="M126" s="49">
        <v>32</v>
      </c>
      <c r="N126" s="49">
        <v>64</v>
      </c>
      <c r="O126" s="50">
        <v>80</v>
      </c>
    </row>
    <row r="127" spans="1:15" x14ac:dyDescent="0.25">
      <c r="A127" s="51" t="s">
        <v>7</v>
      </c>
      <c r="B127" s="52" t="s">
        <v>8</v>
      </c>
      <c r="C127" s="52" t="s">
        <v>9</v>
      </c>
      <c r="D127" s="53">
        <v>43795</v>
      </c>
      <c r="E127" s="53">
        <v>20094</v>
      </c>
      <c r="F127" s="53">
        <v>5837</v>
      </c>
      <c r="G127" s="54"/>
      <c r="H127" s="54"/>
      <c r="I127" s="54"/>
      <c r="J127" s="55"/>
      <c r="K127" s="55"/>
      <c r="L127" s="55"/>
      <c r="M127" s="55" t="str">
        <f t="shared" ref="M127:M132" si="34">IF(G127="","",(1/G127)*1000000)</f>
        <v/>
      </c>
      <c r="N127" s="55" t="str">
        <f t="shared" ref="N127:N132" si="35">IF(H127="","",(1/H127)*1000000)</f>
        <v/>
      </c>
      <c r="O127" s="56" t="str">
        <f t="shared" ref="O127:O132" si="36">IF(I127="","",(1/I127)*1000000)</f>
        <v/>
      </c>
    </row>
    <row r="128" spans="1:15" x14ac:dyDescent="0.25">
      <c r="A128" s="51" t="s">
        <v>10</v>
      </c>
      <c r="B128" s="52" t="s">
        <v>8</v>
      </c>
      <c r="C128" s="52" t="s">
        <v>11</v>
      </c>
      <c r="D128" s="53">
        <v>18583</v>
      </c>
      <c r="E128" s="53">
        <v>12425</v>
      </c>
      <c r="F128" s="53">
        <v>4928</v>
      </c>
      <c r="G128" s="54"/>
      <c r="H128" s="54"/>
      <c r="I128" s="54"/>
      <c r="J128" s="55"/>
      <c r="K128" s="55"/>
      <c r="L128" s="55"/>
      <c r="M128" s="55" t="str">
        <f t="shared" si="34"/>
        <v/>
      </c>
      <c r="N128" s="55" t="str">
        <f t="shared" si="35"/>
        <v/>
      </c>
      <c r="O128" s="56" t="str">
        <f t="shared" si="36"/>
        <v/>
      </c>
    </row>
    <row r="129" spans="1:15" x14ac:dyDescent="0.25">
      <c r="A129" s="51" t="s">
        <v>12</v>
      </c>
      <c r="B129" s="52" t="s">
        <v>13</v>
      </c>
      <c r="C129" s="52" t="s">
        <v>9</v>
      </c>
      <c r="D129" s="53">
        <v>39956</v>
      </c>
      <c r="E129" s="53">
        <v>17773</v>
      </c>
      <c r="F129" s="53">
        <v>5569</v>
      </c>
      <c r="G129" s="54"/>
      <c r="H129" s="54"/>
      <c r="I129" s="54"/>
      <c r="J129" s="55"/>
      <c r="K129" s="55"/>
      <c r="L129" s="55"/>
      <c r="M129" s="55" t="str">
        <f t="shared" si="34"/>
        <v/>
      </c>
      <c r="N129" s="55" t="str">
        <f t="shared" si="35"/>
        <v/>
      </c>
      <c r="O129" s="56" t="str">
        <f t="shared" si="36"/>
        <v/>
      </c>
    </row>
    <row r="130" spans="1:15" x14ac:dyDescent="0.25">
      <c r="A130" s="51" t="s">
        <v>14</v>
      </c>
      <c r="B130" s="52" t="s">
        <v>13</v>
      </c>
      <c r="C130" s="52" t="s">
        <v>11</v>
      </c>
      <c r="D130" s="53">
        <v>17201</v>
      </c>
      <c r="E130" s="53">
        <v>11541</v>
      </c>
      <c r="F130" s="53">
        <v>4828</v>
      </c>
      <c r="G130" s="54"/>
      <c r="H130" s="54"/>
      <c r="I130" s="54"/>
      <c r="J130" s="55"/>
      <c r="K130" s="55"/>
      <c r="L130" s="55"/>
      <c r="M130" s="55" t="str">
        <f t="shared" si="34"/>
        <v/>
      </c>
      <c r="N130" s="55" t="str">
        <f t="shared" si="35"/>
        <v/>
      </c>
      <c r="O130" s="56" t="str">
        <f t="shared" si="36"/>
        <v/>
      </c>
    </row>
    <row r="131" spans="1:15" x14ac:dyDescent="0.25">
      <c r="A131" s="51" t="s">
        <v>15</v>
      </c>
      <c r="B131" s="52" t="s">
        <v>16</v>
      </c>
      <c r="C131" s="52" t="s">
        <v>11</v>
      </c>
      <c r="D131" s="53">
        <v>14811</v>
      </c>
      <c r="E131" s="53">
        <v>10511</v>
      </c>
      <c r="F131" s="53">
        <v>4828</v>
      </c>
      <c r="G131" s="54"/>
      <c r="H131" s="54"/>
      <c r="I131" s="54"/>
      <c r="J131" s="55"/>
      <c r="K131" s="55"/>
      <c r="L131" s="55"/>
      <c r="M131" s="55" t="str">
        <f t="shared" si="34"/>
        <v/>
      </c>
      <c r="N131" s="55" t="str">
        <f t="shared" si="35"/>
        <v/>
      </c>
      <c r="O131" s="56" t="str">
        <f t="shared" si="36"/>
        <v/>
      </c>
    </row>
    <row r="132" spans="1:15" x14ac:dyDescent="0.25">
      <c r="A132" s="51" t="s">
        <v>17</v>
      </c>
      <c r="B132" s="52" t="s">
        <v>18</v>
      </c>
      <c r="C132" s="52" t="s">
        <v>11</v>
      </c>
      <c r="D132" s="53">
        <v>12397</v>
      </c>
      <c r="E132" s="53">
        <v>8759</v>
      </c>
      <c r="F132" s="53">
        <v>4267</v>
      </c>
      <c r="G132" s="54"/>
      <c r="H132" s="54"/>
      <c r="I132" s="54"/>
      <c r="J132" s="55"/>
      <c r="K132" s="55"/>
      <c r="L132" s="55"/>
      <c r="M132" s="55" t="str">
        <f t="shared" si="34"/>
        <v/>
      </c>
      <c r="N132" s="55" t="str">
        <f t="shared" si="35"/>
        <v/>
      </c>
      <c r="O132" s="56" t="str">
        <f t="shared" si="36"/>
        <v/>
      </c>
    </row>
    <row r="133" spans="1:15" x14ac:dyDescent="0.25">
      <c r="A133" s="116" t="s">
        <v>172</v>
      </c>
      <c r="B133" s="117"/>
      <c r="C133" s="117"/>
      <c r="D133" s="117"/>
      <c r="E133" s="143"/>
      <c r="F133" s="143"/>
      <c r="G133" s="143"/>
      <c r="H133" s="143"/>
      <c r="I133" s="143"/>
      <c r="J133" s="57"/>
      <c r="K133" s="57"/>
      <c r="L133" s="57"/>
      <c r="M133" s="57"/>
      <c r="N133" s="57"/>
      <c r="O133" s="58"/>
    </row>
    <row r="134" spans="1:15" ht="18.75" x14ac:dyDescent="0.3">
      <c r="A134" s="146" t="s">
        <v>154</v>
      </c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5"/>
    </row>
    <row r="135" spans="1:15" x14ac:dyDescent="0.25">
      <c r="A135" s="134" t="s">
        <v>1</v>
      </c>
      <c r="B135" s="135"/>
      <c r="C135" s="135"/>
      <c r="D135" s="136" t="s">
        <v>19</v>
      </c>
      <c r="E135" s="136"/>
      <c r="F135" s="136"/>
      <c r="G135" s="136"/>
      <c r="H135" s="136"/>
      <c r="I135" s="136"/>
      <c r="J135" s="136" t="s">
        <v>22</v>
      </c>
      <c r="K135" s="136"/>
      <c r="L135" s="136"/>
      <c r="M135" s="136"/>
      <c r="N135" s="136"/>
      <c r="O135" s="137"/>
    </row>
    <row r="136" spans="1:15" x14ac:dyDescent="0.25">
      <c r="A136" s="47" t="s">
        <v>4</v>
      </c>
      <c r="B136" s="48" t="s">
        <v>5</v>
      </c>
      <c r="C136" s="48" t="s">
        <v>6</v>
      </c>
      <c r="D136" s="49">
        <v>1</v>
      </c>
      <c r="E136" s="49">
        <v>4</v>
      </c>
      <c r="F136" s="49">
        <v>16</v>
      </c>
      <c r="G136" s="49">
        <v>32</v>
      </c>
      <c r="H136" s="49">
        <v>64</v>
      </c>
      <c r="I136" s="49">
        <v>80</v>
      </c>
      <c r="J136" s="49">
        <v>1</v>
      </c>
      <c r="K136" s="49">
        <v>4</v>
      </c>
      <c r="L136" s="49">
        <v>16</v>
      </c>
      <c r="M136" s="49">
        <v>32</v>
      </c>
      <c r="N136" s="49">
        <v>64</v>
      </c>
      <c r="O136" s="50">
        <v>80</v>
      </c>
    </row>
    <row r="137" spans="1:15" x14ac:dyDescent="0.25">
      <c r="A137" s="51" t="s">
        <v>7</v>
      </c>
      <c r="B137" s="52" t="s">
        <v>8</v>
      </c>
      <c r="C137" s="52" t="s">
        <v>9</v>
      </c>
      <c r="D137" s="59">
        <f>IF(D127="","",(D127-'2017'!D488)/'2017'!D488)</f>
        <v>1.3374366568711387E-2</v>
      </c>
      <c r="E137" s="59">
        <f>IF(E127="","",(E127-'2017'!E488)/'2017'!E488)</f>
        <v>2.150373646484673E-2</v>
      </c>
      <c r="F137" s="59">
        <f>IF(F127="","",(F127-'2017'!F488)/'2017'!F488)</f>
        <v>-1.0268697586856067E-3</v>
      </c>
      <c r="G137" s="59" t="str">
        <f>IF(G127="","",(G127-#REF!)/#REF!)</f>
        <v/>
      </c>
      <c r="H137" s="59" t="str">
        <f>IF(H127="","",(H127-#REF!)/#REF!)</f>
        <v/>
      </c>
      <c r="I137" s="59" t="str">
        <f>IF(I127="","",(I127-#REF!)/#REF!)</f>
        <v/>
      </c>
      <c r="J137" s="55"/>
      <c r="K137" s="55"/>
      <c r="L137" s="55"/>
      <c r="M137" s="55" t="str">
        <f>IF(G137="","",M127-((1/Comparisons!#REF!)*1000000))</f>
        <v/>
      </c>
      <c r="N137" s="55" t="str">
        <f>IF(H137="","",N127-((1/Comparisons!#REF!)*1000000))</f>
        <v/>
      </c>
      <c r="O137" s="56" t="str">
        <f>IF(I137="","",O127-((1/Comparisons!#REF!)*1000000))</f>
        <v/>
      </c>
    </row>
    <row r="138" spans="1:15" x14ac:dyDescent="0.25">
      <c r="A138" s="51" t="s">
        <v>10</v>
      </c>
      <c r="B138" s="52" t="s">
        <v>8</v>
      </c>
      <c r="C138" s="52" t="s">
        <v>11</v>
      </c>
      <c r="D138" s="59">
        <f>IF(D128="","",(D128-'2017'!D489)/'2017'!D489)</f>
        <v>6.9340545517320745E-2</v>
      </c>
      <c r="E138" s="59">
        <f>IF(E128="","",(E128-'2017'!E489)/'2017'!E489)</f>
        <v>2.3391812865497075E-2</v>
      </c>
      <c r="F138" s="59">
        <f>IF(F128="","",(F128-'2017'!F489)/'2017'!F489)</f>
        <v>-1.3413413413413414E-2</v>
      </c>
      <c r="G138" s="59" t="str">
        <f>IF(G128="","",(G128-#REF!)/#REF!)</f>
        <v/>
      </c>
      <c r="H138" s="59" t="str">
        <f>IF(H128="","",(H128-#REF!)/#REF!)</f>
        <v/>
      </c>
      <c r="I138" s="59" t="str">
        <f>IF(I128="","",(I128-#REF!)/#REF!)</f>
        <v/>
      </c>
      <c r="J138" s="55"/>
      <c r="K138" s="55"/>
      <c r="L138" s="55"/>
      <c r="M138" s="55" t="str">
        <f>IF(G138="","",M128-((1/Comparisons!#REF!)*1000000))</f>
        <v/>
      </c>
      <c r="N138" s="55" t="str">
        <f>IF(H138="","",N128-((1/Comparisons!#REF!)*1000000))</f>
        <v/>
      </c>
      <c r="O138" s="56" t="str">
        <f>IF(I138="","",O128-((1/Comparisons!#REF!)*1000000))</f>
        <v/>
      </c>
    </row>
    <row r="139" spans="1:15" x14ac:dyDescent="0.25">
      <c r="A139" s="51" t="s">
        <v>12</v>
      </c>
      <c r="B139" s="52" t="s">
        <v>13</v>
      </c>
      <c r="C139" s="52" t="s">
        <v>9</v>
      </c>
      <c r="D139" s="59">
        <f>IF(D129="","",(D129-'2017'!D490)/'2017'!D490)</f>
        <v>-3.4389424587351072E-2</v>
      </c>
      <c r="E139" s="59">
        <f>IF(E129="","",(E129-'2017'!E490)/'2017'!E490)</f>
        <v>-1.1347833342604439E-2</v>
      </c>
      <c r="F139" s="59">
        <f>IF(F129="","",(F129-'2017'!F490)/'2017'!F490)</f>
        <v>-3.5784576847378781E-3</v>
      </c>
      <c r="G139" s="59" t="str">
        <f>IF(G129="","",(G129-#REF!)/#REF!)</f>
        <v/>
      </c>
      <c r="H139" s="59" t="str">
        <f>IF(H129="","",(H129-#REF!)/#REF!)</f>
        <v/>
      </c>
      <c r="I139" s="59" t="str">
        <f>IF(I129="","",(I129-#REF!)/#REF!)</f>
        <v/>
      </c>
      <c r="J139" s="55"/>
      <c r="K139" s="55"/>
      <c r="L139" s="55"/>
      <c r="M139" s="55" t="str">
        <f>IF(G139="","",M129-((1/Comparisons!#REF!)*1000000))</f>
        <v/>
      </c>
      <c r="N139" s="55" t="str">
        <f>IF(H139="","",N129-((1/Comparisons!#REF!)*1000000))</f>
        <v/>
      </c>
      <c r="O139" s="56" t="str">
        <f>IF(I139="","",O129-((1/Comparisons!#REF!)*1000000))</f>
        <v/>
      </c>
    </row>
    <row r="140" spans="1:15" x14ac:dyDescent="0.25">
      <c r="A140" s="51" t="s">
        <v>14</v>
      </c>
      <c r="B140" s="52" t="s">
        <v>13</v>
      </c>
      <c r="C140" s="52" t="s">
        <v>11</v>
      </c>
      <c r="D140" s="59">
        <f>IF(D130="","",(D130-'2017'!D491)/'2017'!D491)</f>
        <v>6.5077399380804951E-2</v>
      </c>
      <c r="E140" s="59">
        <f>IF(E130="","",(E130-'2017'!E491)/'2017'!E491)</f>
        <v>2.4320333536002781E-3</v>
      </c>
      <c r="F140" s="59">
        <f>IF(F130="","",(F130-'2017'!F491)/'2017'!F491)</f>
        <v>-5.7660626029654039E-3</v>
      </c>
      <c r="G140" s="59" t="str">
        <f>IF(G130="","",(G130-#REF!)/#REF!)</f>
        <v/>
      </c>
      <c r="H140" s="59" t="str">
        <f>IF(H130="","",(H130-#REF!)/#REF!)</f>
        <v/>
      </c>
      <c r="I140" s="59" t="str">
        <f>IF(I130="","",(I130-#REF!)/#REF!)</f>
        <v/>
      </c>
      <c r="J140" s="55"/>
      <c r="K140" s="55"/>
      <c r="L140" s="55"/>
      <c r="M140" s="55" t="str">
        <f>IF(G140="","",M130-((1/Comparisons!#REF!)*1000000))</f>
        <v/>
      </c>
      <c r="N140" s="55" t="str">
        <f>IF(H140="","",N130-((1/Comparisons!#REF!)*1000000))</f>
        <v/>
      </c>
      <c r="O140" s="56" t="str">
        <f>IF(I140="","",O130-((1/Comparisons!#REF!)*1000000))</f>
        <v/>
      </c>
    </row>
    <row r="141" spans="1:15" x14ac:dyDescent="0.25">
      <c r="A141" s="51" t="s">
        <v>15</v>
      </c>
      <c r="B141" s="52" t="s">
        <v>16</v>
      </c>
      <c r="C141" s="52" t="s">
        <v>11</v>
      </c>
      <c r="D141" s="59">
        <f>IF(D131="","",(D131-'2017'!D492)/'2017'!D492)</f>
        <v>2.2717856649634029E-2</v>
      </c>
      <c r="E141" s="59">
        <f>IF(E131="","",(E131-'2017'!E492)/'2017'!E492)</f>
        <v>1.0476190476190477E-3</v>
      </c>
      <c r="F141" s="59">
        <f>IF(F131="","",(F131-'2017'!F492)/'2017'!F492)</f>
        <v>1.0676156583629894E-2</v>
      </c>
      <c r="G141" s="59" t="str">
        <f>IF(G131="","",(G131-#REF!)/#REF!)</f>
        <v/>
      </c>
      <c r="H141" s="59" t="str">
        <f>IF(H131="","",(H131-#REF!)/#REF!)</f>
        <v/>
      </c>
      <c r="I141" s="59" t="str">
        <f>IF(I131="","",(I131-#REF!)/#REF!)</f>
        <v/>
      </c>
      <c r="J141" s="55"/>
      <c r="K141" s="55"/>
      <c r="L141" s="55"/>
      <c r="M141" s="55" t="str">
        <f>IF(G141="","",M131-((1/Comparisons!#REF!)*1000000))</f>
        <v/>
      </c>
      <c r="N141" s="55" t="str">
        <f>IF(H141="","",N131-((1/Comparisons!#REF!)*1000000))</f>
        <v/>
      </c>
      <c r="O141" s="56" t="str">
        <f>IF(I141="","",O131-((1/Comparisons!#REF!)*1000000))</f>
        <v/>
      </c>
    </row>
    <row r="142" spans="1:15" ht="15.75" thickBot="1" x14ac:dyDescent="0.3">
      <c r="A142" s="60" t="s">
        <v>17</v>
      </c>
      <c r="B142" s="61" t="s">
        <v>18</v>
      </c>
      <c r="C142" s="61" t="s">
        <v>11</v>
      </c>
      <c r="D142" s="59">
        <f>IF(D132="","",(D132-'2017'!D493)/'2017'!D493)</f>
        <v>-5.1564532170453675E-2</v>
      </c>
      <c r="E142" s="59">
        <f>IF(E132="","",(E132-'2017'!E493)/'2017'!E493)</f>
        <v>-9.9468746467729179E-3</v>
      </c>
      <c r="F142" s="59">
        <f>IF(F132="","",(F132-'2017'!F493)/'2017'!F493)</f>
        <v>-3.7446424543198735E-2</v>
      </c>
      <c r="G142" s="62" t="str">
        <f>IF(G132="","",(G132-#REF!)/#REF!)</f>
        <v/>
      </c>
      <c r="H142" s="62" t="str">
        <f>IF(H132="","",(H132-#REF!)/#REF!)</f>
        <v/>
      </c>
      <c r="I142" s="62" t="str">
        <f>IF(I132="","",(I132-#REF!)/#REF!)</f>
        <v/>
      </c>
      <c r="J142" s="63"/>
      <c r="K142" s="63"/>
      <c r="L142" s="63"/>
      <c r="M142" s="63" t="str">
        <f>IF(G142="","",M132-((1/Comparisons!#REF!)*1000000))</f>
        <v/>
      </c>
      <c r="N142" s="63" t="str">
        <f>IF(H142="","",N132-((1/Comparisons!#REF!)*1000000))</f>
        <v/>
      </c>
      <c r="O142" s="64" t="str">
        <f>IF(I142="","",O132-((1/Comparisons!#REF!)*1000000))</f>
        <v/>
      </c>
    </row>
    <row r="143" spans="1:15" ht="18.75" x14ac:dyDescent="0.25">
      <c r="A143" s="138" t="s">
        <v>159</v>
      </c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40"/>
    </row>
    <row r="144" spans="1:15" ht="15.75" x14ac:dyDescent="0.25">
      <c r="A144" s="113" t="s">
        <v>174</v>
      </c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2"/>
    </row>
    <row r="145" spans="1:15" x14ac:dyDescent="0.25">
      <c r="A145" s="134" t="s">
        <v>1</v>
      </c>
      <c r="B145" s="135"/>
      <c r="C145" s="135"/>
      <c r="D145" s="136" t="s">
        <v>2</v>
      </c>
      <c r="E145" s="136"/>
      <c r="F145" s="136"/>
      <c r="G145" s="136"/>
      <c r="H145" s="136"/>
      <c r="I145" s="136"/>
      <c r="J145" s="136" t="s">
        <v>3</v>
      </c>
      <c r="K145" s="136"/>
      <c r="L145" s="136"/>
      <c r="M145" s="136"/>
      <c r="N145" s="136"/>
      <c r="O145" s="137"/>
    </row>
    <row r="146" spans="1:15" x14ac:dyDescent="0.25">
      <c r="A146" s="47" t="s">
        <v>26</v>
      </c>
      <c r="B146" s="48" t="s">
        <v>5</v>
      </c>
      <c r="C146" s="48" t="s">
        <v>6</v>
      </c>
      <c r="D146" s="49">
        <v>1</v>
      </c>
      <c r="E146" s="49">
        <v>4</v>
      </c>
      <c r="F146" s="49">
        <v>16</v>
      </c>
      <c r="G146" s="49">
        <v>32</v>
      </c>
      <c r="H146" s="49">
        <v>64</v>
      </c>
      <c r="I146" s="49">
        <v>80</v>
      </c>
      <c r="J146" s="49">
        <v>1</v>
      </c>
      <c r="K146" s="49">
        <v>4</v>
      </c>
      <c r="L146" s="49">
        <v>16</v>
      </c>
      <c r="M146" s="49">
        <v>32</v>
      </c>
      <c r="N146" s="49">
        <v>64</v>
      </c>
      <c r="O146" s="50">
        <v>80</v>
      </c>
    </row>
    <row r="147" spans="1:15" x14ac:dyDescent="0.25">
      <c r="A147" s="51" t="s">
        <v>7</v>
      </c>
      <c r="B147" s="52" t="s">
        <v>8</v>
      </c>
      <c r="C147" s="52" t="s">
        <v>9</v>
      </c>
      <c r="D147" s="53">
        <v>44414</v>
      </c>
      <c r="E147" s="53">
        <v>20313</v>
      </c>
      <c r="F147" s="53">
        <v>5843</v>
      </c>
      <c r="G147" s="54"/>
      <c r="H147" s="54"/>
      <c r="I147" s="54"/>
      <c r="J147" s="55"/>
      <c r="K147" s="55"/>
      <c r="L147" s="55"/>
      <c r="M147" s="55" t="str">
        <f t="shared" ref="M147:M152" si="37">IF(G147="","",(1/G147)*1000000)</f>
        <v/>
      </c>
      <c r="N147" s="55" t="str">
        <f t="shared" ref="N147:N152" si="38">IF(H147="","",(1/H147)*1000000)</f>
        <v/>
      </c>
      <c r="O147" s="56" t="str">
        <f t="shared" ref="O147:O152" si="39">IF(I147="","",(1/I147)*1000000)</f>
        <v/>
      </c>
    </row>
    <row r="148" spans="1:15" x14ac:dyDescent="0.25">
      <c r="A148" s="51" t="s">
        <v>10</v>
      </c>
      <c r="B148" s="52" t="s">
        <v>8</v>
      </c>
      <c r="C148" s="52" t="s">
        <v>11</v>
      </c>
      <c r="D148" s="53">
        <v>15288</v>
      </c>
      <c r="E148" s="53">
        <v>12281</v>
      </c>
      <c r="F148" s="53">
        <v>5043</v>
      </c>
      <c r="G148" s="54"/>
      <c r="H148" s="54"/>
      <c r="I148" s="54"/>
      <c r="J148" s="55"/>
      <c r="K148" s="55"/>
      <c r="L148" s="55"/>
      <c r="M148" s="55" t="str">
        <f t="shared" si="37"/>
        <v/>
      </c>
      <c r="N148" s="55" t="str">
        <f t="shared" si="38"/>
        <v/>
      </c>
      <c r="O148" s="56" t="str">
        <f t="shared" si="39"/>
        <v/>
      </c>
    </row>
    <row r="149" spans="1:15" x14ac:dyDescent="0.25">
      <c r="A149" s="51" t="s">
        <v>12</v>
      </c>
      <c r="B149" s="52" t="s">
        <v>13</v>
      </c>
      <c r="C149" s="52" t="s">
        <v>9</v>
      </c>
      <c r="D149" s="53">
        <v>38041</v>
      </c>
      <c r="E149" s="53">
        <v>18001</v>
      </c>
      <c r="F149" s="53">
        <v>5608</v>
      </c>
      <c r="G149" s="54"/>
      <c r="H149" s="54"/>
      <c r="I149" s="54"/>
      <c r="J149" s="55"/>
      <c r="K149" s="55"/>
      <c r="L149" s="55"/>
      <c r="M149" s="55" t="str">
        <f t="shared" si="37"/>
        <v/>
      </c>
      <c r="N149" s="55" t="str">
        <f t="shared" si="38"/>
        <v/>
      </c>
      <c r="O149" s="56" t="str">
        <f t="shared" si="39"/>
        <v/>
      </c>
    </row>
    <row r="150" spans="1:15" x14ac:dyDescent="0.25">
      <c r="A150" s="51" t="s">
        <v>14</v>
      </c>
      <c r="B150" s="52" t="s">
        <v>13</v>
      </c>
      <c r="C150" s="52" t="s">
        <v>11</v>
      </c>
      <c r="D150" s="53">
        <v>17896</v>
      </c>
      <c r="E150" s="53">
        <v>11798</v>
      </c>
      <c r="F150" s="53">
        <v>4804</v>
      </c>
      <c r="G150" s="54"/>
      <c r="H150" s="54"/>
      <c r="I150" s="54"/>
      <c r="J150" s="55"/>
      <c r="K150" s="55"/>
      <c r="L150" s="55"/>
      <c r="M150" s="55" t="str">
        <f t="shared" si="37"/>
        <v/>
      </c>
      <c r="N150" s="55" t="str">
        <f t="shared" si="38"/>
        <v/>
      </c>
      <c r="O150" s="56" t="str">
        <f t="shared" si="39"/>
        <v/>
      </c>
    </row>
    <row r="151" spans="1:15" x14ac:dyDescent="0.25">
      <c r="A151" s="51" t="s">
        <v>15</v>
      </c>
      <c r="B151" s="52" t="s">
        <v>16</v>
      </c>
      <c r="C151" s="52" t="s">
        <v>11</v>
      </c>
      <c r="D151" s="53">
        <v>13841</v>
      </c>
      <c r="E151" s="53">
        <v>10357</v>
      </c>
      <c r="F151" s="53">
        <v>4852</v>
      </c>
      <c r="G151" s="54"/>
      <c r="H151" s="54"/>
      <c r="I151" s="54"/>
      <c r="J151" s="55"/>
      <c r="K151" s="55"/>
      <c r="L151" s="55"/>
      <c r="M151" s="55" t="str">
        <f t="shared" si="37"/>
        <v/>
      </c>
      <c r="N151" s="55" t="str">
        <f t="shared" si="38"/>
        <v/>
      </c>
      <c r="O151" s="56" t="str">
        <f t="shared" si="39"/>
        <v/>
      </c>
    </row>
    <row r="152" spans="1:15" x14ac:dyDescent="0.25">
      <c r="A152" s="51" t="s">
        <v>17</v>
      </c>
      <c r="B152" s="52" t="s">
        <v>18</v>
      </c>
      <c r="C152" s="52" t="s">
        <v>11</v>
      </c>
      <c r="D152" s="53">
        <v>12541</v>
      </c>
      <c r="E152" s="53">
        <v>8847</v>
      </c>
      <c r="F152" s="53">
        <v>4321</v>
      </c>
      <c r="G152" s="54"/>
      <c r="H152" s="54"/>
      <c r="I152" s="54"/>
      <c r="J152" s="55"/>
      <c r="K152" s="55"/>
      <c r="L152" s="55"/>
      <c r="M152" s="55" t="str">
        <f t="shared" si="37"/>
        <v/>
      </c>
      <c r="N152" s="55" t="str">
        <f t="shared" si="38"/>
        <v/>
      </c>
      <c r="O152" s="56" t="str">
        <f t="shared" si="39"/>
        <v/>
      </c>
    </row>
    <row r="153" spans="1:15" x14ac:dyDescent="0.25">
      <c r="A153" s="116" t="s">
        <v>175</v>
      </c>
      <c r="B153" s="117"/>
      <c r="C153" s="117"/>
      <c r="D153" s="117"/>
      <c r="E153" s="143"/>
      <c r="F153" s="143"/>
      <c r="G153" s="143"/>
      <c r="H153" s="143"/>
      <c r="I153" s="143"/>
      <c r="J153" s="57"/>
      <c r="K153" s="57"/>
      <c r="L153" s="57"/>
      <c r="M153" s="57"/>
      <c r="N153" s="57"/>
      <c r="O153" s="58"/>
    </row>
    <row r="154" spans="1:15" ht="18.75" x14ac:dyDescent="0.3">
      <c r="A154" s="146" t="s">
        <v>154</v>
      </c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5"/>
    </row>
    <row r="155" spans="1:15" x14ac:dyDescent="0.25">
      <c r="A155" s="134" t="s">
        <v>1</v>
      </c>
      <c r="B155" s="135"/>
      <c r="C155" s="135"/>
      <c r="D155" s="136" t="s">
        <v>19</v>
      </c>
      <c r="E155" s="136"/>
      <c r="F155" s="136"/>
      <c r="G155" s="136"/>
      <c r="H155" s="136"/>
      <c r="I155" s="136"/>
      <c r="J155" s="136" t="s">
        <v>22</v>
      </c>
      <c r="K155" s="136"/>
      <c r="L155" s="136"/>
      <c r="M155" s="136"/>
      <c r="N155" s="136"/>
      <c r="O155" s="137"/>
    </row>
    <row r="156" spans="1:15" x14ac:dyDescent="0.25">
      <c r="A156" s="47" t="s">
        <v>4</v>
      </c>
      <c r="B156" s="48" t="s">
        <v>5</v>
      </c>
      <c r="C156" s="48" t="s">
        <v>6</v>
      </c>
      <c r="D156" s="49">
        <v>1</v>
      </c>
      <c r="E156" s="49">
        <v>4</v>
      </c>
      <c r="F156" s="49">
        <v>16</v>
      </c>
      <c r="G156" s="49">
        <v>32</v>
      </c>
      <c r="H156" s="49">
        <v>64</v>
      </c>
      <c r="I156" s="49">
        <v>80</v>
      </c>
      <c r="J156" s="49">
        <v>1</v>
      </c>
      <c r="K156" s="49">
        <v>4</v>
      </c>
      <c r="L156" s="49">
        <v>16</v>
      </c>
      <c r="M156" s="49">
        <v>32</v>
      </c>
      <c r="N156" s="49">
        <v>64</v>
      </c>
      <c r="O156" s="50">
        <v>80</v>
      </c>
    </row>
    <row r="157" spans="1:15" x14ac:dyDescent="0.25">
      <c r="A157" s="51" t="s">
        <v>7</v>
      </c>
      <c r="B157" s="52" t="s">
        <v>8</v>
      </c>
      <c r="C157" s="52" t="s">
        <v>9</v>
      </c>
      <c r="D157" s="59">
        <f>IF(D147="","",(D147-'2017'!D488)/'2017'!D488)</f>
        <v>2.7697433880186039E-2</v>
      </c>
      <c r="E157" s="59">
        <f>IF(E147="","",(E147-'2017'!E488)/'2017'!E488)</f>
        <v>3.2636876620405673E-2</v>
      </c>
      <c r="F157" s="59">
        <f>IF(F147="","",(F147-'2017'!F488)/'2017'!F488)</f>
        <v>0</v>
      </c>
      <c r="G157" s="59" t="str">
        <f>IF(G147="","",(G147-'2017'!G488)/'2017'!G488)</f>
        <v/>
      </c>
      <c r="H157" s="59" t="str">
        <f>IF(H147="","",(H147-#REF!)/#REF!)</f>
        <v/>
      </c>
      <c r="I157" s="59" t="str">
        <f>IF(I147="","",(I147-#REF!)/#REF!)</f>
        <v/>
      </c>
      <c r="J157" s="55"/>
      <c r="K157" s="55"/>
      <c r="L157" s="55"/>
      <c r="M157" s="55" t="str">
        <f>IF(G157="","",M147-((1/Comparisons!#REF!)*1000000))</f>
        <v/>
      </c>
      <c r="N157" s="55" t="str">
        <f>IF(H157="","",N147-((1/Comparisons!#REF!)*1000000))</f>
        <v/>
      </c>
      <c r="O157" s="56" t="str">
        <f>IF(I157="","",O147-((1/Comparisons!#REF!)*1000000))</f>
        <v/>
      </c>
    </row>
    <row r="158" spans="1:15" x14ac:dyDescent="0.25">
      <c r="A158" s="51" t="s">
        <v>10</v>
      </c>
      <c r="B158" s="52" t="s">
        <v>8</v>
      </c>
      <c r="C158" s="52" t="s">
        <v>11</v>
      </c>
      <c r="D158" s="59">
        <f>IF(D148="","",(D148-'2017'!D489)/'2017'!D489)</f>
        <v>-0.12026700425825756</v>
      </c>
      <c r="E158" s="59">
        <f>IF(E148="","",(E148-'2017'!E489)/'2017'!E489)</f>
        <v>1.1531175356230952E-2</v>
      </c>
      <c r="F158" s="59">
        <f>IF(F148="","",(F148-'2017'!F489)/'2017'!F489)</f>
        <v>9.6096096096096092E-3</v>
      </c>
      <c r="G158" s="59" t="str">
        <f>IF(G148="","",(G148-#REF!)/#REF!)</f>
        <v/>
      </c>
      <c r="H158" s="59" t="str">
        <f>IF(H148="","",(H148-#REF!)/#REF!)</f>
        <v/>
      </c>
      <c r="I158" s="59" t="str">
        <f>IF(I148="","",(I148-#REF!)/#REF!)</f>
        <v/>
      </c>
      <c r="J158" s="55"/>
      <c r="K158" s="55"/>
      <c r="L158" s="55"/>
      <c r="M158" s="55" t="str">
        <f>IF(G158="","",M148-((1/Comparisons!#REF!)*1000000))</f>
        <v/>
      </c>
      <c r="N158" s="55" t="str">
        <f>IF(H158="","",N148-((1/Comparisons!#REF!)*1000000))</f>
        <v/>
      </c>
      <c r="O158" s="56" t="str">
        <f>IF(I158="","",O148-((1/Comparisons!#REF!)*1000000))</f>
        <v/>
      </c>
    </row>
    <row r="159" spans="1:15" x14ac:dyDescent="0.25">
      <c r="A159" s="51" t="s">
        <v>12</v>
      </c>
      <c r="B159" s="52" t="s">
        <v>13</v>
      </c>
      <c r="C159" s="52" t="s">
        <v>9</v>
      </c>
      <c r="D159" s="59">
        <f>IF(D149="","",(D149-'2017'!D490)/'2017'!D490)</f>
        <v>-8.0668938350370964E-2</v>
      </c>
      <c r="E159" s="59">
        <f>IF(E149="","",(E149-'2017'!E490)/'2017'!E490)</f>
        <v>1.3350392167769927E-3</v>
      </c>
      <c r="F159" s="59">
        <f>IF(F149="","",(F149-'2017'!F490)/'2017'!F490)</f>
        <v>3.3995348005009841E-3</v>
      </c>
      <c r="G159" s="59" t="str">
        <f>IF(G149="","",(G149-#REF!)/#REF!)</f>
        <v/>
      </c>
      <c r="H159" s="59" t="str">
        <f>IF(H149="","",(H149-#REF!)/#REF!)</f>
        <v/>
      </c>
      <c r="I159" s="59" t="str">
        <f>IF(I149="","",(I149-#REF!)/#REF!)</f>
        <v/>
      </c>
      <c r="J159" s="55"/>
      <c r="K159" s="55"/>
      <c r="L159" s="55"/>
      <c r="M159" s="55" t="str">
        <f>IF(G159="","",M149-((1/Comparisons!#REF!)*1000000))</f>
        <v/>
      </c>
      <c r="N159" s="55" t="str">
        <f>IF(H159="","",N149-((1/Comparisons!#REF!)*1000000))</f>
        <v/>
      </c>
      <c r="O159" s="56" t="str">
        <f>IF(I159="","",O149-((1/Comparisons!#REF!)*1000000))</f>
        <v/>
      </c>
    </row>
    <row r="160" spans="1:15" x14ac:dyDescent="0.25">
      <c r="A160" s="51" t="s">
        <v>14</v>
      </c>
      <c r="B160" s="52" t="s">
        <v>13</v>
      </c>
      <c r="C160" s="52" t="s">
        <v>11</v>
      </c>
      <c r="D160" s="59">
        <f>IF(D150="","",(D150-'2017'!D491)/'2017'!D491)</f>
        <v>0.10811145510835914</v>
      </c>
      <c r="E160" s="59">
        <f>IF(E150="","",(E150-'2017'!E491)/'2017'!E491)</f>
        <v>2.4754625206288544E-2</v>
      </c>
      <c r="F160" s="59">
        <f>IF(F150="","",(F150-'2017'!F491)/'2017'!F491)</f>
        <v>-1.070840197693575E-2</v>
      </c>
      <c r="G160" s="59" t="str">
        <f>IF(G150="","",(G150-#REF!)/#REF!)</f>
        <v/>
      </c>
      <c r="H160" s="59" t="str">
        <f>IF(H150="","",(H150-#REF!)/#REF!)</f>
        <v/>
      </c>
      <c r="I160" s="59" t="str">
        <f>IF(I150="","",(I150-#REF!)/#REF!)</f>
        <v/>
      </c>
      <c r="J160" s="55"/>
      <c r="K160" s="55"/>
      <c r="L160" s="55"/>
      <c r="M160" s="55" t="str">
        <f>IF(G160="","",M150-((1/Comparisons!#REF!)*1000000))</f>
        <v/>
      </c>
      <c r="N160" s="55" t="str">
        <f>IF(H160="","",N150-((1/Comparisons!#REF!)*1000000))</f>
        <v/>
      </c>
      <c r="O160" s="56" t="str">
        <f>IF(I160="","",O150-((1/Comparisons!#REF!)*1000000))</f>
        <v/>
      </c>
    </row>
    <row r="161" spans="1:15" x14ac:dyDescent="0.25">
      <c r="A161" s="51" t="s">
        <v>15</v>
      </c>
      <c r="B161" s="52" t="s">
        <v>16</v>
      </c>
      <c r="C161" s="52" t="s">
        <v>11</v>
      </c>
      <c r="D161" s="59">
        <f>IF(D151="","",(D151-'2017'!D492)/'2017'!D492)</f>
        <v>-4.4261842286976938E-2</v>
      </c>
      <c r="E161" s="59">
        <f>IF(E151="","",(E151-'2017'!E492)/'2017'!E492)</f>
        <v>-1.3619047619047619E-2</v>
      </c>
      <c r="F161" s="59">
        <f>IF(F151="","",(F151-'2017'!F492)/'2017'!F492)</f>
        <v>1.5700230270043962E-2</v>
      </c>
      <c r="G161" s="59" t="str">
        <f>IF(G151="","",(G151-#REF!)/#REF!)</f>
        <v/>
      </c>
      <c r="H161" s="59" t="str">
        <f>IF(H151="","",(H151-#REF!)/#REF!)</f>
        <v/>
      </c>
      <c r="I161" s="59" t="str">
        <f>IF(I151="","",(I151-#REF!)/#REF!)</f>
        <v/>
      </c>
      <c r="J161" s="55"/>
      <c r="K161" s="55"/>
      <c r="L161" s="55"/>
      <c r="M161" s="55" t="str">
        <f>IF(G161="","",M151-((1/Comparisons!#REF!)*1000000))</f>
        <v/>
      </c>
      <c r="N161" s="55" t="str">
        <f>IF(H161="","",N151-((1/Comparisons!#REF!)*1000000))</f>
        <v/>
      </c>
      <c r="O161" s="56" t="str">
        <f>IF(I161="","",O151-((1/Comparisons!#REF!)*1000000))</f>
        <v/>
      </c>
    </row>
    <row r="162" spans="1:15" ht="15.75" thickBot="1" x14ac:dyDescent="0.3">
      <c r="A162" s="60" t="s">
        <v>17</v>
      </c>
      <c r="B162" s="61" t="s">
        <v>18</v>
      </c>
      <c r="C162" s="61" t="s">
        <v>11</v>
      </c>
      <c r="D162" s="59">
        <f>IF(D152="","",(D152-'2017'!D493)/'2017'!D493)</f>
        <v>-4.0547777522760307E-2</v>
      </c>
      <c r="E162" s="59">
        <f>IF(E152="","",(E152-'2017'!E493)/'2017'!E493)</f>
        <v>0</v>
      </c>
      <c r="F162" s="59">
        <f>IF(F152="","",(F152-'2017'!F493)/'2017'!F493)</f>
        <v>-2.5265057523122039E-2</v>
      </c>
      <c r="G162" s="62" t="str">
        <f>IF(G152="","",(G152-#REF!)/#REF!)</f>
        <v/>
      </c>
      <c r="H162" s="62" t="str">
        <f>IF(H152="","",(H152-#REF!)/#REF!)</f>
        <v/>
      </c>
      <c r="I162" s="62" t="str">
        <f>IF(I152="","",(I152-#REF!)/#REF!)</f>
        <v/>
      </c>
      <c r="J162" s="63"/>
      <c r="K162" s="63"/>
      <c r="L162" s="63"/>
      <c r="M162" s="63" t="str">
        <f>IF(G162="","",M152-((1/Comparisons!#REF!)*1000000))</f>
        <v/>
      </c>
      <c r="N162" s="63" t="str">
        <f>IF(H162="","",N152-((1/Comparisons!#REF!)*1000000))</f>
        <v/>
      </c>
      <c r="O162" s="64" t="str">
        <f>IF(I162="","",O152-((1/Comparisons!#REF!)*1000000))</f>
        <v/>
      </c>
    </row>
    <row r="163" spans="1:15" ht="18.75" x14ac:dyDescent="0.25">
      <c r="A163" s="138" t="s">
        <v>159</v>
      </c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40"/>
    </row>
    <row r="164" spans="1:15" ht="15.75" x14ac:dyDescent="0.25">
      <c r="A164" s="113" t="s">
        <v>177</v>
      </c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2"/>
    </row>
    <row r="165" spans="1:15" x14ac:dyDescent="0.25">
      <c r="A165" s="134" t="s">
        <v>1</v>
      </c>
      <c r="B165" s="135"/>
      <c r="C165" s="135"/>
      <c r="D165" s="136" t="s">
        <v>2</v>
      </c>
      <c r="E165" s="136"/>
      <c r="F165" s="136"/>
      <c r="G165" s="136"/>
      <c r="H165" s="136"/>
      <c r="I165" s="136"/>
      <c r="J165" s="136" t="s">
        <v>3</v>
      </c>
      <c r="K165" s="136"/>
      <c r="L165" s="136"/>
      <c r="M165" s="136"/>
      <c r="N165" s="136"/>
      <c r="O165" s="137"/>
    </row>
    <row r="166" spans="1:15" x14ac:dyDescent="0.25">
      <c r="A166" s="47" t="s">
        <v>26</v>
      </c>
      <c r="B166" s="48" t="s">
        <v>5</v>
      </c>
      <c r="C166" s="48" t="s">
        <v>6</v>
      </c>
      <c r="D166" s="49">
        <v>1</v>
      </c>
      <c r="E166" s="49">
        <v>4</v>
      </c>
      <c r="F166" s="49">
        <v>16</v>
      </c>
      <c r="G166" s="49">
        <v>32</v>
      </c>
      <c r="H166" s="49">
        <v>64</v>
      </c>
      <c r="I166" s="49">
        <v>80</v>
      </c>
      <c r="J166" s="49">
        <v>1</v>
      </c>
      <c r="K166" s="49">
        <v>4</v>
      </c>
      <c r="L166" s="49">
        <v>16</v>
      </c>
      <c r="M166" s="49">
        <v>32</v>
      </c>
      <c r="N166" s="49">
        <v>64</v>
      </c>
      <c r="O166" s="50">
        <v>80</v>
      </c>
    </row>
    <row r="167" spans="1:15" x14ac:dyDescent="0.25">
      <c r="A167" s="51" t="s">
        <v>7</v>
      </c>
      <c r="B167" s="52" t="s">
        <v>8</v>
      </c>
      <c r="C167" s="52" t="s">
        <v>9</v>
      </c>
      <c r="D167" s="53">
        <v>43001</v>
      </c>
      <c r="E167" s="53">
        <v>20315</v>
      </c>
      <c r="F167" s="53">
        <v>5843</v>
      </c>
      <c r="G167" s="54"/>
      <c r="H167" s="54"/>
      <c r="I167" s="54"/>
      <c r="J167" s="55"/>
      <c r="K167" s="55"/>
      <c r="L167" s="55"/>
      <c r="M167" s="55" t="str">
        <f t="shared" ref="M167:M172" si="40">IF(G167="","",(1/G167)*1000000)</f>
        <v/>
      </c>
      <c r="N167" s="55" t="str">
        <f t="shared" ref="N167:N172" si="41">IF(H167="","",(1/H167)*1000000)</f>
        <v/>
      </c>
      <c r="O167" s="56" t="str">
        <f t="shared" ref="O167:O172" si="42">IF(I167="","",(1/I167)*1000000)</f>
        <v/>
      </c>
    </row>
    <row r="168" spans="1:15" x14ac:dyDescent="0.25">
      <c r="A168" s="51" t="s">
        <v>10</v>
      </c>
      <c r="B168" s="52" t="s">
        <v>8</v>
      </c>
      <c r="C168" s="52" t="s">
        <v>11</v>
      </c>
      <c r="D168" s="53">
        <v>18148</v>
      </c>
      <c r="E168" s="53">
        <v>12230</v>
      </c>
      <c r="F168" s="53">
        <v>5011</v>
      </c>
      <c r="G168" s="54"/>
      <c r="H168" s="54"/>
      <c r="I168" s="54"/>
      <c r="J168" s="55"/>
      <c r="K168" s="55"/>
      <c r="L168" s="55"/>
      <c r="M168" s="55" t="str">
        <f t="shared" si="40"/>
        <v/>
      </c>
      <c r="N168" s="55" t="str">
        <f t="shared" si="41"/>
        <v/>
      </c>
      <c r="O168" s="56" t="str">
        <f t="shared" si="42"/>
        <v/>
      </c>
    </row>
    <row r="169" spans="1:15" x14ac:dyDescent="0.25">
      <c r="A169" s="51" t="s">
        <v>12</v>
      </c>
      <c r="B169" s="52" t="s">
        <v>13</v>
      </c>
      <c r="C169" s="52" t="s">
        <v>9</v>
      </c>
      <c r="D169" s="53">
        <v>42803</v>
      </c>
      <c r="E169" s="53">
        <v>17713</v>
      </c>
      <c r="F169" s="53">
        <v>5637</v>
      </c>
      <c r="G169" s="54"/>
      <c r="H169" s="54"/>
      <c r="I169" s="54"/>
      <c r="J169" s="55"/>
      <c r="K169" s="55"/>
      <c r="L169" s="55"/>
      <c r="M169" s="55" t="str">
        <f t="shared" si="40"/>
        <v/>
      </c>
      <c r="N169" s="55" t="str">
        <f t="shared" si="41"/>
        <v/>
      </c>
      <c r="O169" s="56" t="str">
        <f t="shared" si="42"/>
        <v/>
      </c>
    </row>
    <row r="170" spans="1:15" x14ac:dyDescent="0.25">
      <c r="A170" s="51" t="s">
        <v>14</v>
      </c>
      <c r="B170" s="52" t="s">
        <v>13</v>
      </c>
      <c r="C170" s="52" t="s">
        <v>11</v>
      </c>
      <c r="D170" s="53">
        <v>16726</v>
      </c>
      <c r="E170" s="53">
        <v>11095</v>
      </c>
      <c r="F170" s="53">
        <v>4765</v>
      </c>
      <c r="G170" s="54"/>
      <c r="H170" s="54"/>
      <c r="I170" s="54"/>
      <c r="J170" s="55"/>
      <c r="K170" s="55"/>
      <c r="L170" s="55"/>
      <c r="M170" s="55" t="str">
        <f t="shared" si="40"/>
        <v/>
      </c>
      <c r="N170" s="55" t="str">
        <f t="shared" si="41"/>
        <v/>
      </c>
      <c r="O170" s="56" t="str">
        <f t="shared" si="42"/>
        <v/>
      </c>
    </row>
    <row r="171" spans="1:15" x14ac:dyDescent="0.25">
      <c r="A171" s="51" t="s">
        <v>15</v>
      </c>
      <c r="B171" s="52" t="s">
        <v>16</v>
      </c>
      <c r="C171" s="52" t="s">
        <v>11</v>
      </c>
      <c r="D171" s="53">
        <v>15140</v>
      </c>
      <c r="E171" s="53">
        <v>9798</v>
      </c>
      <c r="F171" s="53">
        <v>4737</v>
      </c>
      <c r="G171" s="54"/>
      <c r="H171" s="54"/>
      <c r="I171" s="54"/>
      <c r="J171" s="55"/>
      <c r="K171" s="55"/>
      <c r="L171" s="55"/>
      <c r="M171" s="55" t="str">
        <f t="shared" si="40"/>
        <v/>
      </c>
      <c r="N171" s="55" t="str">
        <f t="shared" si="41"/>
        <v/>
      </c>
      <c r="O171" s="56" t="str">
        <f t="shared" si="42"/>
        <v/>
      </c>
    </row>
    <row r="172" spans="1:15" x14ac:dyDescent="0.25">
      <c r="A172" s="51" t="s">
        <v>17</v>
      </c>
      <c r="B172" s="52" t="s">
        <v>18</v>
      </c>
      <c r="C172" s="52" t="s">
        <v>11</v>
      </c>
      <c r="D172" s="53">
        <v>12565</v>
      </c>
      <c r="E172" s="53">
        <v>8847</v>
      </c>
      <c r="F172" s="53">
        <v>4212</v>
      </c>
      <c r="G172" s="54"/>
      <c r="H172" s="54"/>
      <c r="I172" s="54"/>
      <c r="J172" s="55"/>
      <c r="K172" s="55"/>
      <c r="L172" s="55"/>
      <c r="M172" s="55" t="str">
        <f t="shared" si="40"/>
        <v/>
      </c>
      <c r="N172" s="55" t="str">
        <f t="shared" si="41"/>
        <v/>
      </c>
      <c r="O172" s="56" t="str">
        <f t="shared" si="42"/>
        <v/>
      </c>
    </row>
    <row r="173" spans="1:15" x14ac:dyDescent="0.25">
      <c r="A173" s="116" t="s">
        <v>176</v>
      </c>
      <c r="B173" s="117"/>
      <c r="C173" s="117"/>
      <c r="D173" s="117"/>
      <c r="E173" s="143"/>
      <c r="F173" s="143"/>
      <c r="G173" s="143"/>
      <c r="H173" s="143"/>
      <c r="I173" s="143"/>
      <c r="J173" s="57"/>
      <c r="K173" s="57"/>
      <c r="L173" s="57"/>
      <c r="M173" s="57"/>
      <c r="N173" s="57"/>
      <c r="O173" s="58"/>
    </row>
    <row r="174" spans="1:15" ht="18.75" x14ac:dyDescent="0.3">
      <c r="A174" s="146" t="s">
        <v>154</v>
      </c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5"/>
    </row>
    <row r="175" spans="1:15" x14ac:dyDescent="0.25">
      <c r="A175" s="134" t="s">
        <v>1</v>
      </c>
      <c r="B175" s="135"/>
      <c r="C175" s="135"/>
      <c r="D175" s="136" t="s">
        <v>19</v>
      </c>
      <c r="E175" s="136"/>
      <c r="F175" s="136"/>
      <c r="G175" s="136"/>
      <c r="H175" s="136"/>
      <c r="I175" s="136"/>
      <c r="J175" s="136" t="s">
        <v>22</v>
      </c>
      <c r="K175" s="136"/>
      <c r="L175" s="136"/>
      <c r="M175" s="136"/>
      <c r="N175" s="136"/>
      <c r="O175" s="137"/>
    </row>
    <row r="176" spans="1:15" x14ac:dyDescent="0.25">
      <c r="A176" s="47" t="s">
        <v>4</v>
      </c>
      <c r="B176" s="48" t="s">
        <v>5</v>
      </c>
      <c r="C176" s="48" t="s">
        <v>6</v>
      </c>
      <c r="D176" s="49">
        <v>1</v>
      </c>
      <c r="E176" s="49">
        <v>4</v>
      </c>
      <c r="F176" s="49">
        <v>16</v>
      </c>
      <c r="G176" s="49">
        <v>32</v>
      </c>
      <c r="H176" s="49">
        <v>64</v>
      </c>
      <c r="I176" s="49">
        <v>80</v>
      </c>
      <c r="J176" s="49">
        <v>1</v>
      </c>
      <c r="K176" s="49">
        <v>4</v>
      </c>
      <c r="L176" s="49">
        <v>16</v>
      </c>
      <c r="M176" s="49">
        <v>32</v>
      </c>
      <c r="N176" s="49">
        <v>64</v>
      </c>
      <c r="O176" s="50">
        <v>80</v>
      </c>
    </row>
    <row r="177" spans="1:15" x14ac:dyDescent="0.25">
      <c r="A177" s="51" t="s">
        <v>7</v>
      </c>
      <c r="B177" s="52" t="s">
        <v>8</v>
      </c>
      <c r="C177" s="52" t="s">
        <v>9</v>
      </c>
      <c r="D177" s="59">
        <f>IF(D167="","",(D167-'2017'!D488)/'2017'!D488)</f>
        <v>-4.9980331813869539E-3</v>
      </c>
      <c r="E177" s="59">
        <f>IF(E167="","",(E167-'2017'!E488)/'2017'!E488)</f>
        <v>3.2738549133241826E-2</v>
      </c>
      <c r="F177" s="59">
        <f>IF(F167="","",(F167-'2017'!F488)/'2017'!F488)</f>
        <v>0</v>
      </c>
      <c r="G177" s="59" t="str">
        <f>IF(G167="","",(G167-'2017'!G508)/'2017'!G508)</f>
        <v/>
      </c>
      <c r="H177" s="59" t="str">
        <f>IF(H167="","",(H167-#REF!)/#REF!)</f>
        <v/>
      </c>
      <c r="I177" s="59" t="str">
        <f>IF(I167="","",(I167-#REF!)/#REF!)</f>
        <v/>
      </c>
      <c r="J177" s="55"/>
      <c r="K177" s="55"/>
      <c r="L177" s="55"/>
      <c r="M177" s="55" t="str">
        <f>IF(G177="","",M167-((1/Comparisons!#REF!)*1000000))</f>
        <v/>
      </c>
      <c r="N177" s="55" t="str">
        <f>IF(H177="","",N167-((1/Comparisons!#REF!)*1000000))</f>
        <v/>
      </c>
      <c r="O177" s="56" t="str">
        <f>IF(I177="","",O167-((1/Comparisons!#REF!)*1000000))</f>
        <v/>
      </c>
    </row>
    <row r="178" spans="1:15" x14ac:dyDescent="0.25">
      <c r="A178" s="51" t="s">
        <v>10</v>
      </c>
      <c r="B178" s="52" t="s">
        <v>8</v>
      </c>
      <c r="C178" s="52" t="s">
        <v>11</v>
      </c>
      <c r="D178" s="59">
        <f>IF(D168="","",(D168-'2017'!D489)/'2017'!D489)</f>
        <v>4.4308896305673841E-2</v>
      </c>
      <c r="E178" s="59">
        <f>IF(E168="","",(E168-'2017'!E489)/'2017'!E489)</f>
        <v>7.330532905032534E-3</v>
      </c>
      <c r="F178" s="59">
        <f>IF(F168="","",(F168-'2017'!F489)/'2017'!F489)</f>
        <v>3.2032032032032033E-3</v>
      </c>
      <c r="G178" s="59" t="str">
        <f>IF(G168="","",(G168-#REF!)/#REF!)</f>
        <v/>
      </c>
      <c r="H178" s="59" t="str">
        <f>IF(H168="","",(H168-#REF!)/#REF!)</f>
        <v/>
      </c>
      <c r="I178" s="59" t="str">
        <f>IF(I168="","",(I168-#REF!)/#REF!)</f>
        <v/>
      </c>
      <c r="J178" s="55"/>
      <c r="K178" s="55"/>
      <c r="L178" s="55"/>
      <c r="M178" s="55" t="str">
        <f>IF(G178="","",M168-((1/Comparisons!#REF!)*1000000))</f>
        <v/>
      </c>
      <c r="N178" s="55" t="str">
        <f>IF(H178="","",N168-((1/Comparisons!#REF!)*1000000))</f>
        <v/>
      </c>
      <c r="O178" s="56" t="str">
        <f>IF(I178="","",O168-((1/Comparisons!#REF!)*1000000))</f>
        <v/>
      </c>
    </row>
    <row r="179" spans="1:15" x14ac:dyDescent="0.25">
      <c r="A179" s="51" t="s">
        <v>12</v>
      </c>
      <c r="B179" s="52" t="s">
        <v>13</v>
      </c>
      <c r="C179" s="52" t="s">
        <v>9</v>
      </c>
      <c r="D179" s="59">
        <f>IF(D169="","",(D169-'2017'!D490)/'2017'!D490)</f>
        <v>3.4413591435269099E-2</v>
      </c>
      <c r="E179" s="59">
        <f>IF(E169="","",(E169-'2017'!E490)/'2017'!E490)</f>
        <v>-1.4685431384546921E-2</v>
      </c>
      <c r="F179" s="59">
        <f>IF(F169="","",(F169-'2017'!F490)/'2017'!F490)</f>
        <v>8.5882984433709071E-3</v>
      </c>
      <c r="G179" s="59" t="str">
        <f>IF(G169="","",(G169-#REF!)/#REF!)</f>
        <v/>
      </c>
      <c r="H179" s="59" t="str">
        <f>IF(H169="","",(H169-#REF!)/#REF!)</f>
        <v/>
      </c>
      <c r="I179" s="59" t="str">
        <f>IF(I169="","",(I169-#REF!)/#REF!)</f>
        <v/>
      </c>
      <c r="J179" s="55"/>
      <c r="K179" s="55"/>
      <c r="L179" s="55"/>
      <c r="M179" s="55" t="str">
        <f>IF(G179="","",M169-((1/Comparisons!#REF!)*1000000))</f>
        <v/>
      </c>
      <c r="N179" s="55" t="str">
        <f>IF(H179="","",N169-((1/Comparisons!#REF!)*1000000))</f>
        <v/>
      </c>
      <c r="O179" s="56" t="str">
        <f>IF(I179="","",O169-((1/Comparisons!#REF!)*1000000))</f>
        <v/>
      </c>
    </row>
    <row r="180" spans="1:15" x14ac:dyDescent="0.25">
      <c r="A180" s="51" t="s">
        <v>14</v>
      </c>
      <c r="B180" s="52" t="s">
        <v>13</v>
      </c>
      <c r="C180" s="52" t="s">
        <v>11</v>
      </c>
      <c r="D180" s="59">
        <f>IF(D170="","",(D170-'2017'!D491)/'2017'!D491)</f>
        <v>3.5665634674922599E-2</v>
      </c>
      <c r="E180" s="59">
        <f>IF(E170="","",(E170-'2017'!E491)/'2017'!E491)</f>
        <v>-3.6306783635889864E-2</v>
      </c>
      <c r="F180" s="59">
        <f>IF(F170="","",(F170-'2017'!F491)/'2017'!F491)</f>
        <v>-1.8739703459637561E-2</v>
      </c>
      <c r="G180" s="59" t="str">
        <f>IF(G170="","",(G170-#REF!)/#REF!)</f>
        <v/>
      </c>
      <c r="H180" s="59" t="str">
        <f>IF(H170="","",(H170-#REF!)/#REF!)</f>
        <v/>
      </c>
      <c r="I180" s="59" t="str">
        <f>IF(I170="","",(I170-#REF!)/#REF!)</f>
        <v/>
      </c>
      <c r="J180" s="55"/>
      <c r="K180" s="55"/>
      <c r="L180" s="55"/>
      <c r="M180" s="55" t="str">
        <f>IF(G180="","",M170-((1/Comparisons!#REF!)*1000000))</f>
        <v/>
      </c>
      <c r="N180" s="55" t="str">
        <f>IF(H180="","",N170-((1/Comparisons!#REF!)*1000000))</f>
        <v/>
      </c>
      <c r="O180" s="56" t="str">
        <f>IF(I180="","",O170-((1/Comparisons!#REF!)*1000000))</f>
        <v/>
      </c>
    </row>
    <row r="181" spans="1:15" x14ac:dyDescent="0.25">
      <c r="A181" s="51" t="s">
        <v>15</v>
      </c>
      <c r="B181" s="52" t="s">
        <v>16</v>
      </c>
      <c r="C181" s="52" t="s">
        <v>11</v>
      </c>
      <c r="D181" s="59">
        <f>IF(D171="","",(D171-'2017'!D492)/'2017'!D492)</f>
        <v>4.5435713299268057E-2</v>
      </c>
      <c r="E181" s="59">
        <f>IF(E171="","",(E171-'2017'!E492)/'2017'!E492)</f>
        <v>-6.6857142857142851E-2</v>
      </c>
      <c r="F181" s="59">
        <f>IF(F171="","",(F171-'2017'!F492)/'2017'!F492)</f>
        <v>-8.3734561440234456E-3</v>
      </c>
      <c r="G181" s="59" t="str">
        <f>IF(G171="","",(G171-#REF!)/#REF!)</f>
        <v/>
      </c>
      <c r="H181" s="59" t="str">
        <f>IF(H171="","",(H171-#REF!)/#REF!)</f>
        <v/>
      </c>
      <c r="I181" s="59" t="str">
        <f>IF(I171="","",(I171-#REF!)/#REF!)</f>
        <v/>
      </c>
      <c r="J181" s="55"/>
      <c r="K181" s="55"/>
      <c r="L181" s="55"/>
      <c r="M181" s="55" t="str">
        <f>IF(G181="","",M171-((1/Comparisons!#REF!)*1000000))</f>
        <v/>
      </c>
      <c r="N181" s="55" t="str">
        <f>IF(H181="","",N171-((1/Comparisons!#REF!)*1000000))</f>
        <v/>
      </c>
      <c r="O181" s="56" t="str">
        <f>IF(I181="","",O171-((1/Comparisons!#REF!)*1000000))</f>
        <v/>
      </c>
    </row>
    <row r="182" spans="1:15" ht="15.75" thickBot="1" x14ac:dyDescent="0.3">
      <c r="A182" s="60" t="s">
        <v>17</v>
      </c>
      <c r="B182" s="61" t="s">
        <v>18</v>
      </c>
      <c r="C182" s="61" t="s">
        <v>11</v>
      </c>
      <c r="D182" s="59">
        <f>IF(D172="","",(D172-'2017'!D493)/'2017'!D493)</f>
        <v>-3.8711651748144747E-2</v>
      </c>
      <c r="E182" s="59">
        <f>IF(E172="","",(E172-'2017'!E493)/'2017'!E493)</f>
        <v>0</v>
      </c>
      <c r="F182" s="59">
        <f>IF(F172="","",(F172-'2017'!F493)/'2017'!F493)</f>
        <v>-4.9853372434017593E-2</v>
      </c>
      <c r="G182" s="62" t="str">
        <f>IF(G172="","",(G172-#REF!)/#REF!)</f>
        <v/>
      </c>
      <c r="H182" s="62" t="str">
        <f>IF(H172="","",(H172-#REF!)/#REF!)</f>
        <v/>
      </c>
      <c r="I182" s="62" t="str">
        <f>IF(I172="","",(I172-#REF!)/#REF!)</f>
        <v/>
      </c>
      <c r="J182" s="63"/>
      <c r="K182" s="63"/>
      <c r="L182" s="63"/>
      <c r="M182" s="63" t="str">
        <f>IF(G182="","",M172-((1/Comparisons!#REF!)*1000000))</f>
        <v/>
      </c>
      <c r="N182" s="63" t="str">
        <f>IF(H182="","",N172-((1/Comparisons!#REF!)*1000000))</f>
        <v/>
      </c>
      <c r="O182" s="64" t="str">
        <f>IF(I182="","",O172-((1/Comparisons!#REF!)*1000000))</f>
        <v/>
      </c>
    </row>
    <row r="183" spans="1:15" ht="18.75" x14ac:dyDescent="0.25">
      <c r="A183" s="138" t="s">
        <v>159</v>
      </c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40"/>
    </row>
    <row r="184" spans="1:15" ht="15.75" x14ac:dyDescent="0.25">
      <c r="A184" s="113" t="s">
        <v>178</v>
      </c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2"/>
    </row>
    <row r="185" spans="1:15" x14ac:dyDescent="0.25">
      <c r="A185" s="134" t="s">
        <v>1</v>
      </c>
      <c r="B185" s="135"/>
      <c r="C185" s="135"/>
      <c r="D185" s="136" t="s">
        <v>2</v>
      </c>
      <c r="E185" s="136"/>
      <c r="F185" s="136"/>
      <c r="G185" s="136"/>
      <c r="H185" s="136"/>
      <c r="I185" s="136"/>
      <c r="J185" s="136" t="s">
        <v>3</v>
      </c>
      <c r="K185" s="136"/>
      <c r="L185" s="136"/>
      <c r="M185" s="136"/>
      <c r="N185" s="136"/>
      <c r="O185" s="137"/>
    </row>
    <row r="186" spans="1:15" x14ac:dyDescent="0.25">
      <c r="A186" s="47" t="s">
        <v>26</v>
      </c>
      <c r="B186" s="48" t="s">
        <v>5</v>
      </c>
      <c r="C186" s="48" t="s">
        <v>6</v>
      </c>
      <c r="D186" s="49">
        <v>1</v>
      </c>
      <c r="E186" s="49">
        <v>4</v>
      </c>
      <c r="F186" s="49">
        <v>16</v>
      </c>
      <c r="G186" s="49">
        <v>32</v>
      </c>
      <c r="H186" s="49">
        <v>64</v>
      </c>
      <c r="I186" s="49">
        <v>80</v>
      </c>
      <c r="J186" s="49">
        <v>1</v>
      </c>
      <c r="K186" s="49">
        <v>4</v>
      </c>
      <c r="L186" s="49">
        <v>16</v>
      </c>
      <c r="M186" s="49">
        <v>32</v>
      </c>
      <c r="N186" s="49">
        <v>64</v>
      </c>
      <c r="O186" s="50">
        <v>80</v>
      </c>
    </row>
    <row r="187" spans="1:15" x14ac:dyDescent="0.25">
      <c r="A187" s="51" t="s">
        <v>7</v>
      </c>
      <c r="B187" s="52" t="s">
        <v>8</v>
      </c>
      <c r="C187" s="52" t="s">
        <v>9</v>
      </c>
      <c r="D187" s="53">
        <v>42666</v>
      </c>
      <c r="E187" s="53">
        <v>20213</v>
      </c>
      <c r="F187" s="53">
        <v>5814</v>
      </c>
      <c r="G187" s="54"/>
      <c r="H187" s="54"/>
      <c r="I187" s="54"/>
      <c r="J187" s="55"/>
      <c r="K187" s="55"/>
      <c r="L187" s="55"/>
      <c r="M187" s="55" t="str">
        <f t="shared" ref="M187:M192" si="43">IF(G187="","",(1/G187)*1000000)</f>
        <v/>
      </c>
      <c r="N187" s="55" t="str">
        <f t="shared" ref="N187:N192" si="44">IF(H187="","",(1/H187)*1000000)</f>
        <v/>
      </c>
      <c r="O187" s="56" t="str">
        <f t="shared" ref="O187:O192" si="45">IF(I187="","",(1/I187)*1000000)</f>
        <v/>
      </c>
    </row>
    <row r="188" spans="1:15" x14ac:dyDescent="0.25">
      <c r="A188" s="51" t="s">
        <v>10</v>
      </c>
      <c r="B188" s="52" t="s">
        <v>8</v>
      </c>
      <c r="C188" s="52" t="s">
        <v>11</v>
      </c>
      <c r="D188" s="53">
        <v>18698</v>
      </c>
      <c r="E188" s="53">
        <v>12343</v>
      </c>
      <c r="F188" s="53">
        <v>4995</v>
      </c>
      <c r="G188" s="54"/>
      <c r="H188" s="54"/>
      <c r="I188" s="54"/>
      <c r="J188" s="55"/>
      <c r="K188" s="55"/>
      <c r="L188" s="55"/>
      <c r="M188" s="55" t="str">
        <f t="shared" si="43"/>
        <v/>
      </c>
      <c r="N188" s="55" t="str">
        <f t="shared" si="44"/>
        <v/>
      </c>
      <c r="O188" s="56" t="str">
        <f t="shared" si="45"/>
        <v/>
      </c>
    </row>
    <row r="189" spans="1:15" x14ac:dyDescent="0.25">
      <c r="A189" s="51" t="s">
        <v>12</v>
      </c>
      <c r="B189" s="52" t="s">
        <v>13</v>
      </c>
      <c r="C189" s="52" t="s">
        <v>9</v>
      </c>
      <c r="D189" s="53">
        <v>38041</v>
      </c>
      <c r="E189" s="53">
        <v>17748</v>
      </c>
      <c r="F189" s="53">
        <v>5569</v>
      </c>
      <c r="G189" s="54"/>
      <c r="H189" s="54"/>
      <c r="I189" s="54"/>
      <c r="J189" s="55"/>
      <c r="K189" s="55"/>
      <c r="L189" s="55"/>
      <c r="M189" s="55" t="str">
        <f t="shared" si="43"/>
        <v/>
      </c>
      <c r="N189" s="55" t="str">
        <f t="shared" si="44"/>
        <v/>
      </c>
      <c r="O189" s="56" t="str">
        <f t="shared" si="45"/>
        <v/>
      </c>
    </row>
    <row r="190" spans="1:15" x14ac:dyDescent="0.25">
      <c r="A190" s="51" t="s">
        <v>14</v>
      </c>
      <c r="B190" s="52" t="s">
        <v>13</v>
      </c>
      <c r="C190" s="52" t="s">
        <v>11</v>
      </c>
      <c r="D190" s="53">
        <v>18073</v>
      </c>
      <c r="E190" s="53">
        <v>11688</v>
      </c>
      <c r="F190" s="53">
        <v>4799</v>
      </c>
      <c r="G190" s="54"/>
      <c r="H190" s="54"/>
      <c r="I190" s="54"/>
      <c r="J190" s="55"/>
      <c r="K190" s="55"/>
      <c r="L190" s="55"/>
      <c r="M190" s="55" t="str">
        <f t="shared" si="43"/>
        <v/>
      </c>
      <c r="N190" s="55" t="str">
        <f t="shared" si="44"/>
        <v/>
      </c>
      <c r="O190" s="56" t="str">
        <f t="shared" si="45"/>
        <v/>
      </c>
    </row>
    <row r="191" spans="1:15" x14ac:dyDescent="0.25">
      <c r="A191" s="51" t="s">
        <v>15</v>
      </c>
      <c r="B191" s="52" t="s">
        <v>16</v>
      </c>
      <c r="C191" s="52" t="s">
        <v>11</v>
      </c>
      <c r="D191" s="53">
        <v>15349</v>
      </c>
      <c r="E191" s="53">
        <v>10532</v>
      </c>
      <c r="F191" s="53">
        <v>4801</v>
      </c>
      <c r="G191" s="54"/>
      <c r="H191" s="54"/>
      <c r="I191" s="54"/>
      <c r="J191" s="55"/>
      <c r="K191" s="55"/>
      <c r="L191" s="55"/>
      <c r="M191" s="55" t="str">
        <f t="shared" si="43"/>
        <v/>
      </c>
      <c r="N191" s="55" t="str">
        <f t="shared" si="44"/>
        <v/>
      </c>
      <c r="O191" s="56" t="str">
        <f t="shared" si="45"/>
        <v/>
      </c>
    </row>
    <row r="192" spans="1:15" x14ac:dyDescent="0.25">
      <c r="A192" s="51" t="s">
        <v>17</v>
      </c>
      <c r="B192" s="52" t="s">
        <v>18</v>
      </c>
      <c r="C192" s="52" t="s">
        <v>11</v>
      </c>
      <c r="D192" s="53">
        <v>12501</v>
      </c>
      <c r="E192" s="53">
        <v>8847</v>
      </c>
      <c r="F192" s="53">
        <v>4224</v>
      </c>
      <c r="G192" s="54"/>
      <c r="H192" s="54"/>
      <c r="I192" s="54"/>
      <c r="J192" s="55"/>
      <c r="K192" s="55"/>
      <c r="L192" s="55"/>
      <c r="M192" s="55" t="str">
        <f t="shared" si="43"/>
        <v/>
      </c>
      <c r="N192" s="55" t="str">
        <f t="shared" si="44"/>
        <v/>
      </c>
      <c r="O192" s="56" t="str">
        <f t="shared" si="45"/>
        <v/>
      </c>
    </row>
    <row r="193" spans="1:15" x14ac:dyDescent="0.25">
      <c r="A193" s="116" t="s">
        <v>179</v>
      </c>
      <c r="B193" s="117"/>
      <c r="C193" s="117"/>
      <c r="D193" s="117"/>
      <c r="E193" s="143"/>
      <c r="F193" s="143"/>
      <c r="G193" s="143"/>
      <c r="H193" s="143"/>
      <c r="I193" s="143"/>
      <c r="J193" s="57"/>
      <c r="K193" s="57"/>
      <c r="L193" s="57"/>
      <c r="M193" s="57"/>
      <c r="N193" s="57"/>
      <c r="O193" s="58"/>
    </row>
    <row r="194" spans="1:15" ht="18.75" x14ac:dyDescent="0.3">
      <c r="A194" s="146" t="s">
        <v>154</v>
      </c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5"/>
    </row>
    <row r="195" spans="1:15" x14ac:dyDescent="0.25">
      <c r="A195" s="134" t="s">
        <v>1</v>
      </c>
      <c r="B195" s="135"/>
      <c r="C195" s="135"/>
      <c r="D195" s="136" t="s">
        <v>19</v>
      </c>
      <c r="E195" s="136"/>
      <c r="F195" s="136"/>
      <c r="G195" s="136"/>
      <c r="H195" s="136"/>
      <c r="I195" s="136"/>
      <c r="J195" s="136" t="s">
        <v>22</v>
      </c>
      <c r="K195" s="136"/>
      <c r="L195" s="136"/>
      <c r="M195" s="136"/>
      <c r="N195" s="136"/>
      <c r="O195" s="137"/>
    </row>
    <row r="196" spans="1:15" x14ac:dyDescent="0.25">
      <c r="A196" s="47" t="s">
        <v>4</v>
      </c>
      <c r="B196" s="48" t="s">
        <v>5</v>
      </c>
      <c r="C196" s="48" t="s">
        <v>6</v>
      </c>
      <c r="D196" s="49">
        <v>1</v>
      </c>
      <c r="E196" s="49">
        <v>4</v>
      </c>
      <c r="F196" s="49">
        <v>16</v>
      </c>
      <c r="G196" s="49">
        <v>32</v>
      </c>
      <c r="H196" s="49">
        <v>64</v>
      </c>
      <c r="I196" s="49">
        <v>80</v>
      </c>
      <c r="J196" s="49">
        <v>1</v>
      </c>
      <c r="K196" s="49">
        <v>4</v>
      </c>
      <c r="L196" s="49">
        <v>16</v>
      </c>
      <c r="M196" s="49">
        <v>32</v>
      </c>
      <c r="N196" s="49">
        <v>64</v>
      </c>
      <c r="O196" s="50">
        <v>80</v>
      </c>
    </row>
    <row r="197" spans="1:15" x14ac:dyDescent="0.25">
      <c r="A197" s="51" t="s">
        <v>7</v>
      </c>
      <c r="B197" s="52" t="s">
        <v>8</v>
      </c>
      <c r="C197" s="52" t="s">
        <v>9</v>
      </c>
      <c r="D197" s="59">
        <f>IF(D187="","",(D187-'2017'!D488)/'2017'!D488)</f>
        <v>-1.2749612421038017E-2</v>
      </c>
      <c r="E197" s="59">
        <f>IF(E187="","",(E187-'2017'!E488)/'2017'!E488)</f>
        <v>2.7553250978597937E-2</v>
      </c>
      <c r="F197" s="59">
        <f>IF(F187="","",(F187-'2017'!F488)/'2017'!F488)</f>
        <v>-4.9632038336470995E-3</v>
      </c>
      <c r="G197" s="59" t="str">
        <f>IF(G187="","",(G187-'2017'!G528)/'2017'!G528)</f>
        <v/>
      </c>
      <c r="H197" s="59" t="str">
        <f>IF(H187="","",(H187-#REF!)/#REF!)</f>
        <v/>
      </c>
      <c r="I197" s="59" t="str">
        <f>IF(I187="","",(I187-#REF!)/#REF!)</f>
        <v/>
      </c>
      <c r="J197" s="55"/>
      <c r="K197" s="55"/>
      <c r="L197" s="55"/>
      <c r="M197" s="55" t="str">
        <f>IF(G197="","",M187-((1/Comparisons!#REF!)*1000000))</f>
        <v/>
      </c>
      <c r="N197" s="55" t="str">
        <f>IF(H197="","",N187-((1/Comparisons!#REF!)*1000000))</f>
        <v/>
      </c>
      <c r="O197" s="56" t="str">
        <f>IF(I197="","",O187-((1/Comparisons!#REF!)*1000000))</f>
        <v/>
      </c>
    </row>
    <row r="198" spans="1:15" x14ac:dyDescent="0.25">
      <c r="A198" s="51" t="s">
        <v>10</v>
      </c>
      <c r="B198" s="52" t="s">
        <v>8</v>
      </c>
      <c r="C198" s="52" t="s">
        <v>11</v>
      </c>
      <c r="D198" s="59">
        <f>IF(D188="","",(D188-'2017'!D489)/'2017'!D489)</f>
        <v>7.5958107952583731E-2</v>
      </c>
      <c r="E198" s="59">
        <f>IF(E188="","",(E188-'2017'!E489)/'2017'!E489)</f>
        <v>1.6637838728276091E-2</v>
      </c>
      <c r="F198" s="59">
        <f>IF(F188="","",(F188-'2017'!F489)/'2017'!F489)</f>
        <v>0</v>
      </c>
      <c r="G198" s="59" t="str">
        <f>IF(G188="","",(G188-#REF!)/#REF!)</f>
        <v/>
      </c>
      <c r="H198" s="59" t="str">
        <f>IF(H188="","",(H188-#REF!)/#REF!)</f>
        <v/>
      </c>
      <c r="I198" s="59" t="str">
        <f>IF(I188="","",(I188-#REF!)/#REF!)</f>
        <v/>
      </c>
      <c r="J198" s="55"/>
      <c r="K198" s="55"/>
      <c r="L198" s="55"/>
      <c r="M198" s="55" t="str">
        <f>IF(G198="","",M188-((1/Comparisons!#REF!)*1000000))</f>
        <v/>
      </c>
      <c r="N198" s="55" t="str">
        <f>IF(H198="","",N188-((1/Comparisons!#REF!)*1000000))</f>
        <v/>
      </c>
      <c r="O198" s="56" t="str">
        <f>IF(I198="","",O188-((1/Comparisons!#REF!)*1000000))</f>
        <v/>
      </c>
    </row>
    <row r="199" spans="1:15" x14ac:dyDescent="0.25">
      <c r="A199" s="51" t="s">
        <v>12</v>
      </c>
      <c r="B199" s="52" t="s">
        <v>13</v>
      </c>
      <c r="C199" s="52" t="s">
        <v>9</v>
      </c>
      <c r="D199" s="59">
        <f>IF(D189="","",(D189-'2017'!D490)/'2017'!D490)</f>
        <v>-8.0668938350370964E-2</v>
      </c>
      <c r="E199" s="59">
        <f>IF(E189="","",(E189-'2017'!E490)/'2017'!E490)</f>
        <v>-1.2738499193413806E-2</v>
      </c>
      <c r="F199" s="59">
        <f>IF(F189="","",(F189-'2017'!F490)/'2017'!F490)</f>
        <v>-3.5784576847378781E-3</v>
      </c>
      <c r="G199" s="59" t="str">
        <f>IF(G189="","",(G189-#REF!)/#REF!)</f>
        <v/>
      </c>
      <c r="H199" s="59" t="str">
        <f>IF(H189="","",(H189-#REF!)/#REF!)</f>
        <v/>
      </c>
      <c r="I199" s="59" t="str">
        <f>IF(I189="","",(I189-#REF!)/#REF!)</f>
        <v/>
      </c>
      <c r="J199" s="55"/>
      <c r="K199" s="55"/>
      <c r="L199" s="55"/>
      <c r="M199" s="55" t="str">
        <f>IF(G199="","",M189-((1/Comparisons!#REF!)*1000000))</f>
        <v/>
      </c>
      <c r="N199" s="55" t="str">
        <f>IF(H199="","",N189-((1/Comparisons!#REF!)*1000000))</f>
        <v/>
      </c>
      <c r="O199" s="56" t="str">
        <f>IF(I199="","",O189-((1/Comparisons!#REF!)*1000000))</f>
        <v/>
      </c>
    </row>
    <row r="200" spans="1:15" x14ac:dyDescent="0.25">
      <c r="A200" s="51" t="s">
        <v>14</v>
      </c>
      <c r="B200" s="52" t="s">
        <v>13</v>
      </c>
      <c r="C200" s="52" t="s">
        <v>11</v>
      </c>
      <c r="D200" s="59">
        <f>IF(D190="","",(D190-'2017'!D491)/'2017'!D491)</f>
        <v>0.11907120743034055</v>
      </c>
      <c r="E200" s="59">
        <f>IF(E190="","",(E190-'2017'!E491)/'2017'!E491)</f>
        <v>1.5200208460001738E-2</v>
      </c>
      <c r="F200" s="59">
        <f>IF(F190="","",(F190-'2017'!F491)/'2017'!F491)</f>
        <v>-1.1738056013179572E-2</v>
      </c>
      <c r="G200" s="59" t="str">
        <f>IF(G190="","",(G190-#REF!)/#REF!)</f>
        <v/>
      </c>
      <c r="H200" s="59" t="str">
        <f>IF(H190="","",(H190-#REF!)/#REF!)</f>
        <v/>
      </c>
      <c r="I200" s="59" t="str">
        <f>IF(I190="","",(I190-#REF!)/#REF!)</f>
        <v/>
      </c>
      <c r="J200" s="55"/>
      <c r="K200" s="55"/>
      <c r="L200" s="55"/>
      <c r="M200" s="55" t="str">
        <f>IF(G200="","",M190-((1/Comparisons!#REF!)*1000000))</f>
        <v/>
      </c>
      <c r="N200" s="55" t="str">
        <f>IF(H200="","",N190-((1/Comparisons!#REF!)*1000000))</f>
        <v/>
      </c>
      <c r="O200" s="56" t="str">
        <f>IF(I200="","",O190-((1/Comparisons!#REF!)*1000000))</f>
        <v/>
      </c>
    </row>
    <row r="201" spans="1:15" x14ac:dyDescent="0.25">
      <c r="A201" s="51" t="s">
        <v>15</v>
      </c>
      <c r="B201" s="52" t="s">
        <v>16</v>
      </c>
      <c r="C201" s="52" t="s">
        <v>11</v>
      </c>
      <c r="D201" s="59">
        <f>IF(D191="","",(D191-'2017'!D492)/'2017'!D492)</f>
        <v>5.986742162684712E-2</v>
      </c>
      <c r="E201" s="59">
        <f>IF(E191="","",(E191-'2017'!E492)/'2017'!E492)</f>
        <v>3.0476190476190477E-3</v>
      </c>
      <c r="F201" s="59">
        <f>IF(F191="","",(F191-'2017'!F492)/'2017'!F492)</f>
        <v>5.0240736864140675E-3</v>
      </c>
      <c r="G201" s="59" t="str">
        <f>IF(G191="","",(G191-#REF!)/#REF!)</f>
        <v/>
      </c>
      <c r="H201" s="59" t="str">
        <f>IF(H191="","",(H191-#REF!)/#REF!)</f>
        <v/>
      </c>
      <c r="I201" s="59" t="str">
        <f>IF(I191="","",(I191-#REF!)/#REF!)</f>
        <v/>
      </c>
      <c r="J201" s="55"/>
      <c r="K201" s="55"/>
      <c r="L201" s="55"/>
      <c r="M201" s="55" t="str">
        <f>IF(G201="","",M191-((1/Comparisons!#REF!)*1000000))</f>
        <v/>
      </c>
      <c r="N201" s="55" t="str">
        <f>IF(H201="","",N191-((1/Comparisons!#REF!)*1000000))</f>
        <v/>
      </c>
      <c r="O201" s="56" t="str">
        <f>IF(I201="","",O191-((1/Comparisons!#REF!)*1000000))</f>
        <v/>
      </c>
    </row>
    <row r="202" spans="1:15" ht="15.75" thickBot="1" x14ac:dyDescent="0.3">
      <c r="A202" s="60" t="s">
        <v>17</v>
      </c>
      <c r="B202" s="61" t="s">
        <v>18</v>
      </c>
      <c r="C202" s="61" t="s">
        <v>11</v>
      </c>
      <c r="D202" s="59">
        <f>IF(D192="","",(D192-'2017'!D493)/'2017'!D493)</f>
        <v>-4.3607987147119574E-2</v>
      </c>
      <c r="E202" s="59">
        <f>IF(E192="","",(E192-'2017'!E493)/'2017'!E493)</f>
        <v>0</v>
      </c>
      <c r="F202" s="59">
        <f>IF(F192="","",(F192-'2017'!F493)/'2017'!F493)</f>
        <v>-4.7146401985111663E-2</v>
      </c>
      <c r="G202" s="62" t="str">
        <f>IF(G192="","",(G192-#REF!)/#REF!)</f>
        <v/>
      </c>
      <c r="H202" s="62" t="str">
        <f>IF(H192="","",(H192-#REF!)/#REF!)</f>
        <v/>
      </c>
      <c r="I202" s="62" t="str">
        <f>IF(I192="","",(I192-#REF!)/#REF!)</f>
        <v/>
      </c>
      <c r="J202" s="63"/>
      <c r="K202" s="63"/>
      <c r="L202" s="63"/>
      <c r="M202" s="63" t="str">
        <f>IF(G202="","",M192-((1/Comparisons!#REF!)*1000000))</f>
        <v/>
      </c>
      <c r="N202" s="63" t="str">
        <f>IF(H202="","",N192-((1/Comparisons!#REF!)*1000000))</f>
        <v/>
      </c>
      <c r="O202" s="64" t="str">
        <f>IF(I202="","",O192-((1/Comparisons!#REF!)*1000000))</f>
        <v/>
      </c>
    </row>
    <row r="203" spans="1:15" ht="18.75" x14ac:dyDescent="0.25">
      <c r="A203" s="138" t="s">
        <v>159</v>
      </c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40"/>
    </row>
    <row r="204" spans="1:15" ht="15.75" x14ac:dyDescent="0.25">
      <c r="A204" s="113" t="s">
        <v>181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2"/>
    </row>
    <row r="205" spans="1:15" x14ac:dyDescent="0.25">
      <c r="A205" s="134" t="s">
        <v>1</v>
      </c>
      <c r="B205" s="135"/>
      <c r="C205" s="135"/>
      <c r="D205" s="136" t="s">
        <v>2</v>
      </c>
      <c r="E205" s="136"/>
      <c r="F205" s="136"/>
      <c r="G205" s="136"/>
      <c r="H205" s="136"/>
      <c r="I205" s="136"/>
      <c r="J205" s="136" t="s">
        <v>3</v>
      </c>
      <c r="K205" s="136"/>
      <c r="L205" s="136"/>
      <c r="M205" s="136"/>
      <c r="N205" s="136"/>
      <c r="O205" s="137"/>
    </row>
    <row r="206" spans="1:15" x14ac:dyDescent="0.25">
      <c r="A206" s="47" t="s">
        <v>26</v>
      </c>
      <c r="B206" s="48" t="s">
        <v>5</v>
      </c>
      <c r="C206" s="48" t="s">
        <v>6</v>
      </c>
      <c r="D206" s="49">
        <v>1</v>
      </c>
      <c r="E206" s="49">
        <v>4</v>
      </c>
      <c r="F206" s="49">
        <v>16</v>
      </c>
      <c r="G206" s="49">
        <v>32</v>
      </c>
      <c r="H206" s="49">
        <v>64</v>
      </c>
      <c r="I206" s="49">
        <v>80</v>
      </c>
      <c r="J206" s="49">
        <v>1</v>
      </c>
      <c r="K206" s="49">
        <v>4</v>
      </c>
      <c r="L206" s="49">
        <v>16</v>
      </c>
      <c r="M206" s="49">
        <v>32</v>
      </c>
      <c r="N206" s="49">
        <v>64</v>
      </c>
      <c r="O206" s="50">
        <v>80</v>
      </c>
    </row>
    <row r="207" spans="1:15" x14ac:dyDescent="0.25">
      <c r="A207" s="51" t="s">
        <v>7</v>
      </c>
      <c r="B207" s="52" t="s">
        <v>8</v>
      </c>
      <c r="C207" s="52" t="s">
        <v>9</v>
      </c>
      <c r="D207" s="53">
        <v>44589</v>
      </c>
      <c r="E207" s="53">
        <v>20213</v>
      </c>
      <c r="F207" s="53">
        <v>5843</v>
      </c>
      <c r="G207" s="54"/>
      <c r="H207" s="54"/>
      <c r="I207" s="54"/>
      <c r="J207" s="55"/>
      <c r="K207" s="55"/>
      <c r="L207" s="55"/>
      <c r="M207" s="55" t="str">
        <f t="shared" ref="M207:M212" si="46">IF(G207="","",(1/G207)*1000000)</f>
        <v/>
      </c>
      <c r="N207" s="55" t="str">
        <f t="shared" ref="N207:N212" si="47">IF(H207="","",(1/H207)*1000000)</f>
        <v/>
      </c>
      <c r="O207" s="56" t="str">
        <f t="shared" ref="O207:O212" si="48">IF(I207="","",(1/I207)*1000000)</f>
        <v/>
      </c>
    </row>
    <row r="208" spans="1:15" x14ac:dyDescent="0.25">
      <c r="A208" s="51" t="s">
        <v>10</v>
      </c>
      <c r="B208" s="52" t="s">
        <v>8</v>
      </c>
      <c r="C208" s="52" t="s">
        <v>11</v>
      </c>
      <c r="D208" s="53">
        <v>17853</v>
      </c>
      <c r="E208" s="53">
        <v>12242</v>
      </c>
      <c r="F208" s="53">
        <v>5058</v>
      </c>
      <c r="G208" s="54"/>
      <c r="H208" s="54"/>
      <c r="I208" s="54"/>
      <c r="J208" s="55"/>
      <c r="K208" s="55"/>
      <c r="L208" s="55"/>
      <c r="M208" s="55" t="str">
        <f t="shared" si="46"/>
        <v/>
      </c>
      <c r="N208" s="55" t="str">
        <f t="shared" si="47"/>
        <v/>
      </c>
      <c r="O208" s="56" t="str">
        <f t="shared" si="48"/>
        <v/>
      </c>
    </row>
    <row r="209" spans="1:15" x14ac:dyDescent="0.25">
      <c r="A209" s="51" t="s">
        <v>12</v>
      </c>
      <c r="B209" s="52" t="s">
        <v>13</v>
      </c>
      <c r="C209" s="52" t="s">
        <v>9</v>
      </c>
      <c r="D209" s="53">
        <v>39956</v>
      </c>
      <c r="E209" s="53">
        <v>17659</v>
      </c>
      <c r="F209" s="53">
        <v>5569</v>
      </c>
      <c r="G209" s="54"/>
      <c r="H209" s="54"/>
      <c r="I209" s="54"/>
      <c r="J209" s="55"/>
      <c r="K209" s="55"/>
      <c r="L209" s="55"/>
      <c r="M209" s="55" t="str">
        <f t="shared" si="46"/>
        <v/>
      </c>
      <c r="N209" s="55" t="str">
        <f t="shared" si="47"/>
        <v/>
      </c>
      <c r="O209" s="56" t="str">
        <f t="shared" si="48"/>
        <v/>
      </c>
    </row>
    <row r="210" spans="1:15" x14ac:dyDescent="0.25">
      <c r="A210" s="51" t="s">
        <v>14</v>
      </c>
      <c r="B210" s="52" t="s">
        <v>13</v>
      </c>
      <c r="C210" s="52" t="s">
        <v>11</v>
      </c>
      <c r="D210" s="53">
        <v>17896</v>
      </c>
      <c r="E210" s="53">
        <v>11762</v>
      </c>
      <c r="F210" s="53">
        <v>4712</v>
      </c>
      <c r="G210" s="54"/>
      <c r="H210" s="54"/>
      <c r="I210" s="54"/>
      <c r="J210" s="55"/>
      <c r="K210" s="55"/>
      <c r="L210" s="55"/>
      <c r="M210" s="55" t="str">
        <f t="shared" si="46"/>
        <v/>
      </c>
      <c r="N210" s="55" t="str">
        <f t="shared" si="47"/>
        <v/>
      </c>
      <c r="O210" s="56" t="str">
        <f t="shared" si="48"/>
        <v/>
      </c>
    </row>
    <row r="211" spans="1:15" x14ac:dyDescent="0.25">
      <c r="A211" s="51" t="s">
        <v>15</v>
      </c>
      <c r="B211" s="52" t="s">
        <v>16</v>
      </c>
      <c r="C211" s="52" t="s">
        <v>11</v>
      </c>
      <c r="D211" s="53">
        <v>13555</v>
      </c>
      <c r="E211" s="53">
        <v>9612</v>
      </c>
      <c r="F211" s="53">
        <v>4852</v>
      </c>
      <c r="G211" s="54"/>
      <c r="H211" s="54"/>
      <c r="I211" s="54"/>
      <c r="J211" s="55"/>
      <c r="K211" s="55"/>
      <c r="L211" s="55"/>
      <c r="M211" s="55" t="str">
        <f t="shared" si="46"/>
        <v/>
      </c>
      <c r="N211" s="55" t="str">
        <f t="shared" si="47"/>
        <v/>
      </c>
      <c r="O211" s="56" t="str">
        <f t="shared" si="48"/>
        <v/>
      </c>
    </row>
    <row r="212" spans="1:15" x14ac:dyDescent="0.25">
      <c r="A212" s="51" t="s">
        <v>17</v>
      </c>
      <c r="B212" s="52" t="s">
        <v>18</v>
      </c>
      <c r="C212" s="52" t="s">
        <v>11</v>
      </c>
      <c r="D212" s="53">
        <v>12289</v>
      </c>
      <c r="E212" s="53">
        <v>8847</v>
      </c>
      <c r="F212" s="53">
        <v>4448</v>
      </c>
      <c r="G212" s="54"/>
      <c r="H212" s="54"/>
      <c r="I212" s="54"/>
      <c r="J212" s="55"/>
      <c r="K212" s="55"/>
      <c r="L212" s="55"/>
      <c r="M212" s="55" t="str">
        <f t="shared" si="46"/>
        <v/>
      </c>
      <c r="N212" s="55" t="str">
        <f t="shared" si="47"/>
        <v/>
      </c>
      <c r="O212" s="56" t="str">
        <f t="shared" si="48"/>
        <v/>
      </c>
    </row>
    <row r="213" spans="1:15" x14ac:dyDescent="0.25">
      <c r="A213" s="116" t="s">
        <v>180</v>
      </c>
      <c r="B213" s="117"/>
      <c r="C213" s="117"/>
      <c r="D213" s="117"/>
      <c r="E213" s="143"/>
      <c r="F213" s="143"/>
      <c r="G213" s="143"/>
      <c r="H213" s="143"/>
      <c r="I213" s="143"/>
      <c r="J213" s="57"/>
      <c r="K213" s="57"/>
      <c r="L213" s="57"/>
      <c r="M213" s="57"/>
      <c r="N213" s="57"/>
      <c r="O213" s="58"/>
    </row>
    <row r="214" spans="1:15" ht="18.75" x14ac:dyDescent="0.3">
      <c r="A214" s="146" t="s">
        <v>154</v>
      </c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5"/>
    </row>
    <row r="215" spans="1:15" x14ac:dyDescent="0.25">
      <c r="A215" s="134" t="s">
        <v>1</v>
      </c>
      <c r="B215" s="135"/>
      <c r="C215" s="135"/>
      <c r="D215" s="136" t="s">
        <v>19</v>
      </c>
      <c r="E215" s="136"/>
      <c r="F215" s="136"/>
      <c r="G215" s="136"/>
      <c r="H215" s="136"/>
      <c r="I215" s="136"/>
      <c r="J215" s="136" t="s">
        <v>22</v>
      </c>
      <c r="K215" s="136"/>
      <c r="L215" s="136"/>
      <c r="M215" s="136"/>
      <c r="N215" s="136"/>
      <c r="O215" s="137"/>
    </row>
    <row r="216" spans="1:15" x14ac:dyDescent="0.25">
      <c r="A216" s="47" t="s">
        <v>4</v>
      </c>
      <c r="B216" s="48" t="s">
        <v>5</v>
      </c>
      <c r="C216" s="48" t="s">
        <v>6</v>
      </c>
      <c r="D216" s="49">
        <v>1</v>
      </c>
      <c r="E216" s="49">
        <v>4</v>
      </c>
      <c r="F216" s="49">
        <v>16</v>
      </c>
      <c r="G216" s="49">
        <v>32</v>
      </c>
      <c r="H216" s="49">
        <v>64</v>
      </c>
      <c r="I216" s="49">
        <v>80</v>
      </c>
      <c r="J216" s="49">
        <v>1</v>
      </c>
      <c r="K216" s="49">
        <v>4</v>
      </c>
      <c r="L216" s="49">
        <v>16</v>
      </c>
      <c r="M216" s="49">
        <v>32</v>
      </c>
      <c r="N216" s="49">
        <v>64</v>
      </c>
      <c r="O216" s="50">
        <v>80</v>
      </c>
    </row>
    <row r="217" spans="1:15" x14ac:dyDescent="0.25">
      <c r="A217" s="51" t="s">
        <v>7</v>
      </c>
      <c r="B217" s="52" t="s">
        <v>8</v>
      </c>
      <c r="C217" s="52" t="s">
        <v>9</v>
      </c>
      <c r="D217" s="59">
        <f>IF(D207="","",(D207-'2017'!D488)/'2017'!D488)</f>
        <v>3.1746766318809724E-2</v>
      </c>
      <c r="E217" s="59">
        <f>IF(E207="","",(E207-'2017'!E488)/'2017'!E488)</f>
        <v>2.7553250978597937E-2</v>
      </c>
      <c r="F217" s="59">
        <f>IF(F207="","",(F207-'2017'!F488)/'2017'!F488)</f>
        <v>0</v>
      </c>
      <c r="G217" s="59" t="str">
        <f>IF(G207="","",(G207-'2017'!G548)/'2017'!G548)</f>
        <v/>
      </c>
      <c r="H217" s="59" t="str">
        <f>IF(H207="","",(H207-#REF!)/#REF!)</f>
        <v/>
      </c>
      <c r="I217" s="59" t="str">
        <f>IF(I207="","",(I207-#REF!)/#REF!)</f>
        <v/>
      </c>
      <c r="J217" s="55"/>
      <c r="K217" s="55"/>
      <c r="L217" s="55"/>
      <c r="M217" s="55" t="str">
        <f>IF(G217="","",M207-((1/Comparisons!#REF!)*1000000))</f>
        <v/>
      </c>
      <c r="N217" s="55" t="str">
        <f>IF(H217="","",N207-((1/Comparisons!#REF!)*1000000))</f>
        <v/>
      </c>
      <c r="O217" s="56" t="str">
        <f>IF(I217="","",O207-((1/Comparisons!#REF!)*1000000))</f>
        <v/>
      </c>
    </row>
    <row r="218" spans="1:15" x14ac:dyDescent="0.25">
      <c r="A218" s="51" t="s">
        <v>10</v>
      </c>
      <c r="B218" s="52" t="s">
        <v>8</v>
      </c>
      <c r="C218" s="52" t="s">
        <v>11</v>
      </c>
      <c r="D218" s="59">
        <f>IF(D208="","",(D208-'2017'!D489)/'2017'!D489)</f>
        <v>2.7333410058694902E-2</v>
      </c>
      <c r="E218" s="59">
        <f>IF(E208="","",(E208-'2017'!E489)/'2017'!E489)</f>
        <v>8.3189193641380454E-3</v>
      </c>
      <c r="F218" s="59">
        <f>IF(F208="","",(F208-'2017'!F489)/'2017'!F489)</f>
        <v>1.2612612612612612E-2</v>
      </c>
      <c r="G218" s="59" t="str">
        <f>IF(G208="","",(G208-#REF!)/#REF!)</f>
        <v/>
      </c>
      <c r="H218" s="59" t="str">
        <f>IF(H208="","",(H208-#REF!)/#REF!)</f>
        <v/>
      </c>
      <c r="I218" s="59" t="str">
        <f>IF(I208="","",(I208-#REF!)/#REF!)</f>
        <v/>
      </c>
      <c r="J218" s="55"/>
      <c r="K218" s="55"/>
      <c r="L218" s="55"/>
      <c r="M218" s="55" t="str">
        <f>IF(G218="","",M208-((1/Comparisons!#REF!)*1000000))</f>
        <v/>
      </c>
      <c r="N218" s="55" t="str">
        <f>IF(H218="","",N208-((1/Comparisons!#REF!)*1000000))</f>
        <v/>
      </c>
      <c r="O218" s="56" t="str">
        <f>IF(I218="","",O208-((1/Comparisons!#REF!)*1000000))</f>
        <v/>
      </c>
    </row>
    <row r="219" spans="1:15" x14ac:dyDescent="0.25">
      <c r="A219" s="51" t="s">
        <v>12</v>
      </c>
      <c r="B219" s="52" t="s">
        <v>13</v>
      </c>
      <c r="C219" s="52" t="s">
        <v>9</v>
      </c>
      <c r="D219" s="59">
        <f>IF(D209="","",(D209-'2017'!D490)/'2017'!D490)</f>
        <v>-3.4389424587351072E-2</v>
      </c>
      <c r="E219" s="59">
        <f>IF(E209="","",(E209-'2017'!E490)/'2017'!E490)</f>
        <v>-1.7689269622295153E-2</v>
      </c>
      <c r="F219" s="59">
        <f>IF(F209="","",(F209-'2017'!F490)/'2017'!F490)</f>
        <v>-3.5784576847378781E-3</v>
      </c>
      <c r="G219" s="59" t="str">
        <f>IF(G209="","",(G209-#REF!)/#REF!)</f>
        <v/>
      </c>
      <c r="H219" s="59" t="str">
        <f>IF(H209="","",(H209-#REF!)/#REF!)</f>
        <v/>
      </c>
      <c r="I219" s="59" t="str">
        <f>IF(I209="","",(I209-#REF!)/#REF!)</f>
        <v/>
      </c>
      <c r="J219" s="55"/>
      <c r="K219" s="55"/>
      <c r="L219" s="55"/>
      <c r="M219" s="55" t="str">
        <f>IF(G219="","",M209-((1/Comparisons!#REF!)*1000000))</f>
        <v/>
      </c>
      <c r="N219" s="55" t="str">
        <f>IF(H219="","",N209-((1/Comparisons!#REF!)*1000000))</f>
        <v/>
      </c>
      <c r="O219" s="56" t="str">
        <f>IF(I219="","",O209-((1/Comparisons!#REF!)*1000000))</f>
        <v/>
      </c>
    </row>
    <row r="220" spans="1:15" x14ac:dyDescent="0.25">
      <c r="A220" s="51" t="s">
        <v>14</v>
      </c>
      <c r="B220" s="52" t="s">
        <v>13</v>
      </c>
      <c r="C220" s="52" t="s">
        <v>11</v>
      </c>
      <c r="D220" s="59">
        <f>IF(D210="","",(D210-'2017'!D491)/'2017'!D491)</f>
        <v>0.10811145510835914</v>
      </c>
      <c r="E220" s="59">
        <f>IF(E210="","",(E210-'2017'!E491)/'2017'!E491)</f>
        <v>2.1627725180231042E-2</v>
      </c>
      <c r="F220" s="59">
        <f>IF(F210="","",(F210-'2017'!F491)/'2017'!F491)</f>
        <v>-2.9654036243822075E-2</v>
      </c>
      <c r="G220" s="59" t="str">
        <f>IF(G210="","",(G210-#REF!)/#REF!)</f>
        <v/>
      </c>
      <c r="H220" s="59" t="str">
        <f>IF(H210="","",(H210-#REF!)/#REF!)</f>
        <v/>
      </c>
      <c r="I220" s="59" t="str">
        <f>IF(I210="","",(I210-#REF!)/#REF!)</f>
        <v/>
      </c>
      <c r="J220" s="55"/>
      <c r="K220" s="55"/>
      <c r="L220" s="55"/>
      <c r="M220" s="55" t="str">
        <f>IF(G220="","",M210-((1/Comparisons!#REF!)*1000000))</f>
        <v/>
      </c>
      <c r="N220" s="55" t="str">
        <f>IF(H220="","",N210-((1/Comparisons!#REF!)*1000000))</f>
        <v/>
      </c>
      <c r="O220" s="56" t="str">
        <f>IF(I220="","",O210-((1/Comparisons!#REF!)*1000000))</f>
        <v/>
      </c>
    </row>
    <row r="221" spans="1:15" x14ac:dyDescent="0.25">
      <c r="A221" s="51" t="s">
        <v>15</v>
      </c>
      <c r="B221" s="52" t="s">
        <v>16</v>
      </c>
      <c r="C221" s="52" t="s">
        <v>11</v>
      </c>
      <c r="D221" s="59">
        <f>IF(D211="","",(D211-'2017'!D492)/'2017'!D492)</f>
        <v>-6.4010495787874599E-2</v>
      </c>
      <c r="E221" s="59">
        <f>IF(E211="","",(E211-'2017'!E492)/'2017'!E492)</f>
        <v>-8.4571428571428575E-2</v>
      </c>
      <c r="F221" s="59">
        <f>IF(F211="","",(F211-'2017'!F492)/'2017'!F492)</f>
        <v>1.5700230270043962E-2</v>
      </c>
      <c r="G221" s="59" t="str">
        <f>IF(G211="","",(G211-#REF!)/#REF!)</f>
        <v/>
      </c>
      <c r="H221" s="59" t="str">
        <f>IF(H211="","",(H211-#REF!)/#REF!)</f>
        <v/>
      </c>
      <c r="I221" s="59" t="str">
        <f>IF(I211="","",(I211-#REF!)/#REF!)</f>
        <v/>
      </c>
      <c r="J221" s="55"/>
      <c r="K221" s="55"/>
      <c r="L221" s="55"/>
      <c r="M221" s="55" t="str">
        <f>IF(G221="","",M211-((1/Comparisons!#REF!)*1000000))</f>
        <v/>
      </c>
      <c r="N221" s="55" t="str">
        <f>IF(H221="","",N211-((1/Comparisons!#REF!)*1000000))</f>
        <v/>
      </c>
      <c r="O221" s="56" t="str">
        <f>IF(I221="","",O211-((1/Comparisons!#REF!)*1000000))</f>
        <v/>
      </c>
    </row>
    <row r="222" spans="1:15" ht="15.75" thickBot="1" x14ac:dyDescent="0.3">
      <c r="A222" s="60" t="s">
        <v>17</v>
      </c>
      <c r="B222" s="61" t="s">
        <v>18</v>
      </c>
      <c r="C222" s="61" t="s">
        <v>11</v>
      </c>
      <c r="D222" s="59">
        <f>IF(D212="","",(D212-'2017'!D493)/'2017'!D493)</f>
        <v>-5.9827098156223703E-2</v>
      </c>
      <c r="E222" s="59">
        <f>IF(E212="","",(E212-'2017'!E493)/'2017'!E493)</f>
        <v>0</v>
      </c>
      <c r="F222" s="59">
        <f>IF(F212="","",(F212-'2017'!F493)/'2017'!F493)</f>
        <v>3.383713061132416E-3</v>
      </c>
      <c r="G222" s="62" t="str">
        <f>IF(G212="","",(G212-#REF!)/#REF!)</f>
        <v/>
      </c>
      <c r="H222" s="62" t="str">
        <f>IF(H212="","",(H212-#REF!)/#REF!)</f>
        <v/>
      </c>
      <c r="I222" s="62" t="str">
        <f>IF(I212="","",(I212-#REF!)/#REF!)</f>
        <v/>
      </c>
      <c r="J222" s="63"/>
      <c r="K222" s="63"/>
      <c r="L222" s="63"/>
      <c r="M222" s="63" t="str">
        <f>IF(G222="","",M212-((1/Comparisons!#REF!)*1000000))</f>
        <v/>
      </c>
      <c r="N222" s="63" t="str">
        <f>IF(H222="","",N212-((1/Comparisons!#REF!)*1000000))</f>
        <v/>
      </c>
      <c r="O222" s="64" t="str">
        <f>IF(I222="","",O212-((1/Comparisons!#REF!)*1000000))</f>
        <v/>
      </c>
    </row>
    <row r="223" spans="1:15" ht="18.75" x14ac:dyDescent="0.25">
      <c r="A223" s="138" t="s">
        <v>159</v>
      </c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40"/>
    </row>
    <row r="224" spans="1:15" ht="15.75" x14ac:dyDescent="0.25">
      <c r="A224" s="113" t="s">
        <v>182</v>
      </c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2"/>
    </row>
    <row r="225" spans="1:15" x14ac:dyDescent="0.25">
      <c r="A225" s="134" t="s">
        <v>1</v>
      </c>
      <c r="B225" s="135"/>
      <c r="C225" s="135"/>
      <c r="D225" s="136" t="s">
        <v>2</v>
      </c>
      <c r="E225" s="136"/>
      <c r="F225" s="136"/>
      <c r="G225" s="136"/>
      <c r="H225" s="136"/>
      <c r="I225" s="136"/>
      <c r="J225" s="136" t="s">
        <v>3</v>
      </c>
      <c r="K225" s="136"/>
      <c r="L225" s="136"/>
      <c r="M225" s="136"/>
      <c r="N225" s="136"/>
      <c r="O225" s="137"/>
    </row>
    <row r="226" spans="1:15" x14ac:dyDescent="0.25">
      <c r="A226" s="47" t="s">
        <v>26</v>
      </c>
      <c r="B226" s="48" t="s">
        <v>5</v>
      </c>
      <c r="C226" s="48" t="s">
        <v>6</v>
      </c>
      <c r="D226" s="49">
        <v>1</v>
      </c>
      <c r="E226" s="49">
        <v>4</v>
      </c>
      <c r="F226" s="49">
        <v>16</v>
      </c>
      <c r="G226" s="49">
        <v>32</v>
      </c>
      <c r="H226" s="49">
        <v>64</v>
      </c>
      <c r="I226" s="49">
        <v>80</v>
      </c>
      <c r="J226" s="49">
        <v>1</v>
      </c>
      <c r="K226" s="49">
        <v>4</v>
      </c>
      <c r="L226" s="49">
        <v>16</v>
      </c>
      <c r="M226" s="49">
        <v>32</v>
      </c>
      <c r="N226" s="49">
        <v>64</v>
      </c>
      <c r="O226" s="50">
        <v>80</v>
      </c>
    </row>
    <row r="227" spans="1:15" x14ac:dyDescent="0.25">
      <c r="A227" s="51" t="s">
        <v>7</v>
      </c>
      <c r="B227" s="52" t="s">
        <v>8</v>
      </c>
      <c r="C227" s="52" t="s">
        <v>9</v>
      </c>
      <c r="D227" s="53">
        <v>42452</v>
      </c>
      <c r="E227" s="53">
        <v>19350</v>
      </c>
      <c r="F227" s="53">
        <v>5843</v>
      </c>
      <c r="G227" s="54"/>
      <c r="H227" s="54"/>
      <c r="I227" s="54"/>
      <c r="J227" s="55"/>
      <c r="K227" s="55"/>
      <c r="L227" s="55"/>
      <c r="M227" s="55" t="str">
        <f t="shared" ref="M227:M232" si="49">IF(G227="","",(1/G227)*1000000)</f>
        <v/>
      </c>
      <c r="N227" s="55" t="str">
        <f t="shared" ref="N227:N232" si="50">IF(H227="","",(1/H227)*1000000)</f>
        <v/>
      </c>
      <c r="O227" s="56" t="str">
        <f t="shared" ref="O227:O232" si="51">IF(I227="","",(1/I227)*1000000)</f>
        <v/>
      </c>
    </row>
    <row r="228" spans="1:15" x14ac:dyDescent="0.25">
      <c r="A228" s="51" t="s">
        <v>10</v>
      </c>
      <c r="B228" s="52" t="s">
        <v>8</v>
      </c>
      <c r="C228" s="52" t="s">
        <v>11</v>
      </c>
      <c r="D228" s="53">
        <v>17896</v>
      </c>
      <c r="E228" s="53">
        <v>11945</v>
      </c>
      <c r="F228" s="53">
        <v>5000</v>
      </c>
      <c r="G228" s="54"/>
      <c r="H228" s="54"/>
      <c r="I228" s="54"/>
      <c r="J228" s="55"/>
      <c r="K228" s="55"/>
      <c r="L228" s="55"/>
      <c r="M228" s="55" t="str">
        <f t="shared" si="49"/>
        <v/>
      </c>
      <c r="N228" s="55" t="str">
        <f t="shared" si="50"/>
        <v/>
      </c>
      <c r="O228" s="56" t="str">
        <f t="shared" si="51"/>
        <v/>
      </c>
    </row>
    <row r="229" spans="1:15" x14ac:dyDescent="0.25">
      <c r="A229" s="51" t="s">
        <v>12</v>
      </c>
      <c r="B229" s="52" t="s">
        <v>13</v>
      </c>
      <c r="C229" s="52" t="s">
        <v>9</v>
      </c>
      <c r="D229" s="53">
        <v>31701</v>
      </c>
      <c r="E229" s="53">
        <v>17437</v>
      </c>
      <c r="F229" s="53">
        <v>5589</v>
      </c>
      <c r="G229" s="54"/>
      <c r="H229" s="54"/>
      <c r="I229" s="54"/>
      <c r="J229" s="55"/>
      <c r="K229" s="55"/>
      <c r="L229" s="55"/>
      <c r="M229" s="55" t="str">
        <f t="shared" si="49"/>
        <v/>
      </c>
      <c r="N229" s="55" t="str">
        <f t="shared" si="50"/>
        <v/>
      </c>
      <c r="O229" s="56" t="str">
        <f t="shared" si="51"/>
        <v/>
      </c>
    </row>
    <row r="230" spans="1:15" x14ac:dyDescent="0.25">
      <c r="A230" s="51" t="s">
        <v>14</v>
      </c>
      <c r="B230" s="52" t="s">
        <v>13</v>
      </c>
      <c r="C230" s="52" t="s">
        <v>11</v>
      </c>
      <c r="D230" s="53">
        <v>18227</v>
      </c>
      <c r="E230" s="53">
        <v>11553</v>
      </c>
      <c r="F230" s="53">
        <v>4799</v>
      </c>
      <c r="G230" s="54"/>
      <c r="H230" s="54"/>
      <c r="I230" s="54"/>
      <c r="J230" s="55"/>
      <c r="K230" s="55"/>
      <c r="L230" s="55"/>
      <c r="M230" s="55" t="str">
        <f t="shared" si="49"/>
        <v/>
      </c>
      <c r="N230" s="55" t="str">
        <f t="shared" si="50"/>
        <v/>
      </c>
      <c r="O230" s="56" t="str">
        <f t="shared" si="51"/>
        <v/>
      </c>
    </row>
    <row r="231" spans="1:15" x14ac:dyDescent="0.25">
      <c r="A231" s="51" t="s">
        <v>15</v>
      </c>
      <c r="B231" s="52" t="s">
        <v>16</v>
      </c>
      <c r="C231" s="52" t="s">
        <v>11</v>
      </c>
      <c r="D231" s="53">
        <v>13630</v>
      </c>
      <c r="E231" s="53">
        <v>10132</v>
      </c>
      <c r="F231" s="53">
        <v>4804</v>
      </c>
      <c r="G231" s="54"/>
      <c r="H231" s="54"/>
      <c r="I231" s="54"/>
      <c r="J231" s="55"/>
      <c r="K231" s="55"/>
      <c r="L231" s="55"/>
      <c r="M231" s="55" t="str">
        <f t="shared" si="49"/>
        <v/>
      </c>
      <c r="N231" s="55" t="str">
        <f t="shared" si="50"/>
        <v/>
      </c>
      <c r="O231" s="56" t="str">
        <f t="shared" si="51"/>
        <v/>
      </c>
    </row>
    <row r="232" spans="1:15" x14ac:dyDescent="0.25">
      <c r="A232" s="51" t="s">
        <v>17</v>
      </c>
      <c r="B232" s="52" t="s">
        <v>18</v>
      </c>
      <c r="C232" s="52" t="s">
        <v>11</v>
      </c>
      <c r="D232" s="53">
        <v>12613</v>
      </c>
      <c r="E232" s="53">
        <v>8838</v>
      </c>
      <c r="F232" s="53">
        <v>4685</v>
      </c>
      <c r="G232" s="54"/>
      <c r="H232" s="54"/>
      <c r="I232" s="54"/>
      <c r="J232" s="55"/>
      <c r="K232" s="55"/>
      <c r="L232" s="55"/>
      <c r="M232" s="55" t="str">
        <f t="shared" si="49"/>
        <v/>
      </c>
      <c r="N232" s="55" t="str">
        <f t="shared" si="50"/>
        <v/>
      </c>
      <c r="O232" s="56" t="str">
        <f t="shared" si="51"/>
        <v/>
      </c>
    </row>
    <row r="233" spans="1:15" x14ac:dyDescent="0.25">
      <c r="A233" s="116" t="s">
        <v>183</v>
      </c>
      <c r="B233" s="117"/>
      <c r="C233" s="117"/>
      <c r="D233" s="117"/>
      <c r="E233" s="143"/>
      <c r="F233" s="143"/>
      <c r="G233" s="143"/>
      <c r="H233" s="143"/>
      <c r="I233" s="143"/>
      <c r="J233" s="57"/>
      <c r="K233" s="57"/>
      <c r="L233" s="57"/>
      <c r="M233" s="57"/>
      <c r="N233" s="57"/>
      <c r="O233" s="58"/>
    </row>
    <row r="234" spans="1:15" ht="18.75" x14ac:dyDescent="0.3">
      <c r="A234" s="146" t="s">
        <v>154</v>
      </c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5"/>
    </row>
    <row r="235" spans="1:15" x14ac:dyDescent="0.25">
      <c r="A235" s="134" t="s">
        <v>1</v>
      </c>
      <c r="B235" s="135"/>
      <c r="C235" s="135"/>
      <c r="D235" s="136" t="s">
        <v>19</v>
      </c>
      <c r="E235" s="136"/>
      <c r="F235" s="136"/>
      <c r="G235" s="136"/>
      <c r="H235" s="136"/>
      <c r="I235" s="136"/>
      <c r="J235" s="136" t="s">
        <v>22</v>
      </c>
      <c r="K235" s="136"/>
      <c r="L235" s="136"/>
      <c r="M235" s="136"/>
      <c r="N235" s="136"/>
      <c r="O235" s="137"/>
    </row>
    <row r="236" spans="1:15" x14ac:dyDescent="0.25">
      <c r="A236" s="47" t="s">
        <v>4</v>
      </c>
      <c r="B236" s="48" t="s">
        <v>5</v>
      </c>
      <c r="C236" s="48" t="s">
        <v>6</v>
      </c>
      <c r="D236" s="49">
        <v>1</v>
      </c>
      <c r="E236" s="49">
        <v>4</v>
      </c>
      <c r="F236" s="49">
        <v>16</v>
      </c>
      <c r="G236" s="49">
        <v>32</v>
      </c>
      <c r="H236" s="49">
        <v>64</v>
      </c>
      <c r="I236" s="49">
        <v>80</v>
      </c>
      <c r="J236" s="49">
        <v>1</v>
      </c>
      <c r="K236" s="49">
        <v>4</v>
      </c>
      <c r="L236" s="49">
        <v>16</v>
      </c>
      <c r="M236" s="49">
        <v>32</v>
      </c>
      <c r="N236" s="49">
        <v>64</v>
      </c>
      <c r="O236" s="50">
        <v>80</v>
      </c>
    </row>
    <row r="237" spans="1:15" x14ac:dyDescent="0.25">
      <c r="A237" s="51" t="s">
        <v>7</v>
      </c>
      <c r="B237" s="52" t="s">
        <v>8</v>
      </c>
      <c r="C237" s="52" t="s">
        <v>9</v>
      </c>
      <c r="D237" s="59">
        <f>IF(D227="","",(D227-'2017'!D488)/'2017'!D488)</f>
        <v>-1.770136751741213E-2</v>
      </c>
      <c r="E237" s="59">
        <f>IF(E227="","",(E227-'2017'!E488)/'2017'!E488)</f>
        <v>-1.6318438310202837E-2</v>
      </c>
      <c r="F237" s="59">
        <f>IF(F227="","",(F227-'2017'!F488)/'2017'!F488)</f>
        <v>0</v>
      </c>
      <c r="G237" s="59" t="str">
        <f>IF(G227="","",(G227-'2017'!G568)/'2017'!G568)</f>
        <v/>
      </c>
      <c r="H237" s="59" t="str">
        <f>IF(H227="","",(H227-#REF!)/#REF!)</f>
        <v/>
      </c>
      <c r="I237" s="59" t="str">
        <f>IF(I227="","",(I227-#REF!)/#REF!)</f>
        <v/>
      </c>
      <c r="J237" s="55"/>
      <c r="K237" s="55"/>
      <c r="L237" s="55"/>
      <c r="M237" s="55" t="str">
        <f>IF(G237="","",M227-((1/Comparisons!#REF!)*1000000))</f>
        <v/>
      </c>
      <c r="N237" s="55" t="str">
        <f>IF(H237="","",N227-((1/Comparisons!#REF!)*1000000))</f>
        <v/>
      </c>
      <c r="O237" s="56" t="str">
        <f>IF(I237="","",O227-((1/Comparisons!#REF!)*1000000))</f>
        <v/>
      </c>
    </row>
    <row r="238" spans="1:15" x14ac:dyDescent="0.25">
      <c r="A238" s="51" t="s">
        <v>10</v>
      </c>
      <c r="B238" s="52" t="s">
        <v>8</v>
      </c>
      <c r="C238" s="52" t="s">
        <v>11</v>
      </c>
      <c r="D238" s="59">
        <f>IF(D228="","",(D228-'2017'!D489)/'2017'!D489)</f>
        <v>2.9807802969271494E-2</v>
      </c>
      <c r="E238" s="59">
        <f>IF(E228="","",(E228-'2017'!E489)/'2017'!E489)</f>
        <v>-1.6143645498723335E-2</v>
      </c>
      <c r="F238" s="59">
        <f>IF(F228="","",(F228-'2017'!F489)/'2017'!F489)</f>
        <v>1.001001001001001E-3</v>
      </c>
      <c r="G238" s="59" t="str">
        <f>IF(G228="","",(G228-#REF!)/#REF!)</f>
        <v/>
      </c>
      <c r="H238" s="59" t="str">
        <f>IF(H228="","",(H228-#REF!)/#REF!)</f>
        <v/>
      </c>
      <c r="I238" s="59" t="str">
        <f>IF(I228="","",(I228-#REF!)/#REF!)</f>
        <v/>
      </c>
      <c r="J238" s="55"/>
      <c r="K238" s="55"/>
      <c r="L238" s="55"/>
      <c r="M238" s="55" t="str">
        <f>IF(G238="","",M228-((1/Comparisons!#REF!)*1000000))</f>
        <v/>
      </c>
      <c r="N238" s="55" t="str">
        <f>IF(H238="","",N228-((1/Comparisons!#REF!)*1000000))</f>
        <v/>
      </c>
      <c r="O238" s="56" t="str">
        <f>IF(I238="","",O228-((1/Comparisons!#REF!)*1000000))</f>
        <v/>
      </c>
    </row>
    <row r="239" spans="1:15" x14ac:dyDescent="0.25">
      <c r="A239" s="51" t="s">
        <v>12</v>
      </c>
      <c r="B239" s="52" t="s">
        <v>13</v>
      </c>
      <c r="C239" s="52" t="s">
        <v>9</v>
      </c>
      <c r="D239" s="59">
        <f>IF(D229="","",(D229-'2017'!D490)/'2017'!D490)</f>
        <v>-0.23388675415065613</v>
      </c>
      <c r="E239" s="59">
        <f>IF(E229="","",(E229-'2017'!E490)/'2017'!E490)</f>
        <v>-3.0038382377482339E-2</v>
      </c>
      <c r="F239" s="59">
        <f>IF(F229="","",(F229-'2017'!F490)/'2017'!F490)</f>
        <v>0</v>
      </c>
      <c r="G239" s="59" t="str">
        <f>IF(G229="","",(G229-#REF!)/#REF!)</f>
        <v/>
      </c>
      <c r="H239" s="59" t="str">
        <f>IF(H229="","",(H229-#REF!)/#REF!)</f>
        <v/>
      </c>
      <c r="I239" s="59" t="str">
        <f>IF(I229="","",(I229-#REF!)/#REF!)</f>
        <v/>
      </c>
      <c r="J239" s="55"/>
      <c r="K239" s="55"/>
      <c r="L239" s="55"/>
      <c r="M239" s="55" t="str">
        <f>IF(G239="","",M229-((1/Comparisons!#REF!)*1000000))</f>
        <v/>
      </c>
      <c r="N239" s="55" t="str">
        <f>IF(H239="","",N229-((1/Comparisons!#REF!)*1000000))</f>
        <v/>
      </c>
      <c r="O239" s="56" t="str">
        <f>IF(I239="","",O229-((1/Comparisons!#REF!)*1000000))</f>
        <v/>
      </c>
    </row>
    <row r="240" spans="1:15" x14ac:dyDescent="0.25">
      <c r="A240" s="51" t="s">
        <v>14</v>
      </c>
      <c r="B240" s="52" t="s">
        <v>13</v>
      </c>
      <c r="C240" s="52" t="s">
        <v>11</v>
      </c>
      <c r="D240" s="59">
        <f>IF(D230="","",(D230-'2017'!D491)/'2017'!D491)</f>
        <v>0.12860681114551084</v>
      </c>
      <c r="E240" s="59">
        <f>IF(E230="","",(E230-'2017'!E491)/'2017'!E491)</f>
        <v>3.4743333622861113E-3</v>
      </c>
      <c r="F240" s="59">
        <f>IF(F230="","",(F230-'2017'!F491)/'2017'!F491)</f>
        <v>-1.1738056013179572E-2</v>
      </c>
      <c r="G240" s="59" t="str">
        <f>IF(G230="","",(G230-#REF!)/#REF!)</f>
        <v/>
      </c>
      <c r="H240" s="59" t="str">
        <f>IF(H230="","",(H230-#REF!)/#REF!)</f>
        <v/>
      </c>
      <c r="I240" s="59" t="str">
        <f>IF(I230="","",(I230-#REF!)/#REF!)</f>
        <v/>
      </c>
      <c r="J240" s="55"/>
      <c r="K240" s="55"/>
      <c r="L240" s="55"/>
      <c r="M240" s="55" t="str">
        <f>IF(G240="","",M230-((1/Comparisons!#REF!)*1000000))</f>
        <v/>
      </c>
      <c r="N240" s="55" t="str">
        <f>IF(H240="","",N230-((1/Comparisons!#REF!)*1000000))</f>
        <v/>
      </c>
      <c r="O240" s="56" t="str">
        <f>IF(I240="","",O230-((1/Comparisons!#REF!)*1000000))</f>
        <v/>
      </c>
    </row>
    <row r="241" spans="1:15" x14ac:dyDescent="0.25">
      <c r="A241" s="51" t="s">
        <v>15</v>
      </c>
      <c r="B241" s="52" t="s">
        <v>16</v>
      </c>
      <c r="C241" s="52" t="s">
        <v>11</v>
      </c>
      <c r="D241" s="59">
        <f>IF(D231="","",(D231-'2017'!D492)/'2017'!D492)</f>
        <v>-5.8831653086590247E-2</v>
      </c>
      <c r="E241" s="59">
        <f>IF(E231="","",(E231-'2017'!E492)/'2017'!E492)</f>
        <v>-3.504761904761905E-2</v>
      </c>
      <c r="F241" s="59">
        <f>IF(F231="","",(F231-'2017'!F492)/'2017'!F492)</f>
        <v>5.6520828972158261E-3</v>
      </c>
      <c r="G241" s="59" t="str">
        <f>IF(G231="","",(G231-#REF!)/#REF!)</f>
        <v/>
      </c>
      <c r="H241" s="59" t="str">
        <f>IF(H231="","",(H231-#REF!)/#REF!)</f>
        <v/>
      </c>
      <c r="I241" s="59" t="str">
        <f>IF(I231="","",(I231-#REF!)/#REF!)</f>
        <v/>
      </c>
      <c r="J241" s="55"/>
      <c r="K241" s="55"/>
      <c r="L241" s="55"/>
      <c r="M241" s="55" t="str">
        <f>IF(G241="","",M231-((1/Comparisons!#REF!)*1000000))</f>
        <v/>
      </c>
      <c r="N241" s="55" t="str">
        <f>IF(H241="","",N231-((1/Comparisons!#REF!)*1000000))</f>
        <v/>
      </c>
      <c r="O241" s="56" t="str">
        <f>IF(I241="","",O231-((1/Comparisons!#REF!)*1000000))</f>
        <v/>
      </c>
    </row>
    <row r="242" spans="1:15" ht="15.75" thickBot="1" x14ac:dyDescent="0.3">
      <c r="A242" s="60" t="s">
        <v>17</v>
      </c>
      <c r="B242" s="61" t="s">
        <v>18</v>
      </c>
      <c r="C242" s="61" t="s">
        <v>11</v>
      </c>
      <c r="D242" s="59">
        <f>IF(D232="","",(D232-'2017'!D493)/'2017'!D493)</f>
        <v>-3.5039400198913627E-2</v>
      </c>
      <c r="E242" s="59">
        <f>IF(E232="","",(E232-'2017'!E493)/'2017'!E493)</f>
        <v>-1.017293997965412E-3</v>
      </c>
      <c r="F242" s="59">
        <f>IF(F232="","",(F232-'2017'!F493)/'2017'!F493)</f>
        <v>5.6846379427024592E-2</v>
      </c>
      <c r="G242" s="62" t="str">
        <f>IF(G232="","",(G232-#REF!)/#REF!)</f>
        <v/>
      </c>
      <c r="H242" s="62" t="str">
        <f>IF(H232="","",(H232-#REF!)/#REF!)</f>
        <v/>
      </c>
      <c r="I242" s="62" t="str">
        <f>IF(I232="","",(I232-#REF!)/#REF!)</f>
        <v/>
      </c>
      <c r="J242" s="63"/>
      <c r="K242" s="63"/>
      <c r="L242" s="63"/>
      <c r="M242" s="63" t="str">
        <f>IF(G242="","",M232-((1/Comparisons!#REF!)*1000000))</f>
        <v/>
      </c>
      <c r="N242" s="63" t="str">
        <f>IF(H242="","",N232-((1/Comparisons!#REF!)*1000000))</f>
        <v/>
      </c>
      <c r="O242" s="64" t="str">
        <f>IF(I242="","",O232-((1/Comparisons!#REF!)*1000000))</f>
        <v/>
      </c>
    </row>
    <row r="243" spans="1:15" ht="18.75" x14ac:dyDescent="0.25">
      <c r="A243" s="138" t="s">
        <v>159</v>
      </c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40"/>
    </row>
    <row r="244" spans="1:15" ht="15.75" x14ac:dyDescent="0.25">
      <c r="A244" s="113" t="s">
        <v>184</v>
      </c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2"/>
    </row>
    <row r="245" spans="1:15" x14ac:dyDescent="0.25">
      <c r="A245" s="134" t="s">
        <v>1</v>
      </c>
      <c r="B245" s="135"/>
      <c r="C245" s="135"/>
      <c r="D245" s="136" t="s">
        <v>2</v>
      </c>
      <c r="E245" s="136"/>
      <c r="F245" s="136"/>
      <c r="G245" s="136"/>
      <c r="H245" s="136"/>
      <c r="I245" s="136"/>
      <c r="J245" s="136" t="s">
        <v>3</v>
      </c>
      <c r="K245" s="136"/>
      <c r="L245" s="136"/>
      <c r="M245" s="136"/>
      <c r="N245" s="136"/>
      <c r="O245" s="137"/>
    </row>
    <row r="246" spans="1:15" x14ac:dyDescent="0.25">
      <c r="A246" s="47" t="s">
        <v>26</v>
      </c>
      <c r="B246" s="48" t="s">
        <v>5</v>
      </c>
      <c r="C246" s="48" t="s">
        <v>6</v>
      </c>
      <c r="D246" s="49">
        <v>1</v>
      </c>
      <c r="E246" s="49">
        <v>4</v>
      </c>
      <c r="F246" s="49">
        <v>16</v>
      </c>
      <c r="G246" s="49">
        <v>32</v>
      </c>
      <c r="H246" s="49">
        <v>64</v>
      </c>
      <c r="I246" s="49">
        <v>80</v>
      </c>
      <c r="J246" s="49">
        <v>1</v>
      </c>
      <c r="K246" s="49">
        <v>4</v>
      </c>
      <c r="L246" s="49">
        <v>16</v>
      </c>
      <c r="M246" s="49">
        <v>32</v>
      </c>
      <c r="N246" s="49">
        <v>64</v>
      </c>
      <c r="O246" s="50">
        <v>80</v>
      </c>
    </row>
    <row r="247" spans="1:15" x14ac:dyDescent="0.25">
      <c r="A247" s="51" t="s">
        <v>7</v>
      </c>
      <c r="B247" s="52" t="s">
        <v>8</v>
      </c>
      <c r="C247" s="52" t="s">
        <v>9</v>
      </c>
      <c r="D247" s="53">
        <v>42786</v>
      </c>
      <c r="E247" s="53">
        <v>19447</v>
      </c>
      <c r="F247" s="53">
        <v>5837</v>
      </c>
      <c r="G247" s="54"/>
      <c r="H247" s="54"/>
      <c r="I247" s="54"/>
      <c r="J247" s="55"/>
      <c r="K247" s="55"/>
      <c r="L247" s="55"/>
      <c r="M247" s="55" t="str">
        <f t="shared" ref="M247:M252" si="52">IF(G247="","",(1/G247)*1000000)</f>
        <v/>
      </c>
      <c r="N247" s="55" t="str">
        <f t="shared" ref="N247:N252" si="53">IF(H247="","",(1/H247)*1000000)</f>
        <v/>
      </c>
      <c r="O247" s="56" t="str">
        <f t="shared" ref="O247:O252" si="54">IF(I247="","",(1/I247)*1000000)</f>
        <v/>
      </c>
    </row>
    <row r="248" spans="1:15" x14ac:dyDescent="0.25">
      <c r="A248" s="51" t="s">
        <v>10</v>
      </c>
      <c r="B248" s="52" t="s">
        <v>8</v>
      </c>
      <c r="C248" s="52" t="s">
        <v>11</v>
      </c>
      <c r="D248" s="53">
        <v>18398</v>
      </c>
      <c r="E248" s="53">
        <v>12091</v>
      </c>
      <c r="F248" s="53">
        <v>4995</v>
      </c>
      <c r="G248" s="54"/>
      <c r="H248" s="54"/>
      <c r="I248" s="54"/>
      <c r="J248" s="55"/>
      <c r="K248" s="55"/>
      <c r="L248" s="55"/>
      <c r="M248" s="55" t="str">
        <f t="shared" si="52"/>
        <v/>
      </c>
      <c r="N248" s="55" t="str">
        <f t="shared" si="53"/>
        <v/>
      </c>
      <c r="O248" s="56" t="str">
        <f t="shared" si="54"/>
        <v/>
      </c>
    </row>
    <row r="249" spans="1:15" x14ac:dyDescent="0.25">
      <c r="A249" s="51" t="s">
        <v>12</v>
      </c>
      <c r="B249" s="52" t="s">
        <v>13</v>
      </c>
      <c r="C249" s="52" t="s">
        <v>9</v>
      </c>
      <c r="D249" s="53">
        <v>39956</v>
      </c>
      <c r="E249" s="53">
        <v>17776</v>
      </c>
      <c r="F249" s="53">
        <v>5589</v>
      </c>
      <c r="G249" s="54"/>
      <c r="H249" s="54"/>
      <c r="I249" s="54"/>
      <c r="J249" s="55"/>
      <c r="K249" s="55"/>
      <c r="L249" s="55"/>
      <c r="M249" s="55" t="str">
        <f t="shared" si="52"/>
        <v/>
      </c>
      <c r="N249" s="55" t="str">
        <f t="shared" si="53"/>
        <v/>
      </c>
      <c r="O249" s="56" t="str">
        <f t="shared" si="54"/>
        <v/>
      </c>
    </row>
    <row r="250" spans="1:15" x14ac:dyDescent="0.25">
      <c r="A250" s="51" t="s">
        <v>14</v>
      </c>
      <c r="B250" s="52" t="s">
        <v>13</v>
      </c>
      <c r="C250" s="52" t="s">
        <v>11</v>
      </c>
      <c r="D250" s="53">
        <v>17483</v>
      </c>
      <c r="E250" s="53">
        <v>11548</v>
      </c>
      <c r="F250" s="53">
        <v>4804</v>
      </c>
      <c r="G250" s="54"/>
      <c r="H250" s="54"/>
      <c r="I250" s="54"/>
      <c r="J250" s="55"/>
      <c r="K250" s="55"/>
      <c r="L250" s="55"/>
      <c r="M250" s="55" t="str">
        <f t="shared" si="52"/>
        <v/>
      </c>
      <c r="N250" s="55" t="str">
        <f t="shared" si="53"/>
        <v/>
      </c>
      <c r="O250" s="56" t="str">
        <f t="shared" si="54"/>
        <v/>
      </c>
    </row>
    <row r="251" spans="1:15" x14ac:dyDescent="0.25">
      <c r="A251" s="51" t="s">
        <v>15</v>
      </c>
      <c r="B251" s="52" t="s">
        <v>16</v>
      </c>
      <c r="C251" s="52" t="s">
        <v>11</v>
      </c>
      <c r="D251" s="53">
        <v>14923</v>
      </c>
      <c r="E251" s="53">
        <v>10202</v>
      </c>
      <c r="F251" s="53">
        <v>4801</v>
      </c>
      <c r="G251" s="54"/>
      <c r="H251" s="54"/>
      <c r="I251" s="54"/>
      <c r="J251" s="55"/>
      <c r="K251" s="55"/>
      <c r="L251" s="55"/>
      <c r="M251" s="55" t="str">
        <f t="shared" si="52"/>
        <v/>
      </c>
      <c r="N251" s="55" t="str">
        <f t="shared" si="53"/>
        <v/>
      </c>
      <c r="O251" s="56" t="str">
        <f t="shared" si="54"/>
        <v/>
      </c>
    </row>
    <row r="252" spans="1:15" x14ac:dyDescent="0.25">
      <c r="A252" s="51" t="s">
        <v>17</v>
      </c>
      <c r="B252" s="52" t="s">
        <v>18</v>
      </c>
      <c r="C252" s="52" t="s">
        <v>11</v>
      </c>
      <c r="D252" s="53">
        <v>12332</v>
      </c>
      <c r="E252" s="53">
        <v>8803</v>
      </c>
      <c r="F252" s="53">
        <v>4267</v>
      </c>
      <c r="G252" s="54"/>
      <c r="H252" s="54"/>
      <c r="I252" s="54"/>
      <c r="J252" s="55"/>
      <c r="K252" s="55"/>
      <c r="L252" s="55"/>
      <c r="M252" s="55" t="str">
        <f t="shared" si="52"/>
        <v/>
      </c>
      <c r="N252" s="55" t="str">
        <f t="shared" si="53"/>
        <v/>
      </c>
      <c r="O252" s="56" t="str">
        <f t="shared" si="54"/>
        <v/>
      </c>
    </row>
    <row r="253" spans="1:15" x14ac:dyDescent="0.25">
      <c r="A253" s="116" t="s">
        <v>185</v>
      </c>
      <c r="B253" s="117"/>
      <c r="C253" s="117"/>
      <c r="D253" s="117"/>
      <c r="E253" s="143"/>
      <c r="F253" s="143"/>
      <c r="G253" s="143"/>
      <c r="H253" s="143"/>
      <c r="I253" s="143"/>
      <c r="J253" s="57"/>
      <c r="K253" s="57"/>
      <c r="L253" s="57"/>
      <c r="M253" s="57"/>
      <c r="N253" s="57"/>
      <c r="O253" s="58"/>
    </row>
    <row r="254" spans="1:15" ht="18.75" x14ac:dyDescent="0.3">
      <c r="A254" s="146" t="s">
        <v>154</v>
      </c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5"/>
    </row>
    <row r="255" spans="1:15" x14ac:dyDescent="0.25">
      <c r="A255" s="134" t="s">
        <v>1</v>
      </c>
      <c r="B255" s="135"/>
      <c r="C255" s="135"/>
      <c r="D255" s="136" t="s">
        <v>19</v>
      </c>
      <c r="E255" s="136"/>
      <c r="F255" s="136"/>
      <c r="G255" s="136"/>
      <c r="H255" s="136"/>
      <c r="I255" s="136"/>
      <c r="J255" s="136" t="s">
        <v>22</v>
      </c>
      <c r="K255" s="136"/>
      <c r="L255" s="136"/>
      <c r="M255" s="136"/>
      <c r="N255" s="136"/>
      <c r="O255" s="137"/>
    </row>
    <row r="256" spans="1:15" x14ac:dyDescent="0.25">
      <c r="A256" s="47" t="s">
        <v>4</v>
      </c>
      <c r="B256" s="48" t="s">
        <v>5</v>
      </c>
      <c r="C256" s="48" t="s">
        <v>6</v>
      </c>
      <c r="D256" s="49">
        <v>1</v>
      </c>
      <c r="E256" s="49">
        <v>4</v>
      </c>
      <c r="F256" s="49">
        <v>16</v>
      </c>
      <c r="G256" s="49">
        <v>32</v>
      </c>
      <c r="H256" s="49">
        <v>64</v>
      </c>
      <c r="I256" s="49">
        <v>80</v>
      </c>
      <c r="J256" s="49">
        <v>1</v>
      </c>
      <c r="K256" s="49">
        <v>4</v>
      </c>
      <c r="L256" s="49">
        <v>16</v>
      </c>
      <c r="M256" s="49">
        <v>32</v>
      </c>
      <c r="N256" s="49">
        <v>64</v>
      </c>
      <c r="O256" s="50">
        <v>80</v>
      </c>
    </row>
    <row r="257" spans="1:15" x14ac:dyDescent="0.25">
      <c r="A257" s="51" t="s">
        <v>7</v>
      </c>
      <c r="B257" s="52" t="s">
        <v>8</v>
      </c>
      <c r="C257" s="52" t="s">
        <v>9</v>
      </c>
      <c r="D257" s="59">
        <f>IF(D247="","",(D247-'2017'!D488)/'2017'!D488)</f>
        <v>-9.9729273202674874E-3</v>
      </c>
      <c r="E257" s="59">
        <f>IF(E247="","",(E247-'2017'!E488)/'2017'!E488)</f>
        <v>-1.1387321437649332E-2</v>
      </c>
      <c r="F257" s="59">
        <f>IF(F247="","",(F247-'2017'!F488)/'2017'!F488)</f>
        <v>-1.0268697586856067E-3</v>
      </c>
      <c r="G257" s="59" t="str">
        <f>IF(G247="","",(G247-'2017'!G588)/'2017'!G588)</f>
        <v/>
      </c>
      <c r="H257" s="59" t="str">
        <f>IF(H247="","",(H247-#REF!)/#REF!)</f>
        <v/>
      </c>
      <c r="I257" s="59" t="str">
        <f>IF(I247="","",(I247-#REF!)/#REF!)</f>
        <v/>
      </c>
      <c r="J257" s="55"/>
      <c r="K257" s="55"/>
      <c r="L257" s="55"/>
      <c r="M257" s="55" t="str">
        <f>IF(G257="","",M247-((1/Comparisons!#REF!)*1000000))</f>
        <v/>
      </c>
      <c r="N257" s="55" t="str">
        <f>IF(H257="","",N247-((1/Comparisons!#REF!)*1000000))</f>
        <v/>
      </c>
      <c r="O257" s="56" t="str">
        <f>IF(I257="","",O247-((1/Comparisons!#REF!)*1000000))</f>
        <v/>
      </c>
    </row>
    <row r="258" spans="1:15" x14ac:dyDescent="0.25">
      <c r="A258" s="51" t="s">
        <v>10</v>
      </c>
      <c r="B258" s="52" t="s">
        <v>8</v>
      </c>
      <c r="C258" s="52" t="s">
        <v>11</v>
      </c>
      <c r="D258" s="59">
        <f>IF(D248="","",(D248-'2017'!D489)/'2017'!D489)</f>
        <v>5.8694901599723785E-2</v>
      </c>
      <c r="E258" s="59">
        <f>IF(E248="","",(E248-'2017'!E489)/'2017'!E489)</f>
        <v>-4.1182769129396264E-3</v>
      </c>
      <c r="F258" s="59">
        <f>IF(F248="","",(F248-'2017'!F489)/'2017'!F489)</f>
        <v>0</v>
      </c>
      <c r="G258" s="59" t="str">
        <f>IF(G248="","",(G248-#REF!)/#REF!)</f>
        <v/>
      </c>
      <c r="H258" s="59" t="str">
        <f>IF(H248="","",(H248-#REF!)/#REF!)</f>
        <v/>
      </c>
      <c r="I258" s="59" t="str">
        <f>IF(I248="","",(I248-#REF!)/#REF!)</f>
        <v/>
      </c>
      <c r="J258" s="55"/>
      <c r="K258" s="55"/>
      <c r="L258" s="55"/>
      <c r="M258" s="55" t="str">
        <f>IF(G258="","",M248-((1/Comparisons!#REF!)*1000000))</f>
        <v/>
      </c>
      <c r="N258" s="55" t="str">
        <f>IF(H258="","",N248-((1/Comparisons!#REF!)*1000000))</f>
        <v/>
      </c>
      <c r="O258" s="56" t="str">
        <f>IF(I258="","",O248-((1/Comparisons!#REF!)*1000000))</f>
        <v/>
      </c>
    </row>
    <row r="259" spans="1:15" x14ac:dyDescent="0.25">
      <c r="A259" s="51" t="s">
        <v>12</v>
      </c>
      <c r="B259" s="52" t="s">
        <v>13</v>
      </c>
      <c r="C259" s="52" t="s">
        <v>9</v>
      </c>
      <c r="D259" s="59">
        <f>IF(D249="","",(D249-'2017'!D490)/'2017'!D490)</f>
        <v>-3.4389424587351072E-2</v>
      </c>
      <c r="E259" s="59">
        <f>IF(E249="","",(E249-'2017'!E490)/'2017'!E490)</f>
        <v>-1.1180953440507315E-2</v>
      </c>
      <c r="F259" s="59">
        <f>IF(F249="","",(F249-'2017'!F490)/'2017'!F490)</f>
        <v>0</v>
      </c>
      <c r="G259" s="59" t="str">
        <f>IF(G249="","",(G249-#REF!)/#REF!)</f>
        <v/>
      </c>
      <c r="H259" s="59" t="str">
        <f>IF(H249="","",(H249-#REF!)/#REF!)</f>
        <v/>
      </c>
      <c r="I259" s="59" t="str">
        <f>IF(I249="","",(I249-#REF!)/#REF!)</f>
        <v/>
      </c>
      <c r="J259" s="55"/>
      <c r="K259" s="55"/>
      <c r="L259" s="55"/>
      <c r="M259" s="55" t="str">
        <f>IF(G259="","",M249-((1/Comparisons!#REF!)*1000000))</f>
        <v/>
      </c>
      <c r="N259" s="55" t="str">
        <f>IF(H259="","",N249-((1/Comparisons!#REF!)*1000000))</f>
        <v/>
      </c>
      <c r="O259" s="56" t="str">
        <f>IF(I259="","",O249-((1/Comparisons!#REF!)*1000000))</f>
        <v/>
      </c>
    </row>
    <row r="260" spans="1:15" x14ac:dyDescent="0.25">
      <c r="A260" s="51" t="s">
        <v>14</v>
      </c>
      <c r="B260" s="52" t="s">
        <v>13</v>
      </c>
      <c r="C260" s="52" t="s">
        <v>11</v>
      </c>
      <c r="D260" s="59">
        <f>IF(D250="","",(D250-'2017'!D491)/'2017'!D491)</f>
        <v>8.2538699690402478E-2</v>
      </c>
      <c r="E260" s="59">
        <f>IF(E250="","",(E250-'2017'!E491)/'2017'!E491)</f>
        <v>3.0400416920003475E-3</v>
      </c>
      <c r="F260" s="59">
        <f>IF(F250="","",(F250-'2017'!F491)/'2017'!F491)</f>
        <v>-1.070840197693575E-2</v>
      </c>
      <c r="G260" s="59" t="str">
        <f>IF(G250="","",(G250-#REF!)/#REF!)</f>
        <v/>
      </c>
      <c r="H260" s="59" t="str">
        <f>IF(H250="","",(H250-#REF!)/#REF!)</f>
        <v/>
      </c>
      <c r="I260" s="59" t="str">
        <f>IF(I250="","",(I250-#REF!)/#REF!)</f>
        <v/>
      </c>
      <c r="J260" s="55"/>
      <c r="K260" s="55"/>
      <c r="L260" s="55"/>
      <c r="M260" s="55" t="str">
        <f>IF(G260="","",M250-((1/Comparisons!#REF!)*1000000))</f>
        <v/>
      </c>
      <c r="N260" s="55" t="str">
        <f>IF(H260="","",N250-((1/Comparisons!#REF!)*1000000))</f>
        <v/>
      </c>
      <c r="O260" s="56" t="str">
        <f>IF(I260="","",O250-((1/Comparisons!#REF!)*1000000))</f>
        <v/>
      </c>
    </row>
    <row r="261" spans="1:15" x14ac:dyDescent="0.25">
      <c r="A261" s="51" t="s">
        <v>15</v>
      </c>
      <c r="B261" s="52" t="s">
        <v>16</v>
      </c>
      <c r="C261" s="52" t="s">
        <v>11</v>
      </c>
      <c r="D261" s="59">
        <f>IF(D251="","",(D251-'2017'!D492)/'2017'!D492)</f>
        <v>3.0451595083551997E-2</v>
      </c>
      <c r="E261" s="59">
        <f>IF(E251="","",(E251-'2017'!E492)/'2017'!E492)</f>
        <v>-2.8380952380952382E-2</v>
      </c>
      <c r="F261" s="59">
        <f>IF(F251="","",(F251-'2017'!F492)/'2017'!F492)</f>
        <v>5.0240736864140675E-3</v>
      </c>
      <c r="G261" s="59" t="str">
        <f>IF(G251="","",(G251-#REF!)/#REF!)</f>
        <v/>
      </c>
      <c r="H261" s="59" t="str">
        <f>IF(H251="","",(H251-#REF!)/#REF!)</f>
        <v/>
      </c>
      <c r="I261" s="59" t="str">
        <f>IF(I251="","",(I251-#REF!)/#REF!)</f>
        <v/>
      </c>
      <c r="J261" s="55"/>
      <c r="K261" s="55"/>
      <c r="L261" s="55"/>
      <c r="M261" s="55" t="str">
        <f>IF(G261="","",M251-((1/Comparisons!#REF!)*1000000))</f>
        <v/>
      </c>
      <c r="N261" s="55" t="str">
        <f>IF(H261="","",N251-((1/Comparisons!#REF!)*1000000))</f>
        <v/>
      </c>
      <c r="O261" s="56" t="str">
        <f>IF(I261="","",O251-((1/Comparisons!#REF!)*1000000))</f>
        <v/>
      </c>
    </row>
    <row r="262" spans="1:15" ht="15.75" thickBot="1" x14ac:dyDescent="0.3">
      <c r="A262" s="60" t="s">
        <v>17</v>
      </c>
      <c r="B262" s="61" t="s">
        <v>18</v>
      </c>
      <c r="C262" s="61" t="s">
        <v>11</v>
      </c>
      <c r="D262" s="59">
        <f>IF(D252="","",(D252-'2017'!D493)/'2017'!D493)</f>
        <v>-5.6537372810037491E-2</v>
      </c>
      <c r="E262" s="59">
        <f>IF(E252="","",(E252-'2017'!E493)/'2017'!E493)</f>
        <v>-4.9734373233864589E-3</v>
      </c>
      <c r="F262" s="59">
        <f>IF(F252="","",(F252-'2017'!F493)/'2017'!F493)</f>
        <v>-3.7446424543198735E-2</v>
      </c>
      <c r="G262" s="62" t="str">
        <f>IF(G252="","",(G252-#REF!)/#REF!)</f>
        <v/>
      </c>
      <c r="H262" s="62" t="str">
        <f>IF(H252="","",(H252-#REF!)/#REF!)</f>
        <v/>
      </c>
      <c r="I262" s="62" t="str">
        <f>IF(I252="","",(I252-#REF!)/#REF!)</f>
        <v/>
      </c>
      <c r="J262" s="63"/>
      <c r="K262" s="63"/>
      <c r="L262" s="63"/>
      <c r="M262" s="63" t="str">
        <f>IF(G262="","",M252-((1/Comparisons!#REF!)*1000000))</f>
        <v/>
      </c>
      <c r="N262" s="63" t="str">
        <f>IF(H262="","",N252-((1/Comparisons!#REF!)*1000000))</f>
        <v/>
      </c>
      <c r="O262" s="64" t="str">
        <f>IF(I262="","",O252-((1/Comparisons!#REF!)*1000000))</f>
        <v/>
      </c>
    </row>
    <row r="263" spans="1:15" ht="18.75" x14ac:dyDescent="0.25">
      <c r="A263" s="138" t="s">
        <v>159</v>
      </c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40"/>
    </row>
    <row r="264" spans="1:15" ht="15.75" x14ac:dyDescent="0.25">
      <c r="A264" s="113" t="s">
        <v>186</v>
      </c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2"/>
    </row>
    <row r="265" spans="1:15" x14ac:dyDescent="0.25">
      <c r="A265" s="134" t="s">
        <v>1</v>
      </c>
      <c r="B265" s="135"/>
      <c r="C265" s="135"/>
      <c r="D265" s="136" t="s">
        <v>2</v>
      </c>
      <c r="E265" s="136"/>
      <c r="F265" s="136"/>
      <c r="G265" s="136"/>
      <c r="H265" s="136"/>
      <c r="I265" s="136"/>
      <c r="J265" s="136" t="s">
        <v>3</v>
      </c>
      <c r="K265" s="136"/>
      <c r="L265" s="136"/>
      <c r="M265" s="136"/>
      <c r="N265" s="136"/>
      <c r="O265" s="137"/>
    </row>
    <row r="266" spans="1:15" x14ac:dyDescent="0.25">
      <c r="A266" s="47" t="s">
        <v>26</v>
      </c>
      <c r="B266" s="48" t="s">
        <v>5</v>
      </c>
      <c r="C266" s="48" t="s">
        <v>6</v>
      </c>
      <c r="D266" s="49">
        <v>1</v>
      </c>
      <c r="E266" s="49">
        <v>4</v>
      </c>
      <c r="F266" s="49">
        <v>16</v>
      </c>
      <c r="G266" s="49">
        <v>32</v>
      </c>
      <c r="H266" s="49">
        <v>64</v>
      </c>
      <c r="I266" s="49">
        <v>80</v>
      </c>
      <c r="J266" s="49">
        <v>1</v>
      </c>
      <c r="K266" s="49">
        <v>4</v>
      </c>
      <c r="L266" s="49">
        <v>16</v>
      </c>
      <c r="M266" s="49">
        <v>32</v>
      </c>
      <c r="N266" s="49">
        <v>64</v>
      </c>
      <c r="O266" s="50">
        <v>80</v>
      </c>
    </row>
    <row r="267" spans="1:15" x14ac:dyDescent="0.25">
      <c r="A267" s="51" t="s">
        <v>7</v>
      </c>
      <c r="B267" s="52" t="s">
        <v>8</v>
      </c>
      <c r="C267" s="52" t="s">
        <v>9</v>
      </c>
      <c r="D267" s="53">
        <v>42452</v>
      </c>
      <c r="E267" s="53">
        <v>19754</v>
      </c>
      <c r="F267" s="53">
        <v>5837</v>
      </c>
      <c r="G267" s="54"/>
      <c r="H267" s="54"/>
      <c r="I267" s="54"/>
      <c r="J267" s="55"/>
      <c r="K267" s="55"/>
      <c r="L267" s="55"/>
      <c r="M267" s="55" t="str">
        <f t="shared" ref="M267:M272" si="55">IF(G267="","",(1/G267)*1000000)</f>
        <v/>
      </c>
      <c r="N267" s="55" t="str">
        <f t="shared" ref="N267:N272" si="56">IF(H267="","",(1/H267)*1000000)</f>
        <v/>
      </c>
      <c r="O267" s="56" t="str">
        <f t="shared" ref="O267:O272" si="57">IF(I267="","",(1/I267)*1000000)</f>
        <v/>
      </c>
    </row>
    <row r="268" spans="1:15" x14ac:dyDescent="0.25">
      <c r="A268" s="51" t="s">
        <v>10</v>
      </c>
      <c r="B268" s="52" t="s">
        <v>8</v>
      </c>
      <c r="C268" s="52" t="s">
        <v>11</v>
      </c>
      <c r="D268" s="53">
        <v>17366</v>
      </c>
      <c r="E268" s="53">
        <v>11151</v>
      </c>
      <c r="F268" s="53" t="s">
        <v>99</v>
      </c>
      <c r="G268" s="54"/>
      <c r="H268" s="54"/>
      <c r="I268" s="54"/>
      <c r="J268" s="55"/>
      <c r="K268" s="55"/>
      <c r="L268" s="55"/>
      <c r="M268" s="55" t="str">
        <f t="shared" si="55"/>
        <v/>
      </c>
      <c r="N268" s="55" t="str">
        <f t="shared" si="56"/>
        <v/>
      </c>
      <c r="O268" s="56" t="str">
        <f t="shared" si="57"/>
        <v/>
      </c>
    </row>
    <row r="269" spans="1:15" x14ac:dyDescent="0.25">
      <c r="A269" s="51" t="s">
        <v>12</v>
      </c>
      <c r="B269" s="52" t="s">
        <v>13</v>
      </c>
      <c r="C269" s="52" t="s">
        <v>9</v>
      </c>
      <c r="D269" s="53">
        <v>39956</v>
      </c>
      <c r="E269" s="53">
        <v>17536</v>
      </c>
      <c r="F269" s="53">
        <v>5608</v>
      </c>
      <c r="G269" s="54"/>
      <c r="H269" s="54"/>
      <c r="I269" s="54"/>
      <c r="J269" s="55"/>
      <c r="K269" s="55"/>
      <c r="L269" s="55"/>
      <c r="M269" s="55" t="str">
        <f t="shared" si="55"/>
        <v/>
      </c>
      <c r="N269" s="55" t="str">
        <f t="shared" si="56"/>
        <v/>
      </c>
      <c r="O269" s="56" t="str">
        <f t="shared" si="57"/>
        <v/>
      </c>
    </row>
    <row r="270" spans="1:15" x14ac:dyDescent="0.25">
      <c r="A270" s="51" t="s">
        <v>14</v>
      </c>
      <c r="B270" s="52" t="s">
        <v>13</v>
      </c>
      <c r="C270" s="52" t="s">
        <v>11</v>
      </c>
      <c r="D270" s="53">
        <v>16943</v>
      </c>
      <c r="E270" s="53">
        <v>11435</v>
      </c>
      <c r="F270" s="53">
        <v>4751</v>
      </c>
      <c r="G270" s="54"/>
      <c r="H270" s="54"/>
      <c r="I270" s="54"/>
      <c r="J270" s="55"/>
      <c r="K270" s="55"/>
      <c r="L270" s="55"/>
      <c r="M270" s="55" t="str">
        <f t="shared" si="55"/>
        <v/>
      </c>
      <c r="N270" s="55" t="str">
        <f t="shared" si="56"/>
        <v/>
      </c>
      <c r="O270" s="56" t="str">
        <f t="shared" si="57"/>
        <v/>
      </c>
    </row>
    <row r="271" spans="1:15" x14ac:dyDescent="0.25">
      <c r="A271" s="51" t="s">
        <v>15</v>
      </c>
      <c r="B271" s="52" t="s">
        <v>16</v>
      </c>
      <c r="C271" s="52" t="s">
        <v>11</v>
      </c>
      <c r="D271" s="53">
        <v>14802</v>
      </c>
      <c r="E271" s="53">
        <v>9413</v>
      </c>
      <c r="F271" s="53">
        <v>4732</v>
      </c>
      <c r="G271" s="54"/>
      <c r="H271" s="54"/>
      <c r="I271" s="54"/>
      <c r="J271" s="55"/>
      <c r="K271" s="55"/>
      <c r="L271" s="55"/>
      <c r="M271" s="55" t="str">
        <f t="shared" si="55"/>
        <v/>
      </c>
      <c r="N271" s="55" t="str">
        <f t="shared" si="56"/>
        <v/>
      </c>
      <c r="O271" s="56" t="str">
        <f t="shared" si="57"/>
        <v/>
      </c>
    </row>
    <row r="272" spans="1:15" x14ac:dyDescent="0.25">
      <c r="A272" s="51" t="s">
        <v>17</v>
      </c>
      <c r="B272" s="52" t="s">
        <v>18</v>
      </c>
      <c r="C272" s="52" t="s">
        <v>11</v>
      </c>
      <c r="D272" s="53">
        <v>12487</v>
      </c>
      <c r="E272" s="53">
        <v>8838</v>
      </c>
      <c r="F272" s="53">
        <v>4212</v>
      </c>
      <c r="G272" s="54"/>
      <c r="H272" s="54"/>
      <c r="I272" s="54"/>
      <c r="J272" s="55"/>
      <c r="K272" s="55"/>
      <c r="L272" s="55"/>
      <c r="M272" s="55" t="str">
        <f t="shared" si="55"/>
        <v/>
      </c>
      <c r="N272" s="55" t="str">
        <f t="shared" si="56"/>
        <v/>
      </c>
      <c r="O272" s="56" t="str">
        <f t="shared" si="57"/>
        <v/>
      </c>
    </row>
    <row r="273" spans="1:15" x14ac:dyDescent="0.25">
      <c r="A273" s="116" t="s">
        <v>187</v>
      </c>
      <c r="B273" s="117"/>
      <c r="C273" s="117"/>
      <c r="D273" s="117"/>
      <c r="E273" s="143"/>
      <c r="F273" s="143"/>
      <c r="G273" s="143"/>
      <c r="H273" s="143"/>
      <c r="I273" s="143"/>
      <c r="J273" s="57"/>
      <c r="K273" s="57"/>
      <c r="L273" s="57"/>
      <c r="M273" s="57"/>
      <c r="N273" s="57"/>
      <c r="O273" s="58"/>
    </row>
    <row r="274" spans="1:15" ht="18.75" x14ac:dyDescent="0.3">
      <c r="A274" s="146" t="s">
        <v>154</v>
      </c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5"/>
    </row>
    <row r="275" spans="1:15" x14ac:dyDescent="0.25">
      <c r="A275" s="134" t="s">
        <v>1</v>
      </c>
      <c r="B275" s="135"/>
      <c r="C275" s="135"/>
      <c r="D275" s="136" t="s">
        <v>19</v>
      </c>
      <c r="E275" s="136"/>
      <c r="F275" s="136"/>
      <c r="G275" s="136"/>
      <c r="H275" s="136"/>
      <c r="I275" s="136"/>
      <c r="J275" s="136" t="s">
        <v>22</v>
      </c>
      <c r="K275" s="136"/>
      <c r="L275" s="136"/>
      <c r="M275" s="136"/>
      <c r="N275" s="136"/>
      <c r="O275" s="137"/>
    </row>
    <row r="276" spans="1:15" x14ac:dyDescent="0.25">
      <c r="A276" s="47" t="s">
        <v>4</v>
      </c>
      <c r="B276" s="48" t="s">
        <v>5</v>
      </c>
      <c r="C276" s="48" t="s">
        <v>6</v>
      </c>
      <c r="D276" s="49">
        <v>1</v>
      </c>
      <c r="E276" s="49">
        <v>4</v>
      </c>
      <c r="F276" s="49">
        <v>16</v>
      </c>
      <c r="G276" s="49">
        <v>32</v>
      </c>
      <c r="H276" s="49">
        <v>64</v>
      </c>
      <c r="I276" s="49">
        <v>80</v>
      </c>
      <c r="J276" s="49">
        <v>1</v>
      </c>
      <c r="K276" s="49">
        <v>4</v>
      </c>
      <c r="L276" s="49">
        <v>16</v>
      </c>
      <c r="M276" s="49">
        <v>32</v>
      </c>
      <c r="N276" s="49">
        <v>64</v>
      </c>
      <c r="O276" s="50">
        <v>80</v>
      </c>
    </row>
    <row r="277" spans="1:15" x14ac:dyDescent="0.25">
      <c r="A277" s="51" t="s">
        <v>7</v>
      </c>
      <c r="B277" s="52" t="s">
        <v>8</v>
      </c>
      <c r="C277" s="52" t="s">
        <v>9</v>
      </c>
      <c r="D277" s="59">
        <f>IF(D267="","",(D267-'2017'!D488)/'2017'!D488)</f>
        <v>-1.770136751741213E-2</v>
      </c>
      <c r="E277" s="59">
        <f>IF(E267="","",(E267-'2017'!E488)/'2017'!E488)</f>
        <v>4.2194092827004216E-3</v>
      </c>
      <c r="F277" s="59">
        <f>IF(F267="","",(F267-'2017'!F488)/'2017'!F488)</f>
        <v>-1.0268697586856067E-3</v>
      </c>
      <c r="G277" s="59" t="str">
        <f>IF(G267="","",(G267-'2017'!G608)/'2017'!G608)</f>
        <v/>
      </c>
      <c r="H277" s="59" t="str">
        <f>IF(H267="","",(H267-#REF!)/#REF!)</f>
        <v/>
      </c>
      <c r="I277" s="59" t="str">
        <f>IF(I267="","",(I267-#REF!)/#REF!)</f>
        <v/>
      </c>
      <c r="J277" s="55"/>
      <c r="K277" s="55"/>
      <c r="L277" s="55"/>
      <c r="M277" s="55" t="str">
        <f>IF(G277="","",M267-((1/Comparisons!#REF!)*1000000))</f>
        <v/>
      </c>
      <c r="N277" s="55" t="str">
        <f>IF(H277="","",N267-((1/Comparisons!#REF!)*1000000))</f>
        <v/>
      </c>
      <c r="O277" s="56" t="str">
        <f>IF(I277="","",O267-((1/Comparisons!#REF!)*1000000))</f>
        <v/>
      </c>
    </row>
    <row r="278" spans="1:15" x14ac:dyDescent="0.25">
      <c r="A278" s="51" t="s">
        <v>10</v>
      </c>
      <c r="B278" s="52" t="s">
        <v>8</v>
      </c>
      <c r="C278" s="52" t="s">
        <v>11</v>
      </c>
      <c r="D278" s="59">
        <f>IF(D268="","",(D268-'2017'!D489)/'2017'!D489)</f>
        <v>-6.9052825411439753E-4</v>
      </c>
      <c r="E278" s="59">
        <f>IF(E268="","",(E268-'2017'!E489)/'2017'!E489)</f>
        <v>-8.1541882876204591E-2</v>
      </c>
      <c r="F278" s="59" t="e">
        <f>IF(F268="","",(F268-'2017'!F489)/'2017'!F489)</f>
        <v>#VALUE!</v>
      </c>
      <c r="G278" s="59" t="str">
        <f>IF(G268="","",(G268-#REF!)/#REF!)</f>
        <v/>
      </c>
      <c r="H278" s="59" t="str">
        <f>IF(H268="","",(H268-#REF!)/#REF!)</f>
        <v/>
      </c>
      <c r="I278" s="59" t="str">
        <f>IF(I268="","",(I268-#REF!)/#REF!)</f>
        <v/>
      </c>
      <c r="J278" s="55"/>
      <c r="K278" s="55"/>
      <c r="L278" s="55"/>
      <c r="M278" s="55" t="str">
        <f>IF(G278="","",M268-((1/Comparisons!#REF!)*1000000))</f>
        <v/>
      </c>
      <c r="N278" s="55" t="str">
        <f>IF(H278="","",N268-((1/Comparisons!#REF!)*1000000))</f>
        <v/>
      </c>
      <c r="O278" s="56" t="str">
        <f>IF(I278="","",O268-((1/Comparisons!#REF!)*1000000))</f>
        <v/>
      </c>
    </row>
    <row r="279" spans="1:15" x14ac:dyDescent="0.25">
      <c r="A279" s="51" t="s">
        <v>12</v>
      </c>
      <c r="B279" s="52" t="s">
        <v>13</v>
      </c>
      <c r="C279" s="52" t="s">
        <v>9</v>
      </c>
      <c r="D279" s="59">
        <f>IF(D269="","",(D269-'2017'!D490)/'2017'!D490)</f>
        <v>-3.4389424587351072E-2</v>
      </c>
      <c r="E279" s="59">
        <f>IF(E269="","",(E269-'2017'!E490)/'2017'!E490)</f>
        <v>-2.4531345608277244E-2</v>
      </c>
      <c r="F279" s="59">
        <f>IF(F269="","",(F269-'2017'!F490)/'2017'!F490)</f>
        <v>3.3995348005009841E-3</v>
      </c>
      <c r="G279" s="59" t="str">
        <f>IF(G269="","",(G269-#REF!)/#REF!)</f>
        <v/>
      </c>
      <c r="H279" s="59" t="str">
        <f>IF(H269="","",(H269-#REF!)/#REF!)</f>
        <v/>
      </c>
      <c r="I279" s="59" t="str">
        <f>IF(I269="","",(I269-#REF!)/#REF!)</f>
        <v/>
      </c>
      <c r="J279" s="55"/>
      <c r="K279" s="55"/>
      <c r="L279" s="55"/>
      <c r="M279" s="55" t="str">
        <f>IF(G279="","",M269-((1/Comparisons!#REF!)*1000000))</f>
        <v/>
      </c>
      <c r="N279" s="55" t="str">
        <f>IF(H279="","",N269-((1/Comparisons!#REF!)*1000000))</f>
        <v/>
      </c>
      <c r="O279" s="56" t="str">
        <f>IF(I279="","",O269-((1/Comparisons!#REF!)*1000000))</f>
        <v/>
      </c>
    </row>
    <row r="280" spans="1:15" x14ac:dyDescent="0.25">
      <c r="A280" s="51" t="s">
        <v>14</v>
      </c>
      <c r="B280" s="52" t="s">
        <v>13</v>
      </c>
      <c r="C280" s="52" t="s">
        <v>11</v>
      </c>
      <c r="D280" s="59">
        <f>IF(D270="","",(D270-'2017'!D491)/'2017'!D491)</f>
        <v>4.910216718266254E-2</v>
      </c>
      <c r="E280" s="59">
        <f>IF(E270="","",(E270-'2017'!E491)/'2017'!E491)</f>
        <v>-6.7749500564579174E-3</v>
      </c>
      <c r="F280" s="59">
        <f>IF(F270="","",(F270-'2017'!F491)/'2017'!F491)</f>
        <v>-2.1622734761120265E-2</v>
      </c>
      <c r="G280" s="59" t="str">
        <f>IF(G270="","",(G270-#REF!)/#REF!)</f>
        <v/>
      </c>
      <c r="H280" s="59" t="str">
        <f>IF(H270="","",(H270-#REF!)/#REF!)</f>
        <v/>
      </c>
      <c r="I280" s="59" t="str">
        <f>IF(I270="","",(I270-#REF!)/#REF!)</f>
        <v/>
      </c>
      <c r="J280" s="55"/>
      <c r="K280" s="55"/>
      <c r="L280" s="55"/>
      <c r="M280" s="55" t="str">
        <f>IF(G280="","",M270-((1/Comparisons!#REF!)*1000000))</f>
        <v/>
      </c>
      <c r="N280" s="55" t="str">
        <f>IF(H280="","",N270-((1/Comparisons!#REF!)*1000000))</f>
        <v/>
      </c>
      <c r="O280" s="56" t="str">
        <f>IF(I280="","",O270-((1/Comparisons!#REF!)*1000000))</f>
        <v/>
      </c>
    </row>
    <row r="281" spans="1:15" x14ac:dyDescent="0.25">
      <c r="A281" s="51" t="s">
        <v>15</v>
      </c>
      <c r="B281" s="52" t="s">
        <v>16</v>
      </c>
      <c r="C281" s="52" t="s">
        <v>11</v>
      </c>
      <c r="D281" s="59">
        <f>IF(D271="","",(D271-'2017'!D492)/'2017'!D492)</f>
        <v>2.2096395525479907E-2</v>
      </c>
      <c r="E281" s="59">
        <f>IF(E271="","",(E271-'2017'!E492)/'2017'!E492)</f>
        <v>-0.10352380952380952</v>
      </c>
      <c r="F281" s="59">
        <f>IF(F271="","",(F271-'2017'!F492)/'2017'!F492)</f>
        <v>-9.4201381620263765E-3</v>
      </c>
      <c r="G281" s="59" t="str">
        <f>IF(G271="","",(G271-#REF!)/#REF!)</f>
        <v/>
      </c>
      <c r="H281" s="59" t="str">
        <f>IF(H271="","",(H271-#REF!)/#REF!)</f>
        <v/>
      </c>
      <c r="I281" s="59" t="str">
        <f>IF(I271="","",(I271-#REF!)/#REF!)</f>
        <v/>
      </c>
      <c r="J281" s="55"/>
      <c r="K281" s="55"/>
      <c r="L281" s="55"/>
      <c r="M281" s="55" t="str">
        <f>IF(G281="","",M271-((1/Comparisons!#REF!)*1000000))</f>
        <v/>
      </c>
      <c r="N281" s="55" t="str">
        <f>IF(H281="","",N271-((1/Comparisons!#REF!)*1000000))</f>
        <v/>
      </c>
      <c r="O281" s="56" t="str">
        <f>IF(I281="","",O271-((1/Comparisons!#REF!)*1000000))</f>
        <v/>
      </c>
    </row>
    <row r="282" spans="1:15" ht="15.75" thickBot="1" x14ac:dyDescent="0.3">
      <c r="A282" s="60" t="s">
        <v>17</v>
      </c>
      <c r="B282" s="61" t="s">
        <v>18</v>
      </c>
      <c r="C282" s="61" t="s">
        <v>11</v>
      </c>
      <c r="D282" s="59">
        <f>IF(D272="","",(D272-'2017'!D493)/'2017'!D493)</f>
        <v>-4.4679060515645325E-2</v>
      </c>
      <c r="E282" s="59">
        <f>IF(E272="","",(E272-'2017'!E493)/'2017'!E493)</f>
        <v>-1.017293997965412E-3</v>
      </c>
      <c r="F282" s="59">
        <f>IF(F272="","",(F272-'2017'!F493)/'2017'!F493)</f>
        <v>-4.9853372434017593E-2</v>
      </c>
      <c r="G282" s="62" t="str">
        <f>IF(G272="","",(G272-#REF!)/#REF!)</f>
        <v/>
      </c>
      <c r="H282" s="62" t="str">
        <f>IF(H272="","",(H272-#REF!)/#REF!)</f>
        <v/>
      </c>
      <c r="I282" s="62" t="str">
        <f>IF(I272="","",(I272-#REF!)/#REF!)</f>
        <v/>
      </c>
      <c r="J282" s="63"/>
      <c r="K282" s="63"/>
      <c r="L282" s="63"/>
      <c r="M282" s="63" t="str">
        <f>IF(G282="","",M272-((1/Comparisons!#REF!)*1000000))</f>
        <v/>
      </c>
      <c r="N282" s="63" t="str">
        <f>IF(H282="","",N272-((1/Comparisons!#REF!)*1000000))</f>
        <v/>
      </c>
      <c r="O282" s="64" t="str">
        <f>IF(I282="","",O272-((1/Comparisons!#REF!)*1000000))</f>
        <v/>
      </c>
    </row>
    <row r="283" spans="1:15" ht="18.75" x14ac:dyDescent="0.25">
      <c r="A283" s="138" t="s">
        <v>159</v>
      </c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40"/>
    </row>
    <row r="284" spans="1:15" ht="15.75" x14ac:dyDescent="0.25">
      <c r="A284" s="113" t="s">
        <v>189</v>
      </c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2"/>
    </row>
    <row r="285" spans="1:15" x14ac:dyDescent="0.25">
      <c r="A285" s="134" t="s">
        <v>1</v>
      </c>
      <c r="B285" s="135"/>
      <c r="C285" s="135"/>
      <c r="D285" s="136" t="s">
        <v>2</v>
      </c>
      <c r="E285" s="136"/>
      <c r="F285" s="136"/>
      <c r="G285" s="136"/>
      <c r="H285" s="136"/>
      <c r="I285" s="136"/>
      <c r="J285" s="136" t="s">
        <v>3</v>
      </c>
      <c r="K285" s="136"/>
      <c r="L285" s="136"/>
      <c r="M285" s="136"/>
      <c r="N285" s="136"/>
      <c r="O285" s="137"/>
    </row>
    <row r="286" spans="1:15" x14ac:dyDescent="0.25">
      <c r="A286" s="47" t="s">
        <v>26</v>
      </c>
      <c r="B286" s="48" t="s">
        <v>5</v>
      </c>
      <c r="C286" s="48" t="s">
        <v>6</v>
      </c>
      <c r="D286" s="49">
        <v>1</v>
      </c>
      <c r="E286" s="49">
        <v>4</v>
      </c>
      <c r="F286" s="49">
        <v>16</v>
      </c>
      <c r="G286" s="49">
        <v>32</v>
      </c>
      <c r="H286" s="49">
        <v>64</v>
      </c>
      <c r="I286" s="49">
        <v>80</v>
      </c>
      <c r="J286" s="49">
        <v>1</v>
      </c>
      <c r="K286" s="49">
        <v>4</v>
      </c>
      <c r="L286" s="49">
        <v>16</v>
      </c>
      <c r="M286" s="49">
        <v>32</v>
      </c>
      <c r="N286" s="49">
        <v>64</v>
      </c>
      <c r="O286" s="50">
        <v>80</v>
      </c>
    </row>
    <row r="287" spans="1:15" x14ac:dyDescent="0.25">
      <c r="A287" s="51" t="s">
        <v>7</v>
      </c>
      <c r="B287" s="52" t="s">
        <v>8</v>
      </c>
      <c r="C287" s="52" t="s">
        <v>9</v>
      </c>
      <c r="D287" s="53">
        <v>43099</v>
      </c>
      <c r="E287" s="53">
        <v>18154</v>
      </c>
      <c r="F287" s="53">
        <v>5843</v>
      </c>
      <c r="G287" s="54"/>
      <c r="H287" s="54"/>
      <c r="I287" s="54"/>
      <c r="J287" s="55"/>
      <c r="K287" s="55"/>
      <c r="L287" s="55"/>
      <c r="M287" s="55" t="str">
        <f t="shared" ref="M287:M292" si="58">IF(G287="","",(1/G287)*1000000)</f>
        <v/>
      </c>
      <c r="N287" s="55" t="str">
        <f t="shared" ref="N287:N292" si="59">IF(H287="","",(1/H287)*1000000)</f>
        <v/>
      </c>
      <c r="O287" s="56" t="str">
        <f t="shared" ref="O287:O292" si="60">IF(I287="","",(1/I287)*1000000)</f>
        <v/>
      </c>
    </row>
    <row r="288" spans="1:15" x14ac:dyDescent="0.25">
      <c r="A288" s="51" t="s">
        <v>10</v>
      </c>
      <c r="B288" s="52" t="s">
        <v>8</v>
      </c>
      <c r="C288" s="52" t="s">
        <v>11</v>
      </c>
      <c r="D288" s="53">
        <v>17099</v>
      </c>
      <c r="E288" s="53">
        <v>11809</v>
      </c>
      <c r="F288" s="53">
        <v>4979</v>
      </c>
      <c r="G288" s="54"/>
      <c r="H288" s="54"/>
      <c r="I288" s="54"/>
      <c r="J288" s="55"/>
      <c r="K288" s="55"/>
      <c r="L288" s="55"/>
      <c r="M288" s="55" t="str">
        <f t="shared" si="58"/>
        <v/>
      </c>
      <c r="N288" s="55" t="str">
        <f t="shared" si="59"/>
        <v/>
      </c>
      <c r="O288" s="56" t="str">
        <f t="shared" si="60"/>
        <v/>
      </c>
    </row>
    <row r="289" spans="1:15" x14ac:dyDescent="0.25">
      <c r="A289" s="51" t="s">
        <v>12</v>
      </c>
      <c r="B289" s="52" t="s">
        <v>13</v>
      </c>
      <c r="C289" s="52" t="s">
        <v>9</v>
      </c>
      <c r="D289" s="53">
        <v>39956</v>
      </c>
      <c r="E289" s="53">
        <v>17629</v>
      </c>
      <c r="F289" s="53">
        <v>5608</v>
      </c>
      <c r="G289" s="54"/>
      <c r="H289" s="54"/>
      <c r="I289" s="54"/>
      <c r="J289" s="55"/>
      <c r="K289" s="55"/>
      <c r="L289" s="55"/>
      <c r="M289" s="55" t="str">
        <f t="shared" si="58"/>
        <v/>
      </c>
      <c r="N289" s="55" t="str">
        <f t="shared" si="59"/>
        <v/>
      </c>
      <c r="O289" s="56" t="str">
        <f t="shared" si="60"/>
        <v/>
      </c>
    </row>
    <row r="290" spans="1:15" x14ac:dyDescent="0.25">
      <c r="A290" s="51" t="s">
        <v>14</v>
      </c>
      <c r="B290" s="52" t="s">
        <v>13</v>
      </c>
      <c r="C290" s="52" t="s">
        <v>11</v>
      </c>
      <c r="D290" s="53">
        <v>16609</v>
      </c>
      <c r="E290" s="53">
        <v>10985</v>
      </c>
      <c r="F290" s="53">
        <v>4756</v>
      </c>
      <c r="G290" s="54"/>
      <c r="H290" s="54"/>
      <c r="I290" s="54"/>
      <c r="J290" s="55"/>
      <c r="K290" s="55"/>
      <c r="L290" s="55"/>
      <c r="M290" s="55" t="str">
        <f t="shared" si="58"/>
        <v/>
      </c>
      <c r="N290" s="55" t="str">
        <f t="shared" si="59"/>
        <v/>
      </c>
      <c r="O290" s="56" t="str">
        <f t="shared" si="60"/>
        <v/>
      </c>
    </row>
    <row r="291" spans="1:15" x14ac:dyDescent="0.25">
      <c r="A291" s="51" t="s">
        <v>15</v>
      </c>
      <c r="B291" s="52" t="s">
        <v>16</v>
      </c>
      <c r="C291" s="52" t="s">
        <v>11</v>
      </c>
      <c r="D291" s="53">
        <v>13841</v>
      </c>
      <c r="E291" s="53">
        <v>10461</v>
      </c>
      <c r="F291" s="53">
        <v>4801</v>
      </c>
      <c r="G291" s="54"/>
      <c r="H291" s="54"/>
      <c r="I291" s="54"/>
      <c r="J291" s="55"/>
      <c r="K291" s="55"/>
      <c r="L291" s="55"/>
      <c r="M291" s="55" t="str">
        <f t="shared" si="58"/>
        <v/>
      </c>
      <c r="N291" s="55" t="str">
        <f t="shared" si="59"/>
        <v/>
      </c>
      <c r="O291" s="56" t="str">
        <f t="shared" si="60"/>
        <v/>
      </c>
    </row>
    <row r="292" spans="1:15" x14ac:dyDescent="0.25">
      <c r="A292" s="51" t="s">
        <v>17</v>
      </c>
      <c r="B292" s="52" t="s">
        <v>18</v>
      </c>
      <c r="C292" s="52" t="s">
        <v>11</v>
      </c>
      <c r="D292" s="53">
        <v>12250</v>
      </c>
      <c r="E292" s="53">
        <v>8631</v>
      </c>
      <c r="F292" s="53">
        <v>4134</v>
      </c>
      <c r="G292" s="54"/>
      <c r="H292" s="54"/>
      <c r="I292" s="54"/>
      <c r="J292" s="55"/>
      <c r="K292" s="55"/>
      <c r="L292" s="55"/>
      <c r="M292" s="55" t="str">
        <f t="shared" si="58"/>
        <v/>
      </c>
      <c r="N292" s="55" t="str">
        <f t="shared" si="59"/>
        <v/>
      </c>
      <c r="O292" s="56" t="str">
        <f t="shared" si="60"/>
        <v/>
      </c>
    </row>
    <row r="293" spans="1:15" x14ac:dyDescent="0.25">
      <c r="A293" s="116" t="s">
        <v>188</v>
      </c>
      <c r="B293" s="117"/>
      <c r="C293" s="117"/>
      <c r="D293" s="117"/>
      <c r="E293" s="143"/>
      <c r="F293" s="143"/>
      <c r="G293" s="143"/>
      <c r="H293" s="143"/>
      <c r="I293" s="143"/>
      <c r="J293" s="57"/>
      <c r="K293" s="57"/>
      <c r="L293" s="57"/>
      <c r="M293" s="57"/>
      <c r="N293" s="57"/>
      <c r="O293" s="58"/>
    </row>
    <row r="294" spans="1:15" ht="18.75" x14ac:dyDescent="0.3">
      <c r="A294" s="146" t="s">
        <v>154</v>
      </c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5"/>
    </row>
    <row r="295" spans="1:15" x14ac:dyDescent="0.25">
      <c r="A295" s="134" t="s">
        <v>1</v>
      </c>
      <c r="B295" s="135"/>
      <c r="C295" s="135"/>
      <c r="D295" s="136" t="s">
        <v>19</v>
      </c>
      <c r="E295" s="136"/>
      <c r="F295" s="136"/>
      <c r="G295" s="136"/>
      <c r="H295" s="136"/>
      <c r="I295" s="136"/>
      <c r="J295" s="136" t="s">
        <v>22</v>
      </c>
      <c r="K295" s="136"/>
      <c r="L295" s="136"/>
      <c r="M295" s="136"/>
      <c r="N295" s="136"/>
      <c r="O295" s="137"/>
    </row>
    <row r="296" spans="1:15" x14ac:dyDescent="0.25">
      <c r="A296" s="47" t="s">
        <v>4</v>
      </c>
      <c r="B296" s="48" t="s">
        <v>5</v>
      </c>
      <c r="C296" s="48" t="s">
        <v>6</v>
      </c>
      <c r="D296" s="49">
        <v>1</v>
      </c>
      <c r="E296" s="49">
        <v>4</v>
      </c>
      <c r="F296" s="49">
        <v>16</v>
      </c>
      <c r="G296" s="49">
        <v>32</v>
      </c>
      <c r="H296" s="49">
        <v>64</v>
      </c>
      <c r="I296" s="49">
        <v>80</v>
      </c>
      <c r="J296" s="49">
        <v>1</v>
      </c>
      <c r="K296" s="49">
        <v>4</v>
      </c>
      <c r="L296" s="49">
        <v>16</v>
      </c>
      <c r="M296" s="49">
        <v>32</v>
      </c>
      <c r="N296" s="49">
        <v>64</v>
      </c>
      <c r="O296" s="50">
        <v>80</v>
      </c>
    </row>
    <row r="297" spans="1:15" x14ac:dyDescent="0.25">
      <c r="A297" s="51" t="s">
        <v>7</v>
      </c>
      <c r="B297" s="52" t="s">
        <v>8</v>
      </c>
      <c r="C297" s="52" t="s">
        <v>9</v>
      </c>
      <c r="D297" s="59">
        <f>IF(D287="","",(D287-'2017'!D488)/'2017'!D488)</f>
        <v>-2.7304070157576879E-3</v>
      </c>
      <c r="E297" s="59">
        <f>IF(E287="","",(E287-'2017'!E488)/'2017'!E488)</f>
        <v>-7.7118600986223376E-2</v>
      </c>
      <c r="F297" s="59">
        <f>IF(F287="","",(F287-'2017'!F488)/'2017'!F488)</f>
        <v>0</v>
      </c>
      <c r="G297" s="59" t="str">
        <f>IF(G287="","",(G287-'2017'!G628)/'2017'!G628)</f>
        <v/>
      </c>
      <c r="H297" s="59" t="str">
        <f>IF(H287="","",(H287-#REF!)/#REF!)</f>
        <v/>
      </c>
      <c r="I297" s="59" t="str">
        <f>IF(I287="","",(I287-#REF!)/#REF!)</f>
        <v/>
      </c>
      <c r="J297" s="55"/>
      <c r="K297" s="55"/>
      <c r="L297" s="55"/>
      <c r="M297" s="55" t="str">
        <f>IF(G297="","",M287-((1/Comparisons!#REF!)*1000000))</f>
        <v/>
      </c>
      <c r="N297" s="55" t="str">
        <f>IF(H297="","",N287-((1/Comparisons!#REF!)*1000000))</f>
        <v/>
      </c>
      <c r="O297" s="56" t="str">
        <f>IF(I297="","",O287-((1/Comparisons!#REF!)*1000000))</f>
        <v/>
      </c>
    </row>
    <row r="298" spans="1:15" x14ac:dyDescent="0.25">
      <c r="A298" s="51" t="s">
        <v>10</v>
      </c>
      <c r="B298" s="52" t="s">
        <v>8</v>
      </c>
      <c r="C298" s="52" t="s">
        <v>11</v>
      </c>
      <c r="D298" s="59">
        <f>IF(D288="","",(D288-'2017'!D489)/'2017'!D489)</f>
        <v>-1.6054781908159742E-2</v>
      </c>
      <c r="E298" s="59">
        <f>IF(E288="","",(E288-'2017'!E489)/'2017'!E489)</f>
        <v>-2.7345358701919117E-2</v>
      </c>
      <c r="F298" s="59">
        <f>IF(F288="","",(F288-'2017'!F489)/'2017'!F489)</f>
        <v>-3.2032032032032033E-3</v>
      </c>
      <c r="G298" s="59" t="str">
        <f>IF(G288="","",(G288-#REF!)/#REF!)</f>
        <v/>
      </c>
      <c r="H298" s="59" t="str">
        <f>IF(H288="","",(H288-#REF!)/#REF!)</f>
        <v/>
      </c>
      <c r="I298" s="59" t="str">
        <f>IF(I288="","",(I288-#REF!)/#REF!)</f>
        <v/>
      </c>
      <c r="J298" s="55"/>
      <c r="K298" s="55"/>
      <c r="L298" s="55"/>
      <c r="M298" s="55" t="str">
        <f>IF(G298="","",M288-((1/Comparisons!#REF!)*1000000))</f>
        <v/>
      </c>
      <c r="N298" s="55" t="str">
        <f>IF(H298="","",N288-((1/Comparisons!#REF!)*1000000))</f>
        <v/>
      </c>
      <c r="O298" s="56" t="str">
        <f>IF(I298="","",O288-((1/Comparisons!#REF!)*1000000))</f>
        <v/>
      </c>
    </row>
    <row r="299" spans="1:15" x14ac:dyDescent="0.25">
      <c r="A299" s="51" t="s">
        <v>12</v>
      </c>
      <c r="B299" s="52" t="s">
        <v>13</v>
      </c>
      <c r="C299" s="52" t="s">
        <v>9</v>
      </c>
      <c r="D299" s="59">
        <f>IF(D289="","",(D289-'2017'!D490)/'2017'!D490)</f>
        <v>-3.4389424587351072E-2</v>
      </c>
      <c r="E299" s="59">
        <f>IF(E289="","",(E289-'2017'!E490)/'2017'!E490)</f>
        <v>-1.9358068643266398E-2</v>
      </c>
      <c r="F299" s="59">
        <f>IF(F289="","",(F289-'2017'!F490)/'2017'!F490)</f>
        <v>3.3995348005009841E-3</v>
      </c>
      <c r="G299" s="59" t="str">
        <f>IF(G289="","",(G289-#REF!)/#REF!)</f>
        <v/>
      </c>
      <c r="H299" s="59" t="str">
        <f>IF(H289="","",(H289-#REF!)/#REF!)</f>
        <v/>
      </c>
      <c r="I299" s="59" t="str">
        <f>IF(I289="","",(I289-#REF!)/#REF!)</f>
        <v/>
      </c>
      <c r="J299" s="55"/>
      <c r="K299" s="55"/>
      <c r="L299" s="55"/>
      <c r="M299" s="55" t="str">
        <f>IF(G299="","",M289-((1/Comparisons!#REF!)*1000000))</f>
        <v/>
      </c>
      <c r="N299" s="55" t="str">
        <f>IF(H299="","",N289-((1/Comparisons!#REF!)*1000000))</f>
        <v/>
      </c>
      <c r="O299" s="56" t="str">
        <f>IF(I299="","",O289-((1/Comparisons!#REF!)*1000000))</f>
        <v/>
      </c>
    </row>
    <row r="300" spans="1:15" x14ac:dyDescent="0.25">
      <c r="A300" s="51" t="s">
        <v>14</v>
      </c>
      <c r="B300" s="52" t="s">
        <v>13</v>
      </c>
      <c r="C300" s="52" t="s">
        <v>11</v>
      </c>
      <c r="D300" s="59">
        <f>IF(D290="","",(D290-'2017'!D491)/'2017'!D491)</f>
        <v>2.8421052631578948E-2</v>
      </c>
      <c r="E300" s="59">
        <f>IF(E290="","",(E290-'2017'!E491)/'2017'!E491)</f>
        <v>-4.586120038217667E-2</v>
      </c>
      <c r="F300" s="59">
        <f>IF(F290="","",(F290-'2017'!F491)/'2017'!F491)</f>
        <v>-2.059308072487644E-2</v>
      </c>
      <c r="G300" s="59" t="str">
        <f>IF(G290="","",(G290-#REF!)/#REF!)</f>
        <v/>
      </c>
      <c r="H300" s="59" t="str">
        <f>IF(H290="","",(H290-#REF!)/#REF!)</f>
        <v/>
      </c>
      <c r="I300" s="59" t="str">
        <f>IF(I290="","",(I290-#REF!)/#REF!)</f>
        <v/>
      </c>
      <c r="J300" s="55"/>
      <c r="K300" s="55"/>
      <c r="L300" s="55"/>
      <c r="M300" s="55" t="str">
        <f>IF(G300="","",M290-((1/Comparisons!#REF!)*1000000))</f>
        <v/>
      </c>
      <c r="N300" s="55" t="str">
        <f>IF(H300="","",N290-((1/Comparisons!#REF!)*1000000))</f>
        <v/>
      </c>
      <c r="O300" s="56" t="str">
        <f>IF(I300="","",O290-((1/Comparisons!#REF!)*1000000))</f>
        <v/>
      </c>
    </row>
    <row r="301" spans="1:15" x14ac:dyDescent="0.25">
      <c r="A301" s="51" t="s">
        <v>15</v>
      </c>
      <c r="B301" s="52" t="s">
        <v>16</v>
      </c>
      <c r="C301" s="52" t="s">
        <v>11</v>
      </c>
      <c r="D301" s="59">
        <f>IF(D291="","",(D291-'2017'!D492)/'2017'!D492)</f>
        <v>-4.4261842286976938E-2</v>
      </c>
      <c r="E301" s="59">
        <f>IF(E291="","",(E291-'2017'!E492)/'2017'!E492)</f>
        <v>-3.7142857142857142E-3</v>
      </c>
      <c r="F301" s="59">
        <f>IF(F291="","",(F291-'2017'!F492)/'2017'!F492)</f>
        <v>5.0240736864140675E-3</v>
      </c>
      <c r="G301" s="59" t="str">
        <f>IF(G291="","",(G291-#REF!)/#REF!)</f>
        <v/>
      </c>
      <c r="H301" s="59" t="str">
        <f>IF(H291="","",(H291-#REF!)/#REF!)</f>
        <v/>
      </c>
      <c r="I301" s="59" t="str">
        <f>IF(I291="","",(I291-#REF!)/#REF!)</f>
        <v/>
      </c>
      <c r="J301" s="55"/>
      <c r="K301" s="55"/>
      <c r="L301" s="55"/>
      <c r="M301" s="55" t="str">
        <f>IF(G301="","",M291-((1/Comparisons!#REF!)*1000000))</f>
        <v/>
      </c>
      <c r="N301" s="55" t="str">
        <f>IF(H301="","",N291-((1/Comparisons!#REF!)*1000000))</f>
        <v/>
      </c>
      <c r="O301" s="56" t="str">
        <f>IF(I301="","",O291-((1/Comparisons!#REF!)*1000000))</f>
        <v/>
      </c>
    </row>
    <row r="302" spans="1:15" ht="15.75" thickBot="1" x14ac:dyDescent="0.3">
      <c r="A302" s="60" t="s">
        <v>17</v>
      </c>
      <c r="B302" s="61" t="s">
        <v>18</v>
      </c>
      <c r="C302" s="61" t="s">
        <v>11</v>
      </c>
      <c r="D302" s="59">
        <f>IF(D292="","",(D292-'2017'!D493)/'2017'!D493)</f>
        <v>-6.2810802539973995E-2</v>
      </c>
      <c r="E302" s="59">
        <f>IF(E292="","",(E292-'2017'!E493)/'2017'!E493)</f>
        <v>-2.4415055951169887E-2</v>
      </c>
      <c r="F302" s="59">
        <f>IF(F292="","",(F292-'2017'!F493)/'2017'!F493)</f>
        <v>-6.7448680351906154E-2</v>
      </c>
      <c r="G302" s="62" t="str">
        <f>IF(G292="","",(G292-#REF!)/#REF!)</f>
        <v/>
      </c>
      <c r="H302" s="62" t="str">
        <f>IF(H292="","",(H292-#REF!)/#REF!)</f>
        <v/>
      </c>
      <c r="I302" s="62" t="str">
        <f>IF(I292="","",(I292-#REF!)/#REF!)</f>
        <v/>
      </c>
      <c r="J302" s="63"/>
      <c r="K302" s="63"/>
      <c r="L302" s="63"/>
      <c r="M302" s="63" t="str">
        <f>IF(G302="","",M292-((1/Comparisons!#REF!)*1000000))</f>
        <v/>
      </c>
      <c r="N302" s="63" t="str">
        <f>IF(H302="","",N292-((1/Comparisons!#REF!)*1000000))</f>
        <v/>
      </c>
      <c r="O302" s="64" t="str">
        <f>IF(I302="","",O292-((1/Comparisons!#REF!)*1000000))</f>
        <v/>
      </c>
    </row>
    <row r="303" spans="1:15" ht="18.75" x14ac:dyDescent="0.25">
      <c r="A303" s="138" t="s">
        <v>159</v>
      </c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40"/>
    </row>
    <row r="304" spans="1:15" ht="15.75" x14ac:dyDescent="0.25">
      <c r="A304" s="113" t="s">
        <v>190</v>
      </c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2"/>
    </row>
    <row r="305" spans="1:15" x14ac:dyDescent="0.25">
      <c r="A305" s="134" t="s">
        <v>1</v>
      </c>
      <c r="B305" s="135"/>
      <c r="C305" s="135"/>
      <c r="D305" s="136" t="s">
        <v>2</v>
      </c>
      <c r="E305" s="136"/>
      <c r="F305" s="136"/>
      <c r="G305" s="136"/>
      <c r="H305" s="136"/>
      <c r="I305" s="136"/>
      <c r="J305" s="136" t="s">
        <v>3</v>
      </c>
      <c r="K305" s="136"/>
      <c r="L305" s="136"/>
      <c r="M305" s="136"/>
      <c r="N305" s="136"/>
      <c r="O305" s="137"/>
    </row>
    <row r="306" spans="1:15" x14ac:dyDescent="0.25">
      <c r="A306" s="47" t="s">
        <v>26</v>
      </c>
      <c r="B306" s="48" t="s">
        <v>5</v>
      </c>
      <c r="C306" s="48" t="s">
        <v>6</v>
      </c>
      <c r="D306" s="49">
        <v>1</v>
      </c>
      <c r="E306" s="49">
        <v>4</v>
      </c>
      <c r="F306" s="49">
        <v>16</v>
      </c>
      <c r="G306" s="49">
        <v>32</v>
      </c>
      <c r="H306" s="49">
        <v>64</v>
      </c>
      <c r="I306" s="49">
        <v>80</v>
      </c>
      <c r="J306" s="49">
        <v>1</v>
      </c>
      <c r="K306" s="49">
        <v>4</v>
      </c>
      <c r="L306" s="49">
        <v>16</v>
      </c>
      <c r="M306" s="49">
        <v>32</v>
      </c>
      <c r="N306" s="49">
        <v>64</v>
      </c>
      <c r="O306" s="50">
        <v>80</v>
      </c>
    </row>
    <row r="307" spans="1:15" x14ac:dyDescent="0.25">
      <c r="A307" s="51" t="s">
        <v>7</v>
      </c>
      <c r="B307" s="52" t="s">
        <v>8</v>
      </c>
      <c r="C307" s="52" t="s">
        <v>9</v>
      </c>
      <c r="D307" s="53">
        <v>43099</v>
      </c>
      <c r="E307" s="53">
        <v>19794</v>
      </c>
      <c r="F307" s="53">
        <v>5843</v>
      </c>
      <c r="G307" s="54"/>
      <c r="H307" s="54"/>
      <c r="I307" s="54"/>
      <c r="J307" s="55"/>
      <c r="K307" s="55"/>
      <c r="L307" s="55"/>
      <c r="M307" s="55" t="str">
        <f t="shared" ref="M307:M312" si="61">IF(G307="","",(1/G307)*1000000)</f>
        <v/>
      </c>
      <c r="N307" s="55" t="str">
        <f t="shared" ref="N307:N312" si="62">IF(H307="","",(1/H307)*1000000)</f>
        <v/>
      </c>
      <c r="O307" s="56" t="str">
        <f t="shared" ref="O307:O312" si="63">IF(I307="","",(1/I307)*1000000)</f>
        <v/>
      </c>
    </row>
    <row r="308" spans="1:15" x14ac:dyDescent="0.25">
      <c r="A308" s="51" t="s">
        <v>10</v>
      </c>
      <c r="B308" s="52" t="s">
        <v>8</v>
      </c>
      <c r="C308" s="52" t="s">
        <v>11</v>
      </c>
      <c r="D308" s="53">
        <v>17807</v>
      </c>
      <c r="E308" s="53">
        <v>12144</v>
      </c>
      <c r="F308" s="53">
        <v>5003</v>
      </c>
      <c r="G308" s="54"/>
      <c r="H308" s="54"/>
      <c r="I308" s="54"/>
      <c r="J308" s="55"/>
      <c r="K308" s="55"/>
      <c r="L308" s="55"/>
      <c r="M308" s="55" t="str">
        <f t="shared" si="61"/>
        <v/>
      </c>
      <c r="N308" s="55" t="str">
        <f t="shared" si="62"/>
        <v/>
      </c>
      <c r="O308" s="56" t="str">
        <f t="shared" si="63"/>
        <v/>
      </c>
    </row>
    <row r="309" spans="1:15" x14ac:dyDescent="0.25">
      <c r="A309" s="51" t="s">
        <v>12</v>
      </c>
      <c r="B309" s="52" t="s">
        <v>13</v>
      </c>
      <c r="C309" s="52" t="s">
        <v>9</v>
      </c>
      <c r="D309" s="53">
        <v>39956</v>
      </c>
      <c r="E309" s="53">
        <v>17911</v>
      </c>
      <c r="F309" s="53">
        <v>5589</v>
      </c>
      <c r="G309" s="54"/>
      <c r="H309" s="54"/>
      <c r="I309" s="54"/>
      <c r="J309" s="55"/>
      <c r="K309" s="55"/>
      <c r="L309" s="55"/>
      <c r="M309" s="55" t="str">
        <f t="shared" si="61"/>
        <v/>
      </c>
      <c r="N309" s="55" t="str">
        <f t="shared" si="62"/>
        <v/>
      </c>
      <c r="O309" s="56" t="str">
        <f t="shared" si="63"/>
        <v/>
      </c>
    </row>
    <row r="310" spans="1:15" x14ac:dyDescent="0.25">
      <c r="A310" s="51" t="s">
        <v>14</v>
      </c>
      <c r="B310" s="52" t="s">
        <v>13</v>
      </c>
      <c r="C310" s="52" t="s">
        <v>11</v>
      </c>
      <c r="D310" s="53">
        <v>17685</v>
      </c>
      <c r="E310" s="53">
        <v>11514</v>
      </c>
      <c r="F310" s="53">
        <v>4813</v>
      </c>
      <c r="G310" s="54"/>
      <c r="H310" s="54"/>
      <c r="I310" s="54"/>
      <c r="J310" s="55"/>
      <c r="K310" s="55"/>
      <c r="L310" s="55"/>
      <c r="M310" s="55" t="str">
        <f t="shared" si="61"/>
        <v/>
      </c>
      <c r="N310" s="55" t="str">
        <f t="shared" si="62"/>
        <v/>
      </c>
      <c r="O310" s="56" t="str">
        <f t="shared" si="63"/>
        <v/>
      </c>
    </row>
    <row r="311" spans="1:15" x14ac:dyDescent="0.25">
      <c r="A311" s="51" t="s">
        <v>15</v>
      </c>
      <c r="B311" s="52" t="s">
        <v>16</v>
      </c>
      <c r="C311" s="52" t="s">
        <v>11</v>
      </c>
      <c r="D311" s="53">
        <v>13772</v>
      </c>
      <c r="E311" s="53">
        <v>9855</v>
      </c>
      <c r="F311" s="53">
        <v>4828</v>
      </c>
      <c r="G311" s="54"/>
      <c r="H311" s="54"/>
      <c r="I311" s="54"/>
      <c r="J311" s="55"/>
      <c r="K311" s="55"/>
      <c r="L311" s="55"/>
      <c r="M311" s="55" t="str">
        <f t="shared" si="61"/>
        <v/>
      </c>
      <c r="N311" s="55" t="str">
        <f t="shared" si="62"/>
        <v/>
      </c>
      <c r="O311" s="56" t="str">
        <f t="shared" si="63"/>
        <v/>
      </c>
    </row>
    <row r="312" spans="1:15" x14ac:dyDescent="0.25">
      <c r="A312" s="51" t="s">
        <v>17</v>
      </c>
      <c r="B312" s="52" t="s">
        <v>18</v>
      </c>
      <c r="C312" s="52" t="s">
        <v>11</v>
      </c>
      <c r="D312" s="53">
        <v>12220</v>
      </c>
      <c r="E312" s="53">
        <v>8571</v>
      </c>
      <c r="F312" s="53">
        <v>4459</v>
      </c>
      <c r="G312" s="54"/>
      <c r="H312" s="54"/>
      <c r="I312" s="54"/>
      <c r="J312" s="55"/>
      <c r="K312" s="55"/>
      <c r="L312" s="55"/>
      <c r="M312" s="55" t="str">
        <f t="shared" si="61"/>
        <v/>
      </c>
      <c r="N312" s="55" t="str">
        <f t="shared" si="62"/>
        <v/>
      </c>
      <c r="O312" s="56" t="str">
        <f t="shared" si="63"/>
        <v/>
      </c>
    </row>
    <row r="313" spans="1:15" x14ac:dyDescent="0.25">
      <c r="A313" s="116" t="s">
        <v>188</v>
      </c>
      <c r="B313" s="117"/>
      <c r="C313" s="117"/>
      <c r="D313" s="117"/>
      <c r="E313" s="143"/>
      <c r="F313" s="143"/>
      <c r="G313" s="143"/>
      <c r="H313" s="143"/>
      <c r="I313" s="143"/>
      <c r="J313" s="57"/>
      <c r="K313" s="57"/>
      <c r="L313" s="57"/>
      <c r="M313" s="57"/>
      <c r="N313" s="57"/>
      <c r="O313" s="58"/>
    </row>
    <row r="314" spans="1:15" ht="18.75" x14ac:dyDescent="0.3">
      <c r="A314" s="146" t="s">
        <v>154</v>
      </c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5"/>
    </row>
    <row r="315" spans="1:15" x14ac:dyDescent="0.25">
      <c r="A315" s="134" t="s">
        <v>1</v>
      </c>
      <c r="B315" s="135"/>
      <c r="C315" s="135"/>
      <c r="D315" s="136" t="s">
        <v>19</v>
      </c>
      <c r="E315" s="136"/>
      <c r="F315" s="136"/>
      <c r="G315" s="136"/>
      <c r="H315" s="136"/>
      <c r="I315" s="136"/>
      <c r="J315" s="136" t="s">
        <v>22</v>
      </c>
      <c r="K315" s="136"/>
      <c r="L315" s="136"/>
      <c r="M315" s="136"/>
      <c r="N315" s="136"/>
      <c r="O315" s="137"/>
    </row>
    <row r="316" spans="1:15" x14ac:dyDescent="0.25">
      <c r="A316" s="47" t="s">
        <v>4</v>
      </c>
      <c r="B316" s="48" t="s">
        <v>5</v>
      </c>
      <c r="C316" s="48" t="s">
        <v>6</v>
      </c>
      <c r="D316" s="49">
        <v>1</v>
      </c>
      <c r="E316" s="49">
        <v>4</v>
      </c>
      <c r="F316" s="49">
        <v>16</v>
      </c>
      <c r="G316" s="49">
        <v>32</v>
      </c>
      <c r="H316" s="49">
        <v>64</v>
      </c>
      <c r="I316" s="49">
        <v>80</v>
      </c>
      <c r="J316" s="49">
        <v>1</v>
      </c>
      <c r="K316" s="49">
        <v>4</v>
      </c>
      <c r="L316" s="49">
        <v>16</v>
      </c>
      <c r="M316" s="49">
        <v>32</v>
      </c>
      <c r="N316" s="49">
        <v>64</v>
      </c>
      <c r="O316" s="50">
        <v>80</v>
      </c>
    </row>
    <row r="317" spans="1:15" x14ac:dyDescent="0.25">
      <c r="A317" s="51" t="s">
        <v>7</v>
      </c>
      <c r="B317" s="52" t="s">
        <v>8</v>
      </c>
      <c r="C317" s="52" t="s">
        <v>9</v>
      </c>
      <c r="D317" s="59">
        <f>IF(D307="","",(D307-'2017'!D488)/'2017'!D488)</f>
        <v>-2.7304070157576879E-3</v>
      </c>
      <c r="E317" s="59">
        <f>IF(E307="","",(E307-'2017'!E488)/'2017'!E488)</f>
        <v>6.2528595394235166E-3</v>
      </c>
      <c r="F317" s="59">
        <f>IF(F307="","",(F307-'2017'!F488)/'2017'!F488)</f>
        <v>0</v>
      </c>
      <c r="G317" s="59" t="str">
        <f>IF(G307="","",(G307-'2017'!G648)/'2017'!G648)</f>
        <v/>
      </c>
      <c r="H317" s="59" t="str">
        <f>IF(H307="","",(H307-#REF!)/#REF!)</f>
        <v/>
      </c>
      <c r="I317" s="59" t="str">
        <f>IF(I307="","",(I307-#REF!)/#REF!)</f>
        <v/>
      </c>
      <c r="J317" s="55"/>
      <c r="K317" s="55"/>
      <c r="L317" s="55"/>
      <c r="M317" s="55" t="str">
        <f>IF(G317="","",M307-((1/Comparisons!#REF!)*1000000))</f>
        <v/>
      </c>
      <c r="N317" s="55" t="str">
        <f>IF(H317="","",N307-((1/Comparisons!#REF!)*1000000))</f>
        <v/>
      </c>
      <c r="O317" s="56" t="str">
        <f>IF(I317="","",O307-((1/Comparisons!#REF!)*1000000))</f>
        <v/>
      </c>
    </row>
    <row r="318" spans="1:15" x14ac:dyDescent="0.25">
      <c r="A318" s="51" t="s">
        <v>10</v>
      </c>
      <c r="B318" s="52" t="s">
        <v>8</v>
      </c>
      <c r="C318" s="52" t="s">
        <v>11</v>
      </c>
      <c r="D318" s="59">
        <f>IF(D308="","",(D308-'2017'!D489)/'2017'!D489)</f>
        <v>2.4686385084589712E-2</v>
      </c>
      <c r="E318" s="59">
        <f>IF(E308="","",(E308-'2017'!E489)/'2017'!E489)</f>
        <v>2.4709661477637757E-4</v>
      </c>
      <c r="F318" s="59">
        <f>IF(F308="","",(F308-'2017'!F489)/'2017'!F489)</f>
        <v>1.6016016016016017E-3</v>
      </c>
      <c r="G318" s="59" t="str">
        <f>IF(G308="","",(G308-#REF!)/#REF!)</f>
        <v/>
      </c>
      <c r="H318" s="59" t="str">
        <f>IF(H308="","",(H308-#REF!)/#REF!)</f>
        <v/>
      </c>
      <c r="I318" s="59" t="str">
        <f>IF(I308="","",(I308-#REF!)/#REF!)</f>
        <v/>
      </c>
      <c r="J318" s="55"/>
      <c r="K318" s="55"/>
      <c r="L318" s="55"/>
      <c r="M318" s="55" t="str">
        <f>IF(G318="","",M308-((1/Comparisons!#REF!)*1000000))</f>
        <v/>
      </c>
      <c r="N318" s="55" t="str">
        <f>IF(H318="","",N308-((1/Comparisons!#REF!)*1000000))</f>
        <v/>
      </c>
      <c r="O318" s="56" t="str">
        <f>IF(I318="","",O308-((1/Comparisons!#REF!)*1000000))</f>
        <v/>
      </c>
    </row>
    <row r="319" spans="1:15" x14ac:dyDescent="0.25">
      <c r="A319" s="51" t="s">
        <v>12</v>
      </c>
      <c r="B319" s="52" t="s">
        <v>13</v>
      </c>
      <c r="C319" s="52" t="s">
        <v>9</v>
      </c>
      <c r="D319" s="59">
        <f>IF(D309="","",(D309-'2017'!D490)/'2017'!D490)</f>
        <v>-3.4389424587351072E-2</v>
      </c>
      <c r="E319" s="59">
        <f>IF(E309="","",(E309-'2017'!E490)/'2017'!E490)</f>
        <v>-3.6713578461367302E-3</v>
      </c>
      <c r="F319" s="59">
        <f>IF(F309="","",(F309-'2017'!F490)/'2017'!F490)</f>
        <v>0</v>
      </c>
      <c r="G319" s="59" t="str">
        <f>IF(G309="","",(G309-#REF!)/#REF!)</f>
        <v/>
      </c>
      <c r="H319" s="59" t="str">
        <f>IF(H309="","",(H309-#REF!)/#REF!)</f>
        <v/>
      </c>
      <c r="I319" s="59" t="str">
        <f>IF(I309="","",(I309-#REF!)/#REF!)</f>
        <v/>
      </c>
      <c r="J319" s="55"/>
      <c r="K319" s="55"/>
      <c r="L319" s="55"/>
      <c r="M319" s="55" t="str">
        <f>IF(G319="","",M309-((1/Comparisons!#REF!)*1000000))</f>
        <v/>
      </c>
      <c r="N319" s="55" t="str">
        <f>IF(H319="","",N309-((1/Comparisons!#REF!)*1000000))</f>
        <v/>
      </c>
      <c r="O319" s="56" t="str">
        <f>IF(I319="","",O309-((1/Comparisons!#REF!)*1000000))</f>
        <v/>
      </c>
    </row>
    <row r="320" spans="1:15" x14ac:dyDescent="0.25">
      <c r="A320" s="51" t="s">
        <v>14</v>
      </c>
      <c r="B320" s="52" t="s">
        <v>13</v>
      </c>
      <c r="C320" s="52" t="s">
        <v>11</v>
      </c>
      <c r="D320" s="59">
        <f>IF(D310="","",(D310-'2017'!D491)/'2017'!D491)</f>
        <v>9.504643962848297E-2</v>
      </c>
      <c r="E320" s="59">
        <f>IF(E310="","",(E310-'2017'!E491)/'2017'!E491)</f>
        <v>8.685833405715279E-5</v>
      </c>
      <c r="F320" s="59">
        <f>IF(F310="","",(F310-'2017'!F491)/'2017'!F491)</f>
        <v>-8.8550247116968694E-3</v>
      </c>
      <c r="G320" s="59" t="str">
        <f>IF(G310="","",(G310-#REF!)/#REF!)</f>
        <v/>
      </c>
      <c r="H320" s="59" t="str">
        <f>IF(H310="","",(H310-#REF!)/#REF!)</f>
        <v/>
      </c>
      <c r="I320" s="59" t="str">
        <f>IF(I310="","",(I310-#REF!)/#REF!)</f>
        <v/>
      </c>
      <c r="J320" s="55"/>
      <c r="K320" s="55"/>
      <c r="L320" s="55"/>
      <c r="M320" s="55" t="str">
        <f>IF(G320="","",M310-((1/Comparisons!#REF!)*1000000))</f>
        <v/>
      </c>
      <c r="N320" s="55" t="str">
        <f>IF(H320="","",N310-((1/Comparisons!#REF!)*1000000))</f>
        <v/>
      </c>
      <c r="O320" s="56" t="str">
        <f>IF(I320="","",O310-((1/Comparisons!#REF!)*1000000))</f>
        <v/>
      </c>
    </row>
    <row r="321" spans="1:15" x14ac:dyDescent="0.25">
      <c r="A321" s="51" t="s">
        <v>15</v>
      </c>
      <c r="B321" s="52" t="s">
        <v>16</v>
      </c>
      <c r="C321" s="52" t="s">
        <v>11</v>
      </c>
      <c r="D321" s="59">
        <f>IF(D311="","",(D311-'2017'!D492)/'2017'!D492)</f>
        <v>-4.9026377572158539E-2</v>
      </c>
      <c r="E321" s="59">
        <f>IF(E311="","",(E311-'2017'!E492)/'2017'!E492)</f>
        <v>-6.142857142857143E-2</v>
      </c>
      <c r="F321" s="59">
        <f>IF(F311="","",(F311-'2017'!F492)/'2017'!F492)</f>
        <v>1.0676156583629894E-2</v>
      </c>
      <c r="G321" s="59" t="str">
        <f>IF(G311="","",(G311-#REF!)/#REF!)</f>
        <v/>
      </c>
      <c r="H321" s="59" t="str">
        <f>IF(H311="","",(H311-#REF!)/#REF!)</f>
        <v/>
      </c>
      <c r="I321" s="59" t="str">
        <f>IF(I311="","",(I311-#REF!)/#REF!)</f>
        <v/>
      </c>
      <c r="J321" s="55"/>
      <c r="K321" s="55"/>
      <c r="L321" s="55"/>
      <c r="M321" s="55" t="str">
        <f>IF(G321="","",M311-((1/Comparisons!#REF!)*1000000))</f>
        <v/>
      </c>
      <c r="N321" s="55" t="str">
        <f>IF(H321="","",N311-((1/Comparisons!#REF!)*1000000))</f>
        <v/>
      </c>
      <c r="O321" s="56" t="str">
        <f>IF(I321="","",O311-((1/Comparisons!#REF!)*1000000))</f>
        <v/>
      </c>
    </row>
    <row r="322" spans="1:15" ht="15.75" thickBot="1" x14ac:dyDescent="0.3">
      <c r="A322" s="60" t="s">
        <v>17</v>
      </c>
      <c r="B322" s="61" t="s">
        <v>18</v>
      </c>
      <c r="C322" s="61" t="s">
        <v>11</v>
      </c>
      <c r="D322" s="59">
        <f>IF(D312="","",(D312-'2017'!D493)/'2017'!D493)</f>
        <v>-6.5105959758243445E-2</v>
      </c>
      <c r="E322" s="59">
        <f>IF(E312="","",(E312-'2017'!E493)/'2017'!E493)</f>
        <v>-3.1197015937605967E-2</v>
      </c>
      <c r="F322" s="59">
        <f>IF(F312="","",(F312-'2017'!F493)/'2017'!F493)</f>
        <v>5.8651026392961877E-3</v>
      </c>
      <c r="G322" s="62" t="str">
        <f>IF(G312="","",(G312-#REF!)/#REF!)</f>
        <v/>
      </c>
      <c r="H322" s="62" t="str">
        <f>IF(H312="","",(H312-#REF!)/#REF!)</f>
        <v/>
      </c>
      <c r="I322" s="62" t="str">
        <f>IF(I312="","",(I312-#REF!)/#REF!)</f>
        <v/>
      </c>
      <c r="J322" s="63"/>
      <c r="K322" s="63"/>
      <c r="L322" s="63"/>
      <c r="M322" s="63" t="str">
        <f>IF(G322="","",M312-((1/Comparisons!#REF!)*1000000))</f>
        <v/>
      </c>
      <c r="N322" s="63" t="str">
        <f>IF(H322="","",N312-((1/Comparisons!#REF!)*1000000))</f>
        <v/>
      </c>
      <c r="O322" s="64" t="str">
        <f>IF(I322="","",O312-((1/Comparisons!#REF!)*1000000))</f>
        <v/>
      </c>
    </row>
    <row r="323" spans="1:15" ht="15.75" thickBot="1" x14ac:dyDescent="0.3"/>
    <row r="324" spans="1:15" ht="18.75" x14ac:dyDescent="0.25">
      <c r="A324" s="138" t="s">
        <v>159</v>
      </c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40"/>
    </row>
    <row r="325" spans="1:15" ht="15.75" x14ac:dyDescent="0.25">
      <c r="A325" s="113" t="s">
        <v>191</v>
      </c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2"/>
    </row>
    <row r="326" spans="1:15" x14ac:dyDescent="0.25">
      <c r="A326" s="134" t="s">
        <v>1</v>
      </c>
      <c r="B326" s="135"/>
      <c r="C326" s="135"/>
      <c r="D326" s="136" t="s">
        <v>2</v>
      </c>
      <c r="E326" s="136"/>
      <c r="F326" s="136"/>
      <c r="G326" s="136"/>
      <c r="H326" s="136"/>
      <c r="I326" s="136"/>
      <c r="J326" s="136" t="s">
        <v>3</v>
      </c>
      <c r="K326" s="136"/>
      <c r="L326" s="136"/>
      <c r="M326" s="136"/>
      <c r="N326" s="136"/>
      <c r="O326" s="137"/>
    </row>
    <row r="327" spans="1:15" x14ac:dyDescent="0.25">
      <c r="A327" s="47" t="s">
        <v>26</v>
      </c>
      <c r="B327" s="48" t="s">
        <v>5</v>
      </c>
      <c r="C327" s="48" t="s">
        <v>6</v>
      </c>
      <c r="D327" s="49">
        <v>1</v>
      </c>
      <c r="E327" s="49">
        <v>4</v>
      </c>
      <c r="F327" s="49">
        <v>16</v>
      </c>
      <c r="G327" s="49">
        <v>32</v>
      </c>
      <c r="H327" s="49">
        <v>64</v>
      </c>
      <c r="I327" s="49">
        <v>80</v>
      </c>
      <c r="J327" s="49">
        <v>1</v>
      </c>
      <c r="K327" s="49">
        <v>4</v>
      </c>
      <c r="L327" s="49">
        <v>16</v>
      </c>
      <c r="M327" s="49">
        <v>32</v>
      </c>
      <c r="N327" s="49">
        <v>64</v>
      </c>
      <c r="O327" s="50">
        <v>80</v>
      </c>
    </row>
    <row r="328" spans="1:15" x14ac:dyDescent="0.25">
      <c r="A328" s="51" t="s">
        <v>7</v>
      </c>
      <c r="B328" s="52" t="s">
        <v>8</v>
      </c>
      <c r="C328" s="52" t="s">
        <v>9</v>
      </c>
      <c r="D328" s="52">
        <v>42572</v>
      </c>
      <c r="E328" s="52">
        <v>19754</v>
      </c>
      <c r="F328" s="52">
        <v>5843</v>
      </c>
      <c r="G328" s="54"/>
      <c r="H328" s="54"/>
      <c r="I328" s="54"/>
      <c r="J328" s="55"/>
      <c r="K328" s="55"/>
      <c r="L328" s="55"/>
      <c r="M328" s="55" t="str">
        <f t="shared" ref="M328:M333" si="64">IF(G328="","",(1/G328)*1000000)</f>
        <v/>
      </c>
      <c r="N328" s="55" t="str">
        <f t="shared" ref="N328:N333" si="65">IF(H328="","",(1/H328)*1000000)</f>
        <v/>
      </c>
      <c r="O328" s="56" t="str">
        <f t="shared" ref="O328:O333" si="66">IF(I328="","",(1/I328)*1000000)</f>
        <v/>
      </c>
    </row>
    <row r="329" spans="1:15" x14ac:dyDescent="0.25">
      <c r="A329" s="51" t="s">
        <v>10</v>
      </c>
      <c r="B329" s="52" t="s">
        <v>8</v>
      </c>
      <c r="C329" s="52" t="s">
        <v>11</v>
      </c>
      <c r="D329" s="52">
        <v>17896</v>
      </c>
      <c r="E329" s="52">
        <v>12231</v>
      </c>
      <c r="F329" s="52">
        <v>4970</v>
      </c>
      <c r="G329" s="54"/>
      <c r="H329" s="54"/>
      <c r="I329" s="54"/>
      <c r="J329" s="55"/>
      <c r="K329" s="55"/>
      <c r="L329" s="55"/>
      <c r="M329" s="55" t="str">
        <f t="shared" si="64"/>
        <v/>
      </c>
      <c r="N329" s="55" t="str">
        <f t="shared" si="65"/>
        <v/>
      </c>
      <c r="O329" s="56" t="str">
        <f t="shared" si="66"/>
        <v/>
      </c>
    </row>
    <row r="330" spans="1:15" x14ac:dyDescent="0.25">
      <c r="A330" s="51" t="s">
        <v>12</v>
      </c>
      <c r="B330" s="52" t="s">
        <v>13</v>
      </c>
      <c r="C330" s="52" t="s">
        <v>9</v>
      </c>
      <c r="D330" s="65">
        <v>39956</v>
      </c>
      <c r="E330" s="52">
        <v>17752</v>
      </c>
      <c r="F330" s="52">
        <v>5608</v>
      </c>
      <c r="G330" s="54"/>
      <c r="H330" s="54"/>
      <c r="I330" s="54"/>
      <c r="J330" s="55"/>
      <c r="K330" s="55"/>
      <c r="L330" s="55"/>
      <c r="M330" s="55" t="str">
        <f t="shared" si="64"/>
        <v/>
      </c>
      <c r="N330" s="55" t="str">
        <f t="shared" si="65"/>
        <v/>
      </c>
      <c r="O330" s="56" t="str">
        <f t="shared" si="66"/>
        <v/>
      </c>
    </row>
    <row r="331" spans="1:15" x14ac:dyDescent="0.25">
      <c r="A331" s="51" t="s">
        <v>14</v>
      </c>
      <c r="B331" s="52" t="s">
        <v>13</v>
      </c>
      <c r="C331" s="52" t="s">
        <v>11</v>
      </c>
      <c r="D331" s="52">
        <v>16526</v>
      </c>
      <c r="E331" s="52">
        <v>10735</v>
      </c>
      <c r="F331" s="65">
        <v>4705</v>
      </c>
      <c r="G331" s="54"/>
      <c r="H331" s="54"/>
      <c r="I331" s="54"/>
      <c r="J331" s="55"/>
      <c r="K331" s="55"/>
      <c r="L331" s="55"/>
      <c r="M331" s="55" t="str">
        <f t="shared" si="64"/>
        <v/>
      </c>
      <c r="N331" s="55" t="str">
        <f t="shared" si="65"/>
        <v/>
      </c>
      <c r="O331" s="56" t="str">
        <f t="shared" si="66"/>
        <v/>
      </c>
    </row>
    <row r="332" spans="1:15" x14ac:dyDescent="0.25">
      <c r="A332" s="51" t="s">
        <v>15</v>
      </c>
      <c r="B332" s="52" t="s">
        <v>16</v>
      </c>
      <c r="C332" s="52" t="s">
        <v>11</v>
      </c>
      <c r="D332" s="52">
        <v>14623</v>
      </c>
      <c r="E332" s="52">
        <v>10435</v>
      </c>
      <c r="F332" s="52">
        <v>4705</v>
      </c>
      <c r="G332" s="54"/>
      <c r="H332" s="54"/>
      <c r="I332" s="54"/>
      <c r="J332" s="55"/>
      <c r="K332" s="55"/>
      <c r="L332" s="55"/>
      <c r="M332" s="55" t="str">
        <f t="shared" si="64"/>
        <v/>
      </c>
      <c r="N332" s="55" t="str">
        <f t="shared" si="65"/>
        <v/>
      </c>
      <c r="O332" s="56" t="str">
        <f t="shared" si="66"/>
        <v/>
      </c>
    </row>
    <row r="333" spans="1:15" x14ac:dyDescent="0.25">
      <c r="A333" s="51" t="s">
        <v>17</v>
      </c>
      <c r="B333" s="52" t="s">
        <v>18</v>
      </c>
      <c r="C333" s="52" t="s">
        <v>11</v>
      </c>
      <c r="D333" s="52">
        <v>12428</v>
      </c>
      <c r="E333" s="52">
        <v>8814</v>
      </c>
      <c r="F333" s="52">
        <v>4535</v>
      </c>
      <c r="G333" s="54"/>
      <c r="H333" s="54"/>
      <c r="I333" s="54"/>
      <c r="J333" s="55"/>
      <c r="K333" s="55"/>
      <c r="L333" s="55"/>
      <c r="M333" s="55" t="str">
        <f t="shared" si="64"/>
        <v/>
      </c>
      <c r="N333" s="55" t="str">
        <f t="shared" si="65"/>
        <v/>
      </c>
      <c r="O333" s="56" t="str">
        <f t="shared" si="66"/>
        <v/>
      </c>
    </row>
    <row r="334" spans="1:15" x14ac:dyDescent="0.25">
      <c r="A334" s="116" t="s">
        <v>192</v>
      </c>
      <c r="B334" s="117"/>
      <c r="C334" s="117"/>
      <c r="D334" s="117"/>
      <c r="E334" s="143"/>
      <c r="F334" s="143"/>
      <c r="G334" s="143"/>
      <c r="H334" s="143"/>
      <c r="I334" s="143"/>
      <c r="J334" s="57"/>
      <c r="K334" s="57"/>
      <c r="L334" s="57"/>
      <c r="M334" s="57"/>
      <c r="N334" s="57"/>
      <c r="O334" s="58"/>
    </row>
    <row r="335" spans="1:15" ht="18.75" x14ac:dyDescent="0.3">
      <c r="A335" s="119" t="s">
        <v>193</v>
      </c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5"/>
    </row>
    <row r="336" spans="1:15" x14ac:dyDescent="0.25">
      <c r="A336" s="134" t="s">
        <v>1</v>
      </c>
      <c r="B336" s="135"/>
      <c r="C336" s="135"/>
      <c r="D336" s="136" t="s">
        <v>19</v>
      </c>
      <c r="E336" s="136"/>
      <c r="F336" s="136"/>
      <c r="G336" s="136"/>
      <c r="H336" s="136"/>
      <c r="I336" s="136"/>
      <c r="J336" s="136" t="s">
        <v>22</v>
      </c>
      <c r="K336" s="136"/>
      <c r="L336" s="136"/>
      <c r="M336" s="136"/>
      <c r="N336" s="136"/>
      <c r="O336" s="137"/>
    </row>
    <row r="337" spans="1:15" x14ac:dyDescent="0.25">
      <c r="A337" s="47" t="s">
        <v>4</v>
      </c>
      <c r="B337" s="48" t="s">
        <v>5</v>
      </c>
      <c r="C337" s="48" t="s">
        <v>6</v>
      </c>
      <c r="D337" s="49">
        <v>1</v>
      </c>
      <c r="E337" s="49">
        <v>4</v>
      </c>
      <c r="F337" s="49">
        <v>16</v>
      </c>
      <c r="G337" s="49">
        <v>32</v>
      </c>
      <c r="H337" s="49">
        <v>64</v>
      </c>
      <c r="I337" s="49">
        <v>80</v>
      </c>
      <c r="J337" s="49">
        <v>1</v>
      </c>
      <c r="K337" s="49">
        <v>4</v>
      </c>
      <c r="L337" s="49">
        <v>16</v>
      </c>
      <c r="M337" s="49">
        <v>32</v>
      </c>
      <c r="N337" s="49">
        <v>64</v>
      </c>
      <c r="O337" s="50">
        <v>80</v>
      </c>
    </row>
    <row r="338" spans="1:15" x14ac:dyDescent="0.25">
      <c r="A338" s="51" t="s">
        <v>7</v>
      </c>
      <c r="B338" s="52" t="s">
        <v>8</v>
      </c>
      <c r="C338" s="52" t="s">
        <v>9</v>
      </c>
      <c r="D338" s="59">
        <f>IF(D328="","",(D328-'2018'!D307)/'2018'!D307)</f>
        <v>-1.2227661894707535E-2</v>
      </c>
      <c r="E338" s="59">
        <f>IF(E328="","",(E328-'2018'!E307)/'2018'!E307)</f>
        <v>-2.020814388198444E-3</v>
      </c>
      <c r="F338" s="59">
        <f>IF(F328="","",(F328-'2018'!F307)/'2018'!F307)</f>
        <v>0</v>
      </c>
      <c r="G338" s="59" t="str">
        <f>IF(G328="","",(G328-'2017'!G669)/'2017'!G669)</f>
        <v/>
      </c>
      <c r="H338" s="59" t="str">
        <f>IF(H328="","",(H328-#REF!)/#REF!)</f>
        <v/>
      </c>
      <c r="I338" s="59" t="str">
        <f>IF(I328="","",(I328-#REF!)/#REF!)</f>
        <v/>
      </c>
      <c r="J338" s="55"/>
      <c r="K338" s="55"/>
      <c r="L338" s="55"/>
      <c r="M338" s="55" t="str">
        <f>IF(G338="","",M328-((1/Comparisons!#REF!)*1000000))</f>
        <v/>
      </c>
      <c r="N338" s="55" t="str">
        <f>IF(H338="","",N328-((1/Comparisons!#REF!)*1000000))</f>
        <v/>
      </c>
      <c r="O338" s="56" t="str">
        <f>IF(I338="","",O328-((1/Comparisons!#REF!)*1000000))</f>
        <v/>
      </c>
    </row>
    <row r="339" spans="1:15" x14ac:dyDescent="0.25">
      <c r="A339" s="51" t="s">
        <v>10</v>
      </c>
      <c r="B339" s="52" t="s">
        <v>8</v>
      </c>
      <c r="C339" s="52" t="s">
        <v>11</v>
      </c>
      <c r="D339" s="59">
        <f>IF(D329="","",(D329-'2018'!D308)/'2018'!D308)</f>
        <v>4.9980344808221487E-3</v>
      </c>
      <c r="E339" s="59">
        <f>IF(E329="","",(E329-'2018'!E308)/'2018'!E308)</f>
        <v>7.16403162055336E-3</v>
      </c>
      <c r="F339" s="59">
        <f>IF(F329="","",(F329-'2018'!F308)/'2018'!F308)</f>
        <v>-6.5960423745752552E-3</v>
      </c>
      <c r="G339" s="59" t="str">
        <f>IF(G329="","",(G329-#REF!)/#REF!)</f>
        <v/>
      </c>
      <c r="H339" s="59" t="str">
        <f>IF(H329="","",(H329-#REF!)/#REF!)</f>
        <v/>
      </c>
      <c r="I339" s="59" t="str">
        <f>IF(I329="","",(I329-#REF!)/#REF!)</f>
        <v/>
      </c>
      <c r="J339" s="55"/>
      <c r="K339" s="55"/>
      <c r="L339" s="55"/>
      <c r="M339" s="55" t="str">
        <f>IF(G339="","",M329-((1/Comparisons!#REF!)*1000000))</f>
        <v/>
      </c>
      <c r="N339" s="55" t="str">
        <f>IF(H339="","",N329-((1/Comparisons!#REF!)*1000000))</f>
        <v/>
      </c>
      <c r="O339" s="56" t="str">
        <f>IF(I339="","",O329-((1/Comparisons!#REF!)*1000000))</f>
        <v/>
      </c>
    </row>
    <row r="340" spans="1:15" x14ac:dyDescent="0.25">
      <c r="A340" s="51" t="s">
        <v>12</v>
      </c>
      <c r="B340" s="52" t="s">
        <v>13</v>
      </c>
      <c r="C340" s="52" t="s">
        <v>9</v>
      </c>
      <c r="D340" s="59">
        <f>IF(D330="","",(D330-'2018'!D309)/'2018'!D309)</f>
        <v>0</v>
      </c>
      <c r="E340" s="59">
        <f>IF(E330="","",(E330-'2018'!E309)/'2018'!E309)</f>
        <v>-8.8772262855228625E-3</v>
      </c>
      <c r="F340" s="59">
        <f>IF(F330="","",(F330-'2018'!F309)/'2018'!F309)</f>
        <v>3.3995348005009841E-3</v>
      </c>
      <c r="G340" s="59" t="str">
        <f>IF(G330="","",(G330-#REF!)/#REF!)</f>
        <v/>
      </c>
      <c r="H340" s="59" t="str">
        <f>IF(H330="","",(H330-#REF!)/#REF!)</f>
        <v/>
      </c>
      <c r="I340" s="59" t="str">
        <f>IF(I330="","",(I330-#REF!)/#REF!)</f>
        <v/>
      </c>
      <c r="J340" s="55"/>
      <c r="K340" s="55"/>
      <c r="L340" s="55"/>
      <c r="M340" s="55" t="str">
        <f>IF(G340="","",M330-((1/Comparisons!#REF!)*1000000))</f>
        <v/>
      </c>
      <c r="N340" s="55" t="str">
        <f>IF(H340="","",N330-((1/Comparisons!#REF!)*1000000))</f>
        <v/>
      </c>
      <c r="O340" s="56" t="str">
        <f>IF(I340="","",O330-((1/Comparisons!#REF!)*1000000))</f>
        <v/>
      </c>
    </row>
    <row r="341" spans="1:15" x14ac:dyDescent="0.25">
      <c r="A341" s="51" t="s">
        <v>14</v>
      </c>
      <c r="B341" s="52" t="s">
        <v>13</v>
      </c>
      <c r="C341" s="52" t="s">
        <v>11</v>
      </c>
      <c r="D341" s="59">
        <f>IF(D331="","",(D331-'2018'!D310)/'2018'!D310)</f>
        <v>-6.5535764772405997E-2</v>
      </c>
      <c r="E341" s="59">
        <f>IF(E331="","",(E331-'2018'!E310)/'2018'!E310)</f>
        <v>-6.7656765676567657E-2</v>
      </c>
      <c r="F341" s="59">
        <f>IF(F331="","",(F331-'2018'!F310)/'2018'!F310)</f>
        <v>-2.2439227093289008E-2</v>
      </c>
      <c r="G341" s="59" t="str">
        <f>IF(G331="","",(G331-#REF!)/#REF!)</f>
        <v/>
      </c>
      <c r="H341" s="59" t="str">
        <f>IF(H331="","",(H331-#REF!)/#REF!)</f>
        <v/>
      </c>
      <c r="I341" s="59" t="str">
        <f>IF(I331="","",(I331-#REF!)/#REF!)</f>
        <v/>
      </c>
      <c r="J341" s="55"/>
      <c r="K341" s="55"/>
      <c r="L341" s="55"/>
      <c r="M341" s="55" t="str">
        <f>IF(G341="","",M331-((1/Comparisons!#REF!)*1000000))</f>
        <v/>
      </c>
      <c r="N341" s="55" t="str">
        <f>IF(H341="","",N331-((1/Comparisons!#REF!)*1000000))</f>
        <v/>
      </c>
      <c r="O341" s="56" t="str">
        <f>IF(I341="","",O331-((1/Comparisons!#REF!)*1000000))</f>
        <v/>
      </c>
    </row>
    <row r="342" spans="1:15" x14ac:dyDescent="0.25">
      <c r="A342" s="51" t="s">
        <v>15</v>
      </c>
      <c r="B342" s="8" t="s">
        <v>16</v>
      </c>
      <c r="C342" s="52" t="s">
        <v>11</v>
      </c>
      <c r="D342" s="59">
        <f>IF(D332="","",(D332-'2018'!D311)/'2018'!D311)</f>
        <v>6.1792041823990708E-2</v>
      </c>
      <c r="E342" s="59">
        <f>IF(E332="","",(E332-'2018'!E311)/'2018'!E311)</f>
        <v>5.8853373921867069E-2</v>
      </c>
      <c r="F342" s="59">
        <f>IF(F332="","",(F332-'2018'!F311)/'2018'!F311)</f>
        <v>-2.547638773819387E-2</v>
      </c>
      <c r="G342" s="59" t="str">
        <f>IF(G332="","",(G332-#REF!)/#REF!)</f>
        <v/>
      </c>
      <c r="H342" s="59" t="str">
        <f>IF(H332="","",(H332-#REF!)/#REF!)</f>
        <v/>
      </c>
      <c r="I342" s="59" t="str">
        <f>IF(I332="","",(I332-#REF!)/#REF!)</f>
        <v/>
      </c>
      <c r="J342" s="55"/>
      <c r="K342" s="55"/>
      <c r="L342" s="55"/>
      <c r="M342" s="55" t="str">
        <f>IF(G342="","",M332-((1/Comparisons!#REF!)*1000000))</f>
        <v/>
      </c>
      <c r="N342" s="55" t="str">
        <f>IF(H342="","",N332-((1/Comparisons!#REF!)*1000000))</f>
        <v/>
      </c>
      <c r="O342" s="56" t="str">
        <f>IF(I342="","",O332-((1/Comparisons!#REF!)*1000000))</f>
        <v/>
      </c>
    </row>
    <row r="343" spans="1:15" ht="15.75" thickBot="1" x14ac:dyDescent="0.3">
      <c r="A343" s="60" t="s">
        <v>17</v>
      </c>
      <c r="B343" s="61" t="s">
        <v>18</v>
      </c>
      <c r="C343" s="61" t="s">
        <v>11</v>
      </c>
      <c r="D343" s="59">
        <f>IF(D333="","",(D333-'2018'!D312)/'2018'!D312)</f>
        <v>1.7021276595744681E-2</v>
      </c>
      <c r="E343" s="59">
        <f>IF(E333="","",(E333-'2018'!E312)/'2018'!E312)</f>
        <v>2.8351417570878543E-2</v>
      </c>
      <c r="F343" s="59">
        <f>IF(F333="","",(F333-'2018'!F312)/'2018'!F312)</f>
        <v>1.7044180309486432E-2</v>
      </c>
      <c r="G343" s="62" t="str">
        <f>IF(G333="","",(G333-#REF!)/#REF!)</f>
        <v/>
      </c>
      <c r="H343" s="62" t="str">
        <f>IF(H333="","",(H333-#REF!)/#REF!)</f>
        <v/>
      </c>
      <c r="I343" s="62" t="str">
        <f>IF(I333="","",(I333-#REF!)/#REF!)</f>
        <v/>
      </c>
      <c r="J343" s="63"/>
      <c r="K343" s="63"/>
      <c r="L343" s="63"/>
      <c r="M343" s="63" t="str">
        <f>IF(G343="","",M333-((1/Comparisons!#REF!)*1000000))</f>
        <v/>
      </c>
      <c r="N343" s="63" t="str">
        <f>IF(H343="","",N333-((1/Comparisons!#REF!)*1000000))</f>
        <v/>
      </c>
      <c r="O343" s="64" t="str">
        <f>IF(I343="","",O333-((1/Comparisons!#REF!)*1000000))</f>
        <v/>
      </c>
    </row>
    <row r="344" spans="1:15" ht="15.75" thickBot="1" x14ac:dyDescent="0.3"/>
    <row r="345" spans="1:15" ht="18.75" x14ac:dyDescent="0.25">
      <c r="A345" s="138" t="s">
        <v>159</v>
      </c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40"/>
    </row>
    <row r="346" spans="1:15" ht="15.75" x14ac:dyDescent="0.25">
      <c r="A346" s="113" t="s">
        <v>194</v>
      </c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2"/>
    </row>
    <row r="347" spans="1:15" x14ac:dyDescent="0.25">
      <c r="A347" s="134" t="s">
        <v>1</v>
      </c>
      <c r="B347" s="135"/>
      <c r="C347" s="135"/>
      <c r="D347" s="136" t="s">
        <v>2</v>
      </c>
      <c r="E347" s="136"/>
      <c r="F347" s="136"/>
      <c r="G347" s="136"/>
      <c r="H347" s="136"/>
      <c r="I347" s="136"/>
      <c r="J347" s="136" t="s">
        <v>3</v>
      </c>
      <c r="K347" s="136"/>
      <c r="L347" s="136"/>
      <c r="M347" s="136"/>
      <c r="N347" s="136"/>
      <c r="O347" s="137"/>
    </row>
    <row r="348" spans="1:15" x14ac:dyDescent="0.25">
      <c r="A348" s="47" t="s">
        <v>26</v>
      </c>
      <c r="B348" s="48" t="s">
        <v>5</v>
      </c>
      <c r="C348" s="48" t="s">
        <v>6</v>
      </c>
      <c r="D348" s="49">
        <v>1</v>
      </c>
      <c r="E348" s="49">
        <v>4</v>
      </c>
      <c r="F348" s="49">
        <v>16</v>
      </c>
      <c r="G348" s="49">
        <v>32</v>
      </c>
      <c r="H348" s="49">
        <v>64</v>
      </c>
      <c r="I348" s="49">
        <v>80</v>
      </c>
      <c r="J348" s="49">
        <v>1</v>
      </c>
      <c r="K348" s="49">
        <v>4</v>
      </c>
      <c r="L348" s="49">
        <v>16</v>
      </c>
      <c r="M348" s="49">
        <v>32</v>
      </c>
      <c r="N348" s="49">
        <v>64</v>
      </c>
      <c r="O348" s="50">
        <v>80</v>
      </c>
    </row>
    <row r="349" spans="1:15" x14ac:dyDescent="0.25">
      <c r="A349" s="51" t="s">
        <v>7</v>
      </c>
      <c r="B349" s="52" t="s">
        <v>8</v>
      </c>
      <c r="C349" s="52" t="s">
        <v>9</v>
      </c>
      <c r="D349" s="52">
        <v>41621</v>
      </c>
      <c r="E349" s="52">
        <v>19733</v>
      </c>
      <c r="F349" s="52">
        <v>5837</v>
      </c>
      <c r="G349" s="54"/>
      <c r="H349" s="54"/>
      <c r="I349" s="54"/>
      <c r="J349" s="55"/>
      <c r="K349" s="55"/>
      <c r="L349" s="55"/>
      <c r="M349" s="55" t="str">
        <f t="shared" ref="M349:M354" si="67">IF(G349="","",(1/G349)*1000000)</f>
        <v/>
      </c>
      <c r="N349" s="55" t="str">
        <f t="shared" ref="N349:N354" si="68">IF(H349="","",(1/H349)*1000000)</f>
        <v/>
      </c>
      <c r="O349" s="56" t="str">
        <f t="shared" ref="O349:O354" si="69">IF(I349="","",(1/I349)*1000000)</f>
        <v/>
      </c>
    </row>
    <row r="350" spans="1:15" x14ac:dyDescent="0.25">
      <c r="A350" s="51" t="s">
        <v>10</v>
      </c>
      <c r="B350" s="52" t="s">
        <v>8</v>
      </c>
      <c r="C350" s="52" t="s">
        <v>11</v>
      </c>
      <c r="D350" s="52">
        <v>15439</v>
      </c>
      <c r="E350" s="52">
        <v>11608</v>
      </c>
      <c r="F350" s="52">
        <v>4945</v>
      </c>
      <c r="G350" s="54"/>
      <c r="H350" s="54"/>
      <c r="I350" s="54"/>
      <c r="J350" s="55"/>
      <c r="K350" s="55"/>
      <c r="L350" s="55"/>
      <c r="M350" s="55" t="str">
        <f t="shared" si="67"/>
        <v/>
      </c>
      <c r="N350" s="55" t="str">
        <f t="shared" si="68"/>
        <v/>
      </c>
      <c r="O350" s="56" t="str">
        <f t="shared" si="69"/>
        <v/>
      </c>
    </row>
    <row r="351" spans="1:15" x14ac:dyDescent="0.25">
      <c r="A351" s="51" t="s">
        <v>12</v>
      </c>
      <c r="B351" s="52" t="s">
        <v>13</v>
      </c>
      <c r="C351" s="52" t="s">
        <v>9</v>
      </c>
      <c r="D351" s="65">
        <v>39956</v>
      </c>
      <c r="E351" s="52">
        <v>17699</v>
      </c>
      <c r="F351" s="52">
        <v>5608</v>
      </c>
      <c r="G351" s="54"/>
      <c r="H351" s="54"/>
      <c r="I351" s="54"/>
      <c r="J351" s="55"/>
      <c r="K351" s="55"/>
      <c r="L351" s="55"/>
      <c r="M351" s="55" t="str">
        <f t="shared" si="67"/>
        <v/>
      </c>
      <c r="N351" s="55" t="str">
        <f t="shared" si="68"/>
        <v/>
      </c>
      <c r="O351" s="56" t="str">
        <f t="shared" si="69"/>
        <v/>
      </c>
    </row>
    <row r="352" spans="1:15" x14ac:dyDescent="0.25">
      <c r="A352" s="51" t="s">
        <v>14</v>
      </c>
      <c r="B352" s="52" t="s">
        <v>13</v>
      </c>
      <c r="C352" s="52" t="s">
        <v>11</v>
      </c>
      <c r="D352" s="52">
        <v>15785</v>
      </c>
      <c r="E352" s="52">
        <v>10357</v>
      </c>
      <c r="F352" s="65">
        <v>4665</v>
      </c>
      <c r="G352" s="54"/>
      <c r="H352" s="54"/>
      <c r="I352" s="54"/>
      <c r="J352" s="55"/>
      <c r="K352" s="55"/>
      <c r="L352" s="55"/>
      <c r="M352" s="55" t="str">
        <f t="shared" si="67"/>
        <v/>
      </c>
      <c r="N352" s="55" t="str">
        <f t="shared" si="68"/>
        <v/>
      </c>
      <c r="O352" s="56" t="str">
        <f t="shared" si="69"/>
        <v/>
      </c>
    </row>
    <row r="353" spans="1:15" x14ac:dyDescent="0.25">
      <c r="A353" s="51" t="s">
        <v>15</v>
      </c>
      <c r="B353" s="52" t="s">
        <v>16</v>
      </c>
      <c r="C353" s="52" t="s">
        <v>11</v>
      </c>
      <c r="D353" s="52">
        <v>14472</v>
      </c>
      <c r="E353" s="8">
        <v>10456</v>
      </c>
      <c r="F353" s="52">
        <v>4732</v>
      </c>
      <c r="G353" s="54"/>
      <c r="H353" s="54"/>
      <c r="I353" s="54"/>
      <c r="J353" s="55"/>
      <c r="K353" s="55"/>
      <c r="L353" s="55"/>
      <c r="M353" s="55" t="str">
        <f t="shared" si="67"/>
        <v/>
      </c>
      <c r="N353" s="55" t="str">
        <f t="shared" si="68"/>
        <v/>
      </c>
      <c r="O353" s="56" t="str">
        <f t="shared" si="69"/>
        <v/>
      </c>
    </row>
    <row r="354" spans="1:15" x14ac:dyDescent="0.25">
      <c r="A354" s="51" t="s">
        <v>17</v>
      </c>
      <c r="B354" s="52" t="s">
        <v>18</v>
      </c>
      <c r="C354" s="52" t="s">
        <v>11</v>
      </c>
      <c r="D354" s="8">
        <v>12421</v>
      </c>
      <c r="E354" s="52">
        <v>8631</v>
      </c>
      <c r="F354" s="52">
        <v>4267</v>
      </c>
      <c r="G354" s="54"/>
      <c r="H354" s="54"/>
      <c r="I354" s="54"/>
      <c r="J354" s="55"/>
      <c r="K354" s="55"/>
      <c r="L354" s="55"/>
      <c r="M354" s="55" t="str">
        <f t="shared" si="67"/>
        <v/>
      </c>
      <c r="N354" s="55" t="str">
        <f t="shared" si="68"/>
        <v/>
      </c>
      <c r="O354" s="56" t="str">
        <f t="shared" si="69"/>
        <v/>
      </c>
    </row>
    <row r="355" spans="1:15" x14ac:dyDescent="0.25">
      <c r="A355" s="116" t="s">
        <v>195</v>
      </c>
      <c r="B355" s="117"/>
      <c r="C355" s="117"/>
      <c r="D355" s="117"/>
      <c r="E355" s="143"/>
      <c r="F355" s="143"/>
      <c r="G355" s="143"/>
      <c r="H355" s="143"/>
      <c r="I355" s="143"/>
      <c r="J355" s="57"/>
      <c r="K355" s="57"/>
      <c r="L355" s="57"/>
      <c r="M355" s="57"/>
      <c r="N355" s="57"/>
      <c r="O355" s="58"/>
    </row>
    <row r="356" spans="1:15" ht="18.75" x14ac:dyDescent="0.3">
      <c r="A356" s="119" t="s">
        <v>193</v>
      </c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5"/>
    </row>
    <row r="357" spans="1:15" x14ac:dyDescent="0.25">
      <c r="A357" s="134" t="s">
        <v>1</v>
      </c>
      <c r="B357" s="135"/>
      <c r="C357" s="135"/>
      <c r="D357" s="136" t="s">
        <v>19</v>
      </c>
      <c r="E357" s="136"/>
      <c r="F357" s="136"/>
      <c r="G357" s="136"/>
      <c r="H357" s="136"/>
      <c r="I357" s="136"/>
      <c r="J357" s="136" t="s">
        <v>22</v>
      </c>
      <c r="K357" s="136"/>
      <c r="L357" s="136"/>
      <c r="M357" s="136"/>
      <c r="N357" s="136"/>
      <c r="O357" s="137"/>
    </row>
    <row r="358" spans="1:15" x14ac:dyDescent="0.25">
      <c r="A358" s="47" t="s">
        <v>4</v>
      </c>
      <c r="B358" s="48" t="s">
        <v>5</v>
      </c>
      <c r="C358" s="48" t="s">
        <v>6</v>
      </c>
      <c r="D358" s="49">
        <v>1</v>
      </c>
      <c r="E358" s="49">
        <v>4</v>
      </c>
      <c r="F358" s="49">
        <v>16</v>
      </c>
      <c r="G358" s="49">
        <v>32</v>
      </c>
      <c r="H358" s="49">
        <v>64</v>
      </c>
      <c r="I358" s="49">
        <v>80</v>
      </c>
      <c r="J358" s="49">
        <v>1</v>
      </c>
      <c r="K358" s="49">
        <v>4</v>
      </c>
      <c r="L358" s="49">
        <v>16</v>
      </c>
      <c r="M358" s="49">
        <v>32</v>
      </c>
      <c r="N358" s="49">
        <v>64</v>
      </c>
      <c r="O358" s="50">
        <v>80</v>
      </c>
    </row>
    <row r="359" spans="1:15" x14ac:dyDescent="0.25">
      <c r="A359" s="51" t="s">
        <v>7</v>
      </c>
      <c r="B359" s="52" t="s">
        <v>8</v>
      </c>
      <c r="C359" s="52" t="s">
        <v>9</v>
      </c>
      <c r="D359" s="59">
        <f>IF(D349="","",(D349-'2018'!D307)/'2018'!D307)</f>
        <v>-3.429313905195016E-2</v>
      </c>
      <c r="E359" s="59">
        <f>IF(E349="","",(E349-'2018'!E307)/'2018'!E307)</f>
        <v>-3.0817419420026272E-3</v>
      </c>
      <c r="F359" s="59">
        <f>IF(F349="","",(F349-'2018'!F307)/'2018'!F307)</f>
        <v>-1.0268697586856067E-3</v>
      </c>
      <c r="G359" s="59" t="str">
        <f>IF(G349="","",(G349-'2017'!G690)/'2017'!G690)</f>
        <v/>
      </c>
      <c r="H359" s="59" t="str">
        <f>IF(H349="","",(H349-#REF!)/#REF!)</f>
        <v/>
      </c>
      <c r="I359" s="59" t="str">
        <f>IF(I349="","",(I349-#REF!)/#REF!)</f>
        <v/>
      </c>
      <c r="J359" s="55"/>
      <c r="K359" s="55"/>
      <c r="L359" s="55"/>
      <c r="M359" s="55" t="str">
        <f>IF(G359="","",M349-((1/Comparisons!#REF!)*1000000))</f>
        <v/>
      </c>
      <c r="N359" s="55" t="str">
        <f>IF(H359="","",N349-((1/Comparisons!#REF!)*1000000))</f>
        <v/>
      </c>
      <c r="O359" s="56" t="str">
        <f>IF(I359="","",O349-((1/Comparisons!#REF!)*1000000))</f>
        <v/>
      </c>
    </row>
    <row r="360" spans="1:15" x14ac:dyDescent="0.25">
      <c r="A360" s="51" t="s">
        <v>10</v>
      </c>
      <c r="B360" s="52" t="s">
        <v>8</v>
      </c>
      <c r="C360" s="52" t="s">
        <v>11</v>
      </c>
      <c r="D360" s="59">
        <f>IF(D350="","",(D350-'2018'!D308)/'2018'!D308)</f>
        <v>-0.13298141180434661</v>
      </c>
      <c r="E360" s="59">
        <f>IF(E350="","",(E350-'2018'!E308)/'2018'!E308)</f>
        <v>-4.413702239789196E-2</v>
      </c>
      <c r="F360" s="59">
        <f>IF(F350="","",(F350-'2018'!F308)/'2018'!F308)</f>
        <v>-1.1593044173495902E-2</v>
      </c>
      <c r="G360" s="59" t="str">
        <f>IF(G350="","",(G350-#REF!)/#REF!)</f>
        <v/>
      </c>
      <c r="H360" s="59" t="str">
        <f>IF(H350="","",(H350-#REF!)/#REF!)</f>
        <v/>
      </c>
      <c r="I360" s="59" t="str">
        <f>IF(I350="","",(I350-#REF!)/#REF!)</f>
        <v/>
      </c>
      <c r="J360" s="55"/>
      <c r="K360" s="55"/>
      <c r="L360" s="55"/>
      <c r="M360" s="55" t="str">
        <f>IF(G360="","",M350-((1/Comparisons!#REF!)*1000000))</f>
        <v/>
      </c>
      <c r="N360" s="55" t="str">
        <f>IF(H360="","",N350-((1/Comparisons!#REF!)*1000000))</f>
        <v/>
      </c>
      <c r="O360" s="56" t="str">
        <f>IF(I360="","",O350-((1/Comparisons!#REF!)*1000000))</f>
        <v/>
      </c>
    </row>
    <row r="361" spans="1:15" x14ac:dyDescent="0.25">
      <c r="A361" s="51" t="s">
        <v>12</v>
      </c>
      <c r="B361" s="52" t="s">
        <v>13</v>
      </c>
      <c r="C361" s="52" t="s">
        <v>9</v>
      </c>
      <c r="D361" s="59">
        <f>IF(D351="","",(D351-'2018'!D309)/'2018'!D309)</f>
        <v>0</v>
      </c>
      <c r="E361" s="59">
        <f>IF(E351="","",(E351-'2018'!E309)/'2018'!E309)</f>
        <v>-1.1836301714030485E-2</v>
      </c>
      <c r="F361" s="59">
        <f>IF(F351="","",(F351-'2018'!F309)/'2018'!F309)</f>
        <v>3.3995348005009841E-3</v>
      </c>
      <c r="G361" s="59" t="str">
        <f>IF(G351="","",(G351-#REF!)/#REF!)</f>
        <v/>
      </c>
      <c r="H361" s="59" t="str">
        <f>IF(H351="","",(H351-#REF!)/#REF!)</f>
        <v/>
      </c>
      <c r="I361" s="59" t="str">
        <f>IF(I351="","",(I351-#REF!)/#REF!)</f>
        <v/>
      </c>
      <c r="J361" s="55"/>
      <c r="K361" s="55"/>
      <c r="L361" s="55"/>
      <c r="M361" s="55" t="str">
        <f>IF(G361="","",M351-((1/Comparisons!#REF!)*1000000))</f>
        <v/>
      </c>
      <c r="N361" s="55" t="str">
        <f>IF(H361="","",N351-((1/Comparisons!#REF!)*1000000))</f>
        <v/>
      </c>
      <c r="O361" s="56" t="str">
        <f>IF(I361="","",O351-((1/Comparisons!#REF!)*1000000))</f>
        <v/>
      </c>
    </row>
    <row r="362" spans="1:15" x14ac:dyDescent="0.25">
      <c r="A362" s="51" t="s">
        <v>14</v>
      </c>
      <c r="B362" s="52" t="s">
        <v>13</v>
      </c>
      <c r="C362" s="52" t="s">
        <v>11</v>
      </c>
      <c r="D362" s="59">
        <f>IF(D352="","",(D352-'2018'!D310)/'2018'!D310)</f>
        <v>-0.10743567995476393</v>
      </c>
      <c r="E362" s="59">
        <f>IF(E352="","",(E352-'2018'!E310)/'2018'!E310)</f>
        <v>-0.10048636442591627</v>
      </c>
      <c r="F362" s="59">
        <f>IF(F352="","",(F352-'2018'!F310)/'2018'!F310)</f>
        <v>-3.0750051942655308E-2</v>
      </c>
      <c r="G362" s="59" t="str">
        <f>IF(G352="","",(G352-#REF!)/#REF!)</f>
        <v/>
      </c>
      <c r="H362" s="59" t="str">
        <f>IF(H352="","",(H352-#REF!)/#REF!)</f>
        <v/>
      </c>
      <c r="I362" s="59" t="str">
        <f>IF(I352="","",(I352-#REF!)/#REF!)</f>
        <v/>
      </c>
      <c r="J362" s="55"/>
      <c r="K362" s="55"/>
      <c r="L362" s="55"/>
      <c r="M362" s="55" t="str">
        <f>IF(G362="","",M352-((1/Comparisons!#REF!)*1000000))</f>
        <v/>
      </c>
      <c r="N362" s="55" t="str">
        <f>IF(H362="","",N352-((1/Comparisons!#REF!)*1000000))</f>
        <v/>
      </c>
      <c r="O362" s="56" t="str">
        <f>IF(I362="","",O352-((1/Comparisons!#REF!)*1000000))</f>
        <v/>
      </c>
    </row>
    <row r="363" spans="1:15" x14ac:dyDescent="0.25">
      <c r="A363" s="51" t="s">
        <v>15</v>
      </c>
      <c r="B363" s="8" t="s">
        <v>16</v>
      </c>
      <c r="C363" s="52" t="s">
        <v>11</v>
      </c>
      <c r="D363" s="59">
        <f>IF(D353="","",(D353-'2018'!D311)/'2018'!D311)</f>
        <v>5.0827766482718556E-2</v>
      </c>
      <c r="E363" s="59">
        <f>IF(E353="","",(E353-'2018'!E311)/'2018'!E311)</f>
        <v>6.0984271943176051E-2</v>
      </c>
      <c r="F363" s="59">
        <f>IF(F353="","",(F353-'2018'!F311)/'2018'!F311)</f>
        <v>-1.9884009942004972E-2</v>
      </c>
      <c r="G363" s="59" t="str">
        <f>IF(G353="","",(G353-#REF!)/#REF!)</f>
        <v/>
      </c>
      <c r="H363" s="59" t="str">
        <f>IF(H353="","",(H353-#REF!)/#REF!)</f>
        <v/>
      </c>
      <c r="I363" s="59" t="str">
        <f>IF(I353="","",(I353-#REF!)/#REF!)</f>
        <v/>
      </c>
      <c r="J363" s="55"/>
      <c r="K363" s="55"/>
      <c r="L363" s="55"/>
      <c r="M363" s="55" t="str">
        <f>IF(G363="","",M353-((1/Comparisons!#REF!)*1000000))</f>
        <v/>
      </c>
      <c r="N363" s="55" t="str">
        <f>IF(H363="","",N353-((1/Comparisons!#REF!)*1000000))</f>
        <v/>
      </c>
      <c r="O363" s="56" t="str">
        <f>IF(I363="","",O353-((1/Comparisons!#REF!)*1000000))</f>
        <v/>
      </c>
    </row>
    <row r="364" spans="1:15" ht="15.75" thickBot="1" x14ac:dyDescent="0.3">
      <c r="A364" s="60" t="s">
        <v>17</v>
      </c>
      <c r="B364" s="61" t="s">
        <v>18</v>
      </c>
      <c r="C364" s="61" t="s">
        <v>11</v>
      </c>
      <c r="D364" s="59">
        <f>IF(D354="","",(D354-'2018'!D312)/'2018'!D312)</f>
        <v>1.6448445171849426E-2</v>
      </c>
      <c r="E364" s="59">
        <f>IF(E354="","",(E354-'2018'!E312)/'2018'!E312)</f>
        <v>7.0003500175008747E-3</v>
      </c>
      <c r="F364" s="59">
        <f>IF(F354="","",(F354-'2018'!F312)/'2018'!F312)</f>
        <v>-4.3058981834492041E-2</v>
      </c>
      <c r="G364" s="62" t="str">
        <f>IF(G354="","",(G354-#REF!)/#REF!)</f>
        <v/>
      </c>
      <c r="H364" s="62" t="str">
        <f>IF(H354="","",(H354-#REF!)/#REF!)</f>
        <v/>
      </c>
      <c r="I364" s="62" t="str">
        <f>IF(I354="","",(I354-#REF!)/#REF!)</f>
        <v/>
      </c>
      <c r="J364" s="63"/>
      <c r="K364" s="63"/>
      <c r="L364" s="63"/>
      <c r="M364" s="63" t="str">
        <f>IF(G364="","",M354-((1/Comparisons!#REF!)*1000000))</f>
        <v/>
      </c>
      <c r="N364" s="63" t="str">
        <f>IF(H364="","",N354-((1/Comparisons!#REF!)*1000000))</f>
        <v/>
      </c>
      <c r="O364" s="64" t="str">
        <f>IF(I364="","",O354-((1/Comparisons!#REF!)*1000000))</f>
        <v/>
      </c>
    </row>
    <row r="365" spans="1:15" ht="15.75" thickBot="1" x14ac:dyDescent="0.3"/>
    <row r="366" spans="1:15" ht="18.75" x14ac:dyDescent="0.25">
      <c r="A366" s="138" t="s">
        <v>159</v>
      </c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40"/>
    </row>
    <row r="367" spans="1:15" ht="15.75" x14ac:dyDescent="0.25">
      <c r="A367" s="113" t="s">
        <v>194</v>
      </c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2"/>
    </row>
    <row r="368" spans="1:15" x14ac:dyDescent="0.25">
      <c r="A368" s="134" t="s">
        <v>1</v>
      </c>
      <c r="B368" s="135"/>
      <c r="C368" s="135"/>
      <c r="D368" s="136" t="s">
        <v>2</v>
      </c>
      <c r="E368" s="136"/>
      <c r="F368" s="136"/>
      <c r="G368" s="136"/>
      <c r="H368" s="136"/>
      <c r="I368" s="136"/>
      <c r="J368" s="136" t="s">
        <v>3</v>
      </c>
      <c r="K368" s="136"/>
      <c r="L368" s="136"/>
      <c r="M368" s="136"/>
      <c r="N368" s="136"/>
      <c r="O368" s="137"/>
    </row>
    <row r="369" spans="1:15" x14ac:dyDescent="0.25">
      <c r="A369" s="47" t="s">
        <v>26</v>
      </c>
      <c r="B369" s="48" t="s">
        <v>5</v>
      </c>
      <c r="C369" s="48" t="s">
        <v>6</v>
      </c>
      <c r="D369" s="49">
        <v>1</v>
      </c>
      <c r="E369" s="49">
        <v>4</v>
      </c>
      <c r="F369" s="49">
        <v>16</v>
      </c>
      <c r="G369" s="49">
        <v>32</v>
      </c>
      <c r="H369" s="49">
        <v>64</v>
      </c>
      <c r="I369" s="49">
        <v>80</v>
      </c>
      <c r="J369" s="49">
        <v>1</v>
      </c>
      <c r="K369" s="49">
        <v>4</v>
      </c>
      <c r="L369" s="49">
        <v>16</v>
      </c>
      <c r="M369" s="49">
        <v>32</v>
      </c>
      <c r="N369" s="49">
        <v>64</v>
      </c>
      <c r="O369" s="50">
        <v>80</v>
      </c>
    </row>
    <row r="370" spans="1:15" x14ac:dyDescent="0.25">
      <c r="A370" s="51" t="s">
        <v>7</v>
      </c>
      <c r="B370" s="52" t="s">
        <v>8</v>
      </c>
      <c r="C370" s="52" t="s">
        <v>9</v>
      </c>
      <c r="D370" s="52">
        <v>43435</v>
      </c>
      <c r="E370" s="52">
        <v>19832</v>
      </c>
      <c r="F370" s="8">
        <v>5843</v>
      </c>
      <c r="G370" s="54"/>
      <c r="H370" s="54"/>
      <c r="I370" s="54"/>
      <c r="J370" s="55"/>
      <c r="K370" s="55"/>
      <c r="L370" s="55"/>
      <c r="M370" s="55" t="str">
        <f t="shared" ref="M370:M375" si="70">IF(G370="","",(1/G370)*1000000)</f>
        <v/>
      </c>
      <c r="N370" s="55" t="str">
        <f t="shared" ref="N370:N375" si="71">IF(H370="","",(1/H370)*1000000)</f>
        <v/>
      </c>
      <c r="O370" s="56" t="str">
        <f t="shared" ref="O370:O375" si="72">IF(I370="","",(1/I370)*1000000)</f>
        <v/>
      </c>
    </row>
    <row r="371" spans="1:15" x14ac:dyDescent="0.25">
      <c r="A371" s="51" t="s">
        <v>10</v>
      </c>
      <c r="B371" s="52" t="s">
        <v>8</v>
      </c>
      <c r="C371" s="52" t="s">
        <v>11</v>
      </c>
      <c r="D371" s="52">
        <v>17977</v>
      </c>
      <c r="E371" s="52">
        <v>12013</v>
      </c>
      <c r="F371" s="8">
        <v>5011</v>
      </c>
      <c r="G371" s="54"/>
      <c r="H371" s="54"/>
      <c r="I371" s="54"/>
      <c r="J371" s="55"/>
      <c r="K371" s="55"/>
      <c r="L371" s="55"/>
      <c r="M371" s="55" t="str">
        <f t="shared" si="70"/>
        <v/>
      </c>
      <c r="N371" s="55" t="str">
        <f t="shared" si="71"/>
        <v/>
      </c>
      <c r="O371" s="56" t="str">
        <f t="shared" si="72"/>
        <v/>
      </c>
    </row>
    <row r="372" spans="1:15" x14ac:dyDescent="0.25">
      <c r="A372" s="51" t="s">
        <v>12</v>
      </c>
      <c r="B372" s="52" t="s">
        <v>13</v>
      </c>
      <c r="C372" s="52" t="s">
        <v>9</v>
      </c>
      <c r="D372" s="65">
        <v>39956</v>
      </c>
      <c r="E372" s="8">
        <v>17773</v>
      </c>
      <c r="F372" s="52">
        <v>5637</v>
      </c>
      <c r="G372" s="54"/>
      <c r="H372" s="54"/>
      <c r="I372" s="54"/>
      <c r="J372" s="55"/>
      <c r="K372" s="55"/>
      <c r="L372" s="55"/>
      <c r="M372" s="55" t="str">
        <f t="shared" si="70"/>
        <v/>
      </c>
      <c r="N372" s="55" t="str">
        <f t="shared" si="71"/>
        <v/>
      </c>
      <c r="O372" s="56" t="str">
        <f t="shared" si="72"/>
        <v/>
      </c>
    </row>
    <row r="373" spans="1:15" x14ac:dyDescent="0.25">
      <c r="A373" s="51" t="s">
        <v>14</v>
      </c>
      <c r="B373" s="52" t="s">
        <v>13</v>
      </c>
      <c r="C373" s="52" t="s">
        <v>11</v>
      </c>
      <c r="D373" s="52">
        <v>17896</v>
      </c>
      <c r="E373" s="52">
        <v>11681</v>
      </c>
      <c r="F373" s="65">
        <v>4775</v>
      </c>
      <c r="G373" s="54"/>
      <c r="H373" s="54"/>
      <c r="I373" s="54"/>
      <c r="J373" s="55"/>
      <c r="K373" s="55"/>
      <c r="L373" s="55"/>
      <c r="M373" s="55" t="str">
        <f t="shared" si="70"/>
        <v/>
      </c>
      <c r="N373" s="55" t="str">
        <f t="shared" si="71"/>
        <v/>
      </c>
      <c r="O373" s="56" t="str">
        <f t="shared" si="72"/>
        <v/>
      </c>
    </row>
    <row r="374" spans="1:15" x14ac:dyDescent="0.25">
      <c r="A374" s="51" t="s">
        <v>15</v>
      </c>
      <c r="B374" s="52" t="s">
        <v>16</v>
      </c>
      <c r="C374" s="52" t="s">
        <v>11</v>
      </c>
      <c r="D374" s="52">
        <v>13555</v>
      </c>
      <c r="E374" s="8">
        <v>9612</v>
      </c>
      <c r="F374" s="52">
        <v>4801</v>
      </c>
      <c r="G374" s="54"/>
      <c r="H374" s="54"/>
      <c r="I374" s="54"/>
      <c r="J374" s="55"/>
      <c r="K374" s="55"/>
      <c r="L374" s="55"/>
      <c r="M374" s="55" t="str">
        <f t="shared" si="70"/>
        <v/>
      </c>
      <c r="N374" s="55" t="str">
        <f t="shared" si="71"/>
        <v/>
      </c>
      <c r="O374" s="56" t="str">
        <f t="shared" si="72"/>
        <v/>
      </c>
    </row>
    <row r="375" spans="1:15" x14ac:dyDescent="0.25">
      <c r="A375" s="51" t="s">
        <v>17</v>
      </c>
      <c r="B375" s="52" t="s">
        <v>18</v>
      </c>
      <c r="C375" s="52" t="s">
        <v>11</v>
      </c>
      <c r="D375" s="8">
        <v>12348</v>
      </c>
      <c r="E375" s="52">
        <v>8784</v>
      </c>
      <c r="F375" s="52">
        <v>4737</v>
      </c>
      <c r="G375" s="54"/>
      <c r="H375" s="54"/>
      <c r="I375" s="54"/>
      <c r="J375" s="55"/>
      <c r="K375" s="55"/>
      <c r="L375" s="55"/>
      <c r="M375" s="55" t="str">
        <f t="shared" si="70"/>
        <v/>
      </c>
      <c r="N375" s="55" t="str">
        <f t="shared" si="71"/>
        <v/>
      </c>
      <c r="O375" s="56" t="str">
        <f t="shared" si="72"/>
        <v/>
      </c>
    </row>
    <row r="376" spans="1:15" x14ac:dyDescent="0.25">
      <c r="A376" s="116" t="s">
        <v>195</v>
      </c>
      <c r="B376" s="117"/>
      <c r="C376" s="117"/>
      <c r="D376" s="117"/>
      <c r="E376" s="143"/>
      <c r="F376" s="143"/>
      <c r="G376" s="143"/>
      <c r="H376" s="143"/>
      <c r="I376" s="143"/>
      <c r="J376" s="57"/>
      <c r="K376" s="57"/>
      <c r="L376" s="57"/>
      <c r="M376" s="57"/>
      <c r="N376" s="57"/>
      <c r="O376" s="58"/>
    </row>
    <row r="377" spans="1:15" ht="18.75" x14ac:dyDescent="0.3">
      <c r="A377" s="119" t="s">
        <v>193</v>
      </c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5"/>
    </row>
    <row r="378" spans="1:15" x14ac:dyDescent="0.25">
      <c r="A378" s="134" t="s">
        <v>1</v>
      </c>
      <c r="B378" s="135"/>
      <c r="C378" s="135"/>
      <c r="D378" s="136" t="s">
        <v>19</v>
      </c>
      <c r="E378" s="136"/>
      <c r="F378" s="136"/>
      <c r="G378" s="136"/>
      <c r="H378" s="136"/>
      <c r="I378" s="136"/>
      <c r="J378" s="136" t="s">
        <v>22</v>
      </c>
      <c r="K378" s="136"/>
      <c r="L378" s="136"/>
      <c r="M378" s="136"/>
      <c r="N378" s="136"/>
      <c r="O378" s="137"/>
    </row>
    <row r="379" spans="1:15" x14ac:dyDescent="0.25">
      <c r="A379" s="47" t="s">
        <v>4</v>
      </c>
      <c r="B379" s="48" t="s">
        <v>5</v>
      </c>
      <c r="C379" s="48" t="s">
        <v>6</v>
      </c>
      <c r="D379" s="49">
        <v>1</v>
      </c>
      <c r="E379" s="49">
        <v>4</v>
      </c>
      <c r="F379" s="49">
        <v>16</v>
      </c>
      <c r="G379" s="49">
        <v>32</v>
      </c>
      <c r="H379" s="49">
        <v>64</v>
      </c>
      <c r="I379" s="49">
        <v>80</v>
      </c>
      <c r="J379" s="49">
        <v>1</v>
      </c>
      <c r="K379" s="49">
        <v>4</v>
      </c>
      <c r="L379" s="49">
        <v>16</v>
      </c>
      <c r="M379" s="49">
        <v>32</v>
      </c>
      <c r="N379" s="49">
        <v>64</v>
      </c>
      <c r="O379" s="50">
        <v>80</v>
      </c>
    </row>
    <row r="380" spans="1:15" x14ac:dyDescent="0.25">
      <c r="A380" s="51" t="s">
        <v>7</v>
      </c>
      <c r="B380" s="52" t="s">
        <v>8</v>
      </c>
      <c r="C380" s="52" t="s">
        <v>9</v>
      </c>
      <c r="D380" s="59">
        <f>IF(D370="","",(D370-'2018'!D307)/'2018'!D307)</f>
        <v>7.7960045476693192E-3</v>
      </c>
      <c r="E380" s="59">
        <f>IF(E370="","",(E370-'2018'!E307)/'2018'!E307)</f>
        <v>1.9197736687885218E-3</v>
      </c>
      <c r="F380" s="59">
        <f>IF(F370="","",(F370-'2018'!F307)/'2018'!F307)</f>
        <v>0</v>
      </c>
      <c r="G380" s="59" t="str">
        <f>IF(G370="","",(G370-'2017'!G711)/'2017'!G711)</f>
        <v/>
      </c>
      <c r="H380" s="59" t="str">
        <f>IF(H370="","",(H370-#REF!)/#REF!)</f>
        <v/>
      </c>
      <c r="I380" s="59" t="str">
        <f>IF(I370="","",(I370-#REF!)/#REF!)</f>
        <v/>
      </c>
      <c r="J380" s="55"/>
      <c r="K380" s="55"/>
      <c r="L380" s="55"/>
      <c r="M380" s="55" t="str">
        <f>IF(G380="","",M370-((1/Comparisons!#REF!)*1000000))</f>
        <v/>
      </c>
      <c r="N380" s="55" t="str">
        <f>IF(H380="","",N370-((1/Comparisons!#REF!)*1000000))</f>
        <v/>
      </c>
      <c r="O380" s="56" t="str">
        <f>IF(I380="","",O370-((1/Comparisons!#REF!)*1000000))</f>
        <v/>
      </c>
    </row>
    <row r="381" spans="1:15" x14ac:dyDescent="0.25">
      <c r="A381" s="51" t="s">
        <v>10</v>
      </c>
      <c r="B381" s="52" t="s">
        <v>8</v>
      </c>
      <c r="C381" s="52" t="s">
        <v>11</v>
      </c>
      <c r="D381" s="59">
        <f>IF(D371="","",(D371-'2018'!D308)/'2018'!D308)</f>
        <v>9.5468074352782605E-3</v>
      </c>
      <c r="E381" s="59">
        <f>IF(E371="","",(E371-'2018'!E308)/'2018'!E308)</f>
        <v>-1.0787220026350462E-2</v>
      </c>
      <c r="F381" s="59">
        <f>IF(F371="","",(F371-'2018'!F308)/'2018'!F308)</f>
        <v>1.5990405756546072E-3</v>
      </c>
      <c r="G381" s="59" t="str">
        <f>IF(G371="","",(G371-#REF!)/#REF!)</f>
        <v/>
      </c>
      <c r="H381" s="59" t="str">
        <f>IF(H371="","",(H371-#REF!)/#REF!)</f>
        <v/>
      </c>
      <c r="I381" s="59" t="str">
        <f>IF(I371="","",(I371-#REF!)/#REF!)</f>
        <v/>
      </c>
      <c r="J381" s="55"/>
      <c r="K381" s="55"/>
      <c r="L381" s="55"/>
      <c r="M381" s="55" t="str">
        <f>IF(G381="","",M371-((1/Comparisons!#REF!)*1000000))</f>
        <v/>
      </c>
      <c r="N381" s="55" t="str">
        <f>IF(H381="","",N371-((1/Comparisons!#REF!)*1000000))</f>
        <v/>
      </c>
      <c r="O381" s="56" t="str">
        <f>IF(I381="","",O371-((1/Comparisons!#REF!)*1000000))</f>
        <v/>
      </c>
    </row>
    <row r="382" spans="1:15" x14ac:dyDescent="0.25">
      <c r="A382" s="51" t="s">
        <v>12</v>
      </c>
      <c r="B382" s="52" t="s">
        <v>13</v>
      </c>
      <c r="C382" s="52" t="s">
        <v>9</v>
      </c>
      <c r="D382" s="59">
        <f>IF(D372="","",(D372-'2018'!D309)/'2018'!D309)</f>
        <v>0</v>
      </c>
      <c r="E382" s="59">
        <f>IF(E372="","",(E372-'2018'!E309)/'2018'!E309)</f>
        <v>-7.7047624364915412E-3</v>
      </c>
      <c r="F382" s="59">
        <f>IF(F372="","",(F372-'2018'!F309)/'2018'!F309)</f>
        <v>8.5882984433709071E-3</v>
      </c>
      <c r="G382" s="59" t="str">
        <f>IF(G372="","",(G372-#REF!)/#REF!)</f>
        <v/>
      </c>
      <c r="H382" s="59" t="str">
        <f>IF(H372="","",(H372-#REF!)/#REF!)</f>
        <v/>
      </c>
      <c r="I382" s="59" t="str">
        <f>IF(I372="","",(I372-#REF!)/#REF!)</f>
        <v/>
      </c>
      <c r="J382" s="55"/>
      <c r="K382" s="55"/>
      <c r="L382" s="55"/>
      <c r="M382" s="55" t="str">
        <f>IF(G382="","",M372-((1/Comparisons!#REF!)*1000000))</f>
        <v/>
      </c>
      <c r="N382" s="55" t="str">
        <f>IF(H382="","",N372-((1/Comparisons!#REF!)*1000000))</f>
        <v/>
      </c>
      <c r="O382" s="56" t="str">
        <f>IF(I382="","",O372-((1/Comparisons!#REF!)*1000000))</f>
        <v/>
      </c>
    </row>
    <row r="383" spans="1:15" x14ac:dyDescent="0.25">
      <c r="A383" s="51" t="s">
        <v>14</v>
      </c>
      <c r="B383" s="52" t="s">
        <v>13</v>
      </c>
      <c r="C383" s="52" t="s">
        <v>11</v>
      </c>
      <c r="D383" s="59">
        <f>IF(D373="","",(D373-'2018'!D310)/'2018'!D310)</f>
        <v>1.19310149844501E-2</v>
      </c>
      <c r="E383" s="59">
        <f>IF(E373="","",(E373-'2018'!E310)/'2018'!E310)</f>
        <v>1.4504081987146084E-2</v>
      </c>
      <c r="F383" s="59">
        <f>IF(F373="","",(F373-'2018'!F310)/'2018'!F310)</f>
        <v>-7.8952836068979845E-3</v>
      </c>
      <c r="G383" s="59" t="str">
        <f>IF(G373="","",(G373-#REF!)/#REF!)</f>
        <v/>
      </c>
      <c r="H383" s="59" t="str">
        <f>IF(H373="","",(H373-#REF!)/#REF!)</f>
        <v/>
      </c>
      <c r="I383" s="59" t="str">
        <f>IF(I373="","",(I373-#REF!)/#REF!)</f>
        <v/>
      </c>
      <c r="J383" s="55"/>
      <c r="K383" s="55"/>
      <c r="L383" s="55"/>
      <c r="M383" s="55" t="str">
        <f>IF(G383="","",M373-((1/Comparisons!#REF!)*1000000))</f>
        <v/>
      </c>
      <c r="N383" s="55" t="str">
        <f>IF(H383="","",N373-((1/Comparisons!#REF!)*1000000))</f>
        <v/>
      </c>
      <c r="O383" s="56" t="str">
        <f>IF(I383="","",O373-((1/Comparisons!#REF!)*1000000))</f>
        <v/>
      </c>
    </row>
    <row r="384" spans="1:15" x14ac:dyDescent="0.25">
      <c r="A384" s="51" t="s">
        <v>15</v>
      </c>
      <c r="B384" s="8" t="s">
        <v>16</v>
      </c>
      <c r="C384" s="52" t="s">
        <v>11</v>
      </c>
      <c r="D384" s="59">
        <f>IF(D374="","",(D374-'2018'!D311)/'2018'!D311)</f>
        <v>-1.5756607609642752E-2</v>
      </c>
      <c r="E384" s="59">
        <f>IF(E374="","",(E374-'2018'!E311)/'2018'!E311)</f>
        <v>-2.4657534246575342E-2</v>
      </c>
      <c r="F384" s="59">
        <f>IF(F374="","",(F374-'2018'!F311)/'2018'!F311)</f>
        <v>-5.5923777961888977E-3</v>
      </c>
      <c r="G384" s="59" t="str">
        <f>IF(G374="","",(G374-#REF!)/#REF!)</f>
        <v/>
      </c>
      <c r="H384" s="59" t="str">
        <f>IF(H374="","",(H374-#REF!)/#REF!)</f>
        <v/>
      </c>
      <c r="I384" s="59" t="str">
        <f>IF(I374="","",(I374-#REF!)/#REF!)</f>
        <v/>
      </c>
      <c r="J384" s="55"/>
      <c r="K384" s="55"/>
      <c r="L384" s="55"/>
      <c r="M384" s="55" t="str">
        <f>IF(G384="","",M374-((1/Comparisons!#REF!)*1000000))</f>
        <v/>
      </c>
      <c r="N384" s="55" t="str">
        <f>IF(H384="","",N374-((1/Comparisons!#REF!)*1000000))</f>
        <v/>
      </c>
      <c r="O384" s="56" t="str">
        <f>IF(I384="","",O374-((1/Comparisons!#REF!)*1000000))</f>
        <v/>
      </c>
    </row>
    <row r="385" spans="1:15" ht="15.75" thickBot="1" x14ac:dyDescent="0.3">
      <c r="A385" s="60" t="s">
        <v>17</v>
      </c>
      <c r="B385" s="61" t="s">
        <v>18</v>
      </c>
      <c r="C385" s="61" t="s">
        <v>11</v>
      </c>
      <c r="D385" s="59">
        <f>IF(D375="","",(D375-'2018'!D312)/'2018'!D312)</f>
        <v>1.0474631751227497E-2</v>
      </c>
      <c r="E385" s="59">
        <f>IF(E375="","",(E375-'2018'!E312)/'2018'!E312)</f>
        <v>2.4851242562128107E-2</v>
      </c>
      <c r="F385" s="59">
        <f>IF(F375="","",(F375-'2018'!F312)/'2018'!F312)</f>
        <v>6.2345817447858262E-2</v>
      </c>
      <c r="G385" s="62" t="str">
        <f>IF(G375="","",(G375-#REF!)/#REF!)</f>
        <v/>
      </c>
      <c r="H385" s="62" t="str">
        <f>IF(H375="","",(H375-#REF!)/#REF!)</f>
        <v/>
      </c>
      <c r="I385" s="62" t="str">
        <f>IF(I375="","",(I375-#REF!)/#REF!)</f>
        <v/>
      </c>
      <c r="J385" s="63"/>
      <c r="K385" s="63"/>
      <c r="L385" s="63"/>
      <c r="M385" s="63" t="str">
        <f>IF(G385="","",M375-((1/Comparisons!#REF!)*1000000))</f>
        <v/>
      </c>
      <c r="N385" s="63" t="str">
        <f>IF(H385="","",N375-((1/Comparisons!#REF!)*1000000))</f>
        <v/>
      </c>
      <c r="O385" s="64" t="str">
        <f>IF(I385="","",O375-((1/Comparisons!#REF!)*1000000))</f>
        <v/>
      </c>
    </row>
  </sheetData>
  <mergeCells count="228">
    <mergeCell ref="A378:C378"/>
    <mergeCell ref="D378:I378"/>
    <mergeCell ref="J378:O378"/>
    <mergeCell ref="A366:O366"/>
    <mergeCell ref="A367:O367"/>
    <mergeCell ref="A368:C368"/>
    <mergeCell ref="D368:I368"/>
    <mergeCell ref="J368:O368"/>
    <mergeCell ref="A376:D376"/>
    <mergeCell ref="E376:G376"/>
    <mergeCell ref="H376:I376"/>
    <mergeCell ref="A377:O377"/>
    <mergeCell ref="A357:C357"/>
    <mergeCell ref="D357:I357"/>
    <mergeCell ref="J357:O357"/>
    <mergeCell ref="A345:O345"/>
    <mergeCell ref="A346:O346"/>
    <mergeCell ref="A347:C347"/>
    <mergeCell ref="D347:I347"/>
    <mergeCell ref="J347:O347"/>
    <mergeCell ref="A355:D355"/>
    <mergeCell ref="E355:G355"/>
    <mergeCell ref="H355:I355"/>
    <mergeCell ref="A356:O356"/>
    <mergeCell ref="A315:C315"/>
    <mergeCell ref="D315:I315"/>
    <mergeCell ref="J315:O315"/>
    <mergeCell ref="A303:O303"/>
    <mergeCell ref="A304:O304"/>
    <mergeCell ref="A305:C305"/>
    <mergeCell ref="D305:I305"/>
    <mergeCell ref="J305:O305"/>
    <mergeCell ref="A313:D313"/>
    <mergeCell ref="E313:G313"/>
    <mergeCell ref="H313:I313"/>
    <mergeCell ref="A314:O314"/>
    <mergeCell ref="A275:C275"/>
    <mergeCell ref="D275:I275"/>
    <mergeCell ref="J275:O275"/>
    <mergeCell ref="A263:O263"/>
    <mergeCell ref="A264:O264"/>
    <mergeCell ref="A265:C265"/>
    <mergeCell ref="D265:I265"/>
    <mergeCell ref="J265:O265"/>
    <mergeCell ref="A273:D273"/>
    <mergeCell ref="E273:G273"/>
    <mergeCell ref="H273:I273"/>
    <mergeCell ref="A274:O274"/>
    <mergeCell ref="A233:D233"/>
    <mergeCell ref="E233:G233"/>
    <mergeCell ref="H233:I233"/>
    <mergeCell ref="A203:O203"/>
    <mergeCell ref="A195:C195"/>
    <mergeCell ref="D195:I195"/>
    <mergeCell ref="J195:O195"/>
    <mergeCell ref="A205:C205"/>
    <mergeCell ref="D205:I205"/>
    <mergeCell ref="J205:O205"/>
    <mergeCell ref="A213:D213"/>
    <mergeCell ref="E213:G213"/>
    <mergeCell ref="H213:I213"/>
    <mergeCell ref="A214:O214"/>
    <mergeCell ref="A145:C145"/>
    <mergeCell ref="D145:I145"/>
    <mergeCell ref="J145:O145"/>
    <mergeCell ref="A153:D153"/>
    <mergeCell ref="E153:G153"/>
    <mergeCell ref="H153:I153"/>
    <mergeCell ref="A154:O154"/>
    <mergeCell ref="A155:C155"/>
    <mergeCell ref="D155:I155"/>
    <mergeCell ref="J155:O155"/>
    <mergeCell ref="A113:D113"/>
    <mergeCell ref="E113:G113"/>
    <mergeCell ref="H113:I113"/>
    <mergeCell ref="A114:O114"/>
    <mergeCell ref="A115:C115"/>
    <mergeCell ref="D115:I115"/>
    <mergeCell ref="J115:O115"/>
    <mergeCell ref="A143:O143"/>
    <mergeCell ref="A144:O144"/>
    <mergeCell ref="A133:D133"/>
    <mergeCell ref="E133:G133"/>
    <mergeCell ref="H133:I133"/>
    <mergeCell ref="A134:O134"/>
    <mergeCell ref="A135:C135"/>
    <mergeCell ref="D135:I135"/>
    <mergeCell ref="J135:O135"/>
    <mergeCell ref="A123:O123"/>
    <mergeCell ref="A124:O124"/>
    <mergeCell ref="A125:C125"/>
    <mergeCell ref="D125:I125"/>
    <mergeCell ref="J125:O125"/>
    <mergeCell ref="A74:O74"/>
    <mergeCell ref="A75:C75"/>
    <mergeCell ref="D75:I75"/>
    <mergeCell ref="J75:O75"/>
    <mergeCell ref="A103:O103"/>
    <mergeCell ref="A104:O104"/>
    <mergeCell ref="A105:C105"/>
    <mergeCell ref="D105:I105"/>
    <mergeCell ref="J105:O105"/>
    <mergeCell ref="A93:D93"/>
    <mergeCell ref="E93:G93"/>
    <mergeCell ref="H93:I93"/>
    <mergeCell ref="A94:O94"/>
    <mergeCell ref="A95:C95"/>
    <mergeCell ref="D95:I95"/>
    <mergeCell ref="J95:O95"/>
    <mergeCell ref="A83:O83"/>
    <mergeCell ref="A84:O84"/>
    <mergeCell ref="A85:C85"/>
    <mergeCell ref="D85:I85"/>
    <mergeCell ref="J85:O85"/>
    <mergeCell ref="A55:C55"/>
    <mergeCell ref="D55:I55"/>
    <mergeCell ref="J55:O55"/>
    <mergeCell ref="A63:O63"/>
    <mergeCell ref="A64:O64"/>
    <mergeCell ref="A65:C65"/>
    <mergeCell ref="D65:I65"/>
    <mergeCell ref="J65:O65"/>
    <mergeCell ref="A73:D73"/>
    <mergeCell ref="E73:G73"/>
    <mergeCell ref="H73:I73"/>
    <mergeCell ref="A43:O43"/>
    <mergeCell ref="A44:O44"/>
    <mergeCell ref="A45:C45"/>
    <mergeCell ref="D45:I45"/>
    <mergeCell ref="J45:O45"/>
    <mergeCell ref="A53:D53"/>
    <mergeCell ref="E53:G53"/>
    <mergeCell ref="H53:I53"/>
    <mergeCell ref="A54:O54"/>
    <mergeCell ref="A13:C13"/>
    <mergeCell ref="D13:I13"/>
    <mergeCell ref="J13:O13"/>
    <mergeCell ref="A23:O23"/>
    <mergeCell ref="A34:O34"/>
    <mergeCell ref="A35:C35"/>
    <mergeCell ref="D35:I35"/>
    <mergeCell ref="J35:O35"/>
    <mergeCell ref="A24:O24"/>
    <mergeCell ref="A25:C25"/>
    <mergeCell ref="D25:I25"/>
    <mergeCell ref="J25:O25"/>
    <mergeCell ref="A33:D33"/>
    <mergeCell ref="E33:G33"/>
    <mergeCell ref="H33:I33"/>
    <mergeCell ref="A11:D11"/>
    <mergeCell ref="E11:G11"/>
    <mergeCell ref="H11:I11"/>
    <mergeCell ref="A1:O1"/>
    <mergeCell ref="A2:O2"/>
    <mergeCell ref="A3:C3"/>
    <mergeCell ref="D3:I3"/>
    <mergeCell ref="J3:O3"/>
    <mergeCell ref="A12:O12"/>
    <mergeCell ref="A173:D173"/>
    <mergeCell ref="E173:G173"/>
    <mergeCell ref="H173:I173"/>
    <mergeCell ref="A174:O174"/>
    <mergeCell ref="A175:C175"/>
    <mergeCell ref="D175:I175"/>
    <mergeCell ref="J175:O175"/>
    <mergeCell ref="A163:O163"/>
    <mergeCell ref="A164:O164"/>
    <mergeCell ref="A165:C165"/>
    <mergeCell ref="D165:I165"/>
    <mergeCell ref="J165:O165"/>
    <mergeCell ref="A183:O183"/>
    <mergeCell ref="A184:O184"/>
    <mergeCell ref="A185:C185"/>
    <mergeCell ref="D185:I185"/>
    <mergeCell ref="J185:O185"/>
    <mergeCell ref="A193:D193"/>
    <mergeCell ref="E193:G193"/>
    <mergeCell ref="H193:I193"/>
    <mergeCell ref="A204:O204"/>
    <mergeCell ref="A194:O194"/>
    <mergeCell ref="A254:O254"/>
    <mergeCell ref="A255:C255"/>
    <mergeCell ref="D255:I255"/>
    <mergeCell ref="J255:O255"/>
    <mergeCell ref="A215:C215"/>
    <mergeCell ref="D215:I215"/>
    <mergeCell ref="J215:O215"/>
    <mergeCell ref="A243:O243"/>
    <mergeCell ref="A244:O244"/>
    <mergeCell ref="A245:C245"/>
    <mergeCell ref="D245:I245"/>
    <mergeCell ref="J245:O245"/>
    <mergeCell ref="A253:D253"/>
    <mergeCell ref="E253:G253"/>
    <mergeCell ref="H253:I253"/>
    <mergeCell ref="A234:O234"/>
    <mergeCell ref="A235:C235"/>
    <mergeCell ref="D235:I235"/>
    <mergeCell ref="J235:O235"/>
    <mergeCell ref="A223:O223"/>
    <mergeCell ref="A224:O224"/>
    <mergeCell ref="A225:C225"/>
    <mergeCell ref="D225:I225"/>
    <mergeCell ref="J225:O225"/>
    <mergeCell ref="A295:C295"/>
    <mergeCell ref="D295:I295"/>
    <mergeCell ref="J295:O295"/>
    <mergeCell ref="A283:O283"/>
    <mergeCell ref="A284:O284"/>
    <mergeCell ref="A285:C285"/>
    <mergeCell ref="D285:I285"/>
    <mergeCell ref="J285:O285"/>
    <mergeCell ref="A293:D293"/>
    <mergeCell ref="E293:G293"/>
    <mergeCell ref="H293:I293"/>
    <mergeCell ref="A294:O294"/>
    <mergeCell ref="A336:C336"/>
    <mergeCell ref="D336:I336"/>
    <mergeCell ref="J336:O336"/>
    <mergeCell ref="A324:O324"/>
    <mergeCell ref="A325:O325"/>
    <mergeCell ref="A326:C326"/>
    <mergeCell ref="D326:I326"/>
    <mergeCell ref="J326:O326"/>
    <mergeCell ref="A334:D334"/>
    <mergeCell ref="E334:G334"/>
    <mergeCell ref="H334:I334"/>
    <mergeCell ref="A335:O335"/>
  </mergeCells>
  <conditionalFormatting sqref="G15:I20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F20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7:I42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:F42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7:I62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F62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77:I82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7:F82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97:I102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7:F102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17:I122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7:F122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37:I142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7:F142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58:I162 H157:I157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7:G157 D158:F162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78:I182 H177:I177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7:G177 D178:F182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98:I202 H197:I197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7:G197 D198:F202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18:I222 H217:I217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7:G217 D218:F222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38:I242 H237:I237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7:G237 D238:F242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58:I262 H257:I257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7:G257 D258:F262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78:I282 H277:I277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77:G277 D278:F282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98:I302 H297:I297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97:G297 D298:F302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18:I322 H317:I317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17:G317 D318:F322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39:I343 H338:I338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8:G338 D339:F343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60:I364 H359:I359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9:G359 D360:F364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81:I385 H380:I380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0:G380 D381:F385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display="9033_sp_online_int_reboots_16.0a12" xr:uid="{A6280B4F-34EC-4154-9F13-E491F026B970}"/>
    <hyperlink ref="A11:D11" r:id="rId2" display="Worst of 10 iterations 9033_sp_online_int_reboots_18.0a2" xr:uid="{21933C3C-9EAE-438C-B5AC-BE26A3A8AFBB}"/>
    <hyperlink ref="A33" r:id="rId3" display="9033_sp_online_int_reboots_16.0a12" xr:uid="{7337A78B-C7FD-4358-9F0E-73FBC1DD4493}"/>
    <hyperlink ref="A33:D33" r:id="rId4" display="Worst of 10 iterations 9033_sp_online_int_reboots_18.0a11" xr:uid="{D67CA507-66C6-4B6D-B862-06D4C4D4E22F}"/>
    <hyperlink ref="A53" r:id="rId5" display="9033_sp_online_int_reboots_16.0a12" xr:uid="{BBFB3D32-0499-4A4E-9BCE-8D8DD78E71E6}"/>
    <hyperlink ref="A53:D53" r:id="rId6" display="Worst of 10 iterations 9033_sp_online_int_reboots_18.0b0" xr:uid="{8E894DB9-5B1B-4FF2-BC9A-F65C708574FD}"/>
    <hyperlink ref="A73" r:id="rId7" display="9033_sp_online_int_reboots_16.0a12" xr:uid="{44C98B74-FA4C-400E-BF59-36ECB70D9F3F}"/>
    <hyperlink ref="A73:D73" r:id="rId8" display="Worst of 10 iterations 9033_sp_online_int_reboots_18.0b7" xr:uid="{090C211E-3298-418A-BCD3-77C1B9013708}"/>
    <hyperlink ref="A93" r:id="rId9" display="9033_sp_online_int_reboots_16.0a12" xr:uid="{6678C471-F977-4C9E-90CA-C8D88ABFABAD}"/>
    <hyperlink ref="A93:D93" r:id="rId10" location="Test_cRIO-Benchmark.lvproj%5CRT%20Target%5CAI-AO%5CTest_cRIO_AI-AO_01_INT.vi" display="Worst of 10 iterations 9033_sp_online_int_reboots_18.0b13" xr:uid="{7E576E25-871D-4913-AD46-AD87A33DEE4F}"/>
    <hyperlink ref="A113" r:id="rId11" display="9033_sp_online_int_reboots_16.0a12" xr:uid="{562710AC-19EB-416B-A4C3-C5EA7F08F682}"/>
    <hyperlink ref="A113:D113" r:id="rId12" location="Test_cRIO-Benchmark.lvproj%5CRT%20Target%5CAI-AO%5CTest_cRIO_AI-AO_01_INT.vi" display="Worst of 10 iterations 9033_sp_online_int_reboots_18.0b22" xr:uid="{F518D048-FFB3-43EA-A4F7-06C8EB26F039}"/>
    <hyperlink ref="A133" r:id="rId13" display="9033_sp_online_int_reboots_16.0a12" xr:uid="{5D97E31B-65CA-458F-8F93-F5D908286767}"/>
    <hyperlink ref="A133:D133" r:id="rId14" display="Worst of 10 iterations 9033_sp_online_int_reboots_18.0b30" xr:uid="{F686D19F-838F-4010-8813-F2A1347656B4}"/>
    <hyperlink ref="A153" r:id="rId15" display="9033_sp_online_int_reboots_16.0a12" xr:uid="{E8C5ED3C-133C-406E-9A21-C08E9C75FD18}"/>
    <hyperlink ref="A153:D153" r:id="rId16" display="Worst of 10 iterations 9033_sp_online_int_reboots_18.0b34" xr:uid="{24AA55BE-07A1-49D4-AC5F-A91E23726BBE}"/>
    <hyperlink ref="A173" r:id="rId17" display="9033_sp_online_int_reboots_16.0a12" xr:uid="{31EEB31B-8B71-4551-AA02-46BBDAD23842}"/>
    <hyperlink ref="A173:D173" r:id="rId18" display="Worst of 10 iterations 9033_sp_online_int_reboots_18.0b40" xr:uid="{9EFE7E66-F9C7-4E2E-B3AF-01CD33A2E2EE}"/>
    <hyperlink ref="A193" r:id="rId19" display="9033_sp_online_int_reboots_16.0a12" xr:uid="{1089DBB6-F609-495E-9A2C-E872EE515B24}"/>
    <hyperlink ref="A193:D193" r:id="rId20" location="system_information" display="Worst of 10 iterations 9033_sp_online_int_reboots_18.0b46" xr:uid="{C3B2A53A-7874-42D7-868D-B5609EE92F59}"/>
    <hyperlink ref="A213" r:id="rId21" display="9033_sp_online_int_reboots_16.0a12" xr:uid="{42B9E3EA-1940-4DCD-B45D-01BA801250C6}"/>
    <hyperlink ref="A213:D213" r:id="rId22" display="Worst of 10 iterations 9033_sp_online_int_reboots_18.0b54" xr:uid="{1B2AEE4C-B5E5-47A7-999A-5C841AA7E3B7}"/>
    <hyperlink ref="A233" r:id="rId23" display="9033_sp_online_int_reboots_16.0a12" xr:uid="{235BEC68-E07D-439B-B568-4D124B856186}"/>
    <hyperlink ref="A233:D233" r:id="rId24" display="Worst of 10 iterations 9033_sp_online_int_reboots_18.0b67" xr:uid="{9E2ED15A-F674-42C0-A397-7A7CE34B7FB4}"/>
    <hyperlink ref="A253" r:id="rId25" display="9033_sp_online_int_reboots_16.0a12" xr:uid="{102C2DD1-CD45-4E6C-8E43-C6703CA1AFB5}"/>
    <hyperlink ref="A253:D253" r:id="rId26" display="Worst of 10 iterations 9033_sp_online_int_reboots_18.0b72" xr:uid="{90CF0EBE-75E2-497C-8796-5F173BCC6A32}"/>
    <hyperlink ref="A273" r:id="rId27" display="9033_sp_online_int_reboots_16.0a12" xr:uid="{92B14339-AB17-4507-9FD1-1480047F1D83}"/>
    <hyperlink ref="A273:D273" r:id="rId28" location="Test_cRIO-Benchmark.lvproj%5CRT%20Target%5CAI-AO%5CTest_cRIO_AI-AO_16_INT.vi" display="Worst of 10 iterations 9033_sp_online_int_reboots_18.0rc1" xr:uid="{C01355A2-AED1-4FAC-ABD0-45E6C311DE0B}"/>
    <hyperlink ref="A293" r:id="rId29" display="9033_sp_online_int_reboots_16.0a12" xr:uid="{3C781570-A15F-4705-B587-7F6C53D40D5E}"/>
    <hyperlink ref="A293:D293" r:id="rId30" display="Worst of 10 iterations 9033_sp_online_int_reboots_18.0" xr:uid="{1B20234D-7C33-43DA-B1B9-6BECCEE50769}"/>
    <hyperlink ref="A313" r:id="rId31" display="9033_sp_online_int_reboots_16.0a12" xr:uid="{A8C0C556-F696-4D3C-B680-39DCA061D618}"/>
    <hyperlink ref="A313:D313" r:id="rId32" location="Test_cRIO-Benchmark.lvproj%5CRT%20Target%5CAI-AO%5CTest_cRIO_AI-AO_01_INT.vi" display="Worst of 10 iterations 9033_sp_online_int_reboots_18.0" xr:uid="{B68CF5DE-C2F5-405F-AD1A-D27C73F69FD9}"/>
    <hyperlink ref="A334" r:id="rId33" display="9033_sp_online_int_reboots_16.0a12" xr:uid="{D26E4C63-5C5E-474C-9723-6CD965080AB7}"/>
    <hyperlink ref="A334:D334" r:id="rId34" display="Worst of 10 iterations 9033_sp_online_int_reboots_18.0.1b3" xr:uid="{4753C8F6-EE8F-4BB0-8826-02B33CFD703B}"/>
    <hyperlink ref="A355" r:id="rId35" display="9033_sp_online_int_reboots_16.0a12" xr:uid="{B1103059-416A-40EC-AE1F-F304AEA716CA}"/>
    <hyperlink ref="A355:D355" r:id="rId36" display="Worst of 10 iterations 9033_sp_online_int_reboots_18.0.1" xr:uid="{DE6D98C8-700B-4AF9-86CC-572B5E96AF66}"/>
    <hyperlink ref="A376" r:id="rId37" display="9033_sp_online_int_reboots_16.0a12" xr:uid="{BA9C4CBB-2BEB-4D28-A391-2B1F081A2198}"/>
    <hyperlink ref="A376:D376" r:id="rId38" display="Worst of 10 iterations 9033_sp_online_int_reboots_18.0.1" xr:uid="{E04E5863-6EFA-4A09-BD6B-B6F349A37B52}"/>
  </hyperlinks>
  <pageMargins left="0.7" right="0.7" top="0.75" bottom="0.75" header="0.3" footer="0.3"/>
  <pageSetup orientation="portrait" r:id="rId3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5BB8-AB03-4426-A29E-E6F4741695B7}">
  <dimension ref="A1:S442"/>
  <sheetViews>
    <sheetView topLeftCell="A411" workbookViewId="0">
      <selection activeCell="D422" sqref="D422"/>
    </sheetView>
  </sheetViews>
  <sheetFormatPr defaultRowHeight="15" x14ac:dyDescent="0.25"/>
  <cols>
    <col min="1" max="1" width="8.85546875" bestFit="1" customWidth="1"/>
    <col min="2" max="2" width="19.5703125" bestFit="1" customWidth="1"/>
    <col min="3" max="3" width="16.28515625" customWidth="1"/>
    <col min="4" max="4" width="10.5703125" customWidth="1"/>
  </cols>
  <sheetData>
    <row r="1" spans="1:15" ht="18.75" x14ac:dyDescent="0.25">
      <c r="A1" s="138" t="s">
        <v>159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40"/>
    </row>
    <row r="2" spans="1:15" ht="15.75" x14ac:dyDescent="0.25">
      <c r="A2" s="113" t="s">
        <v>196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2"/>
    </row>
    <row r="3" spans="1:15" x14ac:dyDescent="0.25">
      <c r="A3" s="134" t="s">
        <v>1</v>
      </c>
      <c r="B3" s="135"/>
      <c r="C3" s="135"/>
      <c r="D3" s="136" t="s">
        <v>2</v>
      </c>
      <c r="E3" s="136"/>
      <c r="F3" s="136"/>
      <c r="G3" s="136"/>
      <c r="H3" s="136"/>
      <c r="I3" s="136"/>
      <c r="J3" s="136" t="s">
        <v>3</v>
      </c>
      <c r="K3" s="136"/>
      <c r="L3" s="136"/>
      <c r="M3" s="136"/>
      <c r="N3" s="136"/>
      <c r="O3" s="137"/>
    </row>
    <row r="4" spans="1:15" x14ac:dyDescent="0.25">
      <c r="A4" s="47" t="s">
        <v>26</v>
      </c>
      <c r="B4" s="48" t="s">
        <v>5</v>
      </c>
      <c r="C4" s="48" t="s">
        <v>6</v>
      </c>
      <c r="D4" s="49">
        <v>1</v>
      </c>
      <c r="E4" s="49">
        <v>4</v>
      </c>
      <c r="F4" s="49">
        <v>16</v>
      </c>
      <c r="G4" s="49">
        <v>32</v>
      </c>
      <c r="H4" s="49">
        <v>64</v>
      </c>
      <c r="I4" s="49">
        <v>80</v>
      </c>
      <c r="J4" s="49">
        <v>1</v>
      </c>
      <c r="K4" s="49">
        <v>4</v>
      </c>
      <c r="L4" s="49">
        <v>16</v>
      </c>
      <c r="M4" s="49">
        <v>32</v>
      </c>
      <c r="N4" s="49">
        <v>64</v>
      </c>
      <c r="O4" s="50">
        <v>80</v>
      </c>
    </row>
    <row r="5" spans="1:15" x14ac:dyDescent="0.25">
      <c r="A5" s="51" t="s">
        <v>7</v>
      </c>
      <c r="B5" s="52" t="s">
        <v>8</v>
      </c>
      <c r="C5" s="52" t="s">
        <v>9</v>
      </c>
      <c r="D5" s="52">
        <v>35555</v>
      </c>
      <c r="E5" s="52">
        <v>18154</v>
      </c>
      <c r="F5" s="8">
        <v>5808</v>
      </c>
      <c r="G5" s="54"/>
      <c r="H5" s="54"/>
      <c r="I5" s="54"/>
      <c r="J5" s="55"/>
      <c r="K5" s="55"/>
      <c r="L5" s="55"/>
      <c r="M5" s="55" t="str">
        <f t="shared" ref="M5:O10" si="0">IF(G5="","",(1/G5)*1000000)</f>
        <v/>
      </c>
      <c r="N5" s="55" t="str">
        <f t="shared" si="0"/>
        <v/>
      </c>
      <c r="O5" s="56" t="str">
        <f t="shared" si="0"/>
        <v/>
      </c>
    </row>
    <row r="6" spans="1:15" x14ac:dyDescent="0.25">
      <c r="A6" s="51" t="s">
        <v>10</v>
      </c>
      <c r="B6" s="52" t="s">
        <v>8</v>
      </c>
      <c r="C6" s="52" t="s">
        <v>11</v>
      </c>
      <c r="D6" s="52">
        <v>15504</v>
      </c>
      <c r="E6" s="52">
        <v>10617</v>
      </c>
      <c r="F6" s="8">
        <v>4901</v>
      </c>
      <c r="G6" s="54"/>
      <c r="H6" s="54"/>
      <c r="I6" s="54"/>
      <c r="J6" s="55"/>
      <c r="K6" s="55"/>
      <c r="L6" s="55"/>
      <c r="M6" s="55" t="str">
        <f t="shared" si="0"/>
        <v/>
      </c>
      <c r="N6" s="55" t="str">
        <f t="shared" si="0"/>
        <v/>
      </c>
      <c r="O6" s="56" t="str">
        <f t="shared" si="0"/>
        <v/>
      </c>
    </row>
    <row r="7" spans="1:15" x14ac:dyDescent="0.25">
      <c r="A7" s="51" t="s">
        <v>12</v>
      </c>
      <c r="B7" s="52" t="s">
        <v>13</v>
      </c>
      <c r="C7" s="52" t="s">
        <v>9</v>
      </c>
      <c r="D7" s="65">
        <v>37448</v>
      </c>
      <c r="E7" s="8">
        <v>17685</v>
      </c>
      <c r="F7" s="52">
        <v>5608</v>
      </c>
      <c r="G7" s="54"/>
      <c r="H7" s="54"/>
      <c r="I7" s="54"/>
      <c r="J7" s="55"/>
      <c r="K7" s="55"/>
      <c r="L7" s="55"/>
      <c r="M7" s="55" t="str">
        <f t="shared" si="0"/>
        <v/>
      </c>
      <c r="N7" s="55" t="str">
        <f t="shared" si="0"/>
        <v/>
      </c>
      <c r="O7" s="56" t="str">
        <f t="shared" si="0"/>
        <v/>
      </c>
    </row>
    <row r="8" spans="1:15" x14ac:dyDescent="0.25">
      <c r="A8" s="51" t="s">
        <v>14</v>
      </c>
      <c r="B8" s="52" t="s">
        <v>13</v>
      </c>
      <c r="C8" s="52" t="s">
        <v>11</v>
      </c>
      <c r="D8" s="52">
        <v>15288</v>
      </c>
      <c r="E8" s="52">
        <v>10952</v>
      </c>
      <c r="F8" s="65">
        <v>4736</v>
      </c>
      <c r="G8" s="54"/>
      <c r="H8" s="54"/>
      <c r="I8" s="54"/>
      <c r="J8" s="55"/>
      <c r="K8" s="55"/>
      <c r="L8" s="55"/>
      <c r="M8" s="55" t="str">
        <f t="shared" si="0"/>
        <v/>
      </c>
      <c r="N8" s="55" t="str">
        <f t="shared" si="0"/>
        <v/>
      </c>
      <c r="O8" s="56" t="str">
        <f t="shared" si="0"/>
        <v/>
      </c>
    </row>
    <row r="9" spans="1:15" x14ac:dyDescent="0.25">
      <c r="A9" s="51" t="s">
        <v>15</v>
      </c>
      <c r="B9" s="52" t="s">
        <v>16</v>
      </c>
      <c r="C9" s="52" t="s">
        <v>11</v>
      </c>
      <c r="D9" s="52">
        <v>992</v>
      </c>
      <c r="E9" s="8">
        <v>8759</v>
      </c>
      <c r="F9" s="52">
        <v>4267</v>
      </c>
      <c r="G9" s="54"/>
      <c r="H9" s="54"/>
      <c r="I9" s="54"/>
      <c r="J9" s="55"/>
      <c r="K9" s="55"/>
      <c r="L9" s="55"/>
      <c r="M9" s="55" t="str">
        <f t="shared" si="0"/>
        <v/>
      </c>
      <c r="N9" s="55" t="str">
        <f t="shared" si="0"/>
        <v/>
      </c>
      <c r="O9" s="56" t="str">
        <f t="shared" si="0"/>
        <v/>
      </c>
    </row>
    <row r="10" spans="1:15" x14ac:dyDescent="0.25">
      <c r="A10" s="51" t="s">
        <v>17</v>
      </c>
      <c r="B10" s="52" t="s">
        <v>18</v>
      </c>
      <c r="C10" s="52" t="s">
        <v>11</v>
      </c>
      <c r="D10" s="8">
        <v>11192</v>
      </c>
      <c r="E10" s="52">
        <v>7373</v>
      </c>
      <c r="F10" s="8">
        <v>4597</v>
      </c>
      <c r="G10" s="54"/>
      <c r="H10" s="54"/>
      <c r="I10" s="54"/>
      <c r="J10" s="55"/>
      <c r="K10" s="55"/>
      <c r="L10" s="55"/>
      <c r="M10" s="55" t="str">
        <f t="shared" si="0"/>
        <v/>
      </c>
      <c r="N10" s="55" t="str">
        <f t="shared" si="0"/>
        <v/>
      </c>
      <c r="O10" s="56" t="str">
        <f t="shared" si="0"/>
        <v/>
      </c>
    </row>
    <row r="11" spans="1:15" x14ac:dyDescent="0.25">
      <c r="A11" s="116" t="s">
        <v>197</v>
      </c>
      <c r="B11" s="117"/>
      <c r="C11" s="117"/>
      <c r="D11" s="117"/>
      <c r="E11" s="143"/>
      <c r="F11" s="143"/>
      <c r="G11" s="143"/>
      <c r="H11" s="118" t="s">
        <v>198</v>
      </c>
      <c r="I11" s="118"/>
      <c r="J11" s="57"/>
      <c r="K11" s="57"/>
      <c r="L11" s="57"/>
      <c r="M11" s="57"/>
      <c r="N11" s="57"/>
      <c r="O11" s="58"/>
    </row>
    <row r="12" spans="1:15" ht="18.75" x14ac:dyDescent="0.3">
      <c r="A12" s="119" t="s">
        <v>193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5"/>
    </row>
    <row r="13" spans="1:15" x14ac:dyDescent="0.25">
      <c r="A13" s="134" t="s">
        <v>1</v>
      </c>
      <c r="B13" s="135"/>
      <c r="C13" s="135"/>
      <c r="D13" s="136" t="s">
        <v>19</v>
      </c>
      <c r="E13" s="136"/>
      <c r="F13" s="136"/>
      <c r="G13" s="136"/>
      <c r="H13" s="136"/>
      <c r="I13" s="136"/>
      <c r="J13" s="136" t="s">
        <v>22</v>
      </c>
      <c r="K13" s="136"/>
      <c r="L13" s="136"/>
      <c r="M13" s="136"/>
      <c r="N13" s="136"/>
      <c r="O13" s="137"/>
    </row>
    <row r="14" spans="1:15" x14ac:dyDescent="0.25">
      <c r="A14" s="47" t="s">
        <v>4</v>
      </c>
      <c r="B14" s="48" t="s">
        <v>5</v>
      </c>
      <c r="C14" s="48" t="s">
        <v>6</v>
      </c>
      <c r="D14" s="49">
        <v>1</v>
      </c>
      <c r="E14" s="49">
        <v>4</v>
      </c>
      <c r="F14" s="49">
        <v>16</v>
      </c>
      <c r="G14" s="49">
        <v>32</v>
      </c>
      <c r="H14" s="49">
        <v>64</v>
      </c>
      <c r="I14" s="49">
        <v>80</v>
      </c>
      <c r="J14" s="49">
        <v>1</v>
      </c>
      <c r="K14" s="49">
        <v>4</v>
      </c>
      <c r="L14" s="49">
        <v>16</v>
      </c>
      <c r="M14" s="49">
        <v>32</v>
      </c>
      <c r="N14" s="49">
        <v>64</v>
      </c>
      <c r="O14" s="50">
        <v>80</v>
      </c>
    </row>
    <row r="15" spans="1:15" x14ac:dyDescent="0.25">
      <c r="A15" s="51" t="s">
        <v>7</v>
      </c>
      <c r="B15" s="52" t="s">
        <v>8</v>
      </c>
      <c r="C15" s="52" t="s">
        <v>9</v>
      </c>
      <c r="D15" s="59">
        <f>IF(D5="","",(D5-'2018'!D307)/'2018'!D307)</f>
        <v>-0.1750388640107659</v>
      </c>
      <c r="E15" s="59">
        <f>IF(E5="","",(E5-'2018'!E307)/'2018'!E307)</f>
        <v>-8.2853389916136208E-2</v>
      </c>
      <c r="F15" s="59">
        <f>IF(F5="","",(F5-'2018'!F307)/'2018'!F307)</f>
        <v>-5.9900735923327057E-3</v>
      </c>
      <c r="G15" s="59" t="str">
        <f>IF(G5="","",(G5-'2017'!G346)/'2017'!G346)</f>
        <v/>
      </c>
      <c r="H15" s="59" t="str">
        <f>IF(H5="","",(H5-#REF!)/#REF!)</f>
        <v/>
      </c>
      <c r="I15" s="59" t="str">
        <f>IF(I5="","",(I5-#REF!)/#REF!)</f>
        <v/>
      </c>
      <c r="J15" s="55"/>
      <c r="K15" s="55"/>
      <c r="L15" s="55"/>
      <c r="M15" s="55" t="str">
        <f>IF(G15="","",M5-((1/Comparisons!#REF!)*1000000))</f>
        <v/>
      </c>
      <c r="N15" s="55" t="str">
        <f>IF(H15="","",N5-((1/Comparisons!#REF!)*1000000))</f>
        <v/>
      </c>
      <c r="O15" s="56" t="str">
        <f>IF(I15="","",O5-((1/Comparisons!#REF!)*1000000))</f>
        <v/>
      </c>
    </row>
    <row r="16" spans="1:15" x14ac:dyDescent="0.25">
      <c r="A16" s="51" t="s">
        <v>10</v>
      </c>
      <c r="B16" s="52" t="s">
        <v>8</v>
      </c>
      <c r="C16" s="52" t="s">
        <v>11</v>
      </c>
      <c r="D16" s="59">
        <f>IF(D6="","",(D6-'2018'!D308)/'2018'!D308)</f>
        <v>-0.12933116190262256</v>
      </c>
      <c r="E16" s="59">
        <f>IF(E6="","",(E6-'2018'!E308)/'2018'!E308)</f>
        <v>-0.12574110671936758</v>
      </c>
      <c r="F16" s="59">
        <f>IF(F6="","",(F6-'2018'!F308)/'2018'!F308)</f>
        <v>-2.0387767339596241E-2</v>
      </c>
      <c r="G16" s="59" t="str">
        <f>IF(G6="","",(G6-#REF!)/#REF!)</f>
        <v/>
      </c>
      <c r="H16" s="59" t="str">
        <f>IF(H6="","",(H6-#REF!)/#REF!)</f>
        <v/>
      </c>
      <c r="I16" s="59" t="str">
        <f>IF(I6="","",(I6-#REF!)/#REF!)</f>
        <v/>
      </c>
      <c r="J16" s="55"/>
      <c r="K16" s="55"/>
      <c r="L16" s="55"/>
      <c r="M16" s="55" t="str">
        <f>IF(G16="","",M6-((1/Comparisons!#REF!)*1000000))</f>
        <v/>
      </c>
      <c r="N16" s="55" t="str">
        <f>IF(H16="","",N6-((1/Comparisons!#REF!)*1000000))</f>
        <v/>
      </c>
      <c r="O16" s="56" t="str">
        <f>IF(I16="","",O6-((1/Comparisons!#REF!)*1000000))</f>
        <v/>
      </c>
    </row>
    <row r="17" spans="1:15" x14ac:dyDescent="0.25">
      <c r="A17" s="51" t="s">
        <v>12</v>
      </c>
      <c r="B17" s="52" t="s">
        <v>13</v>
      </c>
      <c r="C17" s="52" t="s">
        <v>9</v>
      </c>
      <c r="D17" s="59">
        <f>IF(D7="","",(D7-'2018'!D309)/'2018'!D309)</f>
        <v>-6.2769045950545596E-2</v>
      </c>
      <c r="E17" s="59">
        <f>IF(E7="","",(E7-'2018'!E309)/'2018'!E309)</f>
        <v>-1.2617944280051365E-2</v>
      </c>
      <c r="F17" s="59">
        <f>IF(F7="","",(F7-'2018'!F309)/'2018'!F309)</f>
        <v>3.3995348005009841E-3</v>
      </c>
      <c r="G17" s="59" t="str">
        <f>IF(G7="","",(G7-#REF!)/#REF!)</f>
        <v/>
      </c>
      <c r="H17" s="59" t="str">
        <f>IF(H7="","",(H7-#REF!)/#REF!)</f>
        <v/>
      </c>
      <c r="I17" s="59" t="str">
        <f>IF(I7="","",(I7-#REF!)/#REF!)</f>
        <v/>
      </c>
      <c r="J17" s="55"/>
      <c r="K17" s="55"/>
      <c r="L17" s="55"/>
      <c r="M17" s="55" t="str">
        <f>IF(G17="","",M7-((1/Comparisons!#REF!)*1000000))</f>
        <v/>
      </c>
      <c r="N17" s="55" t="str">
        <f>IF(H17="","",N7-((1/Comparisons!#REF!)*1000000))</f>
        <v/>
      </c>
      <c r="O17" s="56" t="str">
        <f>IF(I17="","",O7-((1/Comparisons!#REF!)*1000000))</f>
        <v/>
      </c>
    </row>
    <row r="18" spans="1:15" x14ac:dyDescent="0.25">
      <c r="A18" s="51" t="s">
        <v>14</v>
      </c>
      <c r="B18" s="52" t="s">
        <v>13</v>
      </c>
      <c r="C18" s="52" t="s">
        <v>11</v>
      </c>
      <c r="D18" s="59">
        <f>IF(D8="","",(D8-'2018'!D310)/'2018'!D310)</f>
        <v>-0.13553859202714164</v>
      </c>
      <c r="E18" s="59">
        <f>IF(E8="","",(E8-'2018'!E310)/'2018'!E310)</f>
        <v>-4.881014417231197E-2</v>
      </c>
      <c r="F18" s="59">
        <f>IF(F8="","",(F8-'2018'!F310)/'2018'!F310)</f>
        <v>-1.5998337835030126E-2</v>
      </c>
      <c r="G18" s="59" t="str">
        <f>IF(G8="","",(G8-#REF!)/#REF!)</f>
        <v/>
      </c>
      <c r="H18" s="59" t="str">
        <f>IF(H8="","",(H8-#REF!)/#REF!)</f>
        <v/>
      </c>
      <c r="I18" s="59" t="str">
        <f>IF(I8="","",(I8-#REF!)/#REF!)</f>
        <v/>
      </c>
      <c r="J18" s="55"/>
      <c r="K18" s="55"/>
      <c r="L18" s="55"/>
      <c r="M18" s="55" t="str">
        <f>IF(G18="","",M8-((1/Comparisons!#REF!)*1000000))</f>
        <v/>
      </c>
      <c r="N18" s="55" t="str">
        <f>IF(H18="","",N8-((1/Comparisons!#REF!)*1000000))</f>
        <v/>
      </c>
      <c r="O18" s="56" t="str">
        <f>IF(I18="","",O8-((1/Comparisons!#REF!)*1000000))</f>
        <v/>
      </c>
    </row>
    <row r="19" spans="1:15" x14ac:dyDescent="0.25">
      <c r="A19" s="51" t="s">
        <v>15</v>
      </c>
      <c r="B19" s="8" t="s">
        <v>16</v>
      </c>
      <c r="C19" s="52" t="s">
        <v>11</v>
      </c>
      <c r="D19" s="59">
        <f>IF(D9="","",(D9-'2018'!D311)/'2018'!D311)</f>
        <v>-0.92796979378449029</v>
      </c>
      <c r="E19" s="59">
        <f>IF(E9="","",(E9-'2018'!E311)/'2018'!E311)</f>
        <v>-0.11121258244545916</v>
      </c>
      <c r="F19" s="59">
        <f>IF(F9="","",(F9-'2018'!F311)/'2018'!F311)</f>
        <v>-0.11619718309859155</v>
      </c>
      <c r="G19" s="59" t="str">
        <f>IF(G9="","",(G9-#REF!)/#REF!)</f>
        <v/>
      </c>
      <c r="H19" s="59" t="str">
        <f>IF(H9="","",(H9-#REF!)/#REF!)</f>
        <v/>
      </c>
      <c r="I19" s="59" t="str">
        <f>IF(I9="","",(I9-#REF!)/#REF!)</f>
        <v/>
      </c>
      <c r="J19" s="55"/>
      <c r="K19" s="55"/>
      <c r="L19" s="55"/>
      <c r="M19" s="55" t="str">
        <f>IF(G19="","",M9-((1/Comparisons!#REF!)*1000000))</f>
        <v/>
      </c>
      <c r="N19" s="55" t="str">
        <f>IF(H19="","",N9-((1/Comparisons!#REF!)*1000000))</f>
        <v/>
      </c>
      <c r="O19" s="56" t="str">
        <f>IF(I19="","",O9-((1/Comparisons!#REF!)*1000000))</f>
        <v/>
      </c>
    </row>
    <row r="20" spans="1:15" ht="15.75" thickBot="1" x14ac:dyDescent="0.3">
      <c r="A20" s="60" t="s">
        <v>17</v>
      </c>
      <c r="B20" s="61" t="s">
        <v>18</v>
      </c>
      <c r="C20" s="61" t="s">
        <v>11</v>
      </c>
      <c r="D20" s="59">
        <f>IF(D10="","",(D10-'2018'!D312)/'2018'!D312)</f>
        <v>-8.4124386252045824E-2</v>
      </c>
      <c r="E20" s="59">
        <f>IF(E10="","",(E10-'2018'!E312)/'2018'!E312)</f>
        <v>-0.13977365534943414</v>
      </c>
      <c r="F20" s="59">
        <f>IF(F10="","",(F10-'2018'!F312)/'2018'!F312)</f>
        <v>3.0948643193541153E-2</v>
      </c>
      <c r="G20" s="62" t="str">
        <f>IF(G10="","",(G10-#REF!)/#REF!)</f>
        <v/>
      </c>
      <c r="H20" s="62" t="str">
        <f>IF(H10="","",(H10-#REF!)/#REF!)</f>
        <v/>
      </c>
      <c r="I20" s="62" t="str">
        <f>IF(I10="","",(I10-#REF!)/#REF!)</f>
        <v/>
      </c>
      <c r="J20" s="63"/>
      <c r="K20" s="63"/>
      <c r="L20" s="63"/>
      <c r="M20" s="63" t="str">
        <f>IF(G20="","",M10-((1/Comparisons!#REF!)*1000000))</f>
        <v/>
      </c>
      <c r="N20" s="63" t="str">
        <f>IF(H20="","",N10-((1/Comparisons!#REF!)*1000000))</f>
        <v/>
      </c>
      <c r="O20" s="64" t="str">
        <f>IF(I20="","",O10-((1/Comparisons!#REF!)*1000000))</f>
        <v/>
      </c>
    </row>
    <row r="23" spans="1:15" ht="15.75" x14ac:dyDescent="0.25">
      <c r="A23" s="113" t="s">
        <v>199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2"/>
    </row>
    <row r="24" spans="1:15" x14ac:dyDescent="0.25">
      <c r="A24" s="134" t="s">
        <v>1</v>
      </c>
      <c r="B24" s="135"/>
      <c r="C24" s="135"/>
      <c r="D24" s="136" t="s">
        <v>2</v>
      </c>
      <c r="E24" s="136"/>
      <c r="F24" s="136"/>
      <c r="G24" s="136"/>
      <c r="H24" s="136"/>
      <c r="I24" s="136"/>
      <c r="J24" s="136" t="s">
        <v>3</v>
      </c>
      <c r="K24" s="136"/>
      <c r="L24" s="136"/>
      <c r="M24" s="136"/>
      <c r="N24" s="136"/>
      <c r="O24" s="137"/>
    </row>
    <row r="25" spans="1:15" x14ac:dyDescent="0.25">
      <c r="A25" s="47" t="s">
        <v>26</v>
      </c>
      <c r="B25" s="48" t="s">
        <v>5</v>
      </c>
      <c r="C25" s="48" t="s">
        <v>6</v>
      </c>
      <c r="D25" s="49">
        <v>1</v>
      </c>
      <c r="E25" s="49">
        <v>4</v>
      </c>
      <c r="F25" s="49">
        <v>16</v>
      </c>
      <c r="G25" s="49">
        <v>32</v>
      </c>
      <c r="H25" s="49">
        <v>64</v>
      </c>
      <c r="I25" s="49">
        <v>80</v>
      </c>
      <c r="J25" s="49">
        <v>1</v>
      </c>
      <c r="K25" s="49">
        <v>4</v>
      </c>
      <c r="L25" s="49">
        <v>16</v>
      </c>
      <c r="M25" s="49">
        <v>32</v>
      </c>
      <c r="N25" s="49">
        <v>64</v>
      </c>
      <c r="O25" s="50">
        <v>80</v>
      </c>
    </row>
    <row r="26" spans="1:15" x14ac:dyDescent="0.25">
      <c r="A26" s="51" t="s">
        <v>7</v>
      </c>
      <c r="B26" s="52" t="s">
        <v>8</v>
      </c>
      <c r="C26" s="52" t="s">
        <v>9</v>
      </c>
      <c r="D26" s="52">
        <v>37158</v>
      </c>
      <c r="E26" s="52">
        <v>19219</v>
      </c>
      <c r="F26" s="8">
        <v>5843</v>
      </c>
      <c r="G26" s="54"/>
      <c r="H26" s="54"/>
      <c r="I26" s="54"/>
      <c r="J26" s="55"/>
      <c r="K26" s="55"/>
      <c r="L26" s="55"/>
      <c r="M26" s="55" t="str">
        <f t="shared" ref="M26:M31" si="1">IF(G26="","",(1/G26)*1000000)</f>
        <v/>
      </c>
      <c r="N26" s="55" t="str">
        <f t="shared" ref="N26:N31" si="2">IF(H26="","",(1/H26)*1000000)</f>
        <v/>
      </c>
      <c r="O26" s="56" t="str">
        <f t="shared" ref="O26:O31" si="3">IF(I26="","",(1/I26)*1000000)</f>
        <v/>
      </c>
    </row>
    <row r="27" spans="1:15" x14ac:dyDescent="0.25">
      <c r="A27" s="51" t="s">
        <v>10</v>
      </c>
      <c r="B27" s="52" t="s">
        <v>8</v>
      </c>
      <c r="C27" s="52" t="s">
        <v>11</v>
      </c>
      <c r="D27" s="52">
        <v>15529</v>
      </c>
      <c r="E27" s="52">
        <v>11529</v>
      </c>
      <c r="F27" s="8">
        <v>4777</v>
      </c>
      <c r="G27" s="54"/>
      <c r="H27" s="54"/>
      <c r="I27" s="54"/>
      <c r="J27" s="55"/>
      <c r="K27" s="55"/>
      <c r="L27" s="55"/>
      <c r="M27" s="55" t="str">
        <f t="shared" si="1"/>
        <v/>
      </c>
      <c r="N27" s="55" t="str">
        <f t="shared" si="2"/>
        <v/>
      </c>
      <c r="O27" s="56" t="str">
        <f t="shared" si="3"/>
        <v/>
      </c>
    </row>
    <row r="28" spans="1:15" x14ac:dyDescent="0.25">
      <c r="A28" s="51" t="s">
        <v>12</v>
      </c>
      <c r="B28" s="52" t="s">
        <v>13</v>
      </c>
      <c r="C28" s="52" t="s">
        <v>9</v>
      </c>
      <c r="D28" s="65">
        <v>36262</v>
      </c>
      <c r="E28" s="8">
        <v>17773</v>
      </c>
      <c r="F28" s="52">
        <v>4744</v>
      </c>
      <c r="G28" s="54"/>
      <c r="H28" s="54"/>
      <c r="I28" s="54"/>
      <c r="J28" s="55"/>
      <c r="K28" s="55"/>
      <c r="L28" s="55"/>
      <c r="M28" s="55" t="str">
        <f t="shared" si="1"/>
        <v/>
      </c>
      <c r="N28" s="55" t="str">
        <f t="shared" si="2"/>
        <v/>
      </c>
      <c r="O28" s="56" t="str">
        <f t="shared" si="3"/>
        <v/>
      </c>
    </row>
    <row r="29" spans="1:15" x14ac:dyDescent="0.25">
      <c r="A29" s="51" t="s">
        <v>14</v>
      </c>
      <c r="B29" s="52" t="s">
        <v>13</v>
      </c>
      <c r="C29" s="52" t="s">
        <v>11</v>
      </c>
      <c r="D29" s="52">
        <v>15897</v>
      </c>
      <c r="E29" s="52">
        <v>10469</v>
      </c>
      <c r="F29" s="65">
        <v>5617</v>
      </c>
      <c r="G29" s="54"/>
      <c r="H29" s="54"/>
      <c r="I29" s="54"/>
      <c r="J29" s="55"/>
      <c r="K29" s="55"/>
      <c r="L29" s="55"/>
      <c r="M29" s="55" t="str">
        <f t="shared" si="1"/>
        <v/>
      </c>
      <c r="N29" s="55" t="str">
        <f t="shared" si="2"/>
        <v/>
      </c>
      <c r="O29" s="56" t="str">
        <f t="shared" si="3"/>
        <v/>
      </c>
    </row>
    <row r="30" spans="1:15" x14ac:dyDescent="0.25">
      <c r="A30" s="51" t="s">
        <v>15</v>
      </c>
      <c r="B30" s="52" t="s">
        <v>16</v>
      </c>
      <c r="C30" s="52" t="s">
        <v>11</v>
      </c>
      <c r="D30" s="52">
        <v>12259</v>
      </c>
      <c r="E30" s="8">
        <v>8571</v>
      </c>
      <c r="F30" s="52">
        <v>4618</v>
      </c>
      <c r="G30" s="54"/>
      <c r="H30" s="54"/>
      <c r="I30" s="54"/>
      <c r="J30" s="55"/>
      <c r="K30" s="55"/>
      <c r="L30" s="55"/>
      <c r="M30" s="55" t="str">
        <f t="shared" si="1"/>
        <v/>
      </c>
      <c r="N30" s="55" t="str">
        <f t="shared" si="2"/>
        <v/>
      </c>
      <c r="O30" s="56" t="str">
        <f t="shared" si="3"/>
        <v/>
      </c>
    </row>
    <row r="31" spans="1:15" x14ac:dyDescent="0.25">
      <c r="A31" s="51" t="s">
        <v>17</v>
      </c>
      <c r="B31" s="52" t="s">
        <v>18</v>
      </c>
      <c r="C31" s="52" t="s">
        <v>11</v>
      </c>
      <c r="D31" s="8">
        <v>11296</v>
      </c>
      <c r="E31" s="52">
        <v>8528</v>
      </c>
      <c r="F31" s="8">
        <v>4588</v>
      </c>
      <c r="G31" s="54"/>
      <c r="H31" s="54"/>
      <c r="I31" s="54"/>
      <c r="J31" s="55"/>
      <c r="K31" s="55"/>
      <c r="L31" s="55"/>
      <c r="M31" s="55" t="str">
        <f t="shared" si="1"/>
        <v/>
      </c>
      <c r="N31" s="55" t="str">
        <f t="shared" si="2"/>
        <v/>
      </c>
      <c r="O31" s="56" t="str">
        <f t="shared" si="3"/>
        <v/>
      </c>
    </row>
    <row r="32" spans="1:15" x14ac:dyDescent="0.25">
      <c r="A32" s="116" t="s">
        <v>200</v>
      </c>
      <c r="B32" s="117"/>
      <c r="C32" s="117"/>
      <c r="D32" s="117"/>
      <c r="E32" s="143"/>
      <c r="F32" s="143"/>
      <c r="G32" s="143"/>
      <c r="H32" s="118"/>
      <c r="I32" s="118"/>
      <c r="J32" s="57"/>
      <c r="K32" s="57"/>
      <c r="L32" s="57"/>
      <c r="M32" s="57"/>
      <c r="N32" s="57"/>
      <c r="O32" s="58"/>
    </row>
    <row r="33" spans="1:15" ht="18.75" x14ac:dyDescent="0.3">
      <c r="A33" s="119" t="s">
        <v>193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5"/>
    </row>
    <row r="34" spans="1:15" x14ac:dyDescent="0.25">
      <c r="A34" s="134" t="s">
        <v>1</v>
      </c>
      <c r="B34" s="135"/>
      <c r="C34" s="135"/>
      <c r="D34" s="136" t="s">
        <v>19</v>
      </c>
      <c r="E34" s="136"/>
      <c r="F34" s="136"/>
      <c r="G34" s="136"/>
      <c r="H34" s="136"/>
      <c r="I34" s="136"/>
      <c r="J34" s="136" t="s">
        <v>22</v>
      </c>
      <c r="K34" s="136"/>
      <c r="L34" s="136"/>
      <c r="M34" s="136"/>
      <c r="N34" s="136"/>
      <c r="O34" s="137"/>
    </row>
    <row r="35" spans="1:15" x14ac:dyDescent="0.25">
      <c r="A35" s="47" t="s">
        <v>4</v>
      </c>
      <c r="B35" s="48" t="s">
        <v>5</v>
      </c>
      <c r="C35" s="48" t="s">
        <v>6</v>
      </c>
      <c r="D35" s="49">
        <v>1</v>
      </c>
      <c r="E35" s="49">
        <v>4</v>
      </c>
      <c r="F35" s="49">
        <v>16</v>
      </c>
      <c r="G35" s="49">
        <v>32</v>
      </c>
      <c r="H35" s="49">
        <v>64</v>
      </c>
      <c r="I35" s="49">
        <v>80</v>
      </c>
      <c r="J35" s="49">
        <v>1</v>
      </c>
      <c r="K35" s="49">
        <v>4</v>
      </c>
      <c r="L35" s="49">
        <v>16</v>
      </c>
      <c r="M35" s="49">
        <v>32</v>
      </c>
      <c r="N35" s="49">
        <v>64</v>
      </c>
      <c r="O35" s="50">
        <v>80</v>
      </c>
    </row>
    <row r="36" spans="1:15" x14ac:dyDescent="0.25">
      <c r="A36" s="51" t="s">
        <v>7</v>
      </c>
      <c r="B36" s="52" t="s">
        <v>8</v>
      </c>
      <c r="C36" s="52" t="s">
        <v>9</v>
      </c>
      <c r="D36" s="59">
        <f>IF(D26="","",(D26-'2018'!D307)/'2018'!D307)</f>
        <v>-0.13784542564792687</v>
      </c>
      <c r="E36" s="59">
        <f>IF(E26="","",(E26-'2018'!E307)/'2018'!E307)</f>
        <v>-2.9049206830352631E-2</v>
      </c>
      <c r="F36" s="59">
        <f>IF(F26="","",(F26-'2018'!F307)/'2018'!F307)</f>
        <v>0</v>
      </c>
      <c r="G36" s="59" t="str">
        <f>IF(G26="","",(G26-'2017'!G367)/'2017'!G367)</f>
        <v/>
      </c>
      <c r="H36" s="59" t="str">
        <f>IF(H26="","",(H26-#REF!)/#REF!)</f>
        <v/>
      </c>
      <c r="I36" s="59" t="str">
        <f>IF(I26="","",(I26-#REF!)/#REF!)</f>
        <v/>
      </c>
      <c r="J36" s="55"/>
      <c r="K36" s="55"/>
      <c r="L36" s="55"/>
      <c r="M36" s="55" t="str">
        <f>IF(G36="","",M26-((1/Comparisons!#REF!)*1000000))</f>
        <v/>
      </c>
      <c r="N36" s="55" t="str">
        <f>IF(H36="","",N26-((1/Comparisons!#REF!)*1000000))</f>
        <v/>
      </c>
      <c r="O36" s="56" t="str">
        <f>IF(I36="","",O26-((1/Comparisons!#REF!)*1000000))</f>
        <v/>
      </c>
    </row>
    <row r="37" spans="1:15" x14ac:dyDescent="0.25">
      <c r="A37" s="51" t="s">
        <v>10</v>
      </c>
      <c r="B37" s="52" t="s">
        <v>8</v>
      </c>
      <c r="C37" s="52" t="s">
        <v>11</v>
      </c>
      <c r="D37" s="59">
        <f>IF(D27="","",(D27-'2018'!D308)/'2018'!D308)</f>
        <v>-0.12792721963272871</v>
      </c>
      <c r="E37" s="59">
        <f>IF(E27="","",(E27-'2018'!E308)/'2018'!E308)</f>
        <v>-5.0642292490118576E-2</v>
      </c>
      <c r="F37" s="59">
        <f>IF(F27="","",(F27-'2018'!F308)/'2018'!F308)</f>
        <v>-4.5172896262242655E-2</v>
      </c>
      <c r="G37" s="59" t="str">
        <f>IF(G27="","",(G27-#REF!)/#REF!)</f>
        <v/>
      </c>
      <c r="H37" s="59" t="str">
        <f>IF(H27="","",(H27-#REF!)/#REF!)</f>
        <v/>
      </c>
      <c r="I37" s="59" t="str">
        <f>IF(I27="","",(I27-#REF!)/#REF!)</f>
        <v/>
      </c>
      <c r="J37" s="55"/>
      <c r="K37" s="55"/>
      <c r="L37" s="55"/>
      <c r="M37" s="55" t="str">
        <f>IF(G37="","",M27-((1/Comparisons!#REF!)*1000000))</f>
        <v/>
      </c>
      <c r="N37" s="55" t="str">
        <f>IF(H37="","",N27-((1/Comparisons!#REF!)*1000000))</f>
        <v/>
      </c>
      <c r="O37" s="56" t="str">
        <f>IF(I37="","",O27-((1/Comparisons!#REF!)*1000000))</f>
        <v/>
      </c>
    </row>
    <row r="38" spans="1:15" x14ac:dyDescent="0.25">
      <c r="A38" s="51" t="s">
        <v>12</v>
      </c>
      <c r="B38" s="52" t="s">
        <v>13</v>
      </c>
      <c r="C38" s="52" t="s">
        <v>9</v>
      </c>
      <c r="D38" s="59">
        <f>IF(D28="","",(D28-'2018'!D309)/'2018'!D309)</f>
        <v>-9.2451696866553204E-2</v>
      </c>
      <c r="E38" s="59">
        <f>IF(E28="","",(E28-'2018'!E309)/'2018'!E309)</f>
        <v>-7.7047624364915412E-3</v>
      </c>
      <c r="F38" s="59">
        <f>IF(F28="","",(F28-'2018'!F309)/'2018'!F309)</f>
        <v>-0.15118983718017534</v>
      </c>
      <c r="G38" s="59" t="str">
        <f>IF(G28="","",(G28-#REF!)/#REF!)</f>
        <v/>
      </c>
      <c r="H38" s="59" t="str">
        <f>IF(H28="","",(H28-#REF!)/#REF!)</f>
        <v/>
      </c>
      <c r="I38" s="59" t="str">
        <f>IF(I28="","",(I28-#REF!)/#REF!)</f>
        <v/>
      </c>
      <c r="J38" s="55"/>
      <c r="K38" s="55"/>
      <c r="L38" s="55"/>
      <c r="M38" s="55" t="str">
        <f>IF(G38="","",M28-((1/Comparisons!#REF!)*1000000))</f>
        <v/>
      </c>
      <c r="N38" s="55" t="str">
        <f>IF(H38="","",N28-((1/Comparisons!#REF!)*1000000))</f>
        <v/>
      </c>
      <c r="O38" s="56" t="str">
        <f>IF(I38="","",O28-((1/Comparisons!#REF!)*1000000))</f>
        <v/>
      </c>
    </row>
    <row r="39" spans="1:15" x14ac:dyDescent="0.25">
      <c r="A39" s="51" t="s">
        <v>14</v>
      </c>
      <c r="B39" s="52" t="s">
        <v>13</v>
      </c>
      <c r="C39" s="52" t="s">
        <v>11</v>
      </c>
      <c r="D39" s="59">
        <f>IF(D29="","",(D29-'2018'!D310)/'2018'!D310)</f>
        <v>-0.10110262934690416</v>
      </c>
      <c r="E39" s="59">
        <f>IF(E29="","",(E29-'2018'!E310)/'2018'!E310)</f>
        <v>-9.0759075907590761E-2</v>
      </c>
      <c r="F39" s="59">
        <f>IF(F29="","",(F29-'2018'!F310)/'2018'!F310)</f>
        <v>0.16704757947226262</v>
      </c>
      <c r="G39" s="59" t="str">
        <f>IF(G29="","",(G29-#REF!)/#REF!)</f>
        <v/>
      </c>
      <c r="H39" s="59" t="str">
        <f>IF(H29="","",(H29-#REF!)/#REF!)</f>
        <v/>
      </c>
      <c r="I39" s="59" t="str">
        <f>IF(I29="","",(I29-#REF!)/#REF!)</f>
        <v/>
      </c>
      <c r="J39" s="55"/>
      <c r="K39" s="55"/>
      <c r="L39" s="55"/>
      <c r="M39" s="55" t="str">
        <f>IF(G39="","",M29-((1/Comparisons!#REF!)*1000000))</f>
        <v/>
      </c>
      <c r="N39" s="55" t="str">
        <f>IF(H39="","",N29-((1/Comparisons!#REF!)*1000000))</f>
        <v/>
      </c>
      <c r="O39" s="56" t="str">
        <f>IF(I39="","",O29-((1/Comparisons!#REF!)*1000000))</f>
        <v/>
      </c>
    </row>
    <row r="40" spans="1:15" x14ac:dyDescent="0.25">
      <c r="A40" s="51" t="s">
        <v>15</v>
      </c>
      <c r="B40" s="8" t="s">
        <v>16</v>
      </c>
      <c r="C40" s="52" t="s">
        <v>11</v>
      </c>
      <c r="D40" s="59">
        <f>IF(D30="","",(D30-'2018'!D311)/'2018'!D311)</f>
        <v>-0.10986058669764739</v>
      </c>
      <c r="E40" s="59">
        <f>IF(E30="","",(E30-'2018'!E311)/'2018'!E311)</f>
        <v>-0.13028919330289193</v>
      </c>
      <c r="F40" s="59">
        <f>IF(F30="","",(F30-'2018'!F311)/'2018'!F311)</f>
        <v>-4.3496271748135876E-2</v>
      </c>
      <c r="G40" s="59" t="str">
        <f>IF(G30="","",(G30-#REF!)/#REF!)</f>
        <v/>
      </c>
      <c r="H40" s="59" t="str">
        <f>IF(H30="","",(H30-#REF!)/#REF!)</f>
        <v/>
      </c>
      <c r="I40" s="59" t="str">
        <f>IF(I30="","",(I30-#REF!)/#REF!)</f>
        <v/>
      </c>
      <c r="J40" s="55"/>
      <c r="K40" s="55"/>
      <c r="L40" s="55"/>
      <c r="M40" s="55" t="str">
        <f>IF(G40="","",M30-((1/Comparisons!#REF!)*1000000))</f>
        <v/>
      </c>
      <c r="N40" s="55" t="str">
        <f>IF(H40="","",N30-((1/Comparisons!#REF!)*1000000))</f>
        <v/>
      </c>
      <c r="O40" s="56" t="str">
        <f>IF(I40="","",O30-((1/Comparisons!#REF!)*1000000))</f>
        <v/>
      </c>
    </row>
    <row r="41" spans="1:15" ht="15.75" thickBot="1" x14ac:dyDescent="0.3">
      <c r="A41" s="60" t="s">
        <v>17</v>
      </c>
      <c r="B41" s="61" t="s">
        <v>18</v>
      </c>
      <c r="C41" s="61" t="s">
        <v>11</v>
      </c>
      <c r="D41" s="59">
        <f>IF(D31="","",(D31-'2018'!D312)/'2018'!D312)</f>
        <v>-7.5613747954173485E-2</v>
      </c>
      <c r="E41" s="59">
        <f>IF(E31="","",(E31-'2018'!E312)/'2018'!E312)</f>
        <v>-5.0169175125422934E-3</v>
      </c>
      <c r="F41" s="59">
        <f>IF(F31="","",(F31-'2018'!F312)/'2018'!F312)</f>
        <v>2.8930253420049339E-2</v>
      </c>
      <c r="G41" s="62" t="str">
        <f>IF(G31="","",(G31-#REF!)/#REF!)</f>
        <v/>
      </c>
      <c r="H41" s="62" t="str">
        <f>IF(H31="","",(H31-#REF!)/#REF!)</f>
        <v/>
      </c>
      <c r="I41" s="62" t="str">
        <f>IF(I31="","",(I31-#REF!)/#REF!)</f>
        <v/>
      </c>
      <c r="J41" s="63"/>
      <c r="K41" s="63"/>
      <c r="L41" s="63"/>
      <c r="M41" s="63" t="str">
        <f>IF(G41="","",M31-((1/Comparisons!#REF!)*1000000))</f>
        <v/>
      </c>
      <c r="N41" s="63" t="str">
        <f>IF(H41="","",N31-((1/Comparisons!#REF!)*1000000))</f>
        <v/>
      </c>
      <c r="O41" s="64" t="str">
        <f>IF(I41="","",O31-((1/Comparisons!#REF!)*1000000))</f>
        <v/>
      </c>
    </row>
    <row r="43" spans="1:15" ht="15.75" x14ac:dyDescent="0.25">
      <c r="A43" s="113" t="s">
        <v>201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2"/>
    </row>
    <row r="44" spans="1:15" x14ac:dyDescent="0.25">
      <c r="A44" s="134" t="s">
        <v>1</v>
      </c>
      <c r="B44" s="135"/>
      <c r="C44" s="135"/>
      <c r="D44" s="136" t="s">
        <v>2</v>
      </c>
      <c r="E44" s="136"/>
      <c r="F44" s="136"/>
      <c r="G44" s="136"/>
      <c r="H44" s="136"/>
      <c r="I44" s="136"/>
      <c r="J44" s="136" t="s">
        <v>3</v>
      </c>
      <c r="K44" s="136"/>
      <c r="L44" s="136"/>
      <c r="M44" s="136"/>
      <c r="N44" s="136"/>
      <c r="O44" s="137"/>
    </row>
    <row r="45" spans="1:15" x14ac:dyDescent="0.25">
      <c r="A45" s="47" t="s">
        <v>26</v>
      </c>
      <c r="B45" s="48" t="s">
        <v>5</v>
      </c>
      <c r="C45" s="48" t="s">
        <v>6</v>
      </c>
      <c r="D45" s="49">
        <v>1</v>
      </c>
      <c r="E45" s="49">
        <v>4</v>
      </c>
      <c r="F45" s="49">
        <v>16</v>
      </c>
      <c r="G45" s="49">
        <v>32</v>
      </c>
      <c r="H45" s="49">
        <v>64</v>
      </c>
      <c r="I45" s="49">
        <v>80</v>
      </c>
      <c r="J45" s="49">
        <v>1</v>
      </c>
      <c r="K45" s="49">
        <v>4</v>
      </c>
      <c r="L45" s="49">
        <v>16</v>
      </c>
      <c r="M45" s="49">
        <v>32</v>
      </c>
      <c r="N45" s="49">
        <v>64</v>
      </c>
      <c r="O45" s="50">
        <v>80</v>
      </c>
    </row>
    <row r="46" spans="1:15" x14ac:dyDescent="0.25">
      <c r="A46" s="51" t="s">
        <v>7</v>
      </c>
      <c r="B46" s="52" t="s">
        <v>8</v>
      </c>
      <c r="C46" s="52" t="s">
        <v>9</v>
      </c>
      <c r="D46" s="8">
        <v>35555</v>
      </c>
      <c r="E46" s="8">
        <v>18800</v>
      </c>
      <c r="F46" s="8">
        <v>5814</v>
      </c>
      <c r="G46" s="54"/>
      <c r="H46" s="54"/>
      <c r="I46" s="54"/>
      <c r="J46" s="55"/>
      <c r="K46" s="55"/>
      <c r="L46" s="55"/>
      <c r="M46" s="55" t="str">
        <f t="shared" ref="M46:M51" si="4">IF(G46="","",(1/G46)*1000000)</f>
        <v/>
      </c>
      <c r="N46" s="55" t="str">
        <f t="shared" ref="N46:N51" si="5">IF(H46="","",(1/H46)*1000000)</f>
        <v/>
      </c>
      <c r="O46" s="56" t="str">
        <f t="shared" ref="O46:O51" si="6">IF(I46="","",(1/I46)*1000000)</f>
        <v/>
      </c>
    </row>
    <row r="47" spans="1:15" x14ac:dyDescent="0.25">
      <c r="A47" s="51" t="s">
        <v>10</v>
      </c>
      <c r="B47" s="52" t="s">
        <v>8</v>
      </c>
      <c r="C47" s="52" t="s">
        <v>11</v>
      </c>
      <c r="D47" s="52">
        <v>15288</v>
      </c>
      <c r="E47" s="52">
        <v>10820</v>
      </c>
      <c r="F47" s="8">
        <v>4842</v>
      </c>
      <c r="G47" s="54"/>
      <c r="H47" s="54"/>
      <c r="I47" s="54"/>
      <c r="J47" s="55"/>
      <c r="K47" s="55"/>
      <c r="L47" s="55"/>
      <c r="M47" s="55" t="str">
        <f t="shared" si="4"/>
        <v/>
      </c>
      <c r="N47" s="55" t="str">
        <f t="shared" si="5"/>
        <v/>
      </c>
      <c r="O47" s="56" t="str">
        <f t="shared" si="6"/>
        <v/>
      </c>
    </row>
    <row r="48" spans="1:15" x14ac:dyDescent="0.25">
      <c r="A48" s="51" t="s">
        <v>12</v>
      </c>
      <c r="B48" s="52" t="s">
        <v>13</v>
      </c>
      <c r="C48" s="52" t="s">
        <v>9</v>
      </c>
      <c r="D48" s="65">
        <v>33297</v>
      </c>
      <c r="E48" s="8">
        <v>17201</v>
      </c>
      <c r="F48" s="52">
        <v>5569</v>
      </c>
      <c r="G48" s="54"/>
      <c r="H48" s="54"/>
      <c r="I48" s="54"/>
      <c r="J48" s="55"/>
      <c r="K48" s="55"/>
      <c r="L48" s="55"/>
      <c r="M48" s="55" t="str">
        <f t="shared" si="4"/>
        <v/>
      </c>
      <c r="N48" s="55" t="str">
        <f t="shared" si="5"/>
        <v/>
      </c>
      <c r="O48" s="56" t="str">
        <f t="shared" si="6"/>
        <v/>
      </c>
    </row>
    <row r="49" spans="1:15" x14ac:dyDescent="0.25">
      <c r="A49" s="51" t="s">
        <v>14</v>
      </c>
      <c r="B49" s="52" t="s">
        <v>13</v>
      </c>
      <c r="C49" s="52" t="s">
        <v>11</v>
      </c>
      <c r="D49" s="52">
        <v>16526</v>
      </c>
      <c r="E49" s="8">
        <v>10958</v>
      </c>
      <c r="F49" s="65">
        <v>4597</v>
      </c>
      <c r="G49" s="54"/>
      <c r="H49" s="54"/>
      <c r="I49" s="54"/>
      <c r="J49" s="55"/>
      <c r="K49" s="55"/>
      <c r="L49" s="55"/>
      <c r="M49" s="55" t="str">
        <f t="shared" si="4"/>
        <v/>
      </c>
      <c r="N49" s="55" t="str">
        <f t="shared" si="5"/>
        <v/>
      </c>
      <c r="O49" s="56" t="str">
        <f t="shared" si="6"/>
        <v/>
      </c>
    </row>
    <row r="50" spans="1:15" x14ac:dyDescent="0.25">
      <c r="A50" s="51" t="s">
        <v>15</v>
      </c>
      <c r="B50" s="52" t="s">
        <v>16</v>
      </c>
      <c r="C50" s="52" t="s">
        <v>11</v>
      </c>
      <c r="D50" s="52">
        <v>12186</v>
      </c>
      <c r="E50" s="8">
        <v>8803</v>
      </c>
      <c r="F50" s="52">
        <v>4589</v>
      </c>
      <c r="G50" s="54"/>
      <c r="H50" s="54"/>
      <c r="I50" s="54"/>
      <c r="J50" s="55"/>
      <c r="K50" s="55"/>
      <c r="L50" s="55"/>
      <c r="M50" s="55" t="str">
        <f t="shared" si="4"/>
        <v/>
      </c>
      <c r="N50" s="55" t="str">
        <f t="shared" si="5"/>
        <v/>
      </c>
      <c r="O50" s="56" t="str">
        <f t="shared" si="6"/>
        <v/>
      </c>
    </row>
    <row r="51" spans="1:15" x14ac:dyDescent="0.25">
      <c r="A51" s="51" t="s">
        <v>17</v>
      </c>
      <c r="B51" s="52" t="s">
        <v>18</v>
      </c>
      <c r="C51" s="52" t="s">
        <v>11</v>
      </c>
      <c r="D51" s="8">
        <v>11199</v>
      </c>
      <c r="E51" s="52">
        <v>8602</v>
      </c>
      <c r="F51" s="8">
        <v>4574</v>
      </c>
      <c r="G51" s="54"/>
      <c r="H51" s="54"/>
      <c r="I51" s="54"/>
      <c r="J51" s="55"/>
      <c r="K51" s="55"/>
      <c r="L51" s="55"/>
      <c r="M51" s="55" t="str">
        <f t="shared" si="4"/>
        <v/>
      </c>
      <c r="N51" s="55" t="str">
        <f t="shared" si="5"/>
        <v/>
      </c>
      <c r="O51" s="56" t="str">
        <f t="shared" si="6"/>
        <v/>
      </c>
    </row>
    <row r="52" spans="1:15" x14ac:dyDescent="0.25">
      <c r="A52" s="116" t="s">
        <v>202</v>
      </c>
      <c r="B52" s="117"/>
      <c r="C52" s="117"/>
      <c r="D52" s="117"/>
      <c r="E52" s="143"/>
      <c r="F52" s="143"/>
      <c r="G52" s="143"/>
      <c r="H52" s="118"/>
      <c r="I52" s="118"/>
      <c r="J52" s="57"/>
      <c r="K52" s="57"/>
      <c r="L52" s="57"/>
      <c r="M52" s="57"/>
      <c r="N52" s="57"/>
      <c r="O52" s="58"/>
    </row>
    <row r="53" spans="1:15" ht="18.75" x14ac:dyDescent="0.3">
      <c r="A53" s="119" t="s">
        <v>193</v>
      </c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5"/>
    </row>
    <row r="54" spans="1:15" x14ac:dyDescent="0.25">
      <c r="A54" s="134" t="s">
        <v>1</v>
      </c>
      <c r="B54" s="135"/>
      <c r="C54" s="135"/>
      <c r="D54" s="136" t="s">
        <v>19</v>
      </c>
      <c r="E54" s="136"/>
      <c r="F54" s="136"/>
      <c r="G54" s="136"/>
      <c r="H54" s="136"/>
      <c r="I54" s="136"/>
      <c r="J54" s="136" t="s">
        <v>22</v>
      </c>
      <c r="K54" s="136"/>
      <c r="L54" s="136"/>
      <c r="M54" s="136"/>
      <c r="N54" s="136"/>
      <c r="O54" s="137"/>
    </row>
    <row r="55" spans="1:15" x14ac:dyDescent="0.25">
      <c r="A55" s="47" t="s">
        <v>4</v>
      </c>
      <c r="B55" s="48" t="s">
        <v>5</v>
      </c>
      <c r="C55" s="48" t="s">
        <v>6</v>
      </c>
      <c r="D55" s="49">
        <v>1</v>
      </c>
      <c r="E55" s="49">
        <v>4</v>
      </c>
      <c r="F55" s="49">
        <v>16</v>
      </c>
      <c r="G55" s="49">
        <v>32</v>
      </c>
      <c r="H55" s="49">
        <v>64</v>
      </c>
      <c r="I55" s="49">
        <v>80</v>
      </c>
      <c r="J55" s="49">
        <v>1</v>
      </c>
      <c r="K55" s="49">
        <v>4</v>
      </c>
      <c r="L55" s="49">
        <v>16</v>
      </c>
      <c r="M55" s="49">
        <v>32</v>
      </c>
      <c r="N55" s="49">
        <v>64</v>
      </c>
      <c r="O55" s="50">
        <v>80</v>
      </c>
    </row>
    <row r="56" spans="1:15" x14ac:dyDescent="0.25">
      <c r="A56" s="51" t="s">
        <v>7</v>
      </c>
      <c r="B56" s="52" t="s">
        <v>8</v>
      </c>
      <c r="C56" s="52" t="s">
        <v>9</v>
      </c>
      <c r="D56" s="59">
        <f>IF(D46="","",(D46-'2018'!D307)/'2018'!D307)</f>
        <v>-0.1750388640107659</v>
      </c>
      <c r="E56" s="59">
        <f>IF(E46="","",(E46-'2018'!E307)/'2018'!E307)</f>
        <v>-5.0217237546731332E-2</v>
      </c>
      <c r="F56" s="59">
        <f>IF(F46="","",(F46-'2018'!F307)/'2018'!F307)</f>
        <v>-4.9632038336470995E-3</v>
      </c>
      <c r="G56" s="59" t="str">
        <f>IF(G46="","",(G46-'2017'!G387)/'2017'!G387)</f>
        <v/>
      </c>
      <c r="H56" s="59" t="str">
        <f>IF(H46="","",(H46-#REF!)/#REF!)</f>
        <v/>
      </c>
      <c r="I56" s="59" t="str">
        <f>IF(I46="","",(I46-#REF!)/#REF!)</f>
        <v/>
      </c>
      <c r="J56" s="55"/>
      <c r="K56" s="55"/>
      <c r="L56" s="55"/>
      <c r="M56" s="55" t="str">
        <f>IF(G56="","",M46-((1/Comparisons!#REF!)*1000000))</f>
        <v/>
      </c>
      <c r="N56" s="55" t="str">
        <f>IF(H56="","",N46-((1/Comparisons!#REF!)*1000000))</f>
        <v/>
      </c>
      <c r="O56" s="56" t="str">
        <f>IF(I56="","",O46-((1/Comparisons!#REF!)*1000000))</f>
        <v/>
      </c>
    </row>
    <row r="57" spans="1:15" x14ac:dyDescent="0.25">
      <c r="A57" s="51" t="s">
        <v>10</v>
      </c>
      <c r="B57" s="52" t="s">
        <v>8</v>
      </c>
      <c r="C57" s="52" t="s">
        <v>11</v>
      </c>
      <c r="D57" s="59">
        <f>IF(D47="","",(D47-'2018'!D308)/'2018'!D308)</f>
        <v>-0.14146122311450554</v>
      </c>
      <c r="E57" s="59">
        <f>IF(E47="","",(E47-'2018'!E308)/'2018'!E308)</f>
        <v>-0.10902503293807642</v>
      </c>
      <c r="F57" s="59">
        <f>IF(F47="","",(F47-'2018'!F308)/'2018'!F308)</f>
        <v>-3.2180691585048972E-2</v>
      </c>
      <c r="G57" s="59" t="str">
        <f>IF(G47="","",(G47-#REF!)/#REF!)</f>
        <v/>
      </c>
      <c r="H57" s="59" t="str">
        <f>IF(H47="","",(H47-#REF!)/#REF!)</f>
        <v/>
      </c>
      <c r="I57" s="59" t="str">
        <f>IF(I47="","",(I47-#REF!)/#REF!)</f>
        <v/>
      </c>
      <c r="J57" s="55"/>
      <c r="K57" s="55"/>
      <c r="L57" s="55"/>
      <c r="M57" s="55" t="str">
        <f>IF(G57="","",M47-((1/Comparisons!#REF!)*1000000))</f>
        <v/>
      </c>
      <c r="N57" s="55" t="str">
        <f>IF(H57="","",N47-((1/Comparisons!#REF!)*1000000))</f>
        <v/>
      </c>
      <c r="O57" s="56" t="str">
        <f>IF(I57="","",O47-((1/Comparisons!#REF!)*1000000))</f>
        <v/>
      </c>
    </row>
    <row r="58" spans="1:15" x14ac:dyDescent="0.25">
      <c r="A58" s="51" t="s">
        <v>12</v>
      </c>
      <c r="B58" s="52" t="s">
        <v>13</v>
      </c>
      <c r="C58" s="52" t="s">
        <v>9</v>
      </c>
      <c r="D58" s="59">
        <f>IF(D48="","",(D48-'2018'!D309)/'2018'!D309)</f>
        <v>-0.16665832415657222</v>
      </c>
      <c r="E58" s="59">
        <f>IF(E48="","",(E48-'2018'!E309)/'2018'!E309)</f>
        <v>-3.9640444419630397E-2</v>
      </c>
      <c r="F58" s="59">
        <f>IF(F48="","",(F48-'2018'!F309)/'2018'!F309)</f>
        <v>-3.5784576847378781E-3</v>
      </c>
      <c r="G58" s="59" t="str">
        <f>IF(G48="","",(G48-#REF!)/#REF!)</f>
        <v/>
      </c>
      <c r="H58" s="59" t="str">
        <f>IF(H48="","",(H48-#REF!)/#REF!)</f>
        <v/>
      </c>
      <c r="I58" s="59" t="str">
        <f>IF(I48="","",(I48-#REF!)/#REF!)</f>
        <v/>
      </c>
      <c r="J58" s="55"/>
      <c r="K58" s="55"/>
      <c r="L58" s="55"/>
      <c r="M58" s="55" t="str">
        <f>IF(G58="","",M48-((1/Comparisons!#REF!)*1000000))</f>
        <v/>
      </c>
      <c r="N58" s="55" t="str">
        <f>IF(H58="","",N48-((1/Comparisons!#REF!)*1000000))</f>
        <v/>
      </c>
      <c r="O58" s="56" t="str">
        <f>IF(I58="","",O48-((1/Comparisons!#REF!)*1000000))</f>
        <v/>
      </c>
    </row>
    <row r="59" spans="1:15" x14ac:dyDescent="0.25">
      <c r="A59" s="51" t="s">
        <v>14</v>
      </c>
      <c r="B59" s="52" t="s">
        <v>13</v>
      </c>
      <c r="C59" s="52" t="s">
        <v>11</v>
      </c>
      <c r="D59" s="59">
        <f>IF(D49="","",(D49-'2018'!D310)/'2018'!D310)</f>
        <v>-6.5535764772405997E-2</v>
      </c>
      <c r="E59" s="59">
        <f>IF(E49="","",(E49-'2018'!E310)/'2018'!E310)</f>
        <v>-4.8289039430258814E-2</v>
      </c>
      <c r="F59" s="59">
        <f>IF(F49="","",(F49-'2018'!F310)/'2018'!F310)</f>
        <v>-4.4878454186578015E-2</v>
      </c>
      <c r="G59" s="59" t="str">
        <f>IF(G49="","",(G49-#REF!)/#REF!)</f>
        <v/>
      </c>
      <c r="H59" s="59" t="str">
        <f>IF(H49="","",(H49-#REF!)/#REF!)</f>
        <v/>
      </c>
      <c r="I59" s="59" t="str">
        <f>IF(I49="","",(I49-#REF!)/#REF!)</f>
        <v/>
      </c>
      <c r="J59" s="55"/>
      <c r="K59" s="55"/>
      <c r="L59" s="55"/>
      <c r="M59" s="55" t="str">
        <f>IF(G59="","",M49-((1/Comparisons!#REF!)*1000000))</f>
        <v/>
      </c>
      <c r="N59" s="55" t="str">
        <f>IF(H59="","",N49-((1/Comparisons!#REF!)*1000000))</f>
        <v/>
      </c>
      <c r="O59" s="56" t="str">
        <f>IF(I59="","",O49-((1/Comparisons!#REF!)*1000000))</f>
        <v/>
      </c>
    </row>
    <row r="60" spans="1:15" x14ac:dyDescent="0.25">
      <c r="A60" s="51" t="s">
        <v>15</v>
      </c>
      <c r="B60" s="8" t="s">
        <v>16</v>
      </c>
      <c r="C60" s="52" t="s">
        <v>11</v>
      </c>
      <c r="D60" s="59">
        <f>IF(D50="","",(D50-'2018'!D311)/'2018'!D311)</f>
        <v>-0.11516119663084519</v>
      </c>
      <c r="E60" s="59">
        <f>IF(E50="","",(E50-'2018'!E311)/'2018'!E311)</f>
        <v>-0.1067478437341451</v>
      </c>
      <c r="F60" s="59">
        <f>IF(F50="","",(F50-'2018'!F311)/'2018'!F311)</f>
        <v>-4.9502899751449878E-2</v>
      </c>
      <c r="G60" s="59" t="str">
        <f>IF(G50="","",(G50-#REF!)/#REF!)</f>
        <v/>
      </c>
      <c r="H60" s="59" t="str">
        <f>IF(H50="","",(H50-#REF!)/#REF!)</f>
        <v/>
      </c>
      <c r="I60" s="59" t="str">
        <f>IF(I50="","",(I50-#REF!)/#REF!)</f>
        <v/>
      </c>
      <c r="J60" s="55"/>
      <c r="K60" s="55"/>
      <c r="L60" s="55"/>
      <c r="M60" s="55" t="str">
        <f>IF(G60="","",M50-((1/Comparisons!#REF!)*1000000))</f>
        <v/>
      </c>
      <c r="N60" s="55" t="str">
        <f>IF(H60="","",N50-((1/Comparisons!#REF!)*1000000))</f>
        <v/>
      </c>
      <c r="O60" s="56" t="str">
        <f>IF(I60="","",O50-((1/Comparisons!#REF!)*1000000))</f>
        <v/>
      </c>
    </row>
    <row r="61" spans="1:15" ht="15.75" thickBot="1" x14ac:dyDescent="0.3">
      <c r="A61" s="60" t="s">
        <v>17</v>
      </c>
      <c r="B61" s="61" t="s">
        <v>18</v>
      </c>
      <c r="C61" s="61" t="s">
        <v>11</v>
      </c>
      <c r="D61" s="59">
        <f>IF(D51="","",(D51-'2018'!D312)/'2018'!D312)</f>
        <v>-8.3551554828150576E-2</v>
      </c>
      <c r="E61" s="59">
        <f>IF(E51="","",(E51-'2018'!E312)/'2018'!E312)</f>
        <v>3.6168475090421186E-3</v>
      </c>
      <c r="F61" s="59">
        <f>IF(F51="","",(F51-'2018'!F312)/'2018'!F312)</f>
        <v>2.5790535994617628E-2</v>
      </c>
      <c r="G61" s="62" t="str">
        <f>IF(G51="","",(G51-#REF!)/#REF!)</f>
        <v/>
      </c>
      <c r="H61" s="62" t="str">
        <f>IF(H51="","",(H51-#REF!)/#REF!)</f>
        <v/>
      </c>
      <c r="I61" s="62" t="str">
        <f>IF(I51="","",(I51-#REF!)/#REF!)</f>
        <v/>
      </c>
      <c r="J61" s="63"/>
      <c r="K61" s="63"/>
      <c r="L61" s="63"/>
      <c r="M61" s="63" t="str">
        <f>IF(G61="","",M51-((1/Comparisons!#REF!)*1000000))</f>
        <v/>
      </c>
      <c r="N61" s="63" t="str">
        <f>IF(H61="","",N51-((1/Comparisons!#REF!)*1000000))</f>
        <v/>
      </c>
      <c r="O61" s="64" t="str">
        <f>IF(I61="","",O51-((1/Comparisons!#REF!)*1000000))</f>
        <v/>
      </c>
    </row>
    <row r="63" spans="1:15" ht="15.75" x14ac:dyDescent="0.25">
      <c r="A63" s="113" t="s">
        <v>201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2"/>
    </row>
    <row r="64" spans="1:15" x14ac:dyDescent="0.25">
      <c r="A64" s="134" t="s">
        <v>1</v>
      </c>
      <c r="B64" s="135"/>
      <c r="C64" s="135"/>
      <c r="D64" s="136" t="s">
        <v>2</v>
      </c>
      <c r="E64" s="136"/>
      <c r="F64" s="136"/>
      <c r="G64" s="136"/>
      <c r="H64" s="136"/>
      <c r="I64" s="136"/>
      <c r="J64" s="136" t="s">
        <v>3</v>
      </c>
      <c r="K64" s="136"/>
      <c r="L64" s="136"/>
      <c r="M64" s="136"/>
      <c r="N64" s="136"/>
      <c r="O64" s="137"/>
    </row>
    <row r="65" spans="1:15" x14ac:dyDescent="0.25">
      <c r="A65" s="47" t="s">
        <v>26</v>
      </c>
      <c r="B65" s="48" t="s">
        <v>5</v>
      </c>
      <c r="C65" s="48" t="s">
        <v>6</v>
      </c>
      <c r="D65" s="49">
        <v>1</v>
      </c>
      <c r="E65" s="49">
        <v>4</v>
      </c>
      <c r="F65" s="49">
        <v>16</v>
      </c>
      <c r="G65" s="49">
        <v>32</v>
      </c>
      <c r="H65" s="49">
        <v>64</v>
      </c>
      <c r="I65" s="49">
        <v>80</v>
      </c>
      <c r="J65" s="49">
        <v>1</v>
      </c>
      <c r="K65" s="49">
        <v>4</v>
      </c>
      <c r="L65" s="49">
        <v>16</v>
      </c>
      <c r="M65" s="49">
        <v>32</v>
      </c>
      <c r="N65" s="49">
        <v>64</v>
      </c>
      <c r="O65" s="50">
        <v>80</v>
      </c>
    </row>
    <row r="66" spans="1:15" x14ac:dyDescent="0.25">
      <c r="A66" s="51" t="s">
        <v>7</v>
      </c>
      <c r="B66" s="52" t="s">
        <v>8</v>
      </c>
      <c r="C66" s="52" t="s">
        <v>9</v>
      </c>
      <c r="D66" s="8">
        <v>35555</v>
      </c>
      <c r="E66" s="8">
        <v>18800</v>
      </c>
      <c r="F66" s="8">
        <v>5814</v>
      </c>
      <c r="G66" s="54"/>
      <c r="H66" s="54"/>
      <c r="I66" s="54"/>
      <c r="J66" s="55"/>
      <c r="K66" s="55"/>
      <c r="L66" s="55"/>
      <c r="M66" s="55" t="str">
        <f t="shared" ref="M66:M71" si="7">IF(G66="","",(1/G66)*1000000)</f>
        <v/>
      </c>
      <c r="N66" s="55" t="str">
        <f t="shared" ref="N66:N71" si="8">IF(H66="","",(1/H66)*1000000)</f>
        <v/>
      </c>
      <c r="O66" s="56" t="str">
        <f t="shared" ref="O66:O71" si="9">IF(I66="","",(1/I66)*1000000)</f>
        <v/>
      </c>
    </row>
    <row r="67" spans="1:15" x14ac:dyDescent="0.25">
      <c r="A67" s="51" t="s">
        <v>10</v>
      </c>
      <c r="B67" s="52" t="s">
        <v>8</v>
      </c>
      <c r="C67" s="52" t="s">
        <v>11</v>
      </c>
      <c r="D67" s="52">
        <v>15288</v>
      </c>
      <c r="E67" s="52">
        <v>10820</v>
      </c>
      <c r="F67" s="8">
        <v>4842</v>
      </c>
      <c r="G67" s="54"/>
      <c r="H67" s="54"/>
      <c r="I67" s="54"/>
      <c r="J67" s="55"/>
      <c r="K67" s="55"/>
      <c r="L67" s="55"/>
      <c r="M67" s="55" t="str">
        <f t="shared" si="7"/>
        <v/>
      </c>
      <c r="N67" s="55" t="str">
        <f t="shared" si="8"/>
        <v/>
      </c>
      <c r="O67" s="56" t="str">
        <f t="shared" si="9"/>
        <v/>
      </c>
    </row>
    <row r="68" spans="1:15" x14ac:dyDescent="0.25">
      <c r="A68" s="51" t="s">
        <v>12</v>
      </c>
      <c r="B68" s="52" t="s">
        <v>13</v>
      </c>
      <c r="C68" s="52" t="s">
        <v>9</v>
      </c>
      <c r="D68" s="65">
        <v>33297</v>
      </c>
      <c r="E68" s="8">
        <v>17201</v>
      </c>
      <c r="F68" s="52">
        <v>5569</v>
      </c>
      <c r="G68" s="54"/>
      <c r="H68" s="54"/>
      <c r="I68" s="54"/>
      <c r="J68" s="55"/>
      <c r="K68" s="55"/>
      <c r="L68" s="55"/>
      <c r="M68" s="55" t="str">
        <f t="shared" si="7"/>
        <v/>
      </c>
      <c r="N68" s="55" t="str">
        <f t="shared" si="8"/>
        <v/>
      </c>
      <c r="O68" s="56" t="str">
        <f t="shared" si="9"/>
        <v/>
      </c>
    </row>
    <row r="69" spans="1:15" x14ac:dyDescent="0.25">
      <c r="A69" s="51" t="s">
        <v>14</v>
      </c>
      <c r="B69" s="52" t="s">
        <v>13</v>
      </c>
      <c r="C69" s="52" t="s">
        <v>11</v>
      </c>
      <c r="D69" s="52">
        <v>16526</v>
      </c>
      <c r="E69" s="8">
        <v>10958</v>
      </c>
      <c r="F69" s="65">
        <v>4597</v>
      </c>
      <c r="G69" s="54"/>
      <c r="H69" s="54"/>
      <c r="I69" s="54"/>
      <c r="J69" s="55"/>
      <c r="K69" s="55"/>
      <c r="L69" s="55"/>
      <c r="M69" s="55" t="str">
        <f t="shared" si="7"/>
        <v/>
      </c>
      <c r="N69" s="55" t="str">
        <f t="shared" si="8"/>
        <v/>
      </c>
      <c r="O69" s="56" t="str">
        <f t="shared" si="9"/>
        <v/>
      </c>
    </row>
    <row r="70" spans="1:15" x14ac:dyDescent="0.25">
      <c r="A70" s="51" t="s">
        <v>15</v>
      </c>
      <c r="B70" s="52" t="s">
        <v>16</v>
      </c>
      <c r="C70" s="52" t="s">
        <v>11</v>
      </c>
      <c r="D70" s="52">
        <v>12186</v>
      </c>
      <c r="E70" s="8">
        <v>8803</v>
      </c>
      <c r="F70" s="52">
        <v>4589</v>
      </c>
      <c r="G70" s="54"/>
      <c r="H70" s="54"/>
      <c r="I70" s="54"/>
      <c r="J70" s="55"/>
      <c r="K70" s="55"/>
      <c r="L70" s="55"/>
      <c r="M70" s="55" t="str">
        <f t="shared" si="7"/>
        <v/>
      </c>
      <c r="N70" s="55" t="str">
        <f t="shared" si="8"/>
        <v/>
      </c>
      <c r="O70" s="56" t="str">
        <f t="shared" si="9"/>
        <v/>
      </c>
    </row>
    <row r="71" spans="1:15" x14ac:dyDescent="0.25">
      <c r="A71" s="51" t="s">
        <v>17</v>
      </c>
      <c r="B71" s="52" t="s">
        <v>18</v>
      </c>
      <c r="C71" s="52" t="s">
        <v>11</v>
      </c>
      <c r="D71" s="8">
        <v>11199</v>
      </c>
      <c r="E71" s="52">
        <v>8602</v>
      </c>
      <c r="F71" s="8">
        <v>4574</v>
      </c>
      <c r="G71" s="54"/>
      <c r="H71" s="54"/>
      <c r="I71" s="54"/>
      <c r="J71" s="55"/>
      <c r="K71" s="55"/>
      <c r="L71" s="55"/>
      <c r="M71" s="55" t="str">
        <f t="shared" si="7"/>
        <v/>
      </c>
      <c r="N71" s="55" t="str">
        <f t="shared" si="8"/>
        <v/>
      </c>
      <c r="O71" s="56" t="str">
        <f t="shared" si="9"/>
        <v/>
      </c>
    </row>
    <row r="72" spans="1:15" x14ac:dyDescent="0.25">
      <c r="A72" s="116" t="s">
        <v>202</v>
      </c>
      <c r="B72" s="117"/>
      <c r="C72" s="117"/>
      <c r="D72" s="117"/>
      <c r="E72" s="143"/>
      <c r="F72" s="143"/>
      <c r="G72" s="143"/>
      <c r="H72" s="118"/>
      <c r="I72" s="118"/>
      <c r="J72" s="57"/>
      <c r="K72" s="57"/>
      <c r="L72" s="57"/>
      <c r="M72" s="57"/>
      <c r="N72" s="57"/>
      <c r="O72" s="58"/>
    </row>
    <row r="73" spans="1:15" ht="18.75" x14ac:dyDescent="0.3">
      <c r="A73" s="119" t="s">
        <v>193</v>
      </c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5"/>
    </row>
    <row r="74" spans="1:15" x14ac:dyDescent="0.25">
      <c r="A74" s="134" t="s">
        <v>1</v>
      </c>
      <c r="B74" s="135"/>
      <c r="C74" s="135"/>
      <c r="D74" s="136" t="s">
        <v>19</v>
      </c>
      <c r="E74" s="136"/>
      <c r="F74" s="136"/>
      <c r="G74" s="136"/>
      <c r="H74" s="136"/>
      <c r="I74" s="136"/>
      <c r="J74" s="136" t="s">
        <v>22</v>
      </c>
      <c r="K74" s="136"/>
      <c r="L74" s="136"/>
      <c r="M74" s="136"/>
      <c r="N74" s="136"/>
      <c r="O74" s="137"/>
    </row>
    <row r="75" spans="1:15" x14ac:dyDescent="0.25">
      <c r="A75" s="47" t="s">
        <v>4</v>
      </c>
      <c r="B75" s="48" t="s">
        <v>5</v>
      </c>
      <c r="C75" s="48" t="s">
        <v>6</v>
      </c>
      <c r="D75" s="49">
        <v>1</v>
      </c>
      <c r="E75" s="49">
        <v>4</v>
      </c>
      <c r="F75" s="49">
        <v>16</v>
      </c>
      <c r="G75" s="49">
        <v>32</v>
      </c>
      <c r="H75" s="49">
        <v>64</v>
      </c>
      <c r="I75" s="49">
        <v>80</v>
      </c>
      <c r="J75" s="49">
        <v>1</v>
      </c>
      <c r="K75" s="49">
        <v>4</v>
      </c>
      <c r="L75" s="49">
        <v>16</v>
      </c>
      <c r="M75" s="49">
        <v>32</v>
      </c>
      <c r="N75" s="49">
        <v>64</v>
      </c>
      <c r="O75" s="50">
        <v>80</v>
      </c>
    </row>
    <row r="76" spans="1:15" x14ac:dyDescent="0.25">
      <c r="A76" s="51" t="s">
        <v>7</v>
      </c>
      <c r="B76" s="52" t="s">
        <v>8</v>
      </c>
      <c r="C76" s="52" t="s">
        <v>9</v>
      </c>
      <c r="D76" s="59">
        <f>IF(D66="","",(D66-'2018'!D307)/'2018'!D307)</f>
        <v>-0.1750388640107659</v>
      </c>
      <c r="E76" s="59">
        <f>IF(E66="","",(E66-'2018'!E307)/'2018'!E307)</f>
        <v>-5.0217237546731332E-2</v>
      </c>
      <c r="F76" s="59">
        <f>IF(F66="","",(F66-'2018'!F307)/'2018'!F307)</f>
        <v>-4.9632038336470995E-3</v>
      </c>
      <c r="G76" s="59" t="str">
        <f>IF(G66="","",(G66-'2017'!G407)/'2017'!G407)</f>
        <v/>
      </c>
      <c r="H76" s="59" t="str">
        <f>IF(H66="","",(H66-#REF!)/#REF!)</f>
        <v/>
      </c>
      <c r="I76" s="59" t="str">
        <f>IF(I66="","",(I66-#REF!)/#REF!)</f>
        <v/>
      </c>
      <c r="J76" s="55"/>
      <c r="K76" s="55"/>
      <c r="L76" s="55"/>
      <c r="M76" s="55" t="str">
        <f>IF(G76="","",M66-((1/Comparisons!#REF!)*1000000))</f>
        <v/>
      </c>
      <c r="N76" s="55" t="str">
        <f>IF(H76="","",N66-((1/Comparisons!#REF!)*1000000))</f>
        <v/>
      </c>
      <c r="O76" s="56" t="str">
        <f>IF(I76="","",O66-((1/Comparisons!#REF!)*1000000))</f>
        <v/>
      </c>
    </row>
    <row r="77" spans="1:15" x14ac:dyDescent="0.25">
      <c r="A77" s="51" t="s">
        <v>10</v>
      </c>
      <c r="B77" s="52" t="s">
        <v>8</v>
      </c>
      <c r="C77" s="52" t="s">
        <v>11</v>
      </c>
      <c r="D77" s="59">
        <f>IF(D67="","",(D67-'2018'!D308)/'2018'!D308)</f>
        <v>-0.14146122311450554</v>
      </c>
      <c r="E77" s="59">
        <f>IF(E67="","",(E67-'2018'!E308)/'2018'!E308)</f>
        <v>-0.10902503293807642</v>
      </c>
      <c r="F77" s="59">
        <f>IF(F67="","",(F67-'2018'!F308)/'2018'!F308)</f>
        <v>-3.2180691585048972E-2</v>
      </c>
      <c r="G77" s="59" t="str">
        <f>IF(G67="","",(G67-#REF!)/#REF!)</f>
        <v/>
      </c>
      <c r="H77" s="59" t="str">
        <f>IF(H67="","",(H67-#REF!)/#REF!)</f>
        <v/>
      </c>
      <c r="I77" s="59" t="str">
        <f>IF(I67="","",(I67-#REF!)/#REF!)</f>
        <v/>
      </c>
      <c r="J77" s="55"/>
      <c r="K77" s="55"/>
      <c r="L77" s="55"/>
      <c r="M77" s="55" t="str">
        <f>IF(G77="","",M67-((1/Comparisons!#REF!)*1000000))</f>
        <v/>
      </c>
      <c r="N77" s="55" t="str">
        <f>IF(H77="","",N67-((1/Comparisons!#REF!)*1000000))</f>
        <v/>
      </c>
      <c r="O77" s="56" t="str">
        <f>IF(I77="","",O67-((1/Comparisons!#REF!)*1000000))</f>
        <v/>
      </c>
    </row>
    <row r="78" spans="1:15" x14ac:dyDescent="0.25">
      <c r="A78" s="51" t="s">
        <v>12</v>
      </c>
      <c r="B78" s="52" t="s">
        <v>13</v>
      </c>
      <c r="C78" s="52" t="s">
        <v>9</v>
      </c>
      <c r="D78" s="59">
        <f>IF(D68="","",(D68-'2018'!D309)/'2018'!D309)</f>
        <v>-0.16665832415657222</v>
      </c>
      <c r="E78" s="59">
        <f>IF(E68="","",(E68-'2018'!E309)/'2018'!E309)</f>
        <v>-3.9640444419630397E-2</v>
      </c>
      <c r="F78" s="59">
        <f>IF(F68="","",(F68-'2018'!F309)/'2018'!F309)</f>
        <v>-3.5784576847378781E-3</v>
      </c>
      <c r="G78" s="59" t="str">
        <f>IF(G68="","",(G68-#REF!)/#REF!)</f>
        <v/>
      </c>
      <c r="H78" s="59" t="str">
        <f>IF(H68="","",(H68-#REF!)/#REF!)</f>
        <v/>
      </c>
      <c r="I78" s="59" t="str">
        <f>IF(I68="","",(I68-#REF!)/#REF!)</f>
        <v/>
      </c>
      <c r="J78" s="55"/>
      <c r="K78" s="55"/>
      <c r="L78" s="55"/>
      <c r="M78" s="55" t="str">
        <f>IF(G78="","",M68-((1/Comparisons!#REF!)*1000000))</f>
        <v/>
      </c>
      <c r="N78" s="55" t="str">
        <f>IF(H78="","",N68-((1/Comparisons!#REF!)*1000000))</f>
        <v/>
      </c>
      <c r="O78" s="56" t="str">
        <f>IF(I78="","",O68-((1/Comparisons!#REF!)*1000000))</f>
        <v/>
      </c>
    </row>
    <row r="79" spans="1:15" x14ac:dyDescent="0.25">
      <c r="A79" s="51" t="s">
        <v>14</v>
      </c>
      <c r="B79" s="52" t="s">
        <v>13</v>
      </c>
      <c r="C79" s="52" t="s">
        <v>11</v>
      </c>
      <c r="D79" s="59">
        <f>IF(D69="","",(D69-'2018'!D310)/'2018'!D310)</f>
        <v>-6.5535764772405997E-2</v>
      </c>
      <c r="E79" s="59">
        <f>IF(E69="","",(E69-'2018'!E310)/'2018'!E310)</f>
        <v>-4.8289039430258814E-2</v>
      </c>
      <c r="F79" s="59">
        <f>IF(F69="","",(F69-'2018'!F310)/'2018'!F310)</f>
        <v>-4.4878454186578015E-2</v>
      </c>
      <c r="G79" s="59" t="str">
        <f>IF(G69="","",(G69-#REF!)/#REF!)</f>
        <v/>
      </c>
      <c r="H79" s="59" t="str">
        <f>IF(H69="","",(H69-#REF!)/#REF!)</f>
        <v/>
      </c>
      <c r="I79" s="59" t="str">
        <f>IF(I69="","",(I69-#REF!)/#REF!)</f>
        <v/>
      </c>
      <c r="J79" s="55"/>
      <c r="K79" s="55"/>
      <c r="L79" s="55"/>
      <c r="M79" s="55" t="str">
        <f>IF(G79="","",M69-((1/Comparisons!#REF!)*1000000))</f>
        <v/>
      </c>
      <c r="N79" s="55" t="str">
        <f>IF(H79="","",N69-((1/Comparisons!#REF!)*1000000))</f>
        <v/>
      </c>
      <c r="O79" s="56" t="str">
        <f>IF(I79="","",O69-((1/Comparisons!#REF!)*1000000))</f>
        <v/>
      </c>
    </row>
    <row r="80" spans="1:15" x14ac:dyDescent="0.25">
      <c r="A80" s="51" t="s">
        <v>15</v>
      </c>
      <c r="B80" s="8" t="s">
        <v>16</v>
      </c>
      <c r="C80" s="52" t="s">
        <v>11</v>
      </c>
      <c r="D80" s="59">
        <f>IF(D70="","",(D70-'2018'!D311)/'2018'!D311)</f>
        <v>-0.11516119663084519</v>
      </c>
      <c r="E80" s="59">
        <f>IF(E70="","",(E70-'2018'!E311)/'2018'!E311)</f>
        <v>-0.1067478437341451</v>
      </c>
      <c r="F80" s="59">
        <f>IF(F70="","",(F70-'2018'!F311)/'2018'!F311)</f>
        <v>-4.9502899751449878E-2</v>
      </c>
      <c r="G80" s="59" t="str">
        <f>IF(G70="","",(G70-#REF!)/#REF!)</f>
        <v/>
      </c>
      <c r="H80" s="59" t="str">
        <f>IF(H70="","",(H70-#REF!)/#REF!)</f>
        <v/>
      </c>
      <c r="I80" s="59" t="str">
        <f>IF(I70="","",(I70-#REF!)/#REF!)</f>
        <v/>
      </c>
      <c r="J80" s="55"/>
      <c r="K80" s="55"/>
      <c r="L80" s="55"/>
      <c r="M80" s="55" t="str">
        <f>IF(G80="","",M70-((1/Comparisons!#REF!)*1000000))</f>
        <v/>
      </c>
      <c r="N80" s="55" t="str">
        <f>IF(H80="","",N70-((1/Comparisons!#REF!)*1000000))</f>
        <v/>
      </c>
      <c r="O80" s="56" t="str">
        <f>IF(I80="","",O70-((1/Comparisons!#REF!)*1000000))</f>
        <v/>
      </c>
    </row>
    <row r="81" spans="1:15" ht="15.75" thickBot="1" x14ac:dyDescent="0.3">
      <c r="A81" s="60" t="s">
        <v>17</v>
      </c>
      <c r="B81" s="61" t="s">
        <v>18</v>
      </c>
      <c r="C81" s="61" t="s">
        <v>11</v>
      </c>
      <c r="D81" s="59">
        <f>IF(D71="","",(D71-'2018'!D312)/'2018'!D312)</f>
        <v>-8.3551554828150576E-2</v>
      </c>
      <c r="E81" s="59">
        <f>IF(E71="","",(E71-'2018'!E312)/'2018'!E312)</f>
        <v>3.6168475090421186E-3</v>
      </c>
      <c r="F81" s="59">
        <f>IF(F71="","",(F71-'2018'!F312)/'2018'!F312)</f>
        <v>2.5790535994617628E-2</v>
      </c>
      <c r="G81" s="62" t="str">
        <f>IF(G71="","",(G71-#REF!)/#REF!)</f>
        <v/>
      </c>
      <c r="H81" s="62" t="str">
        <f>IF(H71="","",(H71-#REF!)/#REF!)</f>
        <v/>
      </c>
      <c r="I81" s="62" t="str">
        <f>IF(I71="","",(I71-#REF!)/#REF!)</f>
        <v/>
      </c>
      <c r="J81" s="63"/>
      <c r="K81" s="63"/>
      <c r="L81" s="63"/>
      <c r="M81" s="63" t="str">
        <f>IF(G81="","",M71-((1/Comparisons!#REF!)*1000000))</f>
        <v/>
      </c>
      <c r="N81" s="63" t="str">
        <f>IF(H81="","",N71-((1/Comparisons!#REF!)*1000000))</f>
        <v/>
      </c>
      <c r="O81" s="64" t="str">
        <f>IF(I81="","",O71-((1/Comparisons!#REF!)*1000000))</f>
        <v/>
      </c>
    </row>
    <row r="84" spans="1:15" ht="15.75" x14ac:dyDescent="0.25">
      <c r="A84" s="113" t="s">
        <v>203</v>
      </c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2"/>
    </row>
    <row r="85" spans="1:15" x14ac:dyDescent="0.25">
      <c r="A85" s="134" t="s">
        <v>1</v>
      </c>
      <c r="B85" s="135"/>
      <c r="C85" s="135"/>
      <c r="D85" s="136" t="s">
        <v>2</v>
      </c>
      <c r="E85" s="136"/>
      <c r="F85" s="136"/>
      <c r="G85" s="136"/>
      <c r="H85" s="136"/>
      <c r="I85" s="136"/>
      <c r="J85" s="136" t="s">
        <v>3</v>
      </c>
      <c r="K85" s="136"/>
      <c r="L85" s="136"/>
      <c r="M85" s="136"/>
      <c r="N85" s="136"/>
      <c r="O85" s="137"/>
    </row>
    <row r="86" spans="1:15" x14ac:dyDescent="0.25">
      <c r="A86" s="47" t="s">
        <v>26</v>
      </c>
      <c r="B86" s="48" t="s">
        <v>5</v>
      </c>
      <c r="C86" s="48" t="s">
        <v>6</v>
      </c>
      <c r="D86" s="49">
        <v>1</v>
      </c>
      <c r="E86" s="49">
        <v>4</v>
      </c>
      <c r="F86" s="49">
        <v>16</v>
      </c>
      <c r="G86" s="49">
        <v>32</v>
      </c>
      <c r="H86" s="49">
        <v>64</v>
      </c>
      <c r="I86" s="49">
        <v>80</v>
      </c>
      <c r="J86" s="49">
        <v>1</v>
      </c>
      <c r="K86" s="49">
        <v>4</v>
      </c>
      <c r="L86" s="49">
        <v>16</v>
      </c>
      <c r="M86" s="49">
        <v>32</v>
      </c>
      <c r="N86" s="49">
        <v>64</v>
      </c>
      <c r="O86" s="50">
        <v>80</v>
      </c>
    </row>
    <row r="87" spans="1:15" x14ac:dyDescent="0.25">
      <c r="A87" s="51" t="s">
        <v>7</v>
      </c>
      <c r="B87" s="52" t="s">
        <v>8</v>
      </c>
      <c r="C87" s="52" t="s">
        <v>9</v>
      </c>
      <c r="D87" s="8">
        <v>39143</v>
      </c>
      <c r="E87" s="8">
        <v>19281</v>
      </c>
      <c r="F87" s="8">
        <v>5837</v>
      </c>
      <c r="G87" s="54"/>
      <c r="H87" s="54"/>
      <c r="I87" s="54"/>
      <c r="J87" s="55"/>
      <c r="K87" s="55"/>
      <c r="L87" s="55"/>
      <c r="M87" s="55" t="str">
        <f t="shared" ref="M87:M92" si="10">IF(G87="","",(1/G87)*1000000)</f>
        <v/>
      </c>
      <c r="N87" s="55" t="str">
        <f t="shared" ref="N87:N92" si="11">IF(H87="","",(1/H87)*1000000)</f>
        <v/>
      </c>
      <c r="O87" s="56" t="str">
        <f t="shared" ref="O87:O92" si="12">IF(I87="","",(1/I87)*1000000)</f>
        <v/>
      </c>
    </row>
    <row r="88" spans="1:15" x14ac:dyDescent="0.25">
      <c r="A88" s="51" t="s">
        <v>10</v>
      </c>
      <c r="B88" s="52" t="s">
        <v>8</v>
      </c>
      <c r="C88" s="52" t="s">
        <v>11</v>
      </c>
      <c r="D88" s="8">
        <v>15288</v>
      </c>
      <c r="E88" s="52">
        <v>10759</v>
      </c>
      <c r="F88" s="8">
        <v>4770</v>
      </c>
      <c r="G88" s="54"/>
      <c r="H88" s="54"/>
      <c r="I88" s="54"/>
      <c r="J88" s="55"/>
      <c r="K88" s="55"/>
      <c r="L88" s="55"/>
      <c r="M88" s="55" t="str">
        <f t="shared" si="10"/>
        <v/>
      </c>
      <c r="N88" s="55" t="str">
        <f t="shared" si="11"/>
        <v/>
      </c>
      <c r="O88" s="56" t="str">
        <f t="shared" si="12"/>
        <v/>
      </c>
    </row>
    <row r="89" spans="1:15" x14ac:dyDescent="0.25">
      <c r="A89" s="51" t="s">
        <v>12</v>
      </c>
      <c r="B89" s="52" t="s">
        <v>13</v>
      </c>
      <c r="C89" s="52" t="s">
        <v>9</v>
      </c>
      <c r="D89" s="65">
        <v>34441</v>
      </c>
      <c r="E89" s="8">
        <v>17553</v>
      </c>
      <c r="F89" s="52">
        <v>5599</v>
      </c>
      <c r="G89" s="54"/>
      <c r="H89" s="54"/>
      <c r="I89" s="54"/>
      <c r="J89" s="55"/>
      <c r="K89" s="55"/>
      <c r="L89" s="55"/>
      <c r="M89" s="55" t="str">
        <f t="shared" si="10"/>
        <v/>
      </c>
      <c r="N89" s="55" t="str">
        <f t="shared" si="11"/>
        <v/>
      </c>
      <c r="O89" s="56" t="str">
        <f t="shared" si="12"/>
        <v/>
      </c>
    </row>
    <row r="90" spans="1:15" x14ac:dyDescent="0.25">
      <c r="A90" s="51" t="s">
        <v>14</v>
      </c>
      <c r="B90" s="52" t="s">
        <v>13</v>
      </c>
      <c r="C90" s="52" t="s">
        <v>11</v>
      </c>
      <c r="D90" s="52">
        <v>16381</v>
      </c>
      <c r="E90" s="8">
        <v>11040</v>
      </c>
      <c r="F90" s="65">
        <v>4641</v>
      </c>
      <c r="G90" s="54"/>
      <c r="H90" s="54"/>
      <c r="I90" s="54"/>
      <c r="J90" s="55"/>
      <c r="K90" s="55"/>
      <c r="L90" s="55"/>
      <c r="M90" s="55" t="str">
        <f t="shared" si="10"/>
        <v/>
      </c>
      <c r="N90" s="55" t="str">
        <f t="shared" si="11"/>
        <v/>
      </c>
      <c r="O90" s="56" t="str">
        <f t="shared" si="12"/>
        <v/>
      </c>
    </row>
    <row r="91" spans="1:15" x14ac:dyDescent="0.25">
      <c r="A91" s="51" t="s">
        <v>15</v>
      </c>
      <c r="B91" s="52" t="s">
        <v>16</v>
      </c>
      <c r="C91" s="52" t="s">
        <v>11</v>
      </c>
      <c r="D91" s="52">
        <v>12043</v>
      </c>
      <c r="E91" s="8">
        <v>8672</v>
      </c>
      <c r="F91" s="52">
        <v>4635</v>
      </c>
      <c r="G91" s="54"/>
      <c r="H91" s="54"/>
      <c r="I91" s="54"/>
      <c r="J91" s="55"/>
      <c r="K91" s="55"/>
      <c r="L91" s="55"/>
      <c r="M91" s="55" t="str">
        <f t="shared" si="10"/>
        <v/>
      </c>
      <c r="N91" s="55" t="str">
        <f t="shared" si="11"/>
        <v/>
      </c>
      <c r="O91" s="56" t="str">
        <f t="shared" si="12"/>
        <v/>
      </c>
    </row>
    <row r="92" spans="1:15" x14ac:dyDescent="0.25">
      <c r="A92" s="51" t="s">
        <v>17</v>
      </c>
      <c r="B92" s="52" t="s">
        <v>18</v>
      </c>
      <c r="C92" s="52" t="s">
        <v>11</v>
      </c>
      <c r="D92" s="8">
        <v>10941</v>
      </c>
      <c r="E92" s="52">
        <v>8459</v>
      </c>
      <c r="F92" s="8">
        <v>4578</v>
      </c>
      <c r="G92" s="54"/>
      <c r="H92" s="54"/>
      <c r="I92" s="54"/>
      <c r="J92" s="55"/>
      <c r="K92" s="55"/>
      <c r="L92" s="55"/>
      <c r="M92" s="55" t="str">
        <f t="shared" si="10"/>
        <v/>
      </c>
      <c r="N92" s="55" t="str">
        <f t="shared" si="11"/>
        <v/>
      </c>
      <c r="O92" s="56" t="str">
        <f t="shared" si="12"/>
        <v/>
      </c>
    </row>
    <row r="93" spans="1:15" x14ac:dyDescent="0.25">
      <c r="A93" s="116" t="s">
        <v>204</v>
      </c>
      <c r="B93" s="117"/>
      <c r="C93" s="117"/>
      <c r="D93" s="117"/>
      <c r="E93" s="143"/>
      <c r="F93" s="143"/>
      <c r="G93" s="143"/>
      <c r="H93" s="118"/>
      <c r="I93" s="118"/>
      <c r="J93" s="57"/>
      <c r="K93" s="57"/>
      <c r="L93" s="57"/>
      <c r="M93" s="57"/>
      <c r="N93" s="57"/>
      <c r="O93" s="58"/>
    </row>
    <row r="94" spans="1:15" ht="18.75" x14ac:dyDescent="0.3">
      <c r="A94" s="119" t="s">
        <v>193</v>
      </c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5"/>
    </row>
    <row r="95" spans="1:15" x14ac:dyDescent="0.25">
      <c r="A95" s="134" t="s">
        <v>1</v>
      </c>
      <c r="B95" s="135"/>
      <c r="C95" s="135"/>
      <c r="D95" s="136" t="s">
        <v>19</v>
      </c>
      <c r="E95" s="136"/>
      <c r="F95" s="136"/>
      <c r="G95" s="136"/>
      <c r="H95" s="136"/>
      <c r="I95" s="136"/>
      <c r="J95" s="136" t="s">
        <v>22</v>
      </c>
      <c r="K95" s="136"/>
      <c r="L95" s="136"/>
      <c r="M95" s="136"/>
      <c r="N95" s="136"/>
      <c r="O95" s="137"/>
    </row>
    <row r="96" spans="1:15" x14ac:dyDescent="0.25">
      <c r="A96" s="47" t="s">
        <v>4</v>
      </c>
      <c r="B96" s="48" t="s">
        <v>5</v>
      </c>
      <c r="C96" s="48" t="s">
        <v>6</v>
      </c>
      <c r="D96" s="49">
        <v>1</v>
      </c>
      <c r="E96" s="49">
        <v>4</v>
      </c>
      <c r="F96" s="49">
        <v>16</v>
      </c>
      <c r="G96" s="49">
        <v>32</v>
      </c>
      <c r="H96" s="49">
        <v>64</v>
      </c>
      <c r="I96" s="49">
        <v>80</v>
      </c>
      <c r="J96" s="49">
        <v>1</v>
      </c>
      <c r="K96" s="49">
        <v>4</v>
      </c>
      <c r="L96" s="49">
        <v>16</v>
      </c>
      <c r="M96" s="49">
        <v>32</v>
      </c>
      <c r="N96" s="49">
        <v>64</v>
      </c>
      <c r="O96" s="50">
        <v>80</v>
      </c>
    </row>
    <row r="97" spans="1:19" x14ac:dyDescent="0.25">
      <c r="A97" s="51" t="s">
        <v>7</v>
      </c>
      <c r="B97" s="52" t="s">
        <v>8</v>
      </c>
      <c r="C97" s="52" t="s">
        <v>9</v>
      </c>
      <c r="D97" s="59">
        <f>IF(D87="","",(D87-'2018'!D307)/'2018'!D307)</f>
        <v>-9.1788672591011394E-2</v>
      </c>
      <c r="E97" s="59">
        <f>IF(E87="","",(E87-'2018'!E307)/'2018'!E307)</f>
        <v>-2.5916944528645045E-2</v>
      </c>
      <c r="F97" s="59">
        <f>IF(F87="","",(F87-'2018'!F307)/'2018'!F307)</f>
        <v>-1.0268697586856067E-3</v>
      </c>
      <c r="G97" s="59" t="str">
        <f>IF(G87="","",(G87-'2017'!G428)/'2017'!G428)</f>
        <v/>
      </c>
      <c r="H97" s="59" t="str">
        <f>IF(H87="","",(H87-#REF!)/#REF!)</f>
        <v/>
      </c>
      <c r="I97" s="59" t="str">
        <f>IF(I87="","",(I87-#REF!)/#REF!)</f>
        <v/>
      </c>
      <c r="J97" s="55"/>
      <c r="K97" s="55"/>
      <c r="L97" s="55"/>
      <c r="M97" s="55" t="str">
        <f>IF(G97="","",M87-((1/Comparisons!#REF!)*1000000))</f>
        <v/>
      </c>
      <c r="N97" s="55" t="str">
        <f>IF(H97="","",N87-((1/Comparisons!#REF!)*1000000))</f>
        <v/>
      </c>
      <c r="O97" s="56" t="str">
        <f>IF(I97="","",O87-((1/Comparisons!#REF!)*1000000))</f>
        <v/>
      </c>
    </row>
    <row r="98" spans="1:19" x14ac:dyDescent="0.25">
      <c r="A98" s="51" t="s">
        <v>10</v>
      </c>
      <c r="B98" s="52" t="s">
        <v>8</v>
      </c>
      <c r="C98" s="52" t="s">
        <v>11</v>
      </c>
      <c r="D98" s="59">
        <f>IF(D88="","",(D88-'2018'!D308)/'2018'!D308)</f>
        <v>-0.14146122311450554</v>
      </c>
      <c r="E98" s="59">
        <f>IF(E88="","",(E88-'2018'!E308)/'2018'!E308)</f>
        <v>-0.11404808959156786</v>
      </c>
      <c r="F98" s="59">
        <f>IF(F88="","",(F88-'2018'!F308)/'2018'!F308)</f>
        <v>-4.6572056765940437E-2</v>
      </c>
      <c r="G98" s="59" t="str">
        <f>IF(G88="","",(G88-#REF!)/#REF!)</f>
        <v/>
      </c>
      <c r="H98" s="59" t="str">
        <f>IF(H88="","",(H88-#REF!)/#REF!)</f>
        <v/>
      </c>
      <c r="I98" s="59" t="str">
        <f>IF(I88="","",(I88-#REF!)/#REF!)</f>
        <v/>
      </c>
      <c r="J98" s="55"/>
      <c r="K98" s="55"/>
      <c r="L98" s="55"/>
      <c r="M98" s="55" t="str">
        <f>IF(G98="","",M88-((1/Comparisons!#REF!)*1000000))</f>
        <v/>
      </c>
      <c r="N98" s="55" t="str">
        <f>IF(H98="","",N88-((1/Comparisons!#REF!)*1000000))</f>
        <v/>
      </c>
      <c r="O98" s="56" t="str">
        <f>IF(I98="","",O88-((1/Comparisons!#REF!)*1000000))</f>
        <v/>
      </c>
    </row>
    <row r="99" spans="1:19" x14ac:dyDescent="0.25">
      <c r="A99" s="51" t="s">
        <v>12</v>
      </c>
      <c r="B99" s="52" t="s">
        <v>13</v>
      </c>
      <c r="C99" s="52" t="s">
        <v>9</v>
      </c>
      <c r="D99" s="59">
        <f>IF(D89="","",(D89-'2018'!D309)/'2018'!D309)</f>
        <v>-0.1380268295124637</v>
      </c>
      <c r="E99" s="59">
        <f>IF(E89="","",(E89-'2018'!E309)/'2018'!E309)</f>
        <v>-1.9987717045391099E-2</v>
      </c>
      <c r="F99" s="59">
        <f>IF(F89="","",(F89-'2018'!F309)/'2018'!F309)</f>
        <v>1.7892288423689391E-3</v>
      </c>
      <c r="G99" s="59" t="str">
        <f>IF(G89="","",(G89-#REF!)/#REF!)</f>
        <v/>
      </c>
      <c r="H99" s="59" t="str">
        <f>IF(H89="","",(H89-#REF!)/#REF!)</f>
        <v/>
      </c>
      <c r="I99" s="59" t="str">
        <f>IF(I89="","",(I89-#REF!)/#REF!)</f>
        <v/>
      </c>
      <c r="J99" s="55"/>
      <c r="K99" s="55"/>
      <c r="L99" s="55"/>
      <c r="M99" s="55" t="str">
        <f>IF(G99="","",M89-((1/Comparisons!#REF!)*1000000))</f>
        <v/>
      </c>
      <c r="N99" s="55" t="str">
        <f>IF(H99="","",N89-((1/Comparisons!#REF!)*1000000))</f>
        <v/>
      </c>
      <c r="O99" s="56" t="str">
        <f>IF(I99="","",O89-((1/Comparisons!#REF!)*1000000))</f>
        <v/>
      </c>
    </row>
    <row r="100" spans="1:19" x14ac:dyDescent="0.25">
      <c r="A100" s="51" t="s">
        <v>14</v>
      </c>
      <c r="B100" s="52" t="s">
        <v>13</v>
      </c>
      <c r="C100" s="52" t="s">
        <v>11</v>
      </c>
      <c r="D100" s="59">
        <f>IF(D90="","",(D90-'2018'!D310)/'2018'!D310)</f>
        <v>-7.3734803505795879E-2</v>
      </c>
      <c r="E100" s="59">
        <f>IF(E90="","",(E90-'2018'!E310)/'2018'!E310)</f>
        <v>-4.116727462219906E-2</v>
      </c>
      <c r="F100" s="59">
        <f>IF(F90="","",(F90-'2018'!F310)/'2018'!F310)</f>
        <v>-3.5736546852275092E-2</v>
      </c>
      <c r="G100" s="59" t="str">
        <f>IF(G90="","",(G90-#REF!)/#REF!)</f>
        <v/>
      </c>
      <c r="H100" s="59" t="str">
        <f>IF(H90="","",(H90-#REF!)/#REF!)</f>
        <v/>
      </c>
      <c r="I100" s="59" t="str">
        <f>IF(I90="","",(I90-#REF!)/#REF!)</f>
        <v/>
      </c>
      <c r="J100" s="55"/>
      <c r="K100" s="55"/>
      <c r="L100" s="55"/>
      <c r="M100" s="55" t="str">
        <f>IF(G100="","",M90-((1/Comparisons!#REF!)*1000000))</f>
        <v/>
      </c>
      <c r="N100" s="55" t="str">
        <f>IF(H100="","",N90-((1/Comparisons!#REF!)*1000000))</f>
        <v/>
      </c>
      <c r="O100" s="56" t="str">
        <f>IF(I100="","",O90-((1/Comparisons!#REF!)*1000000))</f>
        <v/>
      </c>
    </row>
    <row r="101" spans="1:19" x14ac:dyDescent="0.25">
      <c r="A101" s="51" t="s">
        <v>15</v>
      </c>
      <c r="B101" s="8" t="s">
        <v>16</v>
      </c>
      <c r="C101" s="52" t="s">
        <v>11</v>
      </c>
      <c r="D101" s="59">
        <f>IF(D91="","",(D91-'2018'!D311)/'2018'!D311)</f>
        <v>-0.12554458321231485</v>
      </c>
      <c r="E101" s="59">
        <f>IF(E91="","",(E91-'2018'!E311)/'2018'!E311)</f>
        <v>-0.12004058853373922</v>
      </c>
      <c r="F101" s="59">
        <f>IF(F91="","",(F91-'2018'!F311)/'2018'!F311)</f>
        <v>-3.9975144987572493E-2</v>
      </c>
      <c r="G101" s="59" t="str">
        <f>IF(G91="","",(G91-#REF!)/#REF!)</f>
        <v/>
      </c>
      <c r="H101" s="59" t="str">
        <f>IF(H91="","",(H91-#REF!)/#REF!)</f>
        <v/>
      </c>
      <c r="I101" s="59" t="str">
        <f>IF(I91="","",(I91-#REF!)/#REF!)</f>
        <v/>
      </c>
      <c r="J101" s="55"/>
      <c r="K101" s="55"/>
      <c r="L101" s="55"/>
      <c r="M101" s="55" t="str">
        <f>IF(G101="","",M91-((1/Comparisons!#REF!)*1000000))</f>
        <v/>
      </c>
      <c r="N101" s="55" t="str">
        <f>IF(H101="","",N91-((1/Comparisons!#REF!)*1000000))</f>
        <v/>
      </c>
      <c r="O101" s="56" t="str">
        <f>IF(I101="","",O91-((1/Comparisons!#REF!)*1000000))</f>
        <v/>
      </c>
    </row>
    <row r="102" spans="1:19" ht="15.75" thickBot="1" x14ac:dyDescent="0.3">
      <c r="A102" s="60" t="s">
        <v>17</v>
      </c>
      <c r="B102" s="61" t="s">
        <v>18</v>
      </c>
      <c r="C102" s="61" t="s">
        <v>11</v>
      </c>
      <c r="D102" s="59">
        <f>IF(D92="","",(D92-'2018'!D312)/'2018'!D312)</f>
        <v>-0.1046644844517185</v>
      </c>
      <c r="E102" s="59">
        <f>IF(E92="","",(E92-'2018'!E312)/'2018'!E312)</f>
        <v>-1.3067320032668301E-2</v>
      </c>
      <c r="F102" s="59">
        <f>IF(F92="","",(F92-'2018'!F312)/'2018'!F312)</f>
        <v>2.6687598116169546E-2</v>
      </c>
      <c r="G102" s="62" t="str">
        <f>IF(G92="","",(G92-#REF!)/#REF!)</f>
        <v/>
      </c>
      <c r="H102" s="62" t="str">
        <f>IF(H92="","",(H92-#REF!)/#REF!)</f>
        <v/>
      </c>
      <c r="I102" s="62" t="str">
        <f>IF(I92="","",(I92-#REF!)/#REF!)</f>
        <v/>
      </c>
      <c r="J102" s="63"/>
      <c r="K102" s="63"/>
      <c r="L102" s="63"/>
      <c r="M102" s="63" t="str">
        <f>IF(G102="","",M92-((1/Comparisons!#REF!)*1000000))</f>
        <v/>
      </c>
      <c r="N102" s="63" t="str">
        <f>IF(H102="","",N92-((1/Comparisons!#REF!)*1000000))</f>
        <v/>
      </c>
      <c r="O102" s="64" t="str">
        <f>IF(I102="","",O92-((1/Comparisons!#REF!)*1000000))</f>
        <v/>
      </c>
    </row>
    <row r="104" spans="1:19" ht="15.75" x14ac:dyDescent="0.25">
      <c r="A104" s="113" t="s">
        <v>205</v>
      </c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2"/>
    </row>
    <row r="105" spans="1:19" x14ac:dyDescent="0.25">
      <c r="A105" s="134" t="s">
        <v>1</v>
      </c>
      <c r="B105" s="135"/>
      <c r="C105" s="135"/>
      <c r="D105" s="136" t="s">
        <v>2</v>
      </c>
      <c r="E105" s="136"/>
      <c r="F105" s="136"/>
      <c r="G105" s="136"/>
      <c r="H105" s="136"/>
      <c r="I105" s="136"/>
      <c r="J105" s="136" t="s">
        <v>3</v>
      </c>
      <c r="K105" s="136"/>
      <c r="L105" s="136"/>
      <c r="M105" s="136"/>
      <c r="N105" s="136"/>
      <c r="O105" s="137"/>
    </row>
    <row r="106" spans="1:19" x14ac:dyDescent="0.25">
      <c r="A106" s="47" t="s">
        <v>26</v>
      </c>
      <c r="B106" s="48" t="s">
        <v>5</v>
      </c>
      <c r="C106" s="48" t="s">
        <v>6</v>
      </c>
      <c r="D106" s="49">
        <v>1</v>
      </c>
      <c r="E106" s="49">
        <v>4</v>
      </c>
      <c r="F106" s="49">
        <v>16</v>
      </c>
      <c r="G106" s="49">
        <v>32</v>
      </c>
      <c r="H106" s="49">
        <v>64</v>
      </c>
      <c r="I106" s="49">
        <v>80</v>
      </c>
      <c r="J106" s="49">
        <v>1</v>
      </c>
      <c r="K106" s="49">
        <v>4</v>
      </c>
      <c r="L106" s="49">
        <v>16</v>
      </c>
      <c r="M106" s="49">
        <v>32</v>
      </c>
      <c r="N106" s="49">
        <v>64</v>
      </c>
      <c r="O106" s="50">
        <v>80</v>
      </c>
    </row>
    <row r="107" spans="1:19" x14ac:dyDescent="0.25">
      <c r="A107" s="51" t="s">
        <v>7</v>
      </c>
      <c r="B107" s="52" t="s">
        <v>8</v>
      </c>
      <c r="C107" s="52" t="s">
        <v>9</v>
      </c>
      <c r="D107" s="8">
        <v>35555</v>
      </c>
      <c r="E107" s="8">
        <v>19447</v>
      </c>
      <c r="F107" s="8">
        <v>5837</v>
      </c>
      <c r="G107" s="54"/>
      <c r="H107" s="54"/>
      <c r="I107" s="54"/>
      <c r="J107" s="55"/>
      <c r="K107" s="55"/>
      <c r="L107" s="55"/>
      <c r="M107" s="55" t="str">
        <f t="shared" ref="M107:M112" si="13">IF(G107="","",(1/G107)*1000000)</f>
        <v/>
      </c>
      <c r="N107" s="55" t="str">
        <f t="shared" ref="N107:N112" si="14">IF(H107="","",(1/H107)*1000000)</f>
        <v/>
      </c>
      <c r="O107" s="56" t="str">
        <f t="shared" ref="O107:O112" si="15">IF(I107="","",(1/I107)*1000000)</f>
        <v/>
      </c>
    </row>
    <row r="108" spans="1:19" x14ac:dyDescent="0.25">
      <c r="A108" s="51" t="s">
        <v>10</v>
      </c>
      <c r="B108" s="52" t="s">
        <v>8</v>
      </c>
      <c r="C108" s="52" t="s">
        <v>11</v>
      </c>
      <c r="D108" s="8">
        <v>16489</v>
      </c>
      <c r="E108" s="52">
        <v>10930</v>
      </c>
      <c r="F108" s="8">
        <v>4832</v>
      </c>
      <c r="G108" s="54"/>
      <c r="H108" s="54"/>
      <c r="I108" s="54"/>
      <c r="J108" s="55"/>
      <c r="K108" s="55"/>
      <c r="L108" s="55"/>
      <c r="M108" s="55" t="str">
        <f t="shared" si="13"/>
        <v/>
      </c>
      <c r="N108" s="55" t="str">
        <f t="shared" si="14"/>
        <v/>
      </c>
      <c r="O108" s="56" t="str">
        <f t="shared" si="15"/>
        <v/>
      </c>
      <c r="S108" t="s">
        <v>207</v>
      </c>
    </row>
    <row r="109" spans="1:19" x14ac:dyDescent="0.25">
      <c r="A109" s="51" t="s">
        <v>12</v>
      </c>
      <c r="B109" s="52" t="s">
        <v>13</v>
      </c>
      <c r="C109" s="52" t="s">
        <v>9</v>
      </c>
      <c r="D109" s="65">
        <v>34441</v>
      </c>
      <c r="E109" s="8">
        <v>17896</v>
      </c>
      <c r="F109" s="52">
        <v>5608</v>
      </c>
      <c r="G109" s="54"/>
      <c r="H109" s="54"/>
      <c r="I109" s="54"/>
      <c r="J109" s="55"/>
      <c r="K109" s="55"/>
      <c r="L109" s="55"/>
      <c r="M109" s="55" t="str">
        <f t="shared" si="13"/>
        <v/>
      </c>
      <c r="N109" s="55" t="str">
        <f t="shared" si="14"/>
        <v/>
      </c>
      <c r="O109" s="56" t="str">
        <f t="shared" si="15"/>
        <v/>
      </c>
    </row>
    <row r="110" spans="1:19" x14ac:dyDescent="0.25">
      <c r="A110" s="51" t="s">
        <v>14</v>
      </c>
      <c r="B110" s="52" t="s">
        <v>13</v>
      </c>
      <c r="C110" s="52" t="s">
        <v>11</v>
      </c>
      <c r="D110" s="52">
        <v>16046</v>
      </c>
      <c r="E110" s="8">
        <v>10968</v>
      </c>
      <c r="F110" s="65">
        <v>4729</v>
      </c>
      <c r="G110" s="54"/>
      <c r="H110" s="54"/>
      <c r="I110" s="54"/>
      <c r="J110" s="55"/>
      <c r="K110" s="55"/>
      <c r="L110" s="55"/>
      <c r="M110" s="55" t="str">
        <f t="shared" si="13"/>
        <v/>
      </c>
      <c r="N110" s="55" t="str">
        <f t="shared" si="14"/>
        <v/>
      </c>
      <c r="O110" s="56" t="str">
        <f t="shared" si="15"/>
        <v/>
      </c>
    </row>
    <row r="111" spans="1:19" x14ac:dyDescent="0.25">
      <c r="A111" s="51" t="s">
        <v>15</v>
      </c>
      <c r="B111" s="52" t="s">
        <v>16</v>
      </c>
      <c r="C111" s="52" t="s">
        <v>11</v>
      </c>
      <c r="D111" s="52">
        <v>12243</v>
      </c>
      <c r="E111" s="8">
        <v>7970</v>
      </c>
      <c r="F111" s="52">
        <v>4650</v>
      </c>
      <c r="G111" s="54"/>
      <c r="H111" s="54"/>
      <c r="I111" s="54"/>
      <c r="J111" s="55"/>
      <c r="K111" s="55"/>
      <c r="L111" s="55"/>
      <c r="M111" s="55" t="str">
        <f t="shared" si="13"/>
        <v/>
      </c>
      <c r="N111" s="55" t="str">
        <f t="shared" si="14"/>
        <v/>
      </c>
      <c r="O111" s="56" t="str">
        <f t="shared" si="15"/>
        <v/>
      </c>
    </row>
    <row r="112" spans="1:19" x14ac:dyDescent="0.25">
      <c r="A112" s="51"/>
      <c r="B112" s="52" t="s">
        <v>18</v>
      </c>
      <c r="C112" s="52" t="s">
        <v>11</v>
      </c>
      <c r="D112" s="8">
        <v>11264</v>
      </c>
      <c r="E112" s="52">
        <v>8382</v>
      </c>
      <c r="F112" s="8">
        <v>4481</v>
      </c>
      <c r="G112" s="54"/>
      <c r="H112" s="54"/>
      <c r="I112" s="54"/>
      <c r="J112" s="55"/>
      <c r="K112" s="55"/>
      <c r="L112" s="55"/>
      <c r="M112" s="55" t="str">
        <f t="shared" si="13"/>
        <v/>
      </c>
      <c r="N112" s="55" t="str">
        <f t="shared" si="14"/>
        <v/>
      </c>
      <c r="O112" s="56" t="str">
        <f t="shared" si="15"/>
        <v/>
      </c>
    </row>
    <row r="113" spans="1:15" x14ac:dyDescent="0.25">
      <c r="A113" s="116" t="s">
        <v>206</v>
      </c>
      <c r="B113" s="117"/>
      <c r="C113" s="117"/>
      <c r="D113" s="117"/>
      <c r="E113" s="143"/>
      <c r="F113" s="143"/>
      <c r="G113" s="143"/>
      <c r="H113" s="118"/>
      <c r="I113" s="118"/>
      <c r="J113" s="57"/>
      <c r="K113" s="57"/>
      <c r="L113" s="57"/>
      <c r="M113" s="57"/>
      <c r="N113" s="57"/>
      <c r="O113" s="58"/>
    </row>
    <row r="114" spans="1:15" ht="18.75" x14ac:dyDescent="0.3">
      <c r="A114" s="119" t="s">
        <v>193</v>
      </c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5"/>
    </row>
    <row r="115" spans="1:15" x14ac:dyDescent="0.25">
      <c r="A115" s="134" t="s">
        <v>1</v>
      </c>
      <c r="B115" s="135"/>
      <c r="C115" s="135"/>
      <c r="D115" s="136" t="s">
        <v>19</v>
      </c>
      <c r="E115" s="136"/>
      <c r="F115" s="136"/>
      <c r="G115" s="136"/>
      <c r="H115" s="136"/>
      <c r="I115" s="136"/>
      <c r="J115" s="136" t="s">
        <v>22</v>
      </c>
      <c r="K115" s="136"/>
      <c r="L115" s="136"/>
      <c r="M115" s="136"/>
      <c r="N115" s="136"/>
      <c r="O115" s="137"/>
    </row>
    <row r="116" spans="1:15" x14ac:dyDescent="0.25">
      <c r="A116" s="47" t="s">
        <v>4</v>
      </c>
      <c r="B116" s="48" t="s">
        <v>5</v>
      </c>
      <c r="C116" s="48" t="s">
        <v>6</v>
      </c>
      <c r="D116" s="49">
        <v>1</v>
      </c>
      <c r="E116" s="49">
        <v>4</v>
      </c>
      <c r="F116" s="49">
        <v>16</v>
      </c>
      <c r="G116" s="49">
        <v>32</v>
      </c>
      <c r="H116" s="49">
        <v>64</v>
      </c>
      <c r="I116" s="49">
        <v>80</v>
      </c>
      <c r="J116" s="49">
        <v>1</v>
      </c>
      <c r="K116" s="49">
        <v>4</v>
      </c>
      <c r="L116" s="49">
        <v>16</v>
      </c>
      <c r="M116" s="49">
        <v>32</v>
      </c>
      <c r="N116" s="49">
        <v>64</v>
      </c>
      <c r="O116" s="50">
        <v>80</v>
      </c>
    </row>
    <row r="117" spans="1:15" x14ac:dyDescent="0.25">
      <c r="A117" s="51" t="s">
        <v>7</v>
      </c>
      <c r="B117" s="52" t="s">
        <v>8</v>
      </c>
      <c r="C117" s="52" t="s">
        <v>9</v>
      </c>
      <c r="D117" s="59">
        <f>IF(D107="","",(D107-'2018'!D307)/'2018'!D307)</f>
        <v>-0.1750388640107659</v>
      </c>
      <c r="E117" s="59">
        <f>IF(E107="","",(E107-'2018'!E307)/'2018'!E307)</f>
        <v>-1.75305648176215E-2</v>
      </c>
      <c r="F117" s="59">
        <f>IF(F107="","",(F107-'2018'!F307)/'2018'!F307)</f>
        <v>-1.0268697586856067E-3</v>
      </c>
      <c r="G117" s="59" t="str">
        <f>IF(G107="","",(G107-'2017'!G448)/'2017'!G448)</f>
        <v/>
      </c>
      <c r="H117" s="59" t="str">
        <f>IF(H107="","",(H107-#REF!)/#REF!)</f>
        <v/>
      </c>
      <c r="I117" s="59" t="str">
        <f>IF(I107="","",(I107-#REF!)/#REF!)</f>
        <v/>
      </c>
      <c r="J117" s="55"/>
      <c r="K117" s="55"/>
      <c r="L117" s="55"/>
      <c r="M117" s="55" t="str">
        <f>IF(G117="","",M107-((1/Comparisons!#REF!)*1000000))</f>
        <v/>
      </c>
      <c r="N117" s="55" t="str">
        <f>IF(H117="","",N107-((1/Comparisons!#REF!)*1000000))</f>
        <v/>
      </c>
      <c r="O117" s="56" t="str">
        <f>IF(I117="","",O107-((1/Comparisons!#REF!)*1000000))</f>
        <v/>
      </c>
    </row>
    <row r="118" spans="1:15" x14ac:dyDescent="0.25">
      <c r="A118" s="51" t="s">
        <v>10</v>
      </c>
      <c r="B118" s="52" t="s">
        <v>8</v>
      </c>
      <c r="C118" s="52" t="s">
        <v>11</v>
      </c>
      <c r="D118" s="59">
        <f>IF(D108="","",(D108-'2018'!D308)/'2018'!D308)</f>
        <v>-7.40158364688044E-2</v>
      </c>
      <c r="E118" s="59">
        <f>IF(E108="","",(E108-'2018'!E308)/'2018'!E308)</f>
        <v>-9.9967061923583664E-2</v>
      </c>
      <c r="F118" s="59">
        <f>IF(F108="","",(F108-'2018'!F308)/'2018'!F308)</f>
        <v>-3.4179492304617233E-2</v>
      </c>
      <c r="G118" s="59" t="str">
        <f>IF(G108="","",(G108-#REF!)/#REF!)</f>
        <v/>
      </c>
      <c r="H118" s="59" t="str">
        <f>IF(H108="","",(H108-#REF!)/#REF!)</f>
        <v/>
      </c>
      <c r="I118" s="59" t="str">
        <f>IF(I108="","",(I108-#REF!)/#REF!)</f>
        <v/>
      </c>
      <c r="J118" s="55"/>
      <c r="K118" s="55"/>
      <c r="L118" s="55"/>
      <c r="M118" s="55" t="str">
        <f>IF(G118="","",M108-((1/Comparisons!#REF!)*1000000))</f>
        <v/>
      </c>
      <c r="N118" s="55" t="str">
        <f>IF(H118="","",N108-((1/Comparisons!#REF!)*1000000))</f>
        <v/>
      </c>
      <c r="O118" s="56" t="str">
        <f>IF(I118="","",O108-((1/Comparisons!#REF!)*1000000))</f>
        <v/>
      </c>
    </row>
    <row r="119" spans="1:15" x14ac:dyDescent="0.25">
      <c r="A119" s="51" t="s">
        <v>12</v>
      </c>
      <c r="B119" s="52" t="s">
        <v>13</v>
      </c>
      <c r="C119" s="52" t="s">
        <v>9</v>
      </c>
      <c r="D119" s="59">
        <f>IF(D109="","",(D109-'2018'!D309)/'2018'!D309)</f>
        <v>-0.1380268295124637</v>
      </c>
      <c r="E119" s="59">
        <f>IF(E109="","",(E109-'2018'!E309)/'2018'!E309)</f>
        <v>-8.3747417787951542E-4</v>
      </c>
      <c r="F119" s="59">
        <f>IF(F109="","",(F109-'2018'!F309)/'2018'!F309)</f>
        <v>3.3995348005009841E-3</v>
      </c>
      <c r="G119" s="59" t="str">
        <f>IF(G109="","",(G109-#REF!)/#REF!)</f>
        <v/>
      </c>
      <c r="H119" s="59" t="str">
        <f>IF(H109="","",(H109-#REF!)/#REF!)</f>
        <v/>
      </c>
      <c r="I119" s="59" t="str">
        <f>IF(I109="","",(I109-#REF!)/#REF!)</f>
        <v/>
      </c>
      <c r="J119" s="55"/>
      <c r="K119" s="55"/>
      <c r="L119" s="55"/>
      <c r="M119" s="55" t="str">
        <f>IF(G119="","",M109-((1/Comparisons!#REF!)*1000000))</f>
        <v/>
      </c>
      <c r="N119" s="55" t="str">
        <f>IF(H119="","",N109-((1/Comparisons!#REF!)*1000000))</f>
        <v/>
      </c>
      <c r="O119" s="56" t="str">
        <f>IF(I119="","",O109-((1/Comparisons!#REF!)*1000000))</f>
        <v/>
      </c>
    </row>
    <row r="120" spans="1:15" x14ac:dyDescent="0.25">
      <c r="A120" s="51" t="s">
        <v>14</v>
      </c>
      <c r="B120" s="52" t="s">
        <v>13</v>
      </c>
      <c r="C120" s="52" t="s">
        <v>11</v>
      </c>
      <c r="D120" s="59">
        <f>IF(D110="","",(D110-'2018'!D310)/'2018'!D310)</f>
        <v>-9.2677410234662139E-2</v>
      </c>
      <c r="E120" s="59">
        <f>IF(E110="","",(E110-'2018'!E310)/'2018'!E310)</f>
        <v>-4.7420531526836895E-2</v>
      </c>
      <c r="F120" s="59">
        <f>IF(F110="","",(F110-'2018'!F310)/'2018'!F310)</f>
        <v>-1.7452732183669228E-2</v>
      </c>
      <c r="G120" s="59" t="str">
        <f>IF(G110="","",(G110-#REF!)/#REF!)</f>
        <v/>
      </c>
      <c r="H120" s="59" t="str">
        <f>IF(H110="","",(H110-#REF!)/#REF!)</f>
        <v/>
      </c>
      <c r="I120" s="59" t="str">
        <f>IF(I110="","",(I110-#REF!)/#REF!)</f>
        <v/>
      </c>
      <c r="J120" s="55"/>
      <c r="K120" s="55"/>
      <c r="L120" s="55"/>
      <c r="M120" s="55" t="str">
        <f>IF(G120="","",M110-((1/Comparisons!#REF!)*1000000))</f>
        <v/>
      </c>
      <c r="N120" s="55" t="str">
        <f>IF(H120="","",N110-((1/Comparisons!#REF!)*1000000))</f>
        <v/>
      </c>
      <c r="O120" s="56" t="str">
        <f>IF(I120="","",O110-((1/Comparisons!#REF!)*1000000))</f>
        <v/>
      </c>
    </row>
    <row r="121" spans="1:15" x14ac:dyDescent="0.25">
      <c r="A121" s="51" t="s">
        <v>15</v>
      </c>
      <c r="B121" s="8" t="s">
        <v>16</v>
      </c>
      <c r="C121" s="52" t="s">
        <v>11</v>
      </c>
      <c r="D121" s="59">
        <f>IF(D111="","",(D111-'2018'!D311)/'2018'!D311)</f>
        <v>-0.1110223642172524</v>
      </c>
      <c r="E121" s="59">
        <f>IF(E111="","",(E111-'2018'!E311)/'2018'!E311)</f>
        <v>-0.19127346524606798</v>
      </c>
      <c r="F121" s="59">
        <f>IF(F111="","",(F111-'2018'!F311)/'2018'!F311)</f>
        <v>-3.6868268434134217E-2</v>
      </c>
      <c r="G121" s="59" t="str">
        <f>IF(G111="","",(G111-#REF!)/#REF!)</f>
        <v/>
      </c>
      <c r="H121" s="59" t="str">
        <f>IF(H111="","",(H111-#REF!)/#REF!)</f>
        <v/>
      </c>
      <c r="I121" s="59" t="str">
        <f>IF(I111="","",(I111-#REF!)/#REF!)</f>
        <v/>
      </c>
      <c r="J121" s="55"/>
      <c r="K121" s="55"/>
      <c r="L121" s="55"/>
      <c r="M121" s="55" t="str">
        <f>IF(G121="","",M111-((1/Comparisons!#REF!)*1000000))</f>
        <v/>
      </c>
      <c r="N121" s="55" t="str">
        <f>IF(H121="","",N111-((1/Comparisons!#REF!)*1000000))</f>
        <v/>
      </c>
      <c r="O121" s="56" t="str">
        <f>IF(I121="","",O111-((1/Comparisons!#REF!)*1000000))</f>
        <v/>
      </c>
    </row>
    <row r="122" spans="1:15" ht="15.75" thickBot="1" x14ac:dyDescent="0.3">
      <c r="A122" s="60" t="s">
        <v>17</v>
      </c>
      <c r="B122" s="61" t="s">
        <v>18</v>
      </c>
      <c r="C122" s="61" t="s">
        <v>11</v>
      </c>
      <c r="D122" s="59">
        <f>IF(D112="","",(D112-'2018'!D312)/'2018'!D312)</f>
        <v>-7.8232405891980356E-2</v>
      </c>
      <c r="E122" s="59">
        <f>IF(E112="","",(E112-'2018'!E312)/'2018'!E312)</f>
        <v>-2.2051102555127756E-2</v>
      </c>
      <c r="F122" s="59">
        <f>IF(F112="","",(F112-'2018'!F312)/'2018'!F312)</f>
        <v>4.9338416685355459E-3</v>
      </c>
      <c r="G122" s="62" t="str">
        <f>IF(G112="","",(G112-#REF!)/#REF!)</f>
        <v/>
      </c>
      <c r="H122" s="62" t="str">
        <f>IF(H112="","",(H112-#REF!)/#REF!)</f>
        <v/>
      </c>
      <c r="I122" s="62" t="str">
        <f>IF(I112="","",(I112-#REF!)/#REF!)</f>
        <v/>
      </c>
      <c r="J122" s="63"/>
      <c r="K122" s="63"/>
      <c r="L122" s="63"/>
      <c r="M122" s="63" t="str">
        <f>IF(G122="","",M112-((1/Comparisons!#REF!)*1000000))</f>
        <v/>
      </c>
      <c r="N122" s="63" t="str">
        <f>IF(H122="","",N112-((1/Comparisons!#REF!)*1000000))</f>
        <v/>
      </c>
      <c r="O122" s="64" t="str">
        <f>IF(I122="","",O112-((1/Comparisons!#REF!)*1000000))</f>
        <v/>
      </c>
    </row>
    <row r="124" spans="1:15" ht="15.75" x14ac:dyDescent="0.25">
      <c r="A124" s="113" t="s">
        <v>208</v>
      </c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2"/>
    </row>
    <row r="125" spans="1:15" x14ac:dyDescent="0.25">
      <c r="A125" s="134" t="s">
        <v>1</v>
      </c>
      <c r="B125" s="135"/>
      <c r="C125" s="135"/>
      <c r="D125" s="136" t="s">
        <v>2</v>
      </c>
      <c r="E125" s="136"/>
      <c r="F125" s="136"/>
      <c r="G125" s="136"/>
      <c r="H125" s="136"/>
      <c r="I125" s="136"/>
      <c r="J125" s="136" t="s">
        <v>3</v>
      </c>
      <c r="K125" s="136"/>
      <c r="L125" s="136"/>
      <c r="M125" s="136"/>
      <c r="N125" s="136"/>
      <c r="O125" s="137"/>
    </row>
    <row r="126" spans="1:15" x14ac:dyDescent="0.25">
      <c r="A126" s="47" t="s">
        <v>26</v>
      </c>
      <c r="B126" s="48" t="s">
        <v>5</v>
      </c>
      <c r="C126" s="48" t="s">
        <v>6</v>
      </c>
      <c r="D126" s="49">
        <v>1</v>
      </c>
      <c r="E126" s="49">
        <v>4</v>
      </c>
      <c r="F126" s="49">
        <v>16</v>
      </c>
      <c r="G126" s="49">
        <v>32</v>
      </c>
      <c r="H126" s="49">
        <v>64</v>
      </c>
      <c r="I126" s="49">
        <v>80</v>
      </c>
      <c r="J126" s="49">
        <v>1</v>
      </c>
      <c r="K126" s="49">
        <v>4</v>
      </c>
      <c r="L126" s="49">
        <v>16</v>
      </c>
      <c r="M126" s="49">
        <v>32</v>
      </c>
      <c r="N126" s="49">
        <v>64</v>
      </c>
      <c r="O126" s="50">
        <v>80</v>
      </c>
    </row>
    <row r="127" spans="1:15" x14ac:dyDescent="0.25">
      <c r="A127" s="51" t="s">
        <v>7</v>
      </c>
      <c r="B127" s="52" t="s">
        <v>8</v>
      </c>
      <c r="C127" s="52" t="s">
        <v>9</v>
      </c>
      <c r="D127" s="8">
        <v>38628</v>
      </c>
      <c r="E127" s="8">
        <v>19285</v>
      </c>
      <c r="F127" s="8">
        <v>5843</v>
      </c>
      <c r="G127" s="54"/>
      <c r="H127" s="54"/>
      <c r="I127" s="54"/>
      <c r="J127" s="55"/>
      <c r="K127" s="55"/>
      <c r="L127" s="55"/>
      <c r="M127" s="55" t="str">
        <f t="shared" ref="M127:M132" si="16">IF(G127="","",(1/G127)*1000000)</f>
        <v/>
      </c>
      <c r="N127" s="55" t="str">
        <f t="shared" ref="N127:N132" si="17">IF(H127="","",(1/H127)*1000000)</f>
        <v/>
      </c>
      <c r="O127" s="56" t="str">
        <f t="shared" ref="O127:O132" si="18">IF(I127="","",(1/I127)*1000000)</f>
        <v/>
      </c>
    </row>
    <row r="128" spans="1:15" x14ac:dyDescent="0.25">
      <c r="A128" s="51" t="s">
        <v>10</v>
      </c>
      <c r="B128" s="52" t="s">
        <v>8</v>
      </c>
      <c r="C128" s="52" t="s">
        <v>11</v>
      </c>
      <c r="D128" s="8">
        <v>15954</v>
      </c>
      <c r="E128" s="52">
        <v>11151</v>
      </c>
      <c r="F128" s="8">
        <v>4821</v>
      </c>
      <c r="G128" s="54"/>
      <c r="H128" s="54"/>
      <c r="I128" s="54"/>
      <c r="J128" s="55"/>
      <c r="K128" s="55"/>
      <c r="L128" s="55"/>
      <c r="M128" s="55" t="str">
        <f t="shared" si="16"/>
        <v/>
      </c>
      <c r="N128" s="55" t="str">
        <f t="shared" si="17"/>
        <v/>
      </c>
      <c r="O128" s="56" t="str">
        <f t="shared" si="18"/>
        <v/>
      </c>
    </row>
    <row r="129" spans="1:15" x14ac:dyDescent="0.25">
      <c r="A129" s="51" t="s">
        <v>12</v>
      </c>
      <c r="B129" s="52" t="s">
        <v>13</v>
      </c>
      <c r="C129" s="52" t="s">
        <v>9</v>
      </c>
      <c r="D129" s="65">
        <v>36855</v>
      </c>
      <c r="E129" s="8">
        <v>17916</v>
      </c>
      <c r="F129" s="52">
        <v>5617</v>
      </c>
      <c r="G129" s="54"/>
      <c r="H129" s="54"/>
      <c r="I129" s="54"/>
      <c r="J129" s="55"/>
      <c r="K129" s="55"/>
      <c r="L129" s="55"/>
      <c r="M129" s="55" t="str">
        <f t="shared" si="16"/>
        <v/>
      </c>
      <c r="N129" s="55" t="str">
        <f t="shared" si="17"/>
        <v/>
      </c>
      <c r="O129" s="56" t="str">
        <f t="shared" si="18"/>
        <v/>
      </c>
    </row>
    <row r="130" spans="1:15" x14ac:dyDescent="0.25">
      <c r="A130" s="51" t="s">
        <v>14</v>
      </c>
      <c r="B130" s="52" t="s">
        <v>13</v>
      </c>
      <c r="C130" s="52" t="s">
        <v>11</v>
      </c>
      <c r="D130" s="52">
        <v>14914</v>
      </c>
      <c r="E130" s="8">
        <v>11236</v>
      </c>
      <c r="F130" s="65">
        <v>4681</v>
      </c>
      <c r="G130" s="54"/>
      <c r="H130" s="54"/>
      <c r="I130" s="54"/>
      <c r="J130" s="55"/>
      <c r="K130" s="55"/>
      <c r="L130" s="55"/>
      <c r="M130" s="55" t="str">
        <f t="shared" si="16"/>
        <v/>
      </c>
      <c r="N130" s="55" t="str">
        <f t="shared" si="17"/>
        <v/>
      </c>
      <c r="O130" s="56" t="str">
        <f t="shared" si="18"/>
        <v/>
      </c>
    </row>
    <row r="131" spans="1:15" x14ac:dyDescent="0.25">
      <c r="A131" s="51" t="s">
        <v>15</v>
      </c>
      <c r="B131" s="52" t="s">
        <v>16</v>
      </c>
      <c r="C131" s="52" t="s">
        <v>11</v>
      </c>
      <c r="D131" s="52">
        <v>12205</v>
      </c>
      <c r="E131" s="8">
        <v>9413</v>
      </c>
      <c r="F131" s="52">
        <v>4459</v>
      </c>
      <c r="G131" s="54"/>
      <c r="H131" s="54"/>
      <c r="I131" s="54"/>
      <c r="J131" s="55"/>
      <c r="K131" s="55"/>
      <c r="L131" s="55"/>
      <c r="M131" s="55" t="str">
        <f t="shared" si="16"/>
        <v/>
      </c>
      <c r="N131" s="55" t="str">
        <f t="shared" si="17"/>
        <v/>
      </c>
      <c r="O131" s="56" t="str">
        <f t="shared" si="18"/>
        <v/>
      </c>
    </row>
    <row r="132" spans="1:15" x14ac:dyDescent="0.25">
      <c r="A132" s="28" t="s">
        <v>17</v>
      </c>
      <c r="B132" s="52" t="s">
        <v>18</v>
      </c>
      <c r="C132" s="52" t="s">
        <v>11</v>
      </c>
      <c r="D132" s="8">
        <v>11267</v>
      </c>
      <c r="E132" s="52">
        <v>8847</v>
      </c>
      <c r="F132" s="8">
        <v>4642</v>
      </c>
      <c r="G132" s="54"/>
      <c r="H132" s="54"/>
      <c r="I132" s="54"/>
      <c r="J132" s="55"/>
      <c r="K132" s="55"/>
      <c r="L132" s="55"/>
      <c r="M132" s="55" t="str">
        <f t="shared" si="16"/>
        <v/>
      </c>
      <c r="N132" s="55" t="str">
        <f t="shared" si="17"/>
        <v/>
      </c>
      <c r="O132" s="56" t="str">
        <f t="shared" si="18"/>
        <v/>
      </c>
    </row>
    <row r="133" spans="1:15" x14ac:dyDescent="0.25">
      <c r="A133" s="116" t="s">
        <v>209</v>
      </c>
      <c r="B133" s="117"/>
      <c r="C133" s="117"/>
      <c r="D133" s="117"/>
      <c r="E133" s="143"/>
      <c r="F133" s="143"/>
      <c r="G133" s="143"/>
      <c r="H133" s="118"/>
      <c r="I133" s="118"/>
      <c r="J133" s="57"/>
      <c r="K133" s="57"/>
      <c r="L133" s="57"/>
      <c r="M133" s="57"/>
      <c r="N133" s="57"/>
      <c r="O133" s="58"/>
    </row>
    <row r="134" spans="1:15" ht="18.75" x14ac:dyDescent="0.3">
      <c r="A134" s="119" t="s">
        <v>193</v>
      </c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5"/>
    </row>
    <row r="135" spans="1:15" x14ac:dyDescent="0.25">
      <c r="A135" s="134" t="s">
        <v>1</v>
      </c>
      <c r="B135" s="135"/>
      <c r="C135" s="135"/>
      <c r="D135" s="136" t="s">
        <v>19</v>
      </c>
      <c r="E135" s="136"/>
      <c r="F135" s="136"/>
      <c r="G135" s="136"/>
      <c r="H135" s="136"/>
      <c r="I135" s="136"/>
      <c r="J135" s="136" t="s">
        <v>22</v>
      </c>
      <c r="K135" s="136"/>
      <c r="L135" s="136"/>
      <c r="M135" s="136"/>
      <c r="N135" s="136"/>
      <c r="O135" s="137"/>
    </row>
    <row r="136" spans="1:15" x14ac:dyDescent="0.25">
      <c r="A136" s="47" t="s">
        <v>4</v>
      </c>
      <c r="B136" s="48" t="s">
        <v>5</v>
      </c>
      <c r="C136" s="48" t="s">
        <v>6</v>
      </c>
      <c r="D136" s="49">
        <v>1</v>
      </c>
      <c r="E136" s="49">
        <v>4</v>
      </c>
      <c r="F136" s="49">
        <v>16</v>
      </c>
      <c r="G136" s="49">
        <v>32</v>
      </c>
      <c r="H136" s="49">
        <v>64</v>
      </c>
      <c r="I136" s="49">
        <v>80</v>
      </c>
      <c r="J136" s="49">
        <v>1</v>
      </c>
      <c r="K136" s="49">
        <v>4</v>
      </c>
      <c r="L136" s="49">
        <v>16</v>
      </c>
      <c r="M136" s="49">
        <v>32</v>
      </c>
      <c r="N136" s="49">
        <v>64</v>
      </c>
      <c r="O136" s="50">
        <v>80</v>
      </c>
    </row>
    <row r="137" spans="1:15" x14ac:dyDescent="0.25">
      <c r="A137" s="51" t="s">
        <v>7</v>
      </c>
      <c r="B137" s="52" t="s">
        <v>8</v>
      </c>
      <c r="C137" s="52" t="s">
        <v>9</v>
      </c>
      <c r="D137" s="59">
        <f>IF(D127="","",(D127-'2018'!D307)/'2018'!D307)</f>
        <v>-0.1037379057518736</v>
      </c>
      <c r="E137" s="59">
        <f>IF(E127="","",(E127-'2018'!E307)/'2018'!E307)</f>
        <v>-2.57148630898252E-2</v>
      </c>
      <c r="F137" s="59">
        <f>IF(F127="","",(F127-'2018'!F307)/'2018'!F307)</f>
        <v>0</v>
      </c>
      <c r="G137" s="59" t="str">
        <f>IF(G127="","",(G127-'2017'!G468)/'2017'!G468)</f>
        <v/>
      </c>
      <c r="H137" s="59" t="str">
        <f>IF(H127="","",(H127-#REF!)/#REF!)</f>
        <v/>
      </c>
      <c r="I137" s="59" t="str">
        <f>IF(I127="","",(I127-#REF!)/#REF!)</f>
        <v/>
      </c>
      <c r="J137" s="55"/>
      <c r="K137" s="55"/>
      <c r="L137" s="55"/>
      <c r="M137" s="55" t="str">
        <f>IF(G137="","",M127-((1/Comparisons!#REF!)*1000000))</f>
        <v/>
      </c>
      <c r="N137" s="55" t="str">
        <f>IF(H137="","",N127-((1/Comparisons!#REF!)*1000000))</f>
        <v/>
      </c>
      <c r="O137" s="56" t="str">
        <f>IF(I137="","",O127-((1/Comparisons!#REF!)*1000000))</f>
        <v/>
      </c>
    </row>
    <row r="138" spans="1:15" x14ac:dyDescent="0.25">
      <c r="A138" s="51" t="s">
        <v>10</v>
      </c>
      <c r="B138" s="52" t="s">
        <v>8</v>
      </c>
      <c r="C138" s="52" t="s">
        <v>11</v>
      </c>
      <c r="D138" s="59">
        <f>IF(D128="","",(D128-'2018'!D308)/'2018'!D308)</f>
        <v>-0.10406020104453305</v>
      </c>
      <c r="E138" s="59">
        <f>IF(E128="","",(E128-'2018'!E308)/'2018'!E308)</f>
        <v>-8.1768774703557312E-2</v>
      </c>
      <c r="F138" s="59">
        <f>IF(F128="","",(F128-'2018'!F308)/'2018'!F308)</f>
        <v>-3.6378173096142316E-2</v>
      </c>
      <c r="G138" s="59" t="str">
        <f>IF(G128="","",(G128-#REF!)/#REF!)</f>
        <v/>
      </c>
      <c r="H138" s="59" t="str">
        <f>IF(H128="","",(H128-#REF!)/#REF!)</f>
        <v/>
      </c>
      <c r="I138" s="59" t="str">
        <f>IF(I128="","",(I128-#REF!)/#REF!)</f>
        <v/>
      </c>
      <c r="J138" s="55"/>
      <c r="K138" s="55"/>
      <c r="L138" s="55"/>
      <c r="M138" s="55" t="str">
        <f>IF(G138="","",M128-((1/Comparisons!#REF!)*1000000))</f>
        <v/>
      </c>
      <c r="N138" s="55" t="str">
        <f>IF(H138="","",N128-((1/Comparisons!#REF!)*1000000))</f>
        <v/>
      </c>
      <c r="O138" s="56" t="str">
        <f>IF(I138="","",O128-((1/Comparisons!#REF!)*1000000))</f>
        <v/>
      </c>
    </row>
    <row r="139" spans="1:15" x14ac:dyDescent="0.25">
      <c r="A139" s="51" t="s">
        <v>12</v>
      </c>
      <c r="B139" s="52" t="s">
        <v>13</v>
      </c>
      <c r="C139" s="52" t="s">
        <v>9</v>
      </c>
      <c r="D139" s="59">
        <f>IF(D129="","",(D129-'2018'!D309)/'2018'!D309)</f>
        <v>-7.76103714085494E-2</v>
      </c>
      <c r="E139" s="59">
        <f>IF(E129="","",(E129-'2018'!E309)/'2018'!E309)</f>
        <v>2.7915805929317177E-4</v>
      </c>
      <c r="F139" s="59">
        <f>IF(F129="","",(F129-'2018'!F309)/'2018'!F309)</f>
        <v>5.0098407586330294E-3</v>
      </c>
      <c r="G139" s="59" t="str">
        <f>IF(G129="","",(G129-#REF!)/#REF!)</f>
        <v/>
      </c>
      <c r="H139" s="59" t="str">
        <f>IF(H129="","",(H129-#REF!)/#REF!)</f>
        <v/>
      </c>
      <c r="I139" s="59" t="str">
        <f>IF(I129="","",(I129-#REF!)/#REF!)</f>
        <v/>
      </c>
      <c r="J139" s="55"/>
      <c r="K139" s="55"/>
      <c r="L139" s="55"/>
      <c r="M139" s="55" t="str">
        <f>IF(G139="","",M129-((1/Comparisons!#REF!)*1000000))</f>
        <v/>
      </c>
      <c r="N139" s="55" t="str">
        <f>IF(H139="","",N129-((1/Comparisons!#REF!)*1000000))</f>
        <v/>
      </c>
      <c r="O139" s="56" t="str">
        <f>IF(I139="","",O129-((1/Comparisons!#REF!)*1000000))</f>
        <v/>
      </c>
    </row>
    <row r="140" spans="1:15" x14ac:dyDescent="0.25">
      <c r="A140" s="51" t="s">
        <v>14</v>
      </c>
      <c r="B140" s="52" t="s">
        <v>13</v>
      </c>
      <c r="C140" s="52" t="s">
        <v>11</v>
      </c>
      <c r="D140" s="59">
        <f>IF(D130="","",(D130-'2018'!D310)/'2018'!D310)</f>
        <v>-0.15668645744981624</v>
      </c>
      <c r="E140" s="59">
        <f>IF(E130="","",(E130-'2018'!E310)/'2018'!E310)</f>
        <v>-2.4144519715129407E-2</v>
      </c>
      <c r="F140" s="59">
        <f>IF(F130="","",(F130-'2018'!F310)/'2018'!F310)</f>
        <v>-2.7425722002908787E-2</v>
      </c>
      <c r="G140" s="59" t="str">
        <f>IF(G130="","",(G130-#REF!)/#REF!)</f>
        <v/>
      </c>
      <c r="H140" s="59" t="str">
        <f>IF(H130="","",(H130-#REF!)/#REF!)</f>
        <v/>
      </c>
      <c r="I140" s="59" t="str">
        <f>IF(I130="","",(I130-#REF!)/#REF!)</f>
        <v/>
      </c>
      <c r="J140" s="55"/>
      <c r="K140" s="55"/>
      <c r="L140" s="55"/>
      <c r="M140" s="55" t="str">
        <f>IF(G140="","",M130-((1/Comparisons!#REF!)*1000000))</f>
        <v/>
      </c>
      <c r="N140" s="55" t="str">
        <f>IF(H140="","",N130-((1/Comparisons!#REF!)*1000000))</f>
        <v/>
      </c>
      <c r="O140" s="56" t="str">
        <f>IF(I140="","",O130-((1/Comparisons!#REF!)*1000000))</f>
        <v/>
      </c>
    </row>
    <row r="141" spans="1:15" x14ac:dyDescent="0.25">
      <c r="A141" s="51" t="s">
        <v>15</v>
      </c>
      <c r="B141" s="8" t="s">
        <v>16</v>
      </c>
      <c r="C141" s="52" t="s">
        <v>11</v>
      </c>
      <c r="D141" s="59">
        <f>IF(D131="","",(D131-'2018'!D311)/'2018'!D311)</f>
        <v>-0.11378158582631426</v>
      </c>
      <c r="E141" s="59">
        <f>IF(E131="","",(E131-'2018'!E311)/'2018'!E311)</f>
        <v>-4.4850329781836631E-2</v>
      </c>
      <c r="F141" s="59">
        <f>IF(F131="","",(F131-'2018'!F311)/'2018'!F311)</f>
        <v>-7.6429163214581611E-2</v>
      </c>
      <c r="G141" s="59" t="str">
        <f>IF(G131="","",(G131-#REF!)/#REF!)</f>
        <v/>
      </c>
      <c r="H141" s="59" t="str">
        <f>IF(H131="","",(H131-#REF!)/#REF!)</f>
        <v/>
      </c>
      <c r="I141" s="59" t="str">
        <f>IF(I131="","",(I131-#REF!)/#REF!)</f>
        <v/>
      </c>
      <c r="J141" s="55"/>
      <c r="K141" s="55"/>
      <c r="L141" s="55"/>
      <c r="M141" s="55" t="str">
        <f>IF(G141="","",M131-((1/Comparisons!#REF!)*1000000))</f>
        <v/>
      </c>
      <c r="N141" s="55" t="str">
        <f>IF(H141="","",N131-((1/Comparisons!#REF!)*1000000))</f>
        <v/>
      </c>
      <c r="O141" s="56" t="str">
        <f>IF(I141="","",O131-((1/Comparisons!#REF!)*1000000))</f>
        <v/>
      </c>
    </row>
    <row r="142" spans="1:15" ht="15.75" thickBot="1" x14ac:dyDescent="0.3">
      <c r="A142" s="60" t="s">
        <v>17</v>
      </c>
      <c r="B142" s="61" t="s">
        <v>18</v>
      </c>
      <c r="C142" s="61" t="s">
        <v>11</v>
      </c>
      <c r="D142" s="59">
        <f>IF(D132="","",(D132-'2018'!D312)/'2018'!D312)</f>
        <v>-7.7986906710310971E-2</v>
      </c>
      <c r="E142" s="59">
        <f>IF(E132="","",(E132-'2018'!E312)/'2018'!E312)</f>
        <v>3.2201610080504026E-2</v>
      </c>
      <c r="F142" s="59">
        <f>IF(F132="","",(F132-'2018'!F312)/'2018'!F312)</f>
        <v>4.1040592061000226E-2</v>
      </c>
      <c r="G142" s="62" t="str">
        <f>IF(G132="","",(G132-#REF!)/#REF!)</f>
        <v/>
      </c>
      <c r="H142" s="62" t="str">
        <f>IF(H132="","",(H132-#REF!)/#REF!)</f>
        <v/>
      </c>
      <c r="I142" s="62" t="str">
        <f>IF(I132="","",(I132-#REF!)/#REF!)</f>
        <v/>
      </c>
      <c r="J142" s="63"/>
      <c r="K142" s="63"/>
      <c r="L142" s="63"/>
      <c r="M142" s="63" t="str">
        <f>IF(G142="","",M132-((1/Comparisons!#REF!)*1000000))</f>
        <v/>
      </c>
      <c r="N142" s="63" t="str">
        <f>IF(H142="","",N132-((1/Comparisons!#REF!)*1000000))</f>
        <v/>
      </c>
      <c r="O142" s="64" t="str">
        <f>IF(I142="","",O132-((1/Comparisons!#REF!)*1000000))</f>
        <v/>
      </c>
    </row>
    <row r="144" spans="1:15" ht="15.75" x14ac:dyDescent="0.25">
      <c r="A144" s="113" t="s">
        <v>210</v>
      </c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2"/>
    </row>
    <row r="145" spans="1:15" x14ac:dyDescent="0.25">
      <c r="A145" s="134" t="s">
        <v>1</v>
      </c>
      <c r="B145" s="135"/>
      <c r="C145" s="135"/>
      <c r="D145" s="136" t="s">
        <v>2</v>
      </c>
      <c r="E145" s="136"/>
      <c r="F145" s="136"/>
      <c r="G145" s="136"/>
      <c r="H145" s="136"/>
      <c r="I145" s="136"/>
      <c r="J145" s="136" t="s">
        <v>3</v>
      </c>
      <c r="K145" s="136"/>
      <c r="L145" s="136"/>
      <c r="M145" s="136"/>
      <c r="N145" s="136"/>
      <c r="O145" s="137"/>
    </row>
    <row r="146" spans="1:15" x14ac:dyDescent="0.25">
      <c r="A146" s="47" t="s">
        <v>26</v>
      </c>
      <c r="B146" s="48" t="s">
        <v>5</v>
      </c>
      <c r="C146" s="48" t="s">
        <v>6</v>
      </c>
      <c r="D146" s="49">
        <v>1</v>
      </c>
      <c r="E146" s="49">
        <v>4</v>
      </c>
      <c r="F146" s="49">
        <v>16</v>
      </c>
      <c r="G146" s="49">
        <v>32</v>
      </c>
      <c r="H146" s="49">
        <v>64</v>
      </c>
      <c r="I146" s="49">
        <v>80</v>
      </c>
      <c r="J146" s="49">
        <v>1</v>
      </c>
      <c r="K146" s="49">
        <v>4</v>
      </c>
      <c r="L146" s="49">
        <v>16</v>
      </c>
      <c r="M146" s="49">
        <v>32</v>
      </c>
      <c r="N146" s="49">
        <v>64</v>
      </c>
      <c r="O146" s="50">
        <v>80</v>
      </c>
    </row>
    <row r="147" spans="1:15" x14ac:dyDescent="0.25">
      <c r="A147" s="51" t="s">
        <v>7</v>
      </c>
      <c r="B147" s="52" t="s">
        <v>8</v>
      </c>
      <c r="C147" s="52" t="s">
        <v>9</v>
      </c>
      <c r="D147" s="53">
        <v>39340</v>
      </c>
      <c r="E147" s="53">
        <v>19285</v>
      </c>
      <c r="F147" s="53">
        <v>5814</v>
      </c>
      <c r="G147" s="54"/>
      <c r="H147" s="54"/>
      <c r="I147" s="54"/>
      <c r="J147" s="55"/>
      <c r="K147" s="55"/>
      <c r="L147" s="55"/>
      <c r="M147" s="55" t="str">
        <f t="shared" ref="M147:M152" si="19">IF(G147="","",(1/G147)*1000000)</f>
        <v/>
      </c>
      <c r="N147" s="55" t="str">
        <f t="shared" ref="N147:N152" si="20">IF(H147="","",(1/H147)*1000000)</f>
        <v/>
      </c>
      <c r="O147" s="56" t="str">
        <f t="shared" ref="O147:O152" si="21">IF(I147="","",(1/I147)*1000000)</f>
        <v/>
      </c>
    </row>
    <row r="148" spans="1:15" x14ac:dyDescent="0.25">
      <c r="A148" s="51" t="s">
        <v>10</v>
      </c>
      <c r="B148" s="52" t="s">
        <v>8</v>
      </c>
      <c r="C148" s="52" t="s">
        <v>11</v>
      </c>
      <c r="D148" s="53">
        <v>16609</v>
      </c>
      <c r="E148" s="53">
        <v>11843</v>
      </c>
      <c r="F148" s="53">
        <v>4960</v>
      </c>
      <c r="G148" s="54"/>
      <c r="H148" s="54"/>
      <c r="I148" s="54"/>
      <c r="J148" s="55"/>
      <c r="K148" s="55"/>
      <c r="L148" s="55"/>
      <c r="M148" s="55" t="str">
        <f t="shared" si="19"/>
        <v/>
      </c>
      <c r="N148" s="55" t="str">
        <f t="shared" si="20"/>
        <v/>
      </c>
      <c r="O148" s="56" t="str">
        <f t="shared" si="21"/>
        <v/>
      </c>
    </row>
    <row r="149" spans="1:15" x14ac:dyDescent="0.25">
      <c r="A149" s="51" t="s">
        <v>12</v>
      </c>
      <c r="B149" s="52" t="s">
        <v>13</v>
      </c>
      <c r="C149" s="52" t="s">
        <v>9</v>
      </c>
      <c r="D149" s="53">
        <v>37448</v>
      </c>
      <c r="E149" s="53">
        <v>18239</v>
      </c>
      <c r="F149" s="53">
        <v>5628</v>
      </c>
      <c r="G149" s="54"/>
      <c r="H149" s="54"/>
      <c r="I149" s="54"/>
      <c r="J149" s="55"/>
      <c r="K149" s="55"/>
      <c r="L149" s="55"/>
      <c r="M149" s="55" t="str">
        <f t="shared" si="19"/>
        <v/>
      </c>
      <c r="N149" s="55" t="str">
        <f t="shared" si="20"/>
        <v/>
      </c>
      <c r="O149" s="56" t="str">
        <f t="shared" si="21"/>
        <v/>
      </c>
    </row>
    <row r="150" spans="1:15" x14ac:dyDescent="0.25">
      <c r="A150" s="51" t="s">
        <v>14</v>
      </c>
      <c r="B150" s="52" t="s">
        <v>13</v>
      </c>
      <c r="C150" s="52" t="s">
        <v>11</v>
      </c>
      <c r="D150" s="53">
        <v>16609</v>
      </c>
      <c r="E150" s="53">
        <v>11151</v>
      </c>
      <c r="F150" s="53">
        <v>4777</v>
      </c>
      <c r="G150" s="54"/>
      <c r="H150" s="54"/>
      <c r="I150" s="54"/>
      <c r="J150" s="55"/>
      <c r="K150" s="55"/>
      <c r="L150" s="55"/>
      <c r="M150" s="55" t="str">
        <f t="shared" si="19"/>
        <v/>
      </c>
      <c r="N150" s="55" t="str">
        <f t="shared" si="20"/>
        <v/>
      </c>
      <c r="O150" s="56" t="str">
        <f t="shared" si="21"/>
        <v/>
      </c>
    </row>
    <row r="151" spans="1:15" x14ac:dyDescent="0.25">
      <c r="A151" s="51" t="s">
        <v>15</v>
      </c>
      <c r="B151" s="52" t="s">
        <v>16</v>
      </c>
      <c r="C151" s="52" t="s">
        <v>11</v>
      </c>
      <c r="D151" s="53">
        <v>10575</v>
      </c>
      <c r="E151" s="53">
        <v>8847</v>
      </c>
      <c r="F151" s="53">
        <v>4705</v>
      </c>
      <c r="G151" s="54"/>
      <c r="H151" s="54"/>
      <c r="I151" s="54"/>
      <c r="J151" s="55"/>
      <c r="K151" s="55"/>
      <c r="L151" s="55"/>
      <c r="M151" s="55" t="str">
        <f t="shared" si="19"/>
        <v/>
      </c>
      <c r="N151" s="55" t="str">
        <f t="shared" si="20"/>
        <v/>
      </c>
      <c r="O151" s="56" t="str">
        <f t="shared" si="21"/>
        <v/>
      </c>
    </row>
    <row r="152" spans="1:15" x14ac:dyDescent="0.25">
      <c r="A152" s="28" t="s">
        <v>17</v>
      </c>
      <c r="B152" s="52" t="s">
        <v>18</v>
      </c>
      <c r="C152" s="52" t="s">
        <v>11</v>
      </c>
      <c r="D152" s="53">
        <v>10617</v>
      </c>
      <c r="E152" s="53">
        <v>8734</v>
      </c>
      <c r="F152" s="53">
        <v>4459</v>
      </c>
      <c r="G152" s="54"/>
      <c r="H152" s="54"/>
      <c r="I152" s="54"/>
      <c r="J152" s="55"/>
      <c r="K152" s="55"/>
      <c r="L152" s="55"/>
      <c r="M152" s="55" t="str">
        <f t="shared" si="19"/>
        <v/>
      </c>
      <c r="N152" s="55" t="str">
        <f t="shared" si="20"/>
        <v/>
      </c>
      <c r="O152" s="56" t="str">
        <f t="shared" si="21"/>
        <v/>
      </c>
    </row>
    <row r="153" spans="1:15" x14ac:dyDescent="0.25">
      <c r="A153" s="116" t="s">
        <v>211</v>
      </c>
      <c r="B153" s="117"/>
      <c r="C153" s="117"/>
      <c r="D153" s="117"/>
      <c r="E153" s="143"/>
      <c r="F153" s="143"/>
      <c r="G153" s="143"/>
      <c r="H153" s="118"/>
      <c r="I153" s="118"/>
      <c r="J153" s="57"/>
      <c r="K153" s="57"/>
      <c r="L153" s="57"/>
      <c r="M153" s="57"/>
      <c r="N153" s="57"/>
      <c r="O153" s="58"/>
    </row>
    <row r="154" spans="1:15" ht="18.75" x14ac:dyDescent="0.3">
      <c r="A154" s="119" t="s">
        <v>193</v>
      </c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5"/>
    </row>
    <row r="155" spans="1:15" x14ac:dyDescent="0.25">
      <c r="A155" s="134" t="s">
        <v>1</v>
      </c>
      <c r="B155" s="135"/>
      <c r="C155" s="135"/>
      <c r="D155" s="136" t="s">
        <v>19</v>
      </c>
      <c r="E155" s="136"/>
      <c r="F155" s="136"/>
      <c r="G155" s="136"/>
      <c r="H155" s="136"/>
      <c r="I155" s="136"/>
      <c r="J155" s="136" t="s">
        <v>22</v>
      </c>
      <c r="K155" s="136"/>
      <c r="L155" s="136"/>
      <c r="M155" s="136"/>
      <c r="N155" s="136"/>
      <c r="O155" s="137"/>
    </row>
    <row r="156" spans="1:15" x14ac:dyDescent="0.25">
      <c r="A156" s="47" t="s">
        <v>4</v>
      </c>
      <c r="B156" s="48" t="s">
        <v>5</v>
      </c>
      <c r="C156" s="48" t="s">
        <v>6</v>
      </c>
      <c r="D156" s="49">
        <v>1</v>
      </c>
      <c r="E156" s="49">
        <v>4</v>
      </c>
      <c r="F156" s="49">
        <v>16</v>
      </c>
      <c r="G156" s="49">
        <v>32</v>
      </c>
      <c r="H156" s="49">
        <v>64</v>
      </c>
      <c r="I156" s="49">
        <v>80</v>
      </c>
      <c r="J156" s="49">
        <v>1</v>
      </c>
      <c r="K156" s="49">
        <v>4</v>
      </c>
      <c r="L156" s="49">
        <v>16</v>
      </c>
      <c r="M156" s="49">
        <v>32</v>
      </c>
      <c r="N156" s="49">
        <v>64</v>
      </c>
      <c r="O156" s="50">
        <v>80</v>
      </c>
    </row>
    <row r="157" spans="1:15" x14ac:dyDescent="0.25">
      <c r="A157" s="51" t="s">
        <v>7</v>
      </c>
      <c r="B157" s="52" t="s">
        <v>8</v>
      </c>
      <c r="C157" s="52" t="s">
        <v>9</v>
      </c>
      <c r="D157" s="59">
        <f>IF(D147="","",(D147-'2018'!D307)/'2018'!D307)</f>
        <v>-8.7217800877050514E-2</v>
      </c>
      <c r="E157" s="59">
        <f>IF(E147="","",(E147-'2018'!E307)/'2018'!E307)</f>
        <v>-2.57148630898252E-2</v>
      </c>
      <c r="F157" s="59">
        <f>IF(F147="","",(F147-'2018'!F307)/'2018'!F307)</f>
        <v>-4.9632038336470995E-3</v>
      </c>
      <c r="G157" s="59" t="str">
        <f>IF(G147="","",(G147-'2017'!G488)/'2017'!G488)</f>
        <v/>
      </c>
      <c r="H157" s="59" t="str">
        <f>IF(H147="","",(H147-#REF!)/#REF!)</f>
        <v/>
      </c>
      <c r="I157" s="59" t="str">
        <f>IF(I147="","",(I147-#REF!)/#REF!)</f>
        <v/>
      </c>
      <c r="J157" s="55"/>
      <c r="K157" s="55"/>
      <c r="L157" s="55"/>
      <c r="M157" s="55" t="str">
        <f>IF(G157="","",M147-((1/Comparisons!#REF!)*1000000))</f>
        <v/>
      </c>
      <c r="N157" s="55" t="str">
        <f>IF(H157="","",N147-((1/Comparisons!#REF!)*1000000))</f>
        <v/>
      </c>
      <c r="O157" s="56" t="str">
        <f>IF(I157="","",O147-((1/Comparisons!#REF!)*1000000))</f>
        <v/>
      </c>
    </row>
    <row r="158" spans="1:15" x14ac:dyDescent="0.25">
      <c r="A158" s="51" t="s">
        <v>10</v>
      </c>
      <c r="B158" s="52" t="s">
        <v>8</v>
      </c>
      <c r="C158" s="52" t="s">
        <v>11</v>
      </c>
      <c r="D158" s="59">
        <f>IF(D148="","",(D148-'2018'!D308)/'2018'!D308)</f>
        <v>-6.7276913573313862E-2</v>
      </c>
      <c r="E158" s="59">
        <f>IF(E148="","",(E148-'2018'!E308)/'2018'!E308)</f>
        <v>-2.4785902503293808E-2</v>
      </c>
      <c r="F158" s="59">
        <f>IF(F148="","",(F148-'2018'!F308)/'2018'!F308)</f>
        <v>-8.5948430941435137E-3</v>
      </c>
      <c r="G158" s="59" t="str">
        <f>IF(G148="","",(G148-#REF!)/#REF!)</f>
        <v/>
      </c>
      <c r="H158" s="59" t="str">
        <f>IF(H148="","",(H148-#REF!)/#REF!)</f>
        <v/>
      </c>
      <c r="I158" s="59" t="str">
        <f>IF(I148="","",(I148-#REF!)/#REF!)</f>
        <v/>
      </c>
      <c r="J158" s="55"/>
      <c r="K158" s="55"/>
      <c r="L158" s="55"/>
      <c r="M158" s="55" t="str">
        <f>IF(G158="","",M148-((1/Comparisons!#REF!)*1000000))</f>
        <v/>
      </c>
      <c r="N158" s="55" t="str">
        <f>IF(H158="","",N148-((1/Comparisons!#REF!)*1000000))</f>
        <v/>
      </c>
      <c r="O158" s="56" t="str">
        <f>IF(I158="","",O148-((1/Comparisons!#REF!)*1000000))</f>
        <v/>
      </c>
    </row>
    <row r="159" spans="1:15" x14ac:dyDescent="0.25">
      <c r="A159" s="51" t="s">
        <v>12</v>
      </c>
      <c r="B159" s="52" t="s">
        <v>13</v>
      </c>
      <c r="C159" s="52" t="s">
        <v>9</v>
      </c>
      <c r="D159" s="59">
        <f>IF(D149="","",(D149-'2018'!D309)/'2018'!D309)</f>
        <v>-6.2769045950545596E-2</v>
      </c>
      <c r="E159" s="59">
        <f>IF(E149="","",(E149-'2018'!E309)/'2018'!E309)</f>
        <v>1.831276868963207E-2</v>
      </c>
      <c r="F159" s="59">
        <f>IF(F149="","",(F149-'2018'!F309)/'2018'!F309)</f>
        <v>6.9779924852388618E-3</v>
      </c>
      <c r="G159" s="59" t="str">
        <f>IF(G149="","",(G149-#REF!)/#REF!)</f>
        <v/>
      </c>
      <c r="H159" s="59" t="str">
        <f>IF(H149="","",(H149-#REF!)/#REF!)</f>
        <v/>
      </c>
      <c r="I159" s="59" t="str">
        <f>IF(I149="","",(I149-#REF!)/#REF!)</f>
        <v/>
      </c>
      <c r="J159" s="55"/>
      <c r="K159" s="55"/>
      <c r="L159" s="55"/>
      <c r="M159" s="55" t="str">
        <f>IF(G159="","",M149-((1/Comparisons!#REF!)*1000000))</f>
        <v/>
      </c>
      <c r="N159" s="55" t="str">
        <f>IF(H159="","",N149-((1/Comparisons!#REF!)*1000000))</f>
        <v/>
      </c>
      <c r="O159" s="56" t="str">
        <f>IF(I159="","",O149-((1/Comparisons!#REF!)*1000000))</f>
        <v/>
      </c>
    </row>
    <row r="160" spans="1:15" x14ac:dyDescent="0.25">
      <c r="A160" s="51" t="s">
        <v>14</v>
      </c>
      <c r="B160" s="52" t="s">
        <v>13</v>
      </c>
      <c r="C160" s="52" t="s">
        <v>11</v>
      </c>
      <c r="D160" s="59">
        <f>IF(D150="","",(D150-'2018'!D310)/'2018'!D310)</f>
        <v>-6.0842521911224204E-2</v>
      </c>
      <c r="E160" s="59">
        <f>IF(E150="","",(E150-'2018'!E310)/'2018'!E310)</f>
        <v>-3.1526836894215739E-2</v>
      </c>
      <c r="F160" s="59">
        <f>IF(F150="","",(F150-'2018'!F310)/'2018'!F310)</f>
        <v>-7.4797423644296698E-3</v>
      </c>
      <c r="G160" s="59" t="str">
        <f>IF(G150="","",(G150-#REF!)/#REF!)</f>
        <v/>
      </c>
      <c r="H160" s="59" t="str">
        <f>IF(H150="","",(H150-#REF!)/#REF!)</f>
        <v/>
      </c>
      <c r="I160" s="59" t="str">
        <f>IF(I150="","",(I150-#REF!)/#REF!)</f>
        <v/>
      </c>
      <c r="J160" s="55"/>
      <c r="K160" s="55"/>
      <c r="L160" s="55"/>
      <c r="M160" s="55" t="str">
        <f>IF(G160="","",M150-((1/Comparisons!#REF!)*1000000))</f>
        <v/>
      </c>
      <c r="N160" s="55" t="str">
        <f>IF(H160="","",N150-((1/Comparisons!#REF!)*1000000))</f>
        <v/>
      </c>
      <c r="O160" s="56" t="str">
        <f>IF(I160="","",O150-((1/Comparisons!#REF!)*1000000))</f>
        <v/>
      </c>
    </row>
    <row r="161" spans="1:15" x14ac:dyDescent="0.25">
      <c r="A161" s="51" t="s">
        <v>15</v>
      </c>
      <c r="B161" s="8" t="s">
        <v>16</v>
      </c>
      <c r="C161" s="52" t="s">
        <v>11</v>
      </c>
      <c r="D161" s="59">
        <f>IF(D151="","",(D151-'2018'!D311)/'2018'!D311)</f>
        <v>-0.23213767063607318</v>
      </c>
      <c r="E161" s="59">
        <f>IF(E151="","",(E151-'2018'!E311)/'2018'!E311)</f>
        <v>-0.10228310502283106</v>
      </c>
      <c r="F161" s="59">
        <f>IF(F151="","",(F151-'2018'!F311)/'2018'!F311)</f>
        <v>-2.547638773819387E-2</v>
      </c>
      <c r="G161" s="59" t="str">
        <f>IF(G151="","",(G151-#REF!)/#REF!)</f>
        <v/>
      </c>
      <c r="H161" s="59" t="str">
        <f>IF(H151="","",(H151-#REF!)/#REF!)</f>
        <v/>
      </c>
      <c r="I161" s="59" t="str">
        <f>IF(I151="","",(I151-#REF!)/#REF!)</f>
        <v/>
      </c>
      <c r="J161" s="55"/>
      <c r="K161" s="55"/>
      <c r="L161" s="55"/>
      <c r="M161" s="55" t="str">
        <f>IF(G161="","",M151-((1/Comparisons!#REF!)*1000000))</f>
        <v/>
      </c>
      <c r="N161" s="55" t="str">
        <f>IF(H161="","",N151-((1/Comparisons!#REF!)*1000000))</f>
        <v/>
      </c>
      <c r="O161" s="56" t="str">
        <f>IF(I161="","",O151-((1/Comparisons!#REF!)*1000000))</f>
        <v/>
      </c>
    </row>
    <row r="162" spans="1:15" ht="15.75" thickBot="1" x14ac:dyDescent="0.3">
      <c r="A162" s="60" t="s">
        <v>17</v>
      </c>
      <c r="B162" s="61" t="s">
        <v>18</v>
      </c>
      <c r="C162" s="61" t="s">
        <v>11</v>
      </c>
      <c r="D162" s="59">
        <f>IF(D152="","",(D152-'2018'!D312)/'2018'!D312)</f>
        <v>-0.13117839607201309</v>
      </c>
      <c r="E162" s="59">
        <f>IF(E152="","",(E152-'2018'!E312)/'2018'!E312)</f>
        <v>1.9017617547544045E-2</v>
      </c>
      <c r="F162" s="59">
        <f>IF(F152="","",(F152-'2018'!F312)/'2018'!F312)</f>
        <v>0</v>
      </c>
      <c r="G162" s="62" t="str">
        <f>IF(G152="","",(G152-#REF!)/#REF!)</f>
        <v/>
      </c>
      <c r="H162" s="62" t="str">
        <f>IF(H152="","",(H152-#REF!)/#REF!)</f>
        <v/>
      </c>
      <c r="I162" s="62" t="str">
        <f>IF(I152="","",(I152-#REF!)/#REF!)</f>
        <v/>
      </c>
      <c r="J162" s="63"/>
      <c r="K162" s="63"/>
      <c r="L162" s="63"/>
      <c r="M162" s="63" t="str">
        <f>IF(G162="","",M152-((1/Comparisons!#REF!)*1000000))</f>
        <v/>
      </c>
      <c r="N162" s="63" t="str">
        <f>IF(H162="","",N152-((1/Comparisons!#REF!)*1000000))</f>
        <v/>
      </c>
      <c r="O162" s="64" t="str">
        <f>IF(I162="","",O152-((1/Comparisons!#REF!)*1000000))</f>
        <v/>
      </c>
    </row>
    <row r="163" spans="1:15" ht="18.75" x14ac:dyDescent="0.3">
      <c r="A163" s="119" t="s">
        <v>212</v>
      </c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5"/>
    </row>
    <row r="164" spans="1:15" x14ac:dyDescent="0.25">
      <c r="A164" s="134" t="s">
        <v>1</v>
      </c>
      <c r="B164" s="135"/>
      <c r="C164" s="135"/>
      <c r="D164" s="136" t="s">
        <v>19</v>
      </c>
      <c r="E164" s="136"/>
      <c r="F164" s="136"/>
      <c r="G164" s="136"/>
      <c r="H164" s="136"/>
      <c r="I164" s="136"/>
      <c r="J164" s="136" t="s">
        <v>22</v>
      </c>
      <c r="K164" s="136"/>
      <c r="L164" s="136"/>
      <c r="M164" s="136"/>
      <c r="N164" s="136"/>
      <c r="O164" s="137"/>
    </row>
    <row r="165" spans="1:15" x14ac:dyDescent="0.25">
      <c r="A165" s="47" t="s">
        <v>4</v>
      </c>
      <c r="B165" s="48" t="s">
        <v>5</v>
      </c>
      <c r="C165" s="48" t="s">
        <v>6</v>
      </c>
      <c r="D165" s="49">
        <v>1</v>
      </c>
      <c r="E165" s="49">
        <v>4</v>
      </c>
      <c r="F165" s="49">
        <v>16</v>
      </c>
      <c r="G165" s="49">
        <v>32</v>
      </c>
      <c r="H165" s="49">
        <v>64</v>
      </c>
      <c r="I165" s="49">
        <v>80</v>
      </c>
      <c r="J165" s="49">
        <v>1</v>
      </c>
      <c r="K165" s="49">
        <v>4</v>
      </c>
      <c r="L165" s="49">
        <v>16</v>
      </c>
      <c r="M165" s="49">
        <v>32</v>
      </c>
      <c r="N165" s="49">
        <v>64</v>
      </c>
      <c r="O165" s="50">
        <v>80</v>
      </c>
    </row>
    <row r="166" spans="1:15" x14ac:dyDescent="0.25">
      <c r="A166" s="51" t="s">
        <v>7</v>
      </c>
      <c r="B166" s="52" t="s">
        <v>8</v>
      </c>
      <c r="C166" s="52" t="s">
        <v>9</v>
      </c>
      <c r="D166" s="59">
        <f>IF(D147="","",(D147-'2018'!D370)/'2018'!D370)</f>
        <v>-9.4278807413376312E-2</v>
      </c>
      <c r="E166" s="59">
        <f>IF(E147="","",(E147-'2018'!E370)/'2018'!E370)</f>
        <v>-2.7581686163775716E-2</v>
      </c>
      <c r="F166" s="59">
        <f>IF(F147="","",(F147-'2018'!F370)/'2018'!F370)</f>
        <v>-4.9632038336470995E-3</v>
      </c>
      <c r="G166" s="59" t="str">
        <f>IF(G147="","",(G147-'2018'!G370)/'2018'!G370)</f>
        <v/>
      </c>
      <c r="H166" s="59" t="str">
        <f>IF(H147="","",(H147-'2018'!H370)/'2018'!H370)</f>
        <v/>
      </c>
      <c r="I166" s="59" t="str">
        <f>IF(I147="","",(I147-'2018'!I370)/'2018'!I370)</f>
        <v/>
      </c>
      <c r="J166" s="55"/>
      <c r="K166" s="55"/>
      <c r="L166" s="55"/>
      <c r="M166" s="55" t="str">
        <f>IF(G166="","",M156-((1/Comparisons!#REF!)*1000000))</f>
        <v/>
      </c>
      <c r="N166" s="55" t="str">
        <f>IF(H166="","",N156-((1/Comparisons!#REF!)*1000000))</f>
        <v/>
      </c>
      <c r="O166" s="56" t="str">
        <f>IF(I166="","",O156-((1/Comparisons!#REF!)*1000000))</f>
        <v/>
      </c>
    </row>
    <row r="167" spans="1:15" x14ac:dyDescent="0.25">
      <c r="A167" s="51" t="s">
        <v>10</v>
      </c>
      <c r="B167" s="52" t="s">
        <v>8</v>
      </c>
      <c r="C167" s="52" t="s">
        <v>11</v>
      </c>
      <c r="D167" s="59">
        <f>IF(D148="","",(D148-'2018'!D371)/'2018'!D371)</f>
        <v>-7.6097235356288595E-2</v>
      </c>
      <c r="E167" s="59">
        <f>IF(E148="","",(E148-'2018'!E371)/'2018'!E371)</f>
        <v>-1.4151336052609672E-2</v>
      </c>
      <c r="F167" s="59">
        <f>IF(F148="","",(F148-'2018'!F371)/'2018'!F371)</f>
        <v>-1.0177609259628817E-2</v>
      </c>
      <c r="G167" s="59" t="str">
        <f>IF(G157="","",(G157-#REF!)/#REF!)</f>
        <v/>
      </c>
      <c r="H167" s="59" t="str">
        <f>IF(H157="","",(H157-#REF!)/#REF!)</f>
        <v/>
      </c>
      <c r="I167" s="59" t="str">
        <f>IF(I157="","",(I157-#REF!)/#REF!)</f>
        <v/>
      </c>
      <c r="J167" s="55"/>
      <c r="K167" s="55"/>
      <c r="L167" s="55"/>
      <c r="M167" s="55" t="str">
        <f>IF(G167="","",M157-((1/Comparisons!#REF!)*1000000))</f>
        <v/>
      </c>
      <c r="N167" s="55" t="str">
        <f>IF(H167="","",N157-((1/Comparisons!#REF!)*1000000))</f>
        <v/>
      </c>
      <c r="O167" s="56" t="str">
        <f>IF(I167="","",O157-((1/Comparisons!#REF!)*1000000))</f>
        <v/>
      </c>
    </row>
    <row r="168" spans="1:15" x14ac:dyDescent="0.25">
      <c r="A168" s="51" t="s">
        <v>12</v>
      </c>
      <c r="B168" s="52" t="s">
        <v>13</v>
      </c>
      <c r="C168" s="52" t="s">
        <v>9</v>
      </c>
      <c r="D168" s="59">
        <f>IF(D149="","",(D149-'2018'!D372)/'2018'!D372)</f>
        <v>-6.2769045950545596E-2</v>
      </c>
      <c r="E168" s="59">
        <f>IF(E149="","",(E149-'2018'!E372)/'2018'!E372)</f>
        <v>2.6219546503122713E-2</v>
      </c>
      <c r="F168" s="59">
        <f>IF(F149="","",(F149-'2018'!F372)/'2018'!F372)</f>
        <v>-1.5965939329430547E-3</v>
      </c>
      <c r="G168" s="59" t="str">
        <f>IF(G158="","",(G158-#REF!)/#REF!)</f>
        <v/>
      </c>
      <c r="H168" s="59" t="str">
        <f>IF(H158="","",(H158-#REF!)/#REF!)</f>
        <v/>
      </c>
      <c r="I168" s="59" t="str">
        <f>IF(I158="","",(I158-#REF!)/#REF!)</f>
        <v/>
      </c>
      <c r="J168" s="55"/>
      <c r="K168" s="55"/>
      <c r="L168" s="55"/>
      <c r="M168" s="55" t="str">
        <f>IF(G168="","",M158-((1/Comparisons!#REF!)*1000000))</f>
        <v/>
      </c>
      <c r="N168" s="55" t="str">
        <f>IF(H168="","",N158-((1/Comparisons!#REF!)*1000000))</f>
        <v/>
      </c>
      <c r="O168" s="56" t="str">
        <f>IF(I168="","",O158-((1/Comparisons!#REF!)*1000000))</f>
        <v/>
      </c>
    </row>
    <row r="169" spans="1:15" x14ac:dyDescent="0.25">
      <c r="A169" s="51" t="s">
        <v>14</v>
      </c>
      <c r="B169" s="52" t="s">
        <v>13</v>
      </c>
      <c r="C169" s="52" t="s">
        <v>11</v>
      </c>
      <c r="D169" s="59">
        <f>IF(D150="","",(D150-'2018'!D373)/'2018'!D373)</f>
        <v>-7.1915511846222621E-2</v>
      </c>
      <c r="E169" s="59">
        <f>IF(E150="","",(E150-'2018'!E373)/'2018'!E373)</f>
        <v>-4.5372827668863969E-2</v>
      </c>
      <c r="F169" s="59">
        <f>IF(F150="","",(F150-'2018'!F373)/'2018'!F373)</f>
        <v>4.18848167539267E-4</v>
      </c>
      <c r="G169" s="59" t="str">
        <f>IF(G159="","",(G159-#REF!)/#REF!)</f>
        <v/>
      </c>
      <c r="H169" s="59" t="str">
        <f>IF(H159="","",(H159-#REF!)/#REF!)</f>
        <v/>
      </c>
      <c r="I169" s="59" t="str">
        <f>IF(I159="","",(I159-#REF!)/#REF!)</f>
        <v/>
      </c>
      <c r="J169" s="55"/>
      <c r="K169" s="55"/>
      <c r="L169" s="55"/>
      <c r="M169" s="55" t="str">
        <f>IF(G169="","",M159-((1/Comparisons!#REF!)*1000000))</f>
        <v/>
      </c>
      <c r="N169" s="55" t="str">
        <f>IF(H169="","",N159-((1/Comparisons!#REF!)*1000000))</f>
        <v/>
      </c>
      <c r="O169" s="56" t="str">
        <f>IF(I169="","",O159-((1/Comparisons!#REF!)*1000000))</f>
        <v/>
      </c>
    </row>
    <row r="170" spans="1:15" x14ac:dyDescent="0.25">
      <c r="A170" s="51" t="s">
        <v>15</v>
      </c>
      <c r="B170" s="8" t="s">
        <v>16</v>
      </c>
      <c r="C170" s="52" t="s">
        <v>11</v>
      </c>
      <c r="D170" s="59">
        <f>IF(D151="","",(D151-'2018'!D374)/'2018'!D374)</f>
        <v>-0.21984507561785319</v>
      </c>
      <c r="E170" s="59">
        <f>IF(E151="","",(E151-'2018'!E374)/'2018'!E374)</f>
        <v>-7.9588014981273408E-2</v>
      </c>
      <c r="F170" s="59">
        <f>IF(F151="","",(F151-'2018'!F374)/'2018'!F374)</f>
        <v>-1.9995834201208082E-2</v>
      </c>
      <c r="G170" s="59" t="str">
        <f>IF(G160="","",(G160-#REF!)/#REF!)</f>
        <v/>
      </c>
      <c r="H170" s="59" t="str">
        <f>IF(H160="","",(H160-#REF!)/#REF!)</f>
        <v/>
      </c>
      <c r="I170" s="59" t="str">
        <f>IF(I160="","",(I160-#REF!)/#REF!)</f>
        <v/>
      </c>
      <c r="J170" s="55"/>
      <c r="K170" s="55"/>
      <c r="L170" s="55"/>
      <c r="M170" s="55" t="str">
        <f>IF(G170="","",M160-((1/Comparisons!#REF!)*1000000))</f>
        <v/>
      </c>
      <c r="N170" s="55" t="str">
        <f>IF(H170="","",N160-((1/Comparisons!#REF!)*1000000))</f>
        <v/>
      </c>
      <c r="O170" s="56" t="str">
        <f>IF(I170="","",O160-((1/Comparisons!#REF!)*1000000))</f>
        <v/>
      </c>
    </row>
    <row r="171" spans="1:15" ht="15.75" thickBot="1" x14ac:dyDescent="0.3">
      <c r="A171" s="60" t="s">
        <v>17</v>
      </c>
      <c r="B171" s="61" t="s">
        <v>18</v>
      </c>
      <c r="C171" s="61" t="s">
        <v>11</v>
      </c>
      <c r="D171" s="59">
        <f>IF(D152="","",(D152-'2018'!D375)/'2018'!D375)</f>
        <v>-0.14018464528668612</v>
      </c>
      <c r="E171" s="59">
        <f>IF(E152="","",(E152-'2018'!E375)/'2018'!E375)</f>
        <v>-5.6921675774134787E-3</v>
      </c>
      <c r="F171" s="59">
        <f>IF(F152="","",(F152-'2018'!F375)/'2018'!F375)</f>
        <v>-5.8686932657800298E-2</v>
      </c>
      <c r="G171" s="62" t="str">
        <f>IF(G161="","",(G161-#REF!)/#REF!)</f>
        <v/>
      </c>
      <c r="H171" s="62" t="str">
        <f>IF(H161="","",(H161-#REF!)/#REF!)</f>
        <v/>
      </c>
      <c r="I171" s="62" t="str">
        <f>IF(I161="","",(I161-#REF!)/#REF!)</f>
        <v/>
      </c>
      <c r="J171" s="63"/>
      <c r="K171" s="63"/>
      <c r="L171" s="63"/>
      <c r="M171" s="63" t="str">
        <f>IF(G171="","",M161-((1/Comparisons!#REF!)*1000000))</f>
        <v/>
      </c>
      <c r="N171" s="63" t="str">
        <f>IF(H171="","",N161-((1/Comparisons!#REF!)*1000000))</f>
        <v/>
      </c>
      <c r="O171" s="64" t="str">
        <f>IF(I171="","",O161-((1/Comparisons!#REF!)*1000000))</f>
        <v/>
      </c>
    </row>
    <row r="172" spans="1:15" ht="15.75" thickBot="1" x14ac:dyDescent="0.3"/>
    <row r="173" spans="1:15" ht="18.75" x14ac:dyDescent="0.25">
      <c r="A173" s="110" t="s">
        <v>213</v>
      </c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40"/>
    </row>
    <row r="174" spans="1:15" ht="15.75" x14ac:dyDescent="0.25">
      <c r="A174" s="113" t="s">
        <v>214</v>
      </c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2"/>
    </row>
    <row r="175" spans="1:15" x14ac:dyDescent="0.25">
      <c r="A175" s="134" t="s">
        <v>1</v>
      </c>
      <c r="B175" s="135"/>
      <c r="C175" s="135"/>
      <c r="D175" s="136" t="s">
        <v>2</v>
      </c>
      <c r="E175" s="136"/>
      <c r="F175" s="136"/>
      <c r="G175" s="136"/>
      <c r="H175" s="136"/>
      <c r="I175" s="136"/>
      <c r="J175" s="136" t="s">
        <v>3</v>
      </c>
      <c r="K175" s="136"/>
      <c r="L175" s="136"/>
      <c r="M175" s="136"/>
      <c r="N175" s="136"/>
      <c r="O175" s="137"/>
    </row>
    <row r="176" spans="1:15" x14ac:dyDescent="0.25">
      <c r="A176" s="47" t="s">
        <v>26</v>
      </c>
      <c r="B176" s="48" t="s">
        <v>5</v>
      </c>
      <c r="C176" s="48" t="s">
        <v>6</v>
      </c>
      <c r="D176" s="49">
        <v>1</v>
      </c>
      <c r="E176" s="49">
        <v>4</v>
      </c>
      <c r="F176" s="49">
        <v>16</v>
      </c>
      <c r="G176" s="49">
        <v>32</v>
      </c>
      <c r="H176" s="49">
        <v>64</v>
      </c>
      <c r="I176" s="49">
        <v>80</v>
      </c>
      <c r="J176" s="49">
        <v>1</v>
      </c>
      <c r="K176" s="49">
        <v>4</v>
      </c>
      <c r="L176" s="49">
        <v>16</v>
      </c>
      <c r="M176" s="49">
        <v>32</v>
      </c>
      <c r="N176" s="49">
        <v>64</v>
      </c>
      <c r="O176" s="50">
        <v>80</v>
      </c>
    </row>
    <row r="177" spans="1:15" x14ac:dyDescent="0.25">
      <c r="A177" s="51" t="s">
        <v>7</v>
      </c>
      <c r="B177" s="52" t="s">
        <v>8</v>
      </c>
      <c r="C177" s="52" t="s">
        <v>9</v>
      </c>
      <c r="D177" s="53">
        <v>40005</v>
      </c>
      <c r="E177" s="53">
        <v>19447</v>
      </c>
      <c r="F177" s="53">
        <v>5843</v>
      </c>
      <c r="G177" s="54"/>
      <c r="H177" s="54"/>
      <c r="I177" s="54"/>
      <c r="J177" s="55"/>
      <c r="K177" s="55"/>
      <c r="L177" s="55"/>
      <c r="M177" s="55" t="str">
        <f t="shared" ref="M177:M182" si="22">IF(G177="","",(1/G177)*1000000)</f>
        <v/>
      </c>
      <c r="N177" s="55" t="str">
        <f t="shared" ref="N177:N182" si="23">IF(H177="","",(1/H177)*1000000)</f>
        <v/>
      </c>
      <c r="O177" s="56" t="str">
        <f t="shared" ref="O177:O182" si="24">IF(I177="","",(1/I177)*1000000)</f>
        <v/>
      </c>
    </row>
    <row r="178" spans="1:15" x14ac:dyDescent="0.25">
      <c r="A178" s="51" t="s">
        <v>10</v>
      </c>
      <c r="B178" s="52" t="s">
        <v>8</v>
      </c>
      <c r="C178" s="52" t="s">
        <v>11</v>
      </c>
      <c r="D178" s="53">
        <v>15721</v>
      </c>
      <c r="E178" s="53">
        <v>11529</v>
      </c>
      <c r="F178" s="53">
        <v>4801</v>
      </c>
      <c r="G178" s="54"/>
      <c r="H178" s="54"/>
      <c r="I178" s="54"/>
      <c r="J178" s="55"/>
      <c r="K178" s="55"/>
      <c r="L178" s="55"/>
      <c r="M178" s="55" t="str">
        <f t="shared" si="22"/>
        <v/>
      </c>
      <c r="N178" s="55" t="str">
        <f t="shared" si="23"/>
        <v/>
      </c>
      <c r="O178" s="56" t="str">
        <f t="shared" si="24"/>
        <v/>
      </c>
    </row>
    <row r="179" spans="1:15" x14ac:dyDescent="0.25">
      <c r="A179" s="51" t="s">
        <v>12</v>
      </c>
      <c r="B179" s="52" t="s">
        <v>13</v>
      </c>
      <c r="C179" s="52" t="s">
        <v>9</v>
      </c>
      <c r="D179" s="53">
        <v>39048</v>
      </c>
      <c r="E179" s="53">
        <v>17773</v>
      </c>
      <c r="F179" s="53">
        <v>5628</v>
      </c>
      <c r="G179" s="54"/>
      <c r="H179" s="54"/>
      <c r="I179" s="54"/>
      <c r="J179" s="55"/>
      <c r="K179" s="55"/>
      <c r="L179" s="55"/>
      <c r="M179" s="55" t="str">
        <f t="shared" si="22"/>
        <v/>
      </c>
      <c r="N179" s="55" t="str">
        <f t="shared" si="23"/>
        <v/>
      </c>
      <c r="O179" s="56" t="str">
        <f t="shared" si="24"/>
        <v/>
      </c>
    </row>
    <row r="180" spans="1:15" x14ac:dyDescent="0.25">
      <c r="A180" s="51" t="s">
        <v>14</v>
      </c>
      <c r="B180" s="52" t="s">
        <v>13</v>
      </c>
      <c r="C180" s="52" t="s">
        <v>11</v>
      </c>
      <c r="D180" s="53">
        <v>17194</v>
      </c>
      <c r="E180" s="53">
        <v>10617</v>
      </c>
      <c r="F180" s="53">
        <v>4753</v>
      </c>
      <c r="G180" s="54"/>
      <c r="H180" s="54"/>
      <c r="I180" s="54"/>
      <c r="J180" s="55"/>
      <c r="K180" s="55"/>
      <c r="L180" s="55"/>
      <c r="M180" s="55" t="str">
        <f t="shared" si="22"/>
        <v/>
      </c>
      <c r="N180" s="55" t="str">
        <f t="shared" si="23"/>
        <v/>
      </c>
      <c r="O180" s="56" t="str">
        <f t="shared" si="24"/>
        <v/>
      </c>
    </row>
    <row r="181" spans="1:15" x14ac:dyDescent="0.25">
      <c r="A181" s="51" t="s">
        <v>15</v>
      </c>
      <c r="B181" s="52" t="s">
        <v>16</v>
      </c>
      <c r="C181" s="52" t="s">
        <v>11</v>
      </c>
      <c r="D181" s="53">
        <v>12425</v>
      </c>
      <c r="E181" s="53">
        <v>9374</v>
      </c>
      <c r="F181" s="53">
        <v>4703</v>
      </c>
      <c r="G181" s="54"/>
      <c r="H181" s="54"/>
      <c r="I181" s="54"/>
      <c r="J181" s="55"/>
      <c r="K181" s="55"/>
      <c r="L181" s="55"/>
      <c r="M181" s="55" t="str">
        <f t="shared" si="22"/>
        <v/>
      </c>
      <c r="N181" s="55" t="str">
        <f t="shared" si="23"/>
        <v/>
      </c>
      <c r="O181" s="56" t="str">
        <f t="shared" si="24"/>
        <v/>
      </c>
    </row>
    <row r="182" spans="1:15" x14ac:dyDescent="0.25">
      <c r="A182" s="28" t="s">
        <v>17</v>
      </c>
      <c r="B182" s="52" t="s">
        <v>18</v>
      </c>
      <c r="C182" s="52" t="s">
        <v>11</v>
      </c>
      <c r="D182" s="53">
        <v>11342</v>
      </c>
      <c r="E182" s="53">
        <v>9091</v>
      </c>
      <c r="F182" s="53">
        <v>4697</v>
      </c>
      <c r="G182" s="54"/>
      <c r="H182" s="54"/>
      <c r="I182" s="54"/>
      <c r="J182" s="55"/>
      <c r="K182" s="55"/>
      <c r="L182" s="55"/>
      <c r="M182" s="55" t="str">
        <f t="shared" si="22"/>
        <v/>
      </c>
      <c r="N182" s="55" t="str">
        <f t="shared" si="23"/>
        <v/>
      </c>
      <c r="O182" s="56" t="str">
        <f t="shared" si="24"/>
        <v/>
      </c>
    </row>
    <row r="183" spans="1:15" x14ac:dyDescent="0.25">
      <c r="A183" s="116" t="s">
        <v>215</v>
      </c>
      <c r="B183" s="117"/>
      <c r="C183" s="117"/>
      <c r="D183" s="117"/>
      <c r="E183" s="143"/>
      <c r="F183" s="143"/>
      <c r="G183" s="143"/>
      <c r="H183" s="118"/>
      <c r="I183" s="118"/>
      <c r="J183" s="57"/>
      <c r="K183" s="57"/>
      <c r="L183" s="57"/>
      <c r="M183" s="57"/>
      <c r="N183" s="57"/>
      <c r="O183" s="58"/>
    </row>
    <row r="184" spans="1:15" ht="18.75" x14ac:dyDescent="0.3">
      <c r="A184" s="119" t="s">
        <v>193</v>
      </c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5"/>
    </row>
    <row r="185" spans="1:15" x14ac:dyDescent="0.25">
      <c r="A185" s="134" t="s">
        <v>1</v>
      </c>
      <c r="B185" s="135"/>
      <c r="C185" s="135"/>
      <c r="D185" s="136" t="s">
        <v>19</v>
      </c>
      <c r="E185" s="136"/>
      <c r="F185" s="136"/>
      <c r="G185" s="136"/>
      <c r="H185" s="136"/>
      <c r="I185" s="136"/>
      <c r="J185" s="136" t="s">
        <v>22</v>
      </c>
      <c r="K185" s="136"/>
      <c r="L185" s="136"/>
      <c r="M185" s="136"/>
      <c r="N185" s="136"/>
      <c r="O185" s="137"/>
    </row>
    <row r="186" spans="1:15" x14ac:dyDescent="0.25">
      <c r="A186" s="47" t="s">
        <v>4</v>
      </c>
      <c r="B186" s="48" t="s">
        <v>5</v>
      </c>
      <c r="C186" s="48" t="s">
        <v>6</v>
      </c>
      <c r="D186" s="49">
        <v>1</v>
      </c>
      <c r="E186" s="49">
        <v>4</v>
      </c>
      <c r="F186" s="49">
        <v>16</v>
      </c>
      <c r="G186" s="49">
        <v>32</v>
      </c>
      <c r="H186" s="49">
        <v>64</v>
      </c>
      <c r="I186" s="49">
        <v>80</v>
      </c>
      <c r="J186" s="49">
        <v>1</v>
      </c>
      <c r="K186" s="49">
        <v>4</v>
      </c>
      <c r="L186" s="49">
        <v>16</v>
      </c>
      <c r="M186" s="49">
        <v>32</v>
      </c>
      <c r="N186" s="49">
        <v>64</v>
      </c>
      <c r="O186" s="50">
        <v>80</v>
      </c>
    </row>
    <row r="187" spans="1:15" x14ac:dyDescent="0.25">
      <c r="A187" s="51" t="s">
        <v>7</v>
      </c>
      <c r="B187" s="52" t="s">
        <v>8</v>
      </c>
      <c r="C187" s="52" t="s">
        <v>9</v>
      </c>
      <c r="D187" s="59">
        <f>IF(D177="","",(D177-'2018'!D307)/'2018'!D307)</f>
        <v>-7.1788208543121651E-2</v>
      </c>
      <c r="E187" s="59">
        <f>IF(E177="","",(E177-'2018'!E307)/'2018'!E307)</f>
        <v>-1.75305648176215E-2</v>
      </c>
      <c r="F187" s="59">
        <f>IF(F177="","",(F177-'2018'!F307)/'2018'!F307)</f>
        <v>0</v>
      </c>
      <c r="G187" s="59" t="str">
        <f>IF(G177="","",(G177-'2017'!G518)/'2017'!G518)</f>
        <v/>
      </c>
      <c r="H187" s="59" t="str">
        <f>IF(H177="","",(H177-#REF!)/#REF!)</f>
        <v/>
      </c>
      <c r="I187" s="59" t="str">
        <f>IF(I177="","",(I177-#REF!)/#REF!)</f>
        <v/>
      </c>
      <c r="J187" s="55"/>
      <c r="K187" s="55"/>
      <c r="L187" s="55"/>
      <c r="M187" s="55" t="str">
        <f>IF(G187="","",M177-((1/Comparisons!#REF!)*1000000))</f>
        <v/>
      </c>
      <c r="N187" s="55" t="str">
        <f>IF(H187="","",N177-((1/Comparisons!#REF!)*1000000))</f>
        <v/>
      </c>
      <c r="O187" s="56" t="str">
        <f>IF(I187="","",O177-((1/Comparisons!#REF!)*1000000))</f>
        <v/>
      </c>
    </row>
    <row r="188" spans="1:15" x14ac:dyDescent="0.25">
      <c r="A188" s="51" t="s">
        <v>10</v>
      </c>
      <c r="B188" s="52" t="s">
        <v>8</v>
      </c>
      <c r="C188" s="52" t="s">
        <v>11</v>
      </c>
      <c r="D188" s="59">
        <f>IF(D178="","",(D178-'2018'!D308)/'2018'!D308)</f>
        <v>-0.11714494299994384</v>
      </c>
      <c r="E188" s="59">
        <f>IF(E178="","",(E178-'2018'!E308)/'2018'!E308)</f>
        <v>-5.0642292490118576E-2</v>
      </c>
      <c r="F188" s="59">
        <f>IF(F178="","",(F178-'2018'!F308)/'2018'!F308)</f>
        <v>-4.0375774535278831E-2</v>
      </c>
      <c r="G188" s="59" t="str">
        <f>IF(G178="","",(G178-#REF!)/#REF!)</f>
        <v/>
      </c>
      <c r="H188" s="59" t="str">
        <f>IF(H178="","",(H178-#REF!)/#REF!)</f>
        <v/>
      </c>
      <c r="I188" s="59" t="str">
        <f>IF(I178="","",(I178-#REF!)/#REF!)</f>
        <v/>
      </c>
      <c r="J188" s="55"/>
      <c r="K188" s="55"/>
      <c r="L188" s="55"/>
      <c r="M188" s="55" t="str">
        <f>IF(G188="","",M178-((1/Comparisons!#REF!)*1000000))</f>
        <v/>
      </c>
      <c r="N188" s="55" t="str">
        <f>IF(H188="","",N178-((1/Comparisons!#REF!)*1000000))</f>
        <v/>
      </c>
      <c r="O188" s="56" t="str">
        <f>IF(I188="","",O178-((1/Comparisons!#REF!)*1000000))</f>
        <v/>
      </c>
    </row>
    <row r="189" spans="1:15" x14ac:dyDescent="0.25">
      <c r="A189" s="51" t="s">
        <v>12</v>
      </c>
      <c r="B189" s="52" t="s">
        <v>13</v>
      </c>
      <c r="C189" s="52" t="s">
        <v>9</v>
      </c>
      <c r="D189" s="59">
        <f>IF(D179="","",(D179-'2018'!D309)/'2018'!D309)</f>
        <v>-2.2724997497246973E-2</v>
      </c>
      <c r="E189" s="59">
        <f>IF(E179="","",(E179-'2018'!E309)/'2018'!E309)</f>
        <v>-7.7047624364915412E-3</v>
      </c>
      <c r="F189" s="59">
        <f>IF(F179="","",(F179-'2018'!F309)/'2018'!F309)</f>
        <v>6.9779924852388618E-3</v>
      </c>
      <c r="G189" s="59" t="str">
        <f>IF(G179="","",(G179-#REF!)/#REF!)</f>
        <v/>
      </c>
      <c r="H189" s="59" t="str">
        <f>IF(H179="","",(H179-#REF!)/#REF!)</f>
        <v/>
      </c>
      <c r="I189" s="59" t="str">
        <f>IF(I179="","",(I179-#REF!)/#REF!)</f>
        <v/>
      </c>
      <c r="J189" s="55"/>
      <c r="K189" s="55"/>
      <c r="L189" s="55"/>
      <c r="M189" s="55" t="str">
        <f>IF(G189="","",M179-((1/Comparisons!#REF!)*1000000))</f>
        <v/>
      </c>
      <c r="N189" s="55" t="str">
        <f>IF(H189="","",N179-((1/Comparisons!#REF!)*1000000))</f>
        <v/>
      </c>
      <c r="O189" s="56" t="str">
        <f>IF(I189="","",O179-((1/Comparisons!#REF!)*1000000))</f>
        <v/>
      </c>
    </row>
    <row r="190" spans="1:15" x14ac:dyDescent="0.25">
      <c r="A190" s="51" t="s">
        <v>14</v>
      </c>
      <c r="B190" s="52" t="s">
        <v>13</v>
      </c>
      <c r="C190" s="52" t="s">
        <v>11</v>
      </c>
      <c r="D190" s="59">
        <f>IF(D180="","",(D180-'2018'!D310)/'2018'!D310)</f>
        <v>-2.7763641504099518E-2</v>
      </c>
      <c r="E190" s="59">
        <f>IF(E180="","",(E180-'2018'!E310)/'2018'!E310)</f>
        <v>-7.7905158936946328E-2</v>
      </c>
      <c r="F190" s="59">
        <f>IF(F180="","",(F180-'2018'!F310)/'2018'!F310)</f>
        <v>-1.246623727404945E-2</v>
      </c>
      <c r="G190" s="59" t="str">
        <f>IF(G180="","",(G180-#REF!)/#REF!)</f>
        <v/>
      </c>
      <c r="H190" s="59" t="str">
        <f>IF(H180="","",(H180-#REF!)/#REF!)</f>
        <v/>
      </c>
      <c r="I190" s="59" t="str">
        <f>IF(I180="","",(I180-#REF!)/#REF!)</f>
        <v/>
      </c>
      <c r="J190" s="55"/>
      <c r="K190" s="55"/>
      <c r="L190" s="55"/>
      <c r="M190" s="55" t="str">
        <f>IF(G190="","",M180-((1/Comparisons!#REF!)*1000000))</f>
        <v/>
      </c>
      <c r="N190" s="55" t="str">
        <f>IF(H190="","",N180-((1/Comparisons!#REF!)*1000000))</f>
        <v/>
      </c>
      <c r="O190" s="56" t="str">
        <f>IF(I190="","",O180-((1/Comparisons!#REF!)*1000000))</f>
        <v/>
      </c>
    </row>
    <row r="191" spans="1:15" x14ac:dyDescent="0.25">
      <c r="A191" s="51" t="s">
        <v>15</v>
      </c>
      <c r="B191" s="8" t="s">
        <v>16</v>
      </c>
      <c r="C191" s="52" t="s">
        <v>11</v>
      </c>
      <c r="D191" s="59">
        <f>IF(D181="","",(D181-'2018'!D311)/'2018'!D311)</f>
        <v>-9.7807144931745568E-2</v>
      </c>
      <c r="E191" s="59">
        <f>IF(E181="","",(E181-'2018'!E311)/'2018'!E311)</f>
        <v>-4.880771182141045E-2</v>
      </c>
      <c r="F191" s="59">
        <f>IF(F181="","",(F181-'2018'!F311)/'2018'!F311)</f>
        <v>-2.5890637945318973E-2</v>
      </c>
      <c r="G191" s="59" t="str">
        <f>IF(G181="","",(G181-#REF!)/#REF!)</f>
        <v/>
      </c>
      <c r="H191" s="59" t="str">
        <f>IF(H181="","",(H181-#REF!)/#REF!)</f>
        <v/>
      </c>
      <c r="I191" s="59" t="str">
        <f>IF(I181="","",(I181-#REF!)/#REF!)</f>
        <v/>
      </c>
      <c r="J191" s="55"/>
      <c r="K191" s="55"/>
      <c r="L191" s="55"/>
      <c r="M191" s="55" t="str">
        <f>IF(G191="","",M181-((1/Comparisons!#REF!)*1000000))</f>
        <v/>
      </c>
      <c r="N191" s="55" t="str">
        <f>IF(H191="","",N181-((1/Comparisons!#REF!)*1000000))</f>
        <v/>
      </c>
      <c r="O191" s="56" t="str">
        <f>IF(I191="","",O181-((1/Comparisons!#REF!)*1000000))</f>
        <v/>
      </c>
    </row>
    <row r="192" spans="1:15" ht="15.75" thickBot="1" x14ac:dyDescent="0.3">
      <c r="A192" s="60" t="s">
        <v>17</v>
      </c>
      <c r="B192" s="61" t="s">
        <v>18</v>
      </c>
      <c r="C192" s="61" t="s">
        <v>11</v>
      </c>
      <c r="D192" s="59">
        <f>IF(D182="","",(D182-'2018'!D312)/'2018'!D312)</f>
        <v>-7.1849427168576105E-2</v>
      </c>
      <c r="E192" s="59">
        <f>IF(E182="","",(E182-'2018'!E312)/'2018'!E312)</f>
        <v>6.066970015167425E-2</v>
      </c>
      <c r="F192" s="59">
        <f>IF(F182="","",(F182-'2018'!F312)/'2018'!F312)</f>
        <v>5.3375196232339092E-2</v>
      </c>
      <c r="G192" s="62" t="str">
        <f>IF(G182="","",(G182-#REF!)/#REF!)</f>
        <v/>
      </c>
      <c r="H192" s="62" t="str">
        <f>IF(H182="","",(H182-#REF!)/#REF!)</f>
        <v/>
      </c>
      <c r="I192" s="62" t="str">
        <f>IF(I182="","",(I182-#REF!)/#REF!)</f>
        <v/>
      </c>
      <c r="J192" s="63"/>
      <c r="K192" s="63"/>
      <c r="L192" s="63"/>
      <c r="M192" s="63" t="str">
        <f>IF(G192="","",M182-((1/Comparisons!#REF!)*1000000))</f>
        <v/>
      </c>
      <c r="N192" s="63" t="str">
        <f>IF(H192="","",N182-((1/Comparisons!#REF!)*1000000))</f>
        <v/>
      </c>
      <c r="O192" s="64" t="str">
        <f>IF(I192="","",O182-((1/Comparisons!#REF!)*1000000))</f>
        <v/>
      </c>
    </row>
    <row r="193" spans="1:15" ht="18.75" x14ac:dyDescent="0.3">
      <c r="A193" s="119" t="s">
        <v>212</v>
      </c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5"/>
    </row>
    <row r="194" spans="1:15" x14ac:dyDescent="0.25">
      <c r="A194" s="134" t="s">
        <v>1</v>
      </c>
      <c r="B194" s="135"/>
      <c r="C194" s="135"/>
      <c r="D194" s="136" t="s">
        <v>19</v>
      </c>
      <c r="E194" s="136"/>
      <c r="F194" s="136"/>
      <c r="G194" s="136"/>
      <c r="H194" s="136"/>
      <c r="I194" s="136"/>
      <c r="J194" s="136" t="s">
        <v>22</v>
      </c>
      <c r="K194" s="136"/>
      <c r="L194" s="136"/>
      <c r="M194" s="136"/>
      <c r="N194" s="136"/>
      <c r="O194" s="137"/>
    </row>
    <row r="195" spans="1:15" x14ac:dyDescent="0.25">
      <c r="A195" s="47" t="s">
        <v>4</v>
      </c>
      <c r="B195" s="48" t="s">
        <v>5</v>
      </c>
      <c r="C195" s="48" t="s">
        <v>6</v>
      </c>
      <c r="D195" s="49">
        <v>1</v>
      </c>
      <c r="E195" s="49">
        <v>4</v>
      </c>
      <c r="F195" s="49">
        <v>16</v>
      </c>
      <c r="G195" s="49">
        <v>32</v>
      </c>
      <c r="H195" s="49">
        <v>64</v>
      </c>
      <c r="I195" s="49">
        <v>80</v>
      </c>
      <c r="J195" s="49">
        <v>1</v>
      </c>
      <c r="K195" s="49">
        <v>4</v>
      </c>
      <c r="L195" s="49">
        <v>16</v>
      </c>
      <c r="M195" s="49">
        <v>32</v>
      </c>
      <c r="N195" s="49">
        <v>64</v>
      </c>
      <c r="O195" s="50">
        <v>80</v>
      </c>
    </row>
    <row r="196" spans="1:15" x14ac:dyDescent="0.25">
      <c r="A196" s="51" t="s">
        <v>7</v>
      </c>
      <c r="B196" s="52" t="s">
        <v>8</v>
      </c>
      <c r="C196" s="52" t="s">
        <v>9</v>
      </c>
      <c r="D196" s="59">
        <f>IF(D177="","",(D177-'2018'!D370)/'2018'!D370)</f>
        <v>-7.8968573730862204E-2</v>
      </c>
      <c r="E196" s="59">
        <f>IF(E177="","",(E177-'2018'!E370)/'2018'!E370)</f>
        <v>-1.9413069786204114E-2</v>
      </c>
      <c r="F196" s="59">
        <f>IF(F177="","",(F177-'2018'!F370)/'2018'!F370)</f>
        <v>0</v>
      </c>
      <c r="G196" s="59" t="str">
        <f>IF(G177="","",(G177-'2018'!G400)/'2018'!G400)</f>
        <v/>
      </c>
      <c r="H196" s="59" t="str">
        <f>IF(H177="","",(H177-'2018'!H400)/'2018'!H400)</f>
        <v/>
      </c>
      <c r="I196" s="59" t="str">
        <f>IF(I177="","",(I177-'2018'!I400)/'2018'!I400)</f>
        <v/>
      </c>
      <c r="J196" s="55"/>
      <c r="K196" s="55"/>
      <c r="L196" s="55"/>
      <c r="M196" s="55" t="str">
        <f>IF(G196="","",M186-((1/Comparisons!#REF!)*1000000))</f>
        <v/>
      </c>
      <c r="N196" s="55" t="str">
        <f>IF(H196="","",N186-((1/Comparisons!#REF!)*1000000))</f>
        <v/>
      </c>
      <c r="O196" s="56" t="str">
        <f>IF(I196="","",O186-((1/Comparisons!#REF!)*1000000))</f>
        <v/>
      </c>
    </row>
    <row r="197" spans="1:15" x14ac:dyDescent="0.25">
      <c r="A197" s="51" t="s">
        <v>10</v>
      </c>
      <c r="B197" s="52" t="s">
        <v>8</v>
      </c>
      <c r="C197" s="52" t="s">
        <v>11</v>
      </c>
      <c r="D197" s="59">
        <f>IF(D178="","",(D178-'2018'!D371)/'2018'!D371)</f>
        <v>-0.12549368637703734</v>
      </c>
      <c r="E197" s="59">
        <f>IF(E178="","",(E178-'2018'!E371)/'2018'!E371)</f>
        <v>-4.0289686173312245E-2</v>
      </c>
      <c r="F197" s="59">
        <f>IF(F178="","",(F178-'2018'!F371)/'2018'!F371)</f>
        <v>-4.1907802833765717E-2</v>
      </c>
      <c r="G197" s="59" t="str">
        <f>IF(G187="","",(G187-#REF!)/#REF!)</f>
        <v/>
      </c>
      <c r="H197" s="59" t="str">
        <f>IF(H187="","",(H187-#REF!)/#REF!)</f>
        <v/>
      </c>
      <c r="I197" s="59" t="str">
        <f>IF(I187="","",(I187-#REF!)/#REF!)</f>
        <v/>
      </c>
      <c r="J197" s="55"/>
      <c r="K197" s="55"/>
      <c r="L197" s="55"/>
      <c r="M197" s="55" t="str">
        <f>IF(G197="","",M187-((1/Comparisons!#REF!)*1000000))</f>
        <v/>
      </c>
      <c r="N197" s="55" t="str">
        <f>IF(H197="","",N187-((1/Comparisons!#REF!)*1000000))</f>
        <v/>
      </c>
      <c r="O197" s="56" t="str">
        <f>IF(I197="","",O187-((1/Comparisons!#REF!)*1000000))</f>
        <v/>
      </c>
    </row>
    <row r="198" spans="1:15" x14ac:dyDescent="0.25">
      <c r="A198" s="51" t="s">
        <v>12</v>
      </c>
      <c r="B198" s="52" t="s">
        <v>13</v>
      </c>
      <c r="C198" s="52" t="s">
        <v>9</v>
      </c>
      <c r="D198" s="59">
        <f>IF(D179="","",(D179-'2018'!D372)/'2018'!D372)</f>
        <v>-2.2724997497246973E-2</v>
      </c>
      <c r="E198" s="59">
        <f>IF(E179="","",(E179-'2018'!E372)/'2018'!E372)</f>
        <v>0</v>
      </c>
      <c r="F198" s="59">
        <f>IF(F179="","",(F179-'2018'!F372)/'2018'!F372)</f>
        <v>-1.5965939329430547E-3</v>
      </c>
      <c r="G198" s="59" t="str">
        <f>IF(G188="","",(G188-#REF!)/#REF!)</f>
        <v/>
      </c>
      <c r="H198" s="59" t="str">
        <f>IF(H188="","",(H188-#REF!)/#REF!)</f>
        <v/>
      </c>
      <c r="I198" s="59" t="str">
        <f>IF(I188="","",(I188-#REF!)/#REF!)</f>
        <v/>
      </c>
      <c r="J198" s="55"/>
      <c r="K198" s="55"/>
      <c r="L198" s="55"/>
      <c r="M198" s="55" t="str">
        <f>IF(G198="","",M188-((1/Comparisons!#REF!)*1000000))</f>
        <v/>
      </c>
      <c r="N198" s="55" t="str">
        <f>IF(H198="","",N188-((1/Comparisons!#REF!)*1000000))</f>
        <v/>
      </c>
      <c r="O198" s="56" t="str">
        <f>IF(I198="","",O188-((1/Comparisons!#REF!)*1000000))</f>
        <v/>
      </c>
    </row>
    <row r="199" spans="1:15" x14ac:dyDescent="0.25">
      <c r="A199" s="51" t="s">
        <v>14</v>
      </c>
      <c r="B199" s="52" t="s">
        <v>13</v>
      </c>
      <c r="C199" s="52" t="s">
        <v>11</v>
      </c>
      <c r="D199" s="59">
        <f>IF(D180="","",(D180-'2018'!D373)/'2018'!D373)</f>
        <v>-3.9226642825212335E-2</v>
      </c>
      <c r="E199" s="59">
        <f>IF(E180="","",(E180-'2018'!E373)/'2018'!E373)</f>
        <v>-9.1088091772964647E-2</v>
      </c>
      <c r="F199" s="59">
        <f>IF(F180="","",(F180-'2018'!F373)/'2018'!F373)</f>
        <v>-4.6073298429319372E-3</v>
      </c>
      <c r="G199" s="59" t="str">
        <f>IF(G189="","",(G189-#REF!)/#REF!)</f>
        <v/>
      </c>
      <c r="H199" s="59" t="str">
        <f>IF(H189="","",(H189-#REF!)/#REF!)</f>
        <v/>
      </c>
      <c r="I199" s="59" t="str">
        <f>IF(I189="","",(I189-#REF!)/#REF!)</f>
        <v/>
      </c>
      <c r="J199" s="55"/>
      <c r="K199" s="55"/>
      <c r="L199" s="55"/>
      <c r="M199" s="55" t="str">
        <f>IF(G199="","",M189-((1/Comparisons!#REF!)*1000000))</f>
        <v/>
      </c>
      <c r="N199" s="55" t="str">
        <f>IF(H199="","",N189-((1/Comparisons!#REF!)*1000000))</f>
        <v/>
      </c>
      <c r="O199" s="56" t="str">
        <f>IF(I199="","",O189-((1/Comparisons!#REF!)*1000000))</f>
        <v/>
      </c>
    </row>
    <row r="200" spans="1:15" x14ac:dyDescent="0.25">
      <c r="A200" s="51" t="s">
        <v>15</v>
      </c>
      <c r="B200" s="8" t="s">
        <v>16</v>
      </c>
      <c r="C200" s="52" t="s">
        <v>11</v>
      </c>
      <c r="D200" s="59">
        <f>IF(D181="","",(D181-'2018'!D374)/'2018'!D374)</f>
        <v>-8.3364072298045003E-2</v>
      </c>
      <c r="E200" s="59">
        <f>IF(E181="","",(E181-'2018'!E374)/'2018'!E374)</f>
        <v>-2.4760715771951727E-2</v>
      </c>
      <c r="F200" s="59">
        <f>IF(F181="","",(F181-'2018'!F374)/'2018'!F374)</f>
        <v>-2.0412414080399916E-2</v>
      </c>
      <c r="G200" s="59" t="str">
        <f>IF(G190="","",(G190-#REF!)/#REF!)</f>
        <v/>
      </c>
      <c r="H200" s="59" t="str">
        <f>IF(H190="","",(H190-#REF!)/#REF!)</f>
        <v/>
      </c>
      <c r="I200" s="59" t="str">
        <f>IF(I190="","",(I190-#REF!)/#REF!)</f>
        <v/>
      </c>
      <c r="J200" s="55"/>
      <c r="K200" s="55"/>
      <c r="L200" s="55"/>
      <c r="M200" s="55" t="str">
        <f>IF(G200="","",M190-((1/Comparisons!#REF!)*1000000))</f>
        <v/>
      </c>
      <c r="N200" s="55" t="str">
        <f>IF(H200="","",N190-((1/Comparisons!#REF!)*1000000))</f>
        <v/>
      </c>
      <c r="O200" s="56" t="str">
        <f>IF(I200="","",O190-((1/Comparisons!#REF!)*1000000))</f>
        <v/>
      </c>
    </row>
    <row r="201" spans="1:15" ht="15.75" thickBot="1" x14ac:dyDescent="0.3">
      <c r="A201" s="60" t="s">
        <v>17</v>
      </c>
      <c r="B201" s="61" t="s">
        <v>18</v>
      </c>
      <c r="C201" s="61" t="s">
        <v>11</v>
      </c>
      <c r="D201" s="59">
        <f>IF(D182="","",(D182-'2018'!D375)/'2018'!D375)</f>
        <v>-8.1470683511499845E-2</v>
      </c>
      <c r="E201" s="59">
        <f>IF(E182="","",(E182-'2018'!E375)/'2018'!E375)</f>
        <v>3.4949908925318761E-2</v>
      </c>
      <c r="F201" s="59">
        <f>IF(F182="","",(F182-'2018'!F375)/'2018'!F375)</f>
        <v>-8.4441629723453655E-3</v>
      </c>
      <c r="G201" s="62" t="str">
        <f>IF(G191="","",(G191-#REF!)/#REF!)</f>
        <v/>
      </c>
      <c r="H201" s="62" t="str">
        <f>IF(H191="","",(H191-#REF!)/#REF!)</f>
        <v/>
      </c>
      <c r="I201" s="62" t="str">
        <f>IF(I191="","",(I191-#REF!)/#REF!)</f>
        <v/>
      </c>
      <c r="J201" s="63"/>
      <c r="K201" s="63"/>
      <c r="L201" s="63"/>
      <c r="M201" s="63" t="str">
        <f>IF(G201="","",M191-((1/Comparisons!#REF!)*1000000))</f>
        <v/>
      </c>
      <c r="N201" s="63" t="str">
        <f>IF(H201="","",N191-((1/Comparisons!#REF!)*1000000))</f>
        <v/>
      </c>
      <c r="O201" s="64" t="str">
        <f>IF(I201="","",O191-((1/Comparisons!#REF!)*1000000))</f>
        <v/>
      </c>
    </row>
    <row r="202" spans="1:15" ht="15.75" thickBot="1" x14ac:dyDescent="0.3"/>
    <row r="203" spans="1:15" ht="18.75" x14ac:dyDescent="0.25">
      <c r="A203" s="110" t="s">
        <v>213</v>
      </c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40"/>
    </row>
    <row r="204" spans="1:15" ht="15.75" x14ac:dyDescent="0.25">
      <c r="A204" s="113" t="s">
        <v>216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2"/>
    </row>
    <row r="205" spans="1:15" x14ac:dyDescent="0.25">
      <c r="A205" s="134" t="s">
        <v>1</v>
      </c>
      <c r="B205" s="135"/>
      <c r="C205" s="135"/>
      <c r="D205" s="136" t="s">
        <v>2</v>
      </c>
      <c r="E205" s="136"/>
      <c r="F205" s="136"/>
      <c r="G205" s="136"/>
      <c r="H205" s="136"/>
      <c r="I205" s="136"/>
      <c r="J205" s="136" t="s">
        <v>3</v>
      </c>
      <c r="K205" s="136"/>
      <c r="L205" s="136"/>
      <c r="M205" s="136"/>
      <c r="N205" s="136"/>
      <c r="O205" s="137"/>
    </row>
    <row r="206" spans="1:15" x14ac:dyDescent="0.25">
      <c r="A206" s="47" t="s">
        <v>26</v>
      </c>
      <c r="B206" s="48" t="s">
        <v>5</v>
      </c>
      <c r="C206" s="48" t="s">
        <v>6</v>
      </c>
      <c r="D206" s="49">
        <v>1</v>
      </c>
      <c r="E206" s="49">
        <v>4</v>
      </c>
      <c r="F206" s="49">
        <v>16</v>
      </c>
      <c r="G206" s="49">
        <v>32</v>
      </c>
      <c r="H206" s="49">
        <v>64</v>
      </c>
      <c r="I206" s="49">
        <v>80</v>
      </c>
      <c r="J206" s="49">
        <v>1</v>
      </c>
      <c r="K206" s="49">
        <v>4</v>
      </c>
      <c r="L206" s="49">
        <v>16</v>
      </c>
      <c r="M206" s="49">
        <v>32</v>
      </c>
      <c r="N206" s="49">
        <v>64</v>
      </c>
      <c r="O206" s="50">
        <v>80</v>
      </c>
    </row>
    <row r="207" spans="1:15" x14ac:dyDescent="0.25">
      <c r="A207" s="51" t="s">
        <v>7</v>
      </c>
      <c r="B207" s="52" t="s">
        <v>8</v>
      </c>
      <c r="C207" s="52" t="s">
        <v>9</v>
      </c>
      <c r="D207" s="53">
        <v>39226</v>
      </c>
      <c r="E207" s="53">
        <v>18800</v>
      </c>
      <c r="F207" s="53">
        <v>5789</v>
      </c>
      <c r="G207" s="54"/>
      <c r="H207" s="54"/>
      <c r="I207" s="54"/>
      <c r="J207" s="55"/>
      <c r="K207" s="55"/>
      <c r="L207" s="55"/>
      <c r="M207" s="55" t="str">
        <f t="shared" ref="M207:M212" si="25">IF(G207="","",(1/G207)*1000000)</f>
        <v/>
      </c>
      <c r="N207" s="55" t="str">
        <f t="shared" ref="N207:N212" si="26">IF(H207="","",(1/H207)*1000000)</f>
        <v/>
      </c>
      <c r="O207" s="56" t="str">
        <f t="shared" ref="O207:O212" si="27">IF(I207="","",(1/I207)*1000000)</f>
        <v/>
      </c>
    </row>
    <row r="208" spans="1:15" x14ac:dyDescent="0.25">
      <c r="A208" s="51" t="s">
        <v>10</v>
      </c>
      <c r="B208" s="52" t="s">
        <v>8</v>
      </c>
      <c r="C208" s="52" t="s">
        <v>11</v>
      </c>
      <c r="D208" s="53">
        <v>16360</v>
      </c>
      <c r="E208" s="53">
        <v>11255</v>
      </c>
      <c r="F208" s="53">
        <v>4935</v>
      </c>
      <c r="G208" s="54"/>
      <c r="H208" s="54"/>
      <c r="I208" s="54"/>
      <c r="J208" s="55"/>
      <c r="K208" s="55"/>
      <c r="L208" s="55"/>
      <c r="M208" s="55" t="str">
        <f t="shared" si="25"/>
        <v/>
      </c>
      <c r="N208" s="55" t="str">
        <f t="shared" si="26"/>
        <v/>
      </c>
      <c r="O208" s="56" t="str">
        <f t="shared" si="27"/>
        <v/>
      </c>
    </row>
    <row r="209" spans="1:15" x14ac:dyDescent="0.25">
      <c r="A209" s="51" t="s">
        <v>12</v>
      </c>
      <c r="B209" s="52" t="s">
        <v>13</v>
      </c>
      <c r="C209" s="52" t="s">
        <v>9</v>
      </c>
      <c r="D209" s="53">
        <v>37448</v>
      </c>
      <c r="E209" s="53">
        <v>17725</v>
      </c>
      <c r="F209" s="53">
        <v>5608</v>
      </c>
      <c r="G209" s="54"/>
      <c r="H209" s="54"/>
      <c r="I209" s="54"/>
      <c r="J209" s="55"/>
      <c r="K209" s="55"/>
      <c r="L209" s="55"/>
      <c r="M209" s="55" t="str">
        <f t="shared" si="25"/>
        <v/>
      </c>
      <c r="N209" s="55" t="str">
        <f t="shared" si="26"/>
        <v/>
      </c>
      <c r="O209" s="56" t="str">
        <f t="shared" si="27"/>
        <v/>
      </c>
    </row>
    <row r="210" spans="1:15" x14ac:dyDescent="0.25">
      <c r="A210" s="51" t="s">
        <v>14</v>
      </c>
      <c r="B210" s="52" t="s">
        <v>13</v>
      </c>
      <c r="C210" s="52" t="s">
        <v>11</v>
      </c>
      <c r="D210" s="53">
        <v>17205</v>
      </c>
      <c r="E210" s="53">
        <v>11190</v>
      </c>
      <c r="F210" s="53">
        <v>4674</v>
      </c>
      <c r="G210" s="54"/>
      <c r="H210" s="54"/>
      <c r="I210" s="54"/>
      <c r="J210" s="55"/>
      <c r="K210" s="55"/>
      <c r="L210" s="55"/>
      <c r="M210" s="55" t="str">
        <f t="shared" si="25"/>
        <v/>
      </c>
      <c r="N210" s="55" t="str">
        <f t="shared" si="26"/>
        <v/>
      </c>
      <c r="O210" s="56" t="str">
        <f t="shared" si="27"/>
        <v/>
      </c>
    </row>
    <row r="211" spans="1:15" x14ac:dyDescent="0.25">
      <c r="A211" s="51" t="s">
        <v>15</v>
      </c>
      <c r="B211" s="52" t="s">
        <v>16</v>
      </c>
      <c r="C211" s="52" t="s">
        <v>11</v>
      </c>
      <c r="D211" s="53">
        <v>12740</v>
      </c>
      <c r="E211" s="53">
        <v>8295</v>
      </c>
      <c r="F211" s="53">
        <v>4641</v>
      </c>
      <c r="G211" s="54"/>
      <c r="H211" s="54"/>
      <c r="I211" s="54"/>
      <c r="J211" s="55"/>
      <c r="K211" s="55"/>
      <c r="L211" s="55"/>
      <c r="M211" s="55" t="str">
        <f t="shared" si="25"/>
        <v/>
      </c>
      <c r="N211" s="55" t="str">
        <f t="shared" si="26"/>
        <v/>
      </c>
      <c r="O211" s="56" t="str">
        <f t="shared" si="27"/>
        <v/>
      </c>
    </row>
    <row r="212" spans="1:15" x14ac:dyDescent="0.25">
      <c r="A212" s="28" t="s">
        <v>17</v>
      </c>
      <c r="B212" s="52" t="s">
        <v>18</v>
      </c>
      <c r="C212" s="52" t="s">
        <v>11</v>
      </c>
      <c r="D212" s="53">
        <v>11278</v>
      </c>
      <c r="E212" s="53">
        <v>8750</v>
      </c>
      <c r="F212" s="53">
        <v>4618</v>
      </c>
      <c r="G212" s="54"/>
      <c r="H212" s="54"/>
      <c r="I212" s="54"/>
      <c r="J212" s="55"/>
      <c r="K212" s="55"/>
      <c r="L212" s="55"/>
      <c r="M212" s="55" t="str">
        <f t="shared" si="25"/>
        <v/>
      </c>
      <c r="N212" s="55" t="str">
        <f t="shared" si="26"/>
        <v/>
      </c>
      <c r="O212" s="56" t="str">
        <f t="shared" si="27"/>
        <v/>
      </c>
    </row>
    <row r="213" spans="1:15" x14ac:dyDescent="0.25">
      <c r="A213" s="116" t="s">
        <v>229</v>
      </c>
      <c r="B213" s="117"/>
      <c r="C213" s="117"/>
      <c r="D213" s="117"/>
      <c r="E213" s="143"/>
      <c r="F213" s="143"/>
      <c r="G213" s="143"/>
      <c r="H213" s="118"/>
      <c r="I213" s="118"/>
      <c r="J213" s="57"/>
      <c r="K213" s="57"/>
      <c r="L213" s="57"/>
      <c r="M213" s="57"/>
      <c r="N213" s="57"/>
      <c r="O213" s="58"/>
    </row>
    <row r="214" spans="1:15" ht="18.75" x14ac:dyDescent="0.3">
      <c r="A214" s="119" t="s">
        <v>193</v>
      </c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5"/>
    </row>
    <row r="215" spans="1:15" x14ac:dyDescent="0.25">
      <c r="A215" s="134" t="s">
        <v>1</v>
      </c>
      <c r="B215" s="135"/>
      <c r="C215" s="135"/>
      <c r="D215" s="136" t="s">
        <v>19</v>
      </c>
      <c r="E215" s="136"/>
      <c r="F215" s="136"/>
      <c r="G215" s="136"/>
      <c r="H215" s="136"/>
      <c r="I215" s="136"/>
      <c r="J215" s="136" t="s">
        <v>22</v>
      </c>
      <c r="K215" s="136"/>
      <c r="L215" s="136"/>
      <c r="M215" s="136"/>
      <c r="N215" s="136"/>
      <c r="O215" s="137"/>
    </row>
    <row r="216" spans="1:15" x14ac:dyDescent="0.25">
      <c r="A216" s="47" t="s">
        <v>4</v>
      </c>
      <c r="B216" s="48" t="s">
        <v>5</v>
      </c>
      <c r="C216" s="48" t="s">
        <v>6</v>
      </c>
      <c r="D216" s="49">
        <v>1</v>
      </c>
      <c r="E216" s="49">
        <v>4</v>
      </c>
      <c r="F216" s="49">
        <v>16</v>
      </c>
      <c r="G216" s="49">
        <v>32</v>
      </c>
      <c r="H216" s="49">
        <v>64</v>
      </c>
      <c r="I216" s="49">
        <v>80</v>
      </c>
      <c r="J216" s="49">
        <v>1</v>
      </c>
      <c r="K216" s="49">
        <v>4</v>
      </c>
      <c r="L216" s="49">
        <v>16</v>
      </c>
      <c r="M216" s="49">
        <v>32</v>
      </c>
      <c r="N216" s="49">
        <v>64</v>
      </c>
      <c r="O216" s="50">
        <v>80</v>
      </c>
    </row>
    <row r="217" spans="1:15" x14ac:dyDescent="0.25">
      <c r="A217" s="51" t="s">
        <v>7</v>
      </c>
      <c r="B217" s="52" t="s">
        <v>8</v>
      </c>
      <c r="C217" s="52" t="s">
        <v>9</v>
      </c>
      <c r="D217" s="59">
        <f>IF(D207="","",(D207-'2018'!D307)/'2018'!D307)</f>
        <v>-8.9862873848581173E-2</v>
      </c>
      <c r="E217" s="59">
        <f>IF(E207="","",(E207-'2018'!E307)/'2018'!E307)</f>
        <v>-5.0217237546731332E-2</v>
      </c>
      <c r="F217" s="59">
        <f>IF(F207="","",(F207-'2018'!F307)/'2018'!F307)</f>
        <v>-9.2418278281704604E-3</v>
      </c>
      <c r="G217" s="59" t="str">
        <f>IF(G207="","",(G207-'2017'!G548)/'2017'!G548)</f>
        <v/>
      </c>
      <c r="H217" s="59" t="str">
        <f>IF(H207="","",(H207-#REF!)/#REF!)</f>
        <v/>
      </c>
      <c r="I217" s="59" t="str">
        <f>IF(I207="","",(I207-#REF!)/#REF!)</f>
        <v/>
      </c>
      <c r="J217" s="55"/>
      <c r="K217" s="55"/>
      <c r="L217" s="55"/>
      <c r="M217" s="55" t="str">
        <f>IF(G217="","",M207-((1/Comparisons!#REF!)*1000000))</f>
        <v/>
      </c>
      <c r="N217" s="55" t="str">
        <f>IF(H217="","",N207-((1/Comparisons!#REF!)*1000000))</f>
        <v/>
      </c>
      <c r="O217" s="56" t="str">
        <f>IF(I217="","",O207-((1/Comparisons!#REF!)*1000000))</f>
        <v/>
      </c>
    </row>
    <row r="218" spans="1:15" x14ac:dyDescent="0.25">
      <c r="A218" s="51" t="s">
        <v>10</v>
      </c>
      <c r="B218" s="52" t="s">
        <v>8</v>
      </c>
      <c r="C218" s="52" t="s">
        <v>11</v>
      </c>
      <c r="D218" s="59">
        <f>IF(D208="","",(D208-'2018'!D308)/'2018'!D308)</f>
        <v>-8.1260178581456732E-2</v>
      </c>
      <c r="E218" s="59">
        <f>IF(E208="","",(E208-'2018'!E308)/'2018'!E308)</f>
        <v>-7.3204874835309616E-2</v>
      </c>
      <c r="F218" s="59">
        <f>IF(F208="","",(F208-'2018'!F308)/'2018'!F308)</f>
        <v>-1.3591844893064161E-2</v>
      </c>
      <c r="G218" s="59" t="str">
        <f>IF(G208="","",(G208-#REF!)/#REF!)</f>
        <v/>
      </c>
      <c r="H218" s="59" t="str">
        <f>IF(H208="","",(H208-#REF!)/#REF!)</f>
        <v/>
      </c>
      <c r="I218" s="59" t="str">
        <f>IF(I208="","",(I208-#REF!)/#REF!)</f>
        <v/>
      </c>
      <c r="J218" s="55"/>
      <c r="K218" s="55"/>
      <c r="L218" s="55"/>
      <c r="M218" s="55" t="str">
        <f>IF(G218="","",M208-((1/Comparisons!#REF!)*1000000))</f>
        <v/>
      </c>
      <c r="N218" s="55" t="str">
        <f>IF(H218="","",N208-((1/Comparisons!#REF!)*1000000))</f>
        <v/>
      </c>
      <c r="O218" s="56" t="str">
        <f>IF(I218="","",O208-((1/Comparisons!#REF!)*1000000))</f>
        <v/>
      </c>
    </row>
    <row r="219" spans="1:15" x14ac:dyDescent="0.25">
      <c r="A219" s="51" t="s">
        <v>12</v>
      </c>
      <c r="B219" s="52" t="s">
        <v>13</v>
      </c>
      <c r="C219" s="52" t="s">
        <v>9</v>
      </c>
      <c r="D219" s="59">
        <f>IF(D209="","",(D209-'2018'!D309)/'2018'!D309)</f>
        <v>-6.2769045950545596E-2</v>
      </c>
      <c r="E219" s="59">
        <f>IF(E209="","",(E209-'2018'!E309)/'2018'!E309)</f>
        <v>-1.0384679805705991E-2</v>
      </c>
      <c r="F219" s="59">
        <f>IF(F209="","",(F209-'2018'!F309)/'2018'!F309)</f>
        <v>3.3995348005009841E-3</v>
      </c>
      <c r="G219" s="59" t="str">
        <f>IF(G209="","",(G209-#REF!)/#REF!)</f>
        <v/>
      </c>
      <c r="H219" s="59" t="str">
        <f>IF(H209="","",(H209-#REF!)/#REF!)</f>
        <v/>
      </c>
      <c r="I219" s="59" t="str">
        <f>IF(I209="","",(I209-#REF!)/#REF!)</f>
        <v/>
      </c>
      <c r="J219" s="55"/>
      <c r="K219" s="55"/>
      <c r="L219" s="55"/>
      <c r="M219" s="55" t="str">
        <f>IF(G219="","",M209-((1/Comparisons!#REF!)*1000000))</f>
        <v/>
      </c>
      <c r="N219" s="55" t="str">
        <f>IF(H219="","",N209-((1/Comparisons!#REF!)*1000000))</f>
        <v/>
      </c>
      <c r="O219" s="56" t="str">
        <f>IF(I219="","",O209-((1/Comparisons!#REF!)*1000000))</f>
        <v/>
      </c>
    </row>
    <row r="220" spans="1:15" x14ac:dyDescent="0.25">
      <c r="A220" s="51" t="s">
        <v>14</v>
      </c>
      <c r="B220" s="52" t="s">
        <v>13</v>
      </c>
      <c r="C220" s="52" t="s">
        <v>11</v>
      </c>
      <c r="D220" s="59">
        <f>IF(D210="","",(D210-'2018'!D310)/'2018'!D310)</f>
        <v>-2.7141645462256149E-2</v>
      </c>
      <c r="E220" s="59">
        <f>IF(E210="","",(E210-'2018'!E310)/'2018'!E310)</f>
        <v>-2.8139656070870246E-2</v>
      </c>
      <c r="F220" s="59">
        <f>IF(F210="","",(F210-'2018'!F310)/'2018'!F310)</f>
        <v>-2.8880116351547892E-2</v>
      </c>
      <c r="G220" s="59" t="str">
        <f>IF(G210="","",(G210-#REF!)/#REF!)</f>
        <v/>
      </c>
      <c r="H220" s="59" t="str">
        <f>IF(H210="","",(H210-#REF!)/#REF!)</f>
        <v/>
      </c>
      <c r="I220" s="59" t="str">
        <f>IF(I210="","",(I210-#REF!)/#REF!)</f>
        <v/>
      </c>
      <c r="J220" s="55"/>
      <c r="K220" s="55"/>
      <c r="L220" s="55"/>
      <c r="M220" s="55" t="str">
        <f>IF(G220="","",M210-((1/Comparisons!#REF!)*1000000))</f>
        <v/>
      </c>
      <c r="N220" s="55" t="str">
        <f>IF(H220="","",N210-((1/Comparisons!#REF!)*1000000))</f>
        <v/>
      </c>
      <c r="O220" s="56" t="str">
        <f>IF(I220="","",O210-((1/Comparisons!#REF!)*1000000))</f>
        <v/>
      </c>
    </row>
    <row r="221" spans="1:15" x14ac:dyDescent="0.25">
      <c r="A221" s="51" t="s">
        <v>15</v>
      </c>
      <c r="B221" s="8" t="s">
        <v>16</v>
      </c>
      <c r="C221" s="52" t="s">
        <v>11</v>
      </c>
      <c r="D221" s="59">
        <f>IF(D211="","",(D211-'2018'!D311)/'2018'!D311)</f>
        <v>-7.4934650014522222E-2</v>
      </c>
      <c r="E221" s="59">
        <f>IF(E211="","",(E211-'2018'!E311)/'2018'!E311)</f>
        <v>-0.15829528158295281</v>
      </c>
      <c r="F221" s="59">
        <f>IF(F211="","",(F211-'2018'!F311)/'2018'!F311)</f>
        <v>-3.873239436619718E-2</v>
      </c>
      <c r="G221" s="59" t="str">
        <f>IF(G211="","",(G211-#REF!)/#REF!)</f>
        <v/>
      </c>
      <c r="H221" s="59" t="str">
        <f>IF(H211="","",(H211-#REF!)/#REF!)</f>
        <v/>
      </c>
      <c r="I221" s="59" t="str">
        <f>IF(I211="","",(I211-#REF!)/#REF!)</f>
        <v/>
      </c>
      <c r="J221" s="55"/>
      <c r="K221" s="55"/>
      <c r="L221" s="55"/>
      <c r="M221" s="55" t="str">
        <f>IF(G221="","",M211-((1/Comparisons!#REF!)*1000000))</f>
        <v/>
      </c>
      <c r="N221" s="55" t="str">
        <f>IF(H221="","",N211-((1/Comparisons!#REF!)*1000000))</f>
        <v/>
      </c>
      <c r="O221" s="56" t="str">
        <f>IF(I221="","",O211-((1/Comparisons!#REF!)*1000000))</f>
        <v/>
      </c>
    </row>
    <row r="222" spans="1:15" ht="15.75" thickBot="1" x14ac:dyDescent="0.3">
      <c r="A222" s="60" t="s">
        <v>17</v>
      </c>
      <c r="B222" s="61" t="s">
        <v>18</v>
      </c>
      <c r="C222" s="61" t="s">
        <v>11</v>
      </c>
      <c r="D222" s="59">
        <f>IF(D212="","",(D212-'2018'!D312)/'2018'!D312)</f>
        <v>-7.7086743044189859E-2</v>
      </c>
      <c r="E222" s="59">
        <f>IF(E212="","",(E212-'2018'!E312)/'2018'!E312)</f>
        <v>2.0884377552210943E-2</v>
      </c>
      <c r="F222" s="59">
        <f>IF(F212="","",(F212-'2018'!F312)/'2018'!F312)</f>
        <v>3.5658219331688716E-2</v>
      </c>
      <c r="G222" s="62" t="str">
        <f>IF(G212="","",(G212-#REF!)/#REF!)</f>
        <v/>
      </c>
      <c r="H222" s="62" t="str">
        <f>IF(H212="","",(H212-#REF!)/#REF!)</f>
        <v/>
      </c>
      <c r="I222" s="62" t="str">
        <f>IF(I212="","",(I212-#REF!)/#REF!)</f>
        <v/>
      </c>
      <c r="J222" s="63"/>
      <c r="K222" s="63"/>
      <c r="L222" s="63"/>
      <c r="M222" s="63" t="str">
        <f>IF(G222="","",M212-((1/Comparisons!#REF!)*1000000))</f>
        <v/>
      </c>
      <c r="N222" s="63" t="str">
        <f>IF(H222="","",N212-((1/Comparisons!#REF!)*1000000))</f>
        <v/>
      </c>
      <c r="O222" s="64" t="str">
        <f>IF(I222="","",O212-((1/Comparisons!#REF!)*1000000))</f>
        <v/>
      </c>
    </row>
    <row r="223" spans="1:15" ht="18.75" x14ac:dyDescent="0.3">
      <c r="A223" s="119" t="s">
        <v>212</v>
      </c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5"/>
    </row>
    <row r="224" spans="1:15" x14ac:dyDescent="0.25">
      <c r="A224" s="134" t="s">
        <v>1</v>
      </c>
      <c r="B224" s="135"/>
      <c r="C224" s="135"/>
      <c r="D224" s="136" t="s">
        <v>19</v>
      </c>
      <c r="E224" s="136"/>
      <c r="F224" s="136"/>
      <c r="G224" s="136"/>
      <c r="H224" s="136"/>
      <c r="I224" s="136"/>
      <c r="J224" s="136" t="s">
        <v>22</v>
      </c>
      <c r="K224" s="136"/>
      <c r="L224" s="136"/>
      <c r="M224" s="136"/>
      <c r="N224" s="136"/>
      <c r="O224" s="137"/>
    </row>
    <row r="225" spans="1:15" x14ac:dyDescent="0.25">
      <c r="A225" s="47" t="s">
        <v>4</v>
      </c>
      <c r="B225" s="48" t="s">
        <v>5</v>
      </c>
      <c r="C225" s="48" t="s">
        <v>6</v>
      </c>
      <c r="D225" s="49">
        <v>1</v>
      </c>
      <c r="E225" s="49">
        <v>4</v>
      </c>
      <c r="F225" s="49">
        <v>16</v>
      </c>
      <c r="G225" s="49">
        <v>32</v>
      </c>
      <c r="H225" s="49">
        <v>64</v>
      </c>
      <c r="I225" s="49">
        <v>80</v>
      </c>
      <c r="J225" s="49">
        <v>1</v>
      </c>
      <c r="K225" s="49">
        <v>4</v>
      </c>
      <c r="L225" s="49">
        <v>16</v>
      </c>
      <c r="M225" s="49">
        <v>32</v>
      </c>
      <c r="N225" s="49">
        <v>64</v>
      </c>
      <c r="O225" s="50">
        <v>80</v>
      </c>
    </row>
    <row r="226" spans="1:15" x14ac:dyDescent="0.25">
      <c r="A226" s="51" t="s">
        <v>7</v>
      </c>
      <c r="B226" s="52" t="s">
        <v>8</v>
      </c>
      <c r="C226" s="52" t="s">
        <v>9</v>
      </c>
      <c r="D226" s="59">
        <f>IF(D207="","",(D207-'2018'!D370)/'2018'!D370)</f>
        <v>-9.6903418901807301E-2</v>
      </c>
      <c r="E226" s="59">
        <f>IF(E207="","",(E207-'2018'!E370)/'2018'!E370)</f>
        <v>-5.2037111738604279E-2</v>
      </c>
      <c r="F226" s="59">
        <f>IF(F207="","",(F207-'2018'!F370)/'2018'!F370)</f>
        <v>-9.2418278281704604E-3</v>
      </c>
      <c r="G226" s="59" t="str">
        <f>IF(G207="","",(G207-'2018'!G430)/'2018'!G430)</f>
        <v/>
      </c>
      <c r="H226" s="59" t="str">
        <f>IF(H207="","",(H207-'2018'!H430)/'2018'!H430)</f>
        <v/>
      </c>
      <c r="I226" s="59" t="str">
        <f>IF(I207="","",(I207-'2018'!I430)/'2018'!I430)</f>
        <v/>
      </c>
      <c r="J226" s="55"/>
      <c r="K226" s="55"/>
      <c r="L226" s="55"/>
      <c r="M226" s="55" t="str">
        <f>IF(G226="","",M216-((1/Comparisons!#REF!)*1000000))</f>
        <v/>
      </c>
      <c r="N226" s="55" t="str">
        <f>IF(H226="","",N216-((1/Comparisons!#REF!)*1000000))</f>
        <v/>
      </c>
      <c r="O226" s="56" t="str">
        <f>IF(I226="","",O216-((1/Comparisons!#REF!)*1000000))</f>
        <v/>
      </c>
    </row>
    <row r="227" spans="1:15" x14ac:dyDescent="0.25">
      <c r="A227" s="51" t="s">
        <v>10</v>
      </c>
      <c r="B227" s="52" t="s">
        <v>8</v>
      </c>
      <c r="C227" s="52" t="s">
        <v>11</v>
      </c>
      <c r="D227" s="59">
        <f>IF(D208="","",(D208-'2018'!D371)/'2018'!D371)</f>
        <v>-8.994826723034989E-2</v>
      </c>
      <c r="E227" s="59">
        <f>IF(E208="","",(E208-'2018'!E371)/'2018'!E371)</f>
        <v>-6.3098310163989008E-2</v>
      </c>
      <c r="F227" s="59">
        <f>IF(F208="","",(F208-'2018'!F371)/'2018'!F371)</f>
        <v>-1.5166633406505687E-2</v>
      </c>
      <c r="G227" s="59" t="str">
        <f>IF(G217="","",(G217-#REF!)/#REF!)</f>
        <v/>
      </c>
      <c r="H227" s="59" t="str">
        <f>IF(H217="","",(H217-#REF!)/#REF!)</f>
        <v/>
      </c>
      <c r="I227" s="59" t="str">
        <f>IF(I217="","",(I217-#REF!)/#REF!)</f>
        <v/>
      </c>
      <c r="J227" s="55"/>
      <c r="K227" s="55"/>
      <c r="L227" s="55"/>
      <c r="M227" s="55" t="str">
        <f>IF(G227="","",M217-((1/Comparisons!#REF!)*1000000))</f>
        <v/>
      </c>
      <c r="N227" s="55" t="str">
        <f>IF(H227="","",N217-((1/Comparisons!#REF!)*1000000))</f>
        <v/>
      </c>
      <c r="O227" s="56" t="str">
        <f>IF(I227="","",O217-((1/Comparisons!#REF!)*1000000))</f>
        <v/>
      </c>
    </row>
    <row r="228" spans="1:15" x14ac:dyDescent="0.25">
      <c r="A228" s="51" t="s">
        <v>12</v>
      </c>
      <c r="B228" s="52" t="s">
        <v>13</v>
      </c>
      <c r="C228" s="52" t="s">
        <v>9</v>
      </c>
      <c r="D228" s="59">
        <f>IF(D209="","",(D209-'2018'!D372)/'2018'!D372)</f>
        <v>-6.2769045950545596E-2</v>
      </c>
      <c r="E228" s="59">
        <f>IF(E209="","",(E209-'2018'!E372)/'2018'!E372)</f>
        <v>-2.7007258200641422E-3</v>
      </c>
      <c r="F228" s="59">
        <f>IF(F209="","",(F209-'2018'!F372)/'2018'!F372)</f>
        <v>-5.1445804505942877E-3</v>
      </c>
      <c r="G228" s="59" t="str">
        <f>IF(G218="","",(G218-#REF!)/#REF!)</f>
        <v/>
      </c>
      <c r="H228" s="59" t="str">
        <f>IF(H218="","",(H218-#REF!)/#REF!)</f>
        <v/>
      </c>
      <c r="I228" s="59" t="str">
        <f>IF(I218="","",(I218-#REF!)/#REF!)</f>
        <v/>
      </c>
      <c r="J228" s="55"/>
      <c r="K228" s="55"/>
      <c r="L228" s="55"/>
      <c r="M228" s="55" t="str">
        <f>IF(G228="","",M218-((1/Comparisons!#REF!)*1000000))</f>
        <v/>
      </c>
      <c r="N228" s="55" t="str">
        <f>IF(H228="","",N218-((1/Comparisons!#REF!)*1000000))</f>
        <v/>
      </c>
      <c r="O228" s="56" t="str">
        <f>IF(I228="","",O218-((1/Comparisons!#REF!)*1000000))</f>
        <v/>
      </c>
    </row>
    <row r="229" spans="1:15" x14ac:dyDescent="0.25">
      <c r="A229" s="51" t="s">
        <v>14</v>
      </c>
      <c r="B229" s="52" t="s">
        <v>13</v>
      </c>
      <c r="C229" s="52" t="s">
        <v>11</v>
      </c>
      <c r="D229" s="59">
        <f>IF(D210="","",(D210-'2018'!D373)/'2018'!D373)</f>
        <v>-3.8611980330800176E-2</v>
      </c>
      <c r="E229" s="59">
        <f>IF(E210="","",(E210-'2018'!E373)/'2018'!E373)</f>
        <v>-4.2034072425306053E-2</v>
      </c>
      <c r="F229" s="59">
        <f>IF(F210="","",(F210-'2018'!F373)/'2018'!F373)</f>
        <v>-2.1151832460732985E-2</v>
      </c>
      <c r="G229" s="59" t="str">
        <f>IF(G219="","",(G219-#REF!)/#REF!)</f>
        <v/>
      </c>
      <c r="H229" s="59" t="str">
        <f>IF(H219="","",(H219-#REF!)/#REF!)</f>
        <v/>
      </c>
      <c r="I229" s="59" t="str">
        <f>IF(I219="","",(I219-#REF!)/#REF!)</f>
        <v/>
      </c>
      <c r="J229" s="55"/>
      <c r="K229" s="55"/>
      <c r="L229" s="55"/>
      <c r="M229" s="55" t="str">
        <f>IF(G229="","",M219-((1/Comparisons!#REF!)*1000000))</f>
        <v/>
      </c>
      <c r="N229" s="55" t="str">
        <f>IF(H229="","",N219-((1/Comparisons!#REF!)*1000000))</f>
        <v/>
      </c>
      <c r="O229" s="56" t="str">
        <f>IF(I229="","",O219-((1/Comparisons!#REF!)*1000000))</f>
        <v/>
      </c>
    </row>
    <row r="230" spans="1:15" x14ac:dyDescent="0.25">
      <c r="A230" s="51" t="s">
        <v>15</v>
      </c>
      <c r="B230" s="8" t="s">
        <v>16</v>
      </c>
      <c r="C230" s="52" t="s">
        <v>11</v>
      </c>
      <c r="D230" s="59">
        <f>IF(D211="","",(D211-'2018'!D374)/'2018'!D374)</f>
        <v>-6.0125414976023604E-2</v>
      </c>
      <c r="E230" s="59">
        <f>IF(E211="","",(E211-'2018'!E374)/'2018'!E374)</f>
        <v>-0.13701622971285893</v>
      </c>
      <c r="F230" s="59">
        <f>IF(F211="","",(F211-'2018'!F374)/'2018'!F374)</f>
        <v>-3.3326390335346803E-2</v>
      </c>
      <c r="G230" s="59" t="str">
        <f>IF(G220="","",(G220-#REF!)/#REF!)</f>
        <v/>
      </c>
      <c r="H230" s="59" t="str">
        <f>IF(H220="","",(H220-#REF!)/#REF!)</f>
        <v/>
      </c>
      <c r="I230" s="59" t="str">
        <f>IF(I220="","",(I220-#REF!)/#REF!)</f>
        <v/>
      </c>
      <c r="J230" s="55"/>
      <c r="K230" s="55"/>
      <c r="L230" s="55"/>
      <c r="M230" s="55" t="str">
        <f>IF(G230="","",M220-((1/Comparisons!#REF!)*1000000))</f>
        <v/>
      </c>
      <c r="N230" s="55" t="str">
        <f>IF(H230="","",N220-((1/Comparisons!#REF!)*1000000))</f>
        <v/>
      </c>
      <c r="O230" s="56" t="str">
        <f>IF(I230="","",O220-((1/Comparisons!#REF!)*1000000))</f>
        <v/>
      </c>
    </row>
    <row r="231" spans="1:15" ht="15.75" thickBot="1" x14ac:dyDescent="0.3">
      <c r="A231" s="60" t="s">
        <v>17</v>
      </c>
      <c r="B231" s="61" t="s">
        <v>18</v>
      </c>
      <c r="C231" s="61" t="s">
        <v>11</v>
      </c>
      <c r="D231" s="59">
        <f>IF(D212="","",(D212-'2018'!D375)/'2018'!D375)</f>
        <v>-8.66537091026887E-2</v>
      </c>
      <c r="E231" s="59">
        <f>IF(E212="","",(E212-'2018'!E375)/'2018'!E375)</f>
        <v>-3.8706739526411659E-3</v>
      </c>
      <c r="F231" s="59">
        <f>IF(F212="","",(F212-'2018'!F375)/'2018'!F375)</f>
        <v>-2.5121384842727464E-2</v>
      </c>
      <c r="G231" s="62" t="str">
        <f>IF(G221="","",(G221-#REF!)/#REF!)</f>
        <v/>
      </c>
      <c r="H231" s="62" t="str">
        <f>IF(H221="","",(H221-#REF!)/#REF!)</f>
        <v/>
      </c>
      <c r="I231" s="62" t="str">
        <f>IF(I221="","",(I221-#REF!)/#REF!)</f>
        <v/>
      </c>
      <c r="J231" s="63"/>
      <c r="K231" s="63"/>
      <c r="L231" s="63"/>
      <c r="M231" s="63" t="str">
        <f>IF(G231="","",M221-((1/Comparisons!#REF!)*1000000))</f>
        <v/>
      </c>
      <c r="N231" s="63" t="str">
        <f>IF(H231="","",N221-((1/Comparisons!#REF!)*1000000))</f>
        <v/>
      </c>
      <c r="O231" s="64" t="str">
        <f>IF(I231="","",O221-((1/Comparisons!#REF!)*1000000))</f>
        <v/>
      </c>
    </row>
    <row r="232" spans="1:15" ht="15.75" thickBot="1" x14ac:dyDescent="0.3"/>
    <row r="233" spans="1:15" ht="18.75" x14ac:dyDescent="0.25">
      <c r="A233" s="110" t="s">
        <v>213</v>
      </c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40"/>
    </row>
    <row r="234" spans="1:15" ht="15.75" x14ac:dyDescent="0.25">
      <c r="A234" s="113" t="s">
        <v>217</v>
      </c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2"/>
    </row>
    <row r="235" spans="1:15" x14ac:dyDescent="0.25">
      <c r="A235" s="134" t="s">
        <v>1</v>
      </c>
      <c r="B235" s="135"/>
      <c r="C235" s="135"/>
      <c r="D235" s="136" t="s">
        <v>2</v>
      </c>
      <c r="E235" s="136"/>
      <c r="F235" s="136"/>
      <c r="G235" s="136"/>
      <c r="H235" s="136"/>
      <c r="I235" s="136"/>
      <c r="J235" s="136" t="s">
        <v>3</v>
      </c>
      <c r="K235" s="136"/>
      <c r="L235" s="136"/>
      <c r="M235" s="136"/>
      <c r="N235" s="136"/>
      <c r="O235" s="137"/>
    </row>
    <row r="236" spans="1:15" x14ac:dyDescent="0.25">
      <c r="A236" s="47" t="s">
        <v>26</v>
      </c>
      <c r="B236" s="48" t="s">
        <v>5</v>
      </c>
      <c r="C236" s="48" t="s">
        <v>6</v>
      </c>
      <c r="D236" s="49">
        <v>1</v>
      </c>
      <c r="E236" s="49">
        <v>4</v>
      </c>
      <c r="F236" s="49">
        <v>16</v>
      </c>
      <c r="G236" s="49">
        <v>32</v>
      </c>
      <c r="H236" s="49">
        <v>64</v>
      </c>
      <c r="I236" s="49">
        <v>80</v>
      </c>
      <c r="J236" s="49">
        <v>1</v>
      </c>
      <c r="K236" s="49">
        <v>4</v>
      </c>
      <c r="L236" s="49">
        <v>16</v>
      </c>
      <c r="M236" s="49">
        <v>32</v>
      </c>
      <c r="N236" s="49">
        <v>64</v>
      </c>
      <c r="O236" s="50">
        <v>80</v>
      </c>
    </row>
    <row r="237" spans="1:15" x14ac:dyDescent="0.25">
      <c r="A237" s="51" t="s">
        <v>7</v>
      </c>
      <c r="B237" s="52" t="s">
        <v>8</v>
      </c>
      <c r="C237" s="52" t="s">
        <v>9</v>
      </c>
      <c r="D237" s="53">
        <v>38628</v>
      </c>
      <c r="E237" s="53">
        <v>19189</v>
      </c>
      <c r="F237" s="53">
        <v>5843</v>
      </c>
      <c r="G237" s="54"/>
      <c r="H237" s="54"/>
      <c r="I237" s="54"/>
      <c r="J237" s="55"/>
      <c r="K237" s="55"/>
      <c r="L237" s="55"/>
      <c r="M237" s="55" t="str">
        <f t="shared" ref="M237:M242" si="28">IF(G237="","",(1/G237)*1000000)</f>
        <v/>
      </c>
      <c r="N237" s="55" t="str">
        <f t="shared" ref="N237:N242" si="29">IF(H237="","",(1/H237)*1000000)</f>
        <v/>
      </c>
      <c r="O237" s="56" t="str">
        <f t="shared" ref="O237:O242" si="30">IF(I237="","",(1/I237)*1000000)</f>
        <v/>
      </c>
    </row>
    <row r="238" spans="1:15" x14ac:dyDescent="0.25">
      <c r="A238" s="51" t="s">
        <v>10</v>
      </c>
      <c r="B238" s="52" t="s">
        <v>8</v>
      </c>
      <c r="C238" s="52" t="s">
        <v>11</v>
      </c>
      <c r="D238" s="53">
        <v>16726</v>
      </c>
      <c r="E238" s="53">
        <v>11940</v>
      </c>
      <c r="F238" s="53">
        <v>4954</v>
      </c>
      <c r="G238" s="54"/>
      <c r="H238" s="54"/>
      <c r="I238" s="54"/>
      <c r="J238" s="55"/>
      <c r="K238" s="55"/>
      <c r="L238" s="55"/>
      <c r="M238" s="55" t="str">
        <f t="shared" si="28"/>
        <v/>
      </c>
      <c r="N238" s="55" t="str">
        <f t="shared" si="29"/>
        <v/>
      </c>
      <c r="O238" s="56" t="str">
        <f t="shared" si="30"/>
        <v/>
      </c>
    </row>
    <row r="239" spans="1:15" x14ac:dyDescent="0.25">
      <c r="A239" s="51" t="s">
        <v>12</v>
      </c>
      <c r="B239" s="52" t="s">
        <v>13</v>
      </c>
      <c r="C239" s="52" t="s">
        <v>9</v>
      </c>
      <c r="D239" s="53">
        <v>37110</v>
      </c>
      <c r="E239" s="53">
        <v>17773</v>
      </c>
      <c r="F239" s="53">
        <v>5599</v>
      </c>
      <c r="G239" s="54"/>
      <c r="H239" s="54"/>
      <c r="I239" s="54"/>
      <c r="J239" s="55"/>
      <c r="K239" s="55"/>
      <c r="L239" s="55"/>
      <c r="M239" s="55" t="str">
        <f t="shared" si="28"/>
        <v/>
      </c>
      <c r="N239" s="55" t="str">
        <f t="shared" si="29"/>
        <v/>
      </c>
      <c r="O239" s="56" t="str">
        <f t="shared" si="30"/>
        <v/>
      </c>
    </row>
    <row r="240" spans="1:15" x14ac:dyDescent="0.25">
      <c r="A240" s="51" t="s">
        <v>14</v>
      </c>
      <c r="B240" s="52" t="s">
        <v>13</v>
      </c>
      <c r="C240" s="52" t="s">
        <v>11</v>
      </c>
      <c r="D240" s="53">
        <v>14550</v>
      </c>
      <c r="E240" s="53">
        <v>10617</v>
      </c>
      <c r="F240" s="53">
        <v>4618</v>
      </c>
      <c r="G240" s="54"/>
      <c r="H240" s="54"/>
      <c r="I240" s="54"/>
      <c r="J240" s="55"/>
      <c r="K240" s="55"/>
      <c r="L240" s="55"/>
      <c r="M240" s="55" t="str">
        <f t="shared" si="28"/>
        <v/>
      </c>
      <c r="N240" s="55" t="str">
        <f t="shared" si="29"/>
        <v/>
      </c>
      <c r="O240" s="56" t="str">
        <f t="shared" si="30"/>
        <v/>
      </c>
    </row>
    <row r="241" spans="1:15" x14ac:dyDescent="0.25">
      <c r="A241" s="51" t="s">
        <v>15</v>
      </c>
      <c r="B241" s="52" t="s">
        <v>16</v>
      </c>
      <c r="C241" s="52" t="s">
        <v>11</v>
      </c>
      <c r="D241" s="53">
        <v>10585</v>
      </c>
      <c r="E241" s="53">
        <v>9801</v>
      </c>
      <c r="F241" s="53">
        <v>4459</v>
      </c>
      <c r="G241" s="54"/>
      <c r="H241" s="54"/>
      <c r="I241" s="54"/>
      <c r="J241" s="55"/>
      <c r="K241" s="55"/>
      <c r="L241" s="55"/>
      <c r="M241" s="55" t="str">
        <f t="shared" si="28"/>
        <v/>
      </c>
      <c r="N241" s="55" t="str">
        <f t="shared" si="29"/>
        <v/>
      </c>
      <c r="O241" s="56" t="str">
        <f t="shared" si="30"/>
        <v/>
      </c>
    </row>
    <row r="242" spans="1:15" x14ac:dyDescent="0.25">
      <c r="A242" s="28" t="s">
        <v>17</v>
      </c>
      <c r="B242" s="52" t="s">
        <v>18</v>
      </c>
      <c r="C242" s="52" t="s">
        <v>11</v>
      </c>
      <c r="D242" s="53">
        <v>11495</v>
      </c>
      <c r="E242" s="53">
        <v>8010</v>
      </c>
      <c r="F242" s="53">
        <v>4642</v>
      </c>
      <c r="G242" s="54"/>
      <c r="H242" s="54"/>
      <c r="I242" s="54"/>
      <c r="J242" s="55"/>
      <c r="K242" s="55"/>
      <c r="L242" s="55"/>
      <c r="M242" s="55" t="str">
        <f t="shared" si="28"/>
        <v/>
      </c>
      <c r="N242" s="55" t="str">
        <f t="shared" si="29"/>
        <v/>
      </c>
      <c r="O242" s="56" t="str">
        <f t="shared" si="30"/>
        <v/>
      </c>
    </row>
    <row r="243" spans="1:15" x14ac:dyDescent="0.25">
      <c r="A243" s="116" t="s">
        <v>218</v>
      </c>
      <c r="B243" s="117"/>
      <c r="C243" s="117"/>
      <c r="D243" s="117"/>
      <c r="E243" s="143"/>
      <c r="F243" s="143"/>
      <c r="G243" s="143"/>
      <c r="H243" s="118"/>
      <c r="I243" s="118"/>
      <c r="J243" s="57"/>
      <c r="K243" s="57"/>
      <c r="L243" s="57"/>
      <c r="M243" s="57"/>
      <c r="N243" s="57"/>
      <c r="O243" s="58"/>
    </row>
    <row r="244" spans="1:15" ht="18.75" x14ac:dyDescent="0.3">
      <c r="A244" s="119" t="s">
        <v>193</v>
      </c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5"/>
    </row>
    <row r="245" spans="1:15" x14ac:dyDescent="0.25">
      <c r="A245" s="134" t="s">
        <v>1</v>
      </c>
      <c r="B245" s="135"/>
      <c r="C245" s="135"/>
      <c r="D245" s="136" t="s">
        <v>19</v>
      </c>
      <c r="E245" s="136"/>
      <c r="F245" s="136"/>
      <c r="G245" s="136"/>
      <c r="H245" s="136"/>
      <c r="I245" s="136"/>
      <c r="J245" s="136" t="s">
        <v>22</v>
      </c>
      <c r="K245" s="136"/>
      <c r="L245" s="136"/>
      <c r="M245" s="136"/>
      <c r="N245" s="136"/>
      <c r="O245" s="137"/>
    </row>
    <row r="246" spans="1:15" x14ac:dyDescent="0.25">
      <c r="A246" s="47" t="s">
        <v>4</v>
      </c>
      <c r="B246" s="48" t="s">
        <v>5</v>
      </c>
      <c r="C246" s="48" t="s">
        <v>6</v>
      </c>
      <c r="D246" s="49">
        <v>1</v>
      </c>
      <c r="E246" s="49">
        <v>4</v>
      </c>
      <c r="F246" s="49">
        <v>16</v>
      </c>
      <c r="G246" s="49">
        <v>32</v>
      </c>
      <c r="H246" s="49">
        <v>64</v>
      </c>
      <c r="I246" s="49">
        <v>80</v>
      </c>
      <c r="J246" s="49">
        <v>1</v>
      </c>
      <c r="K246" s="49">
        <v>4</v>
      </c>
      <c r="L246" s="49">
        <v>16</v>
      </c>
      <c r="M246" s="49">
        <v>32</v>
      </c>
      <c r="N246" s="49">
        <v>64</v>
      </c>
      <c r="O246" s="50">
        <v>80</v>
      </c>
    </row>
    <row r="247" spans="1:15" x14ac:dyDescent="0.25">
      <c r="A247" s="51" t="s">
        <v>7</v>
      </c>
      <c r="B247" s="52" t="s">
        <v>8</v>
      </c>
      <c r="C247" s="52" t="s">
        <v>9</v>
      </c>
      <c r="D247" s="59">
        <f>IF(D237="","",(D237-'2018'!D307)/'2018'!D307)</f>
        <v>-0.1037379057518736</v>
      </c>
      <c r="E247" s="59">
        <f>IF(E237="","",(E237-'2018'!E307)/'2018'!E307)</f>
        <v>-3.0564817621501466E-2</v>
      </c>
      <c r="F247" s="59">
        <f>IF(F237="","",(F237-'2018'!F307)/'2018'!F307)</f>
        <v>0</v>
      </c>
      <c r="G247" s="59" t="str">
        <f>IF(G237="","",(G237-'2017'!G578)/'2017'!G578)</f>
        <v/>
      </c>
      <c r="H247" s="59" t="str">
        <f>IF(H237="","",(H237-#REF!)/#REF!)</f>
        <v/>
      </c>
      <c r="I247" s="59" t="str">
        <f>IF(I237="","",(I237-#REF!)/#REF!)</f>
        <v/>
      </c>
      <c r="J247" s="55"/>
      <c r="K247" s="55"/>
      <c r="L247" s="55"/>
      <c r="M247" s="55" t="str">
        <f>IF(G247="","",M237-((1/Comparisons!#REF!)*1000000))</f>
        <v/>
      </c>
      <c r="N247" s="55" t="str">
        <f>IF(H247="","",N237-((1/Comparisons!#REF!)*1000000))</f>
        <v/>
      </c>
      <c r="O247" s="56" t="str">
        <f>IF(I247="","",O237-((1/Comparisons!#REF!)*1000000))</f>
        <v/>
      </c>
    </row>
    <row r="248" spans="1:15" x14ac:dyDescent="0.25">
      <c r="A248" s="51" t="s">
        <v>10</v>
      </c>
      <c r="B248" s="52" t="s">
        <v>8</v>
      </c>
      <c r="C248" s="52" t="s">
        <v>11</v>
      </c>
      <c r="D248" s="59">
        <f>IF(D238="","",(D238-'2018'!D308)/'2018'!D308)</f>
        <v>-6.070646375021059E-2</v>
      </c>
      <c r="E248" s="59">
        <f>IF(E238="","",(E238-'2018'!E308)/'2018'!E308)</f>
        <v>-1.6798418972332016E-2</v>
      </c>
      <c r="F248" s="59">
        <f>IF(F238="","",(F238-'2018'!F308)/'2018'!F308)</f>
        <v>-9.7941235258844697E-3</v>
      </c>
      <c r="G248" s="59" t="str">
        <f>IF(G238="","",(G238-#REF!)/#REF!)</f>
        <v/>
      </c>
      <c r="H248" s="59" t="str">
        <f>IF(H238="","",(H238-#REF!)/#REF!)</f>
        <v/>
      </c>
      <c r="I248" s="59" t="str">
        <f>IF(I238="","",(I238-#REF!)/#REF!)</f>
        <v/>
      </c>
      <c r="J248" s="55"/>
      <c r="K248" s="55"/>
      <c r="L248" s="55"/>
      <c r="M248" s="55" t="str">
        <f>IF(G248="","",M238-((1/Comparisons!#REF!)*1000000))</f>
        <v/>
      </c>
      <c r="N248" s="55" t="str">
        <f>IF(H248="","",N238-((1/Comparisons!#REF!)*1000000))</f>
        <v/>
      </c>
      <c r="O248" s="56" t="str">
        <f>IF(I248="","",O238-((1/Comparisons!#REF!)*1000000))</f>
        <v/>
      </c>
    </row>
    <row r="249" spans="1:15" x14ac:dyDescent="0.25">
      <c r="A249" s="51" t="s">
        <v>12</v>
      </c>
      <c r="B249" s="52" t="s">
        <v>13</v>
      </c>
      <c r="C249" s="52" t="s">
        <v>9</v>
      </c>
      <c r="D249" s="59">
        <f>IF(D239="","",(D239-'2018'!D309)/'2018'!D309)</f>
        <v>-7.1228351186304939E-2</v>
      </c>
      <c r="E249" s="59">
        <f>IF(E239="","",(E239-'2018'!E309)/'2018'!E309)</f>
        <v>-7.7047624364915412E-3</v>
      </c>
      <c r="F249" s="59">
        <f>IF(F239="","",(F239-'2018'!F309)/'2018'!F309)</f>
        <v>1.7892288423689391E-3</v>
      </c>
      <c r="G249" s="59" t="str">
        <f>IF(G239="","",(G239-#REF!)/#REF!)</f>
        <v/>
      </c>
      <c r="H249" s="59" t="str">
        <f>IF(H239="","",(H239-#REF!)/#REF!)</f>
        <v/>
      </c>
      <c r="I249" s="59" t="str">
        <f>IF(I239="","",(I239-#REF!)/#REF!)</f>
        <v/>
      </c>
      <c r="J249" s="55"/>
      <c r="K249" s="55"/>
      <c r="L249" s="55"/>
      <c r="M249" s="55" t="str">
        <f>IF(G249="","",M239-((1/Comparisons!#REF!)*1000000))</f>
        <v/>
      </c>
      <c r="N249" s="55" t="str">
        <f>IF(H249="","",N239-((1/Comparisons!#REF!)*1000000))</f>
        <v/>
      </c>
      <c r="O249" s="56" t="str">
        <f>IF(I249="","",O239-((1/Comparisons!#REF!)*1000000))</f>
        <v/>
      </c>
    </row>
    <row r="250" spans="1:15" x14ac:dyDescent="0.25">
      <c r="A250" s="51" t="s">
        <v>14</v>
      </c>
      <c r="B250" s="52" t="s">
        <v>13</v>
      </c>
      <c r="C250" s="52" t="s">
        <v>11</v>
      </c>
      <c r="D250" s="59">
        <f>IF(D240="","",(D240-'2018'!D310)/'2018'!D310)</f>
        <v>-0.17726887192536048</v>
      </c>
      <c r="E250" s="59">
        <f>IF(E240="","",(E240-'2018'!E310)/'2018'!E310)</f>
        <v>-7.7905158936946328E-2</v>
      </c>
      <c r="F250" s="59">
        <f>IF(F240="","",(F240-'2018'!F310)/'2018'!F310)</f>
        <v>-4.0515271140660711E-2</v>
      </c>
      <c r="G250" s="59" t="str">
        <f>IF(G240="","",(G240-#REF!)/#REF!)</f>
        <v/>
      </c>
      <c r="H250" s="59" t="str">
        <f>IF(H240="","",(H240-#REF!)/#REF!)</f>
        <v/>
      </c>
      <c r="I250" s="59" t="str">
        <f>IF(I240="","",(I240-#REF!)/#REF!)</f>
        <v/>
      </c>
      <c r="J250" s="55"/>
      <c r="K250" s="55"/>
      <c r="L250" s="55"/>
      <c r="M250" s="55" t="str">
        <f>IF(G250="","",M240-((1/Comparisons!#REF!)*1000000))</f>
        <v/>
      </c>
      <c r="N250" s="55" t="str">
        <f>IF(H250="","",N240-((1/Comparisons!#REF!)*1000000))</f>
        <v/>
      </c>
      <c r="O250" s="56" t="str">
        <f>IF(I250="","",O240-((1/Comparisons!#REF!)*1000000))</f>
        <v/>
      </c>
    </row>
    <row r="251" spans="1:15" x14ac:dyDescent="0.25">
      <c r="A251" s="51" t="s">
        <v>15</v>
      </c>
      <c r="B251" s="8" t="s">
        <v>16</v>
      </c>
      <c r="C251" s="52" t="s">
        <v>11</v>
      </c>
      <c r="D251" s="59">
        <f>IF(D241="","",(D241-'2018'!D311)/'2018'!D311)</f>
        <v>-0.23141155968632007</v>
      </c>
      <c r="E251" s="59">
        <f>IF(E241="","",(E241-'2018'!E311)/'2018'!E311)</f>
        <v>-5.4794520547945206E-3</v>
      </c>
      <c r="F251" s="59">
        <f>IF(F241="","",(F241-'2018'!F311)/'2018'!F311)</f>
        <v>-7.6429163214581611E-2</v>
      </c>
      <c r="G251" s="59" t="str">
        <f>IF(G241="","",(G241-#REF!)/#REF!)</f>
        <v/>
      </c>
      <c r="H251" s="59" t="str">
        <f>IF(H241="","",(H241-#REF!)/#REF!)</f>
        <v/>
      </c>
      <c r="I251" s="59" t="str">
        <f>IF(I241="","",(I241-#REF!)/#REF!)</f>
        <v/>
      </c>
      <c r="J251" s="55"/>
      <c r="K251" s="55"/>
      <c r="L251" s="55"/>
      <c r="M251" s="55" t="str">
        <f>IF(G251="","",M241-((1/Comparisons!#REF!)*1000000))</f>
        <v/>
      </c>
      <c r="N251" s="55" t="str">
        <f>IF(H251="","",N241-((1/Comparisons!#REF!)*1000000))</f>
        <v/>
      </c>
      <c r="O251" s="56" t="str">
        <f>IF(I251="","",O241-((1/Comparisons!#REF!)*1000000))</f>
        <v/>
      </c>
    </row>
    <row r="252" spans="1:15" ht="15.75" thickBot="1" x14ac:dyDescent="0.3">
      <c r="A252" s="60" t="s">
        <v>17</v>
      </c>
      <c r="B252" s="61" t="s">
        <v>18</v>
      </c>
      <c r="C252" s="61" t="s">
        <v>11</v>
      </c>
      <c r="D252" s="59">
        <f>IF(D242="","",(D242-'2018'!D312)/'2018'!D312)</f>
        <v>-5.9328968903436988E-2</v>
      </c>
      <c r="E252" s="59">
        <f>IF(E242="","",(E242-'2018'!E312)/'2018'!E312)</f>
        <v>-6.5453272663633183E-2</v>
      </c>
      <c r="F252" s="59">
        <f>IF(F242="","",(F242-'2018'!F312)/'2018'!F312)</f>
        <v>4.1040592061000226E-2</v>
      </c>
      <c r="G252" s="62" t="str">
        <f>IF(G242="","",(G242-#REF!)/#REF!)</f>
        <v/>
      </c>
      <c r="H252" s="62" t="str">
        <f>IF(H242="","",(H242-#REF!)/#REF!)</f>
        <v/>
      </c>
      <c r="I252" s="62" t="str">
        <f>IF(I242="","",(I242-#REF!)/#REF!)</f>
        <v/>
      </c>
      <c r="J252" s="63"/>
      <c r="K252" s="63"/>
      <c r="L252" s="63"/>
      <c r="M252" s="63" t="str">
        <f>IF(G252="","",M242-((1/Comparisons!#REF!)*1000000))</f>
        <v/>
      </c>
      <c r="N252" s="63" t="str">
        <f>IF(H252="","",N242-((1/Comparisons!#REF!)*1000000))</f>
        <v/>
      </c>
      <c r="O252" s="64" t="str">
        <f>IF(I252="","",O242-((1/Comparisons!#REF!)*1000000))</f>
        <v/>
      </c>
    </row>
    <row r="253" spans="1:15" ht="18.75" x14ac:dyDescent="0.3">
      <c r="A253" s="119" t="s">
        <v>212</v>
      </c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5"/>
    </row>
    <row r="254" spans="1:15" x14ac:dyDescent="0.25">
      <c r="A254" s="134" t="s">
        <v>1</v>
      </c>
      <c r="B254" s="135"/>
      <c r="C254" s="135"/>
      <c r="D254" s="136" t="s">
        <v>19</v>
      </c>
      <c r="E254" s="136"/>
      <c r="F254" s="136"/>
      <c r="G254" s="136"/>
      <c r="H254" s="136"/>
      <c r="I254" s="136"/>
      <c r="J254" s="136" t="s">
        <v>22</v>
      </c>
      <c r="K254" s="136"/>
      <c r="L254" s="136"/>
      <c r="M254" s="136"/>
      <c r="N254" s="136"/>
      <c r="O254" s="137"/>
    </row>
    <row r="255" spans="1:15" x14ac:dyDescent="0.25">
      <c r="A255" s="47" t="s">
        <v>4</v>
      </c>
      <c r="B255" s="48" t="s">
        <v>5</v>
      </c>
      <c r="C255" s="48" t="s">
        <v>6</v>
      </c>
      <c r="D255" s="49">
        <v>1</v>
      </c>
      <c r="E255" s="49">
        <v>4</v>
      </c>
      <c r="F255" s="49">
        <v>16</v>
      </c>
      <c r="G255" s="49">
        <v>32</v>
      </c>
      <c r="H255" s="49">
        <v>64</v>
      </c>
      <c r="I255" s="49">
        <v>80</v>
      </c>
      <c r="J255" s="49">
        <v>1</v>
      </c>
      <c r="K255" s="49">
        <v>4</v>
      </c>
      <c r="L255" s="49">
        <v>16</v>
      </c>
      <c r="M255" s="49">
        <v>32</v>
      </c>
      <c r="N255" s="49">
        <v>64</v>
      </c>
      <c r="O255" s="50">
        <v>80</v>
      </c>
    </row>
    <row r="256" spans="1:15" x14ac:dyDescent="0.25">
      <c r="A256" s="51" t="s">
        <v>7</v>
      </c>
      <c r="B256" s="52" t="s">
        <v>8</v>
      </c>
      <c r="C256" s="52" t="s">
        <v>9</v>
      </c>
      <c r="D256" s="59">
        <f>IF(D237="","",(D237-'2018'!D370)/'2018'!D370)</f>
        <v>-0.11067111776217337</v>
      </c>
      <c r="E256" s="59">
        <f>IF(E237="","",(E237-'2018'!E370)/'2018'!E370)</f>
        <v>-3.2422347720855185E-2</v>
      </c>
      <c r="F256" s="59">
        <f>IF(F237="","",(F237-'2018'!F370)/'2018'!F370)</f>
        <v>0</v>
      </c>
      <c r="G256" s="59" t="str">
        <f>IF(G237="","",(G237-'2018'!G460)/'2018'!G460)</f>
        <v/>
      </c>
      <c r="H256" s="59" t="str">
        <f>IF(H237="","",(H237-'2018'!H460)/'2018'!H460)</f>
        <v/>
      </c>
      <c r="I256" s="59" t="str">
        <f>IF(I237="","",(I237-'2018'!I460)/'2018'!I460)</f>
        <v/>
      </c>
      <c r="J256" s="55"/>
      <c r="K256" s="55"/>
      <c r="L256" s="55"/>
      <c r="M256" s="55" t="str">
        <f>IF(G256="","",M246-((1/Comparisons!#REF!)*1000000))</f>
        <v/>
      </c>
      <c r="N256" s="55" t="str">
        <f>IF(H256="","",N246-((1/Comparisons!#REF!)*1000000))</f>
        <v/>
      </c>
      <c r="O256" s="56" t="str">
        <f>IF(I256="","",O246-((1/Comparisons!#REF!)*1000000))</f>
        <v/>
      </c>
    </row>
    <row r="257" spans="1:15" x14ac:dyDescent="0.25">
      <c r="A257" s="51" t="s">
        <v>10</v>
      </c>
      <c r="B257" s="52" t="s">
        <v>8</v>
      </c>
      <c r="C257" s="52" t="s">
        <v>11</v>
      </c>
      <c r="D257" s="59">
        <f>IF(D238="","",(D238-'2018'!D371)/'2018'!D371)</f>
        <v>-6.9588919174500746E-2</v>
      </c>
      <c r="E257" s="59">
        <f>IF(E238="","",(E238-'2018'!E371)/'2018'!E371)</f>
        <v>-6.0767501872970951E-3</v>
      </c>
      <c r="F257" s="59">
        <f>IF(F238="","",(F238-'2018'!F371)/'2018'!F371)</f>
        <v>-1.1374975054879265E-2</v>
      </c>
      <c r="G257" s="59" t="str">
        <f>IF(G247="","",(G247-#REF!)/#REF!)</f>
        <v/>
      </c>
      <c r="H257" s="59" t="str">
        <f>IF(H247="","",(H247-#REF!)/#REF!)</f>
        <v/>
      </c>
      <c r="I257" s="59" t="str">
        <f>IF(I247="","",(I247-#REF!)/#REF!)</f>
        <v/>
      </c>
      <c r="J257" s="55"/>
      <c r="K257" s="55"/>
      <c r="L257" s="55"/>
      <c r="M257" s="55" t="str">
        <f>IF(G257="","",M247-((1/Comparisons!#REF!)*1000000))</f>
        <v/>
      </c>
      <c r="N257" s="55" t="str">
        <f>IF(H257="","",N247-((1/Comparisons!#REF!)*1000000))</f>
        <v/>
      </c>
      <c r="O257" s="56" t="str">
        <f>IF(I257="","",O247-((1/Comparisons!#REF!)*1000000))</f>
        <v/>
      </c>
    </row>
    <row r="258" spans="1:15" x14ac:dyDescent="0.25">
      <c r="A258" s="51" t="s">
        <v>12</v>
      </c>
      <c r="B258" s="52" t="s">
        <v>13</v>
      </c>
      <c r="C258" s="52" t="s">
        <v>9</v>
      </c>
      <c r="D258" s="59">
        <f>IF(D239="","",(D239-'2018'!D372)/'2018'!D372)</f>
        <v>-7.1228351186304939E-2</v>
      </c>
      <c r="E258" s="59">
        <f>IF(E239="","",(E239-'2018'!E372)/'2018'!E372)</f>
        <v>0</v>
      </c>
      <c r="F258" s="59">
        <f>IF(F239="","",(F239-'2018'!F372)/'2018'!F372)</f>
        <v>-6.7411743835373425E-3</v>
      </c>
      <c r="G258" s="59" t="str">
        <f>IF(G248="","",(G248-#REF!)/#REF!)</f>
        <v/>
      </c>
      <c r="H258" s="59" t="str">
        <f>IF(H248="","",(H248-#REF!)/#REF!)</f>
        <v/>
      </c>
      <c r="I258" s="59" t="str">
        <f>IF(I248="","",(I248-#REF!)/#REF!)</f>
        <v/>
      </c>
      <c r="J258" s="55"/>
      <c r="K258" s="55"/>
      <c r="L258" s="55"/>
      <c r="M258" s="55" t="str">
        <f>IF(G258="","",M248-((1/Comparisons!#REF!)*1000000))</f>
        <v/>
      </c>
      <c r="N258" s="55" t="str">
        <f>IF(H258="","",N248-((1/Comparisons!#REF!)*1000000))</f>
        <v/>
      </c>
      <c r="O258" s="56" t="str">
        <f>IF(I258="","",O248-((1/Comparisons!#REF!)*1000000))</f>
        <v/>
      </c>
    </row>
    <row r="259" spans="1:15" x14ac:dyDescent="0.25">
      <c r="A259" s="51" t="s">
        <v>14</v>
      </c>
      <c r="B259" s="52" t="s">
        <v>13</v>
      </c>
      <c r="C259" s="52" t="s">
        <v>11</v>
      </c>
      <c r="D259" s="59">
        <f>IF(D240="","",(D240-'2018'!D373)/'2018'!D373)</f>
        <v>-0.18696915511846224</v>
      </c>
      <c r="E259" s="59">
        <f>IF(E240="","",(E240-'2018'!E373)/'2018'!E373)</f>
        <v>-9.1088091772964647E-2</v>
      </c>
      <c r="F259" s="59">
        <f>IF(F240="","",(F240-'2018'!F373)/'2018'!F373)</f>
        <v>-3.2879581151832461E-2</v>
      </c>
      <c r="G259" s="59" t="str">
        <f>IF(G249="","",(G249-#REF!)/#REF!)</f>
        <v/>
      </c>
      <c r="H259" s="59" t="str">
        <f>IF(H249="","",(H249-#REF!)/#REF!)</f>
        <v/>
      </c>
      <c r="I259" s="59" t="str">
        <f>IF(I249="","",(I249-#REF!)/#REF!)</f>
        <v/>
      </c>
      <c r="J259" s="55"/>
      <c r="K259" s="55"/>
      <c r="L259" s="55"/>
      <c r="M259" s="55" t="str">
        <f>IF(G259="","",M249-((1/Comparisons!#REF!)*1000000))</f>
        <v/>
      </c>
      <c r="N259" s="55" t="str">
        <f>IF(H259="","",N249-((1/Comparisons!#REF!)*1000000))</f>
        <v/>
      </c>
      <c r="O259" s="56" t="str">
        <f>IF(I259="","",O249-((1/Comparisons!#REF!)*1000000))</f>
        <v/>
      </c>
    </row>
    <row r="260" spans="1:15" x14ac:dyDescent="0.25">
      <c r="A260" s="51" t="s">
        <v>15</v>
      </c>
      <c r="B260" s="8" t="s">
        <v>16</v>
      </c>
      <c r="C260" s="52" t="s">
        <v>11</v>
      </c>
      <c r="D260" s="59">
        <f>IF(D241="","",(D241-'2018'!D374)/'2018'!D374)</f>
        <v>-0.21910734046477315</v>
      </c>
      <c r="E260" s="59">
        <f>IF(E241="","",(E241-'2018'!E374)/'2018'!E374)</f>
        <v>1.9662921348314606E-2</v>
      </c>
      <c r="F260" s="59">
        <f>IF(F241="","",(F241-'2018'!F374)/'2018'!F374)</f>
        <v>-7.1235159341803786E-2</v>
      </c>
      <c r="G260" s="59" t="str">
        <f>IF(G250="","",(G250-#REF!)/#REF!)</f>
        <v/>
      </c>
      <c r="H260" s="59" t="str">
        <f>IF(H250="","",(H250-#REF!)/#REF!)</f>
        <v/>
      </c>
      <c r="I260" s="59" t="str">
        <f>IF(I250="","",(I250-#REF!)/#REF!)</f>
        <v/>
      </c>
      <c r="J260" s="55"/>
      <c r="K260" s="55"/>
      <c r="L260" s="55"/>
      <c r="M260" s="55" t="str">
        <f>IF(G260="","",M250-((1/Comparisons!#REF!)*1000000))</f>
        <v/>
      </c>
      <c r="N260" s="55" t="str">
        <f>IF(H260="","",N250-((1/Comparisons!#REF!)*1000000))</f>
        <v/>
      </c>
      <c r="O260" s="56" t="str">
        <f>IF(I260="","",O250-((1/Comparisons!#REF!)*1000000))</f>
        <v/>
      </c>
    </row>
    <row r="261" spans="1:15" ht="15.75" thickBot="1" x14ac:dyDescent="0.3">
      <c r="A261" s="60" t="s">
        <v>17</v>
      </c>
      <c r="B261" s="61" t="s">
        <v>18</v>
      </c>
      <c r="C261" s="61" t="s">
        <v>11</v>
      </c>
      <c r="D261" s="59">
        <f>IF(D242="","",(D242-'2018'!D375)/'2018'!D375)</f>
        <v>-6.9080012957563983E-2</v>
      </c>
      <c r="E261" s="59">
        <f>IF(E242="","",(E242-'2018'!E375)/'2018'!E375)</f>
        <v>-8.8114754098360656E-2</v>
      </c>
      <c r="F261" s="59">
        <f>IF(F242="","",(F242-'2018'!F375)/'2018'!F375)</f>
        <v>-2.0054887059320244E-2</v>
      </c>
      <c r="G261" s="62" t="str">
        <f>IF(G251="","",(G251-#REF!)/#REF!)</f>
        <v/>
      </c>
      <c r="H261" s="62" t="str">
        <f>IF(H251="","",(H251-#REF!)/#REF!)</f>
        <v/>
      </c>
      <c r="I261" s="62" t="str">
        <f>IF(I251="","",(I251-#REF!)/#REF!)</f>
        <v/>
      </c>
      <c r="J261" s="63"/>
      <c r="K261" s="63"/>
      <c r="L261" s="63"/>
      <c r="M261" s="63" t="str">
        <f>IF(G261="","",M251-((1/Comparisons!#REF!)*1000000))</f>
        <v/>
      </c>
      <c r="N261" s="63" t="str">
        <f>IF(H261="","",N251-((1/Comparisons!#REF!)*1000000))</f>
        <v/>
      </c>
      <c r="O261" s="64" t="str">
        <f>IF(I261="","",O251-((1/Comparisons!#REF!)*1000000))</f>
        <v/>
      </c>
    </row>
    <row r="262" spans="1:15" ht="15.75" thickBot="1" x14ac:dyDescent="0.3"/>
    <row r="263" spans="1:15" ht="18.75" x14ac:dyDescent="0.25">
      <c r="A263" s="110" t="s">
        <v>213</v>
      </c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40"/>
    </row>
    <row r="264" spans="1:15" ht="15.75" x14ac:dyDescent="0.25">
      <c r="A264" s="113" t="s">
        <v>219</v>
      </c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2"/>
    </row>
    <row r="265" spans="1:15" x14ac:dyDescent="0.25">
      <c r="A265" s="134" t="s">
        <v>1</v>
      </c>
      <c r="B265" s="135"/>
      <c r="C265" s="135"/>
      <c r="D265" s="136" t="s">
        <v>2</v>
      </c>
      <c r="E265" s="136"/>
      <c r="F265" s="136"/>
      <c r="G265" s="136"/>
      <c r="H265" s="136"/>
      <c r="I265" s="136"/>
      <c r="J265" s="136" t="s">
        <v>3</v>
      </c>
      <c r="K265" s="136"/>
      <c r="L265" s="136"/>
      <c r="M265" s="136"/>
      <c r="N265" s="136"/>
      <c r="O265" s="137"/>
    </row>
    <row r="266" spans="1:15" x14ac:dyDescent="0.25">
      <c r="A266" s="47" t="s">
        <v>26</v>
      </c>
      <c r="B266" s="48" t="s">
        <v>5</v>
      </c>
      <c r="C266" s="48" t="s">
        <v>6</v>
      </c>
      <c r="D266" s="49">
        <v>1</v>
      </c>
      <c r="E266" s="49">
        <v>4</v>
      </c>
      <c r="F266" s="49">
        <v>16</v>
      </c>
      <c r="G266" s="49">
        <v>32</v>
      </c>
      <c r="H266" s="49">
        <v>64</v>
      </c>
      <c r="I266" s="49">
        <v>80</v>
      </c>
      <c r="J266" s="49">
        <v>1</v>
      </c>
      <c r="K266" s="49">
        <v>4</v>
      </c>
      <c r="L266" s="49">
        <v>16</v>
      </c>
      <c r="M266" s="49">
        <v>32</v>
      </c>
      <c r="N266" s="49">
        <v>64</v>
      </c>
      <c r="O266" s="50">
        <v>80</v>
      </c>
    </row>
    <row r="267" spans="1:15" x14ac:dyDescent="0.25">
      <c r="A267" s="51" t="s">
        <v>7</v>
      </c>
      <c r="B267" s="52" t="s">
        <v>8</v>
      </c>
      <c r="C267" s="52" t="s">
        <v>9</v>
      </c>
      <c r="D267" s="53">
        <v>39805</v>
      </c>
      <c r="E267" s="53">
        <v>19124</v>
      </c>
      <c r="F267" s="53">
        <v>5808</v>
      </c>
      <c r="G267" s="54"/>
      <c r="H267" s="54"/>
      <c r="I267" s="54"/>
      <c r="J267" s="55"/>
      <c r="K267" s="55"/>
      <c r="L267" s="55"/>
      <c r="M267" s="55" t="str">
        <f t="shared" ref="M267:M272" si="31">IF(G267="","",(1/G267)*1000000)</f>
        <v/>
      </c>
      <c r="N267" s="55" t="str">
        <f t="shared" ref="N267:N272" si="32">IF(H267="","",(1/H267)*1000000)</f>
        <v/>
      </c>
      <c r="O267" s="56" t="str">
        <f t="shared" ref="O267:O272" si="33">IF(I267="","",(1/I267)*1000000)</f>
        <v/>
      </c>
    </row>
    <row r="268" spans="1:15" x14ac:dyDescent="0.25">
      <c r="A268" s="51" t="s">
        <v>10</v>
      </c>
      <c r="B268" s="52" t="s">
        <v>8</v>
      </c>
      <c r="C268" s="52" t="s">
        <v>11</v>
      </c>
      <c r="D268" s="53">
        <v>16609</v>
      </c>
      <c r="E268" s="53">
        <v>11173</v>
      </c>
      <c r="F268" s="53">
        <v>4905</v>
      </c>
      <c r="G268" s="54"/>
      <c r="H268" s="54"/>
      <c r="I268" s="54"/>
      <c r="J268" s="55"/>
      <c r="K268" s="55"/>
      <c r="L268" s="55"/>
      <c r="M268" s="55" t="str">
        <f t="shared" si="31"/>
        <v/>
      </c>
      <c r="N268" s="55" t="str">
        <f t="shared" si="32"/>
        <v/>
      </c>
      <c r="O268" s="56" t="str">
        <f t="shared" si="33"/>
        <v/>
      </c>
    </row>
    <row r="269" spans="1:15" x14ac:dyDescent="0.25">
      <c r="A269" s="51" t="s">
        <v>12</v>
      </c>
      <c r="B269" s="52" t="s">
        <v>13</v>
      </c>
      <c r="C269" s="52" t="s">
        <v>9</v>
      </c>
      <c r="D269" s="53">
        <v>36855</v>
      </c>
      <c r="E269" s="53">
        <v>17807</v>
      </c>
      <c r="F269" s="53">
        <v>5599</v>
      </c>
      <c r="G269" s="54"/>
      <c r="H269" s="54"/>
      <c r="I269" s="54"/>
      <c r="J269" s="55"/>
      <c r="K269" s="55"/>
      <c r="L269" s="55"/>
      <c r="M269" s="55" t="str">
        <f t="shared" si="31"/>
        <v/>
      </c>
      <c r="N269" s="55" t="str">
        <f t="shared" si="32"/>
        <v/>
      </c>
      <c r="O269" s="56" t="str">
        <f t="shared" si="33"/>
        <v/>
      </c>
    </row>
    <row r="270" spans="1:15" x14ac:dyDescent="0.25">
      <c r="A270" s="51" t="s">
        <v>14</v>
      </c>
      <c r="B270" s="52" t="s">
        <v>13</v>
      </c>
      <c r="C270" s="52" t="s">
        <v>11</v>
      </c>
      <c r="D270" s="53">
        <v>16920</v>
      </c>
      <c r="E270" s="53">
        <v>11099</v>
      </c>
      <c r="F270" s="53">
        <v>4784</v>
      </c>
      <c r="G270" s="54"/>
      <c r="H270" s="54"/>
      <c r="I270" s="54"/>
      <c r="J270" s="55"/>
      <c r="K270" s="55"/>
      <c r="L270" s="55"/>
      <c r="M270" s="55" t="str">
        <f t="shared" si="31"/>
        <v/>
      </c>
      <c r="N270" s="55" t="str">
        <f t="shared" si="32"/>
        <v/>
      </c>
      <c r="O270" s="56" t="str">
        <f t="shared" si="33"/>
        <v/>
      </c>
    </row>
    <row r="271" spans="1:15" x14ac:dyDescent="0.25">
      <c r="A271" s="51" t="s">
        <v>15</v>
      </c>
      <c r="B271" s="52" t="s">
        <v>16</v>
      </c>
      <c r="C271" s="52" t="s">
        <v>11</v>
      </c>
      <c r="D271" s="53">
        <v>10619</v>
      </c>
      <c r="E271" s="53">
        <v>9564</v>
      </c>
      <c r="F271" s="53">
        <v>4267</v>
      </c>
      <c r="G271" s="54"/>
      <c r="H271" s="54"/>
      <c r="I271" s="54"/>
      <c r="J271" s="55"/>
      <c r="K271" s="55"/>
      <c r="L271" s="55"/>
      <c r="M271" s="55" t="str">
        <f t="shared" si="31"/>
        <v/>
      </c>
      <c r="N271" s="55" t="str">
        <f t="shared" si="32"/>
        <v/>
      </c>
      <c r="O271" s="56" t="str">
        <f t="shared" si="33"/>
        <v/>
      </c>
    </row>
    <row r="272" spans="1:15" x14ac:dyDescent="0.25">
      <c r="A272" s="28" t="s">
        <v>17</v>
      </c>
      <c r="B272" s="52" t="s">
        <v>18</v>
      </c>
      <c r="C272" s="52" t="s">
        <v>11</v>
      </c>
      <c r="D272" s="53">
        <v>11362</v>
      </c>
      <c r="E272" s="53">
        <v>8023</v>
      </c>
      <c r="F272" s="53">
        <v>4267</v>
      </c>
      <c r="G272" s="54"/>
      <c r="H272" s="54"/>
      <c r="I272" s="54"/>
      <c r="J272" s="55"/>
      <c r="K272" s="55"/>
      <c r="L272" s="55"/>
      <c r="M272" s="55" t="str">
        <f t="shared" si="31"/>
        <v/>
      </c>
      <c r="N272" s="55" t="str">
        <f t="shared" si="32"/>
        <v/>
      </c>
      <c r="O272" s="56" t="str">
        <f t="shared" si="33"/>
        <v/>
      </c>
    </row>
    <row r="273" spans="1:15" x14ac:dyDescent="0.25">
      <c r="A273" s="116" t="s">
        <v>220</v>
      </c>
      <c r="B273" s="117"/>
      <c r="C273" s="117"/>
      <c r="D273" s="117"/>
      <c r="E273" s="143"/>
      <c r="F273" s="143"/>
      <c r="G273" s="143"/>
      <c r="H273" s="118"/>
      <c r="I273" s="118"/>
      <c r="J273" s="57"/>
      <c r="K273" s="57"/>
      <c r="L273" s="57"/>
      <c r="M273" s="57"/>
      <c r="N273" s="57"/>
      <c r="O273" s="58"/>
    </row>
    <row r="274" spans="1:15" ht="18.75" x14ac:dyDescent="0.3">
      <c r="A274" s="119" t="s">
        <v>193</v>
      </c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5"/>
    </row>
    <row r="275" spans="1:15" x14ac:dyDescent="0.25">
      <c r="A275" s="134" t="s">
        <v>1</v>
      </c>
      <c r="B275" s="135"/>
      <c r="C275" s="135"/>
      <c r="D275" s="136" t="s">
        <v>19</v>
      </c>
      <c r="E275" s="136"/>
      <c r="F275" s="136"/>
      <c r="G275" s="136"/>
      <c r="H275" s="136"/>
      <c r="I275" s="136"/>
      <c r="J275" s="136" t="s">
        <v>22</v>
      </c>
      <c r="K275" s="136"/>
      <c r="L275" s="136"/>
      <c r="M275" s="136"/>
      <c r="N275" s="136"/>
      <c r="O275" s="137"/>
    </row>
    <row r="276" spans="1:15" x14ac:dyDescent="0.25">
      <c r="A276" s="47" t="s">
        <v>4</v>
      </c>
      <c r="B276" s="48" t="s">
        <v>5</v>
      </c>
      <c r="C276" s="48" t="s">
        <v>6</v>
      </c>
      <c r="D276" s="49">
        <v>1</v>
      </c>
      <c r="E276" s="49">
        <v>4</v>
      </c>
      <c r="F276" s="49">
        <v>16</v>
      </c>
      <c r="G276" s="49">
        <v>32</v>
      </c>
      <c r="H276" s="49">
        <v>64</v>
      </c>
      <c r="I276" s="49">
        <v>80</v>
      </c>
      <c r="J276" s="49">
        <v>1</v>
      </c>
      <c r="K276" s="49">
        <v>4</v>
      </c>
      <c r="L276" s="49">
        <v>16</v>
      </c>
      <c r="M276" s="49">
        <v>32</v>
      </c>
      <c r="N276" s="49">
        <v>64</v>
      </c>
      <c r="O276" s="50">
        <v>80</v>
      </c>
    </row>
    <row r="277" spans="1:15" x14ac:dyDescent="0.25">
      <c r="A277" s="51" t="s">
        <v>7</v>
      </c>
      <c r="B277" s="52" t="s">
        <v>8</v>
      </c>
      <c r="C277" s="52" t="s">
        <v>9</v>
      </c>
      <c r="D277" s="59">
        <f>IF(D267="","",(D267-'2018'!D307)/'2018'!D307)</f>
        <v>-7.642868744054386E-2</v>
      </c>
      <c r="E277" s="59">
        <f>IF(E267="","",(E267-'2018'!E307)/'2018'!E307)</f>
        <v>-3.3848641002323938E-2</v>
      </c>
      <c r="F277" s="59">
        <f>IF(F267="","",(F267-'2018'!F307)/'2018'!F307)</f>
        <v>-5.9900735923327057E-3</v>
      </c>
      <c r="G277" s="59" t="str">
        <f>IF(G267="","",(G267-'2017'!G608)/'2017'!G608)</f>
        <v/>
      </c>
      <c r="H277" s="59" t="str">
        <f>IF(H267="","",(H267-#REF!)/#REF!)</f>
        <v/>
      </c>
      <c r="I277" s="59" t="str">
        <f>IF(I267="","",(I267-#REF!)/#REF!)</f>
        <v/>
      </c>
      <c r="J277" s="55"/>
      <c r="K277" s="55"/>
      <c r="L277" s="55"/>
      <c r="M277" s="55" t="str">
        <f>IF(G277="","",M267-((1/Comparisons!#REF!)*1000000))</f>
        <v/>
      </c>
      <c r="N277" s="55" t="str">
        <f>IF(H277="","",N267-((1/Comparisons!#REF!)*1000000))</f>
        <v/>
      </c>
      <c r="O277" s="56" t="str">
        <f>IF(I277="","",O267-((1/Comparisons!#REF!)*1000000))</f>
        <v/>
      </c>
    </row>
    <row r="278" spans="1:15" x14ac:dyDescent="0.25">
      <c r="A278" s="51" t="s">
        <v>10</v>
      </c>
      <c r="B278" s="52" t="s">
        <v>8</v>
      </c>
      <c r="C278" s="52" t="s">
        <v>11</v>
      </c>
      <c r="D278" s="59">
        <f>IF(D268="","",(D268-'2018'!D308)/'2018'!D308)</f>
        <v>-6.7276913573313862E-2</v>
      </c>
      <c r="E278" s="59">
        <f>IF(E268="","",(E268-'2018'!E308)/'2018'!E308)</f>
        <v>-7.9957180500658767E-2</v>
      </c>
      <c r="F278" s="59">
        <f>IF(F268="","",(F268-'2018'!F308)/'2018'!F308)</f>
        <v>-1.9588247051768939E-2</v>
      </c>
      <c r="G278" s="59" t="str">
        <f>IF(G268="","",(G268-#REF!)/#REF!)</f>
        <v/>
      </c>
      <c r="H278" s="59" t="str">
        <f>IF(H268="","",(H268-#REF!)/#REF!)</f>
        <v/>
      </c>
      <c r="I278" s="59" t="str">
        <f>IF(I268="","",(I268-#REF!)/#REF!)</f>
        <v/>
      </c>
      <c r="J278" s="55"/>
      <c r="K278" s="55"/>
      <c r="L278" s="55"/>
      <c r="M278" s="55" t="str">
        <f>IF(G278="","",M268-((1/Comparisons!#REF!)*1000000))</f>
        <v/>
      </c>
      <c r="N278" s="55" t="str">
        <f>IF(H278="","",N268-((1/Comparisons!#REF!)*1000000))</f>
        <v/>
      </c>
      <c r="O278" s="56" t="str">
        <f>IF(I278="","",O268-((1/Comparisons!#REF!)*1000000))</f>
        <v/>
      </c>
    </row>
    <row r="279" spans="1:15" x14ac:dyDescent="0.25">
      <c r="A279" s="51" t="s">
        <v>12</v>
      </c>
      <c r="B279" s="52" t="s">
        <v>13</v>
      </c>
      <c r="C279" s="52" t="s">
        <v>9</v>
      </c>
      <c r="D279" s="59">
        <f>IF(D269="","",(D269-'2018'!D309)/'2018'!D309)</f>
        <v>-7.76103714085494E-2</v>
      </c>
      <c r="E279" s="59">
        <f>IF(E269="","",(E269-'2018'!E309)/'2018'!E309)</f>
        <v>-5.806487633297973E-3</v>
      </c>
      <c r="F279" s="59">
        <f>IF(F269="","",(F269-'2018'!F309)/'2018'!F309)</f>
        <v>1.7892288423689391E-3</v>
      </c>
      <c r="G279" s="59" t="str">
        <f>IF(G269="","",(G269-#REF!)/#REF!)</f>
        <v/>
      </c>
      <c r="H279" s="59" t="str">
        <f>IF(H269="","",(H269-#REF!)/#REF!)</f>
        <v/>
      </c>
      <c r="I279" s="59" t="str">
        <f>IF(I269="","",(I269-#REF!)/#REF!)</f>
        <v/>
      </c>
      <c r="J279" s="55"/>
      <c r="K279" s="55"/>
      <c r="L279" s="55"/>
      <c r="M279" s="55" t="str">
        <f>IF(G279="","",M269-((1/Comparisons!#REF!)*1000000))</f>
        <v/>
      </c>
      <c r="N279" s="55" t="str">
        <f>IF(H279="","",N269-((1/Comparisons!#REF!)*1000000))</f>
        <v/>
      </c>
      <c r="O279" s="56" t="str">
        <f>IF(I279="","",O269-((1/Comparisons!#REF!)*1000000))</f>
        <v/>
      </c>
    </row>
    <row r="280" spans="1:15" x14ac:dyDescent="0.25">
      <c r="A280" s="51" t="s">
        <v>14</v>
      </c>
      <c r="B280" s="52" t="s">
        <v>13</v>
      </c>
      <c r="C280" s="52" t="s">
        <v>11</v>
      </c>
      <c r="D280" s="59">
        <f>IF(D270="","",(D270-'2018'!D310)/'2018'!D310)</f>
        <v>-4.3256997455470736E-2</v>
      </c>
      <c r="E280" s="59">
        <f>IF(E270="","",(E270-'2018'!E310)/'2018'!E310)</f>
        <v>-3.6043077992009724E-2</v>
      </c>
      <c r="F280" s="59">
        <f>IF(F270="","",(F270-'2018'!F310)/'2018'!F310)</f>
        <v>-6.0253480157905675E-3</v>
      </c>
      <c r="G280" s="59" t="str">
        <f>IF(G270="","",(G270-#REF!)/#REF!)</f>
        <v/>
      </c>
      <c r="H280" s="59" t="str">
        <f>IF(H270="","",(H270-#REF!)/#REF!)</f>
        <v/>
      </c>
      <c r="I280" s="59" t="str">
        <f>IF(I270="","",(I270-#REF!)/#REF!)</f>
        <v/>
      </c>
      <c r="J280" s="55"/>
      <c r="K280" s="55"/>
      <c r="L280" s="55"/>
      <c r="M280" s="55" t="str">
        <f>IF(G280="","",M270-((1/Comparisons!#REF!)*1000000))</f>
        <v/>
      </c>
      <c r="N280" s="55" t="str">
        <f>IF(H280="","",N270-((1/Comparisons!#REF!)*1000000))</f>
        <v/>
      </c>
      <c r="O280" s="56" t="str">
        <f>IF(I280="","",O270-((1/Comparisons!#REF!)*1000000))</f>
        <v/>
      </c>
    </row>
    <row r="281" spans="1:15" x14ac:dyDescent="0.25">
      <c r="A281" s="51" t="s">
        <v>15</v>
      </c>
      <c r="B281" s="8" t="s">
        <v>16</v>
      </c>
      <c r="C281" s="52" t="s">
        <v>11</v>
      </c>
      <c r="D281" s="59">
        <f>IF(D271="","",(D271-'2018'!D311)/'2018'!D311)</f>
        <v>-0.22894278245715946</v>
      </c>
      <c r="E281" s="59">
        <f>IF(E271="","",(E271-'2018'!E311)/'2018'!E311)</f>
        <v>-2.9528158295281583E-2</v>
      </c>
      <c r="F281" s="59">
        <f>IF(F271="","",(F271-'2018'!F311)/'2018'!F311)</f>
        <v>-0.11619718309859155</v>
      </c>
      <c r="G281" s="59" t="str">
        <f>IF(G271="","",(G271-#REF!)/#REF!)</f>
        <v/>
      </c>
      <c r="H281" s="59" t="str">
        <f>IF(H271="","",(H271-#REF!)/#REF!)</f>
        <v/>
      </c>
      <c r="I281" s="59" t="str">
        <f>IF(I271="","",(I271-#REF!)/#REF!)</f>
        <v/>
      </c>
      <c r="J281" s="55"/>
      <c r="K281" s="55"/>
      <c r="L281" s="55"/>
      <c r="M281" s="55" t="str">
        <f>IF(G281="","",M271-((1/Comparisons!#REF!)*1000000))</f>
        <v/>
      </c>
      <c r="N281" s="55" t="str">
        <f>IF(H281="","",N271-((1/Comparisons!#REF!)*1000000))</f>
        <v/>
      </c>
      <c r="O281" s="56" t="str">
        <f>IF(I281="","",O271-((1/Comparisons!#REF!)*1000000))</f>
        <v/>
      </c>
    </row>
    <row r="282" spans="1:15" ht="15.75" thickBot="1" x14ac:dyDescent="0.3">
      <c r="A282" s="60" t="s">
        <v>17</v>
      </c>
      <c r="B282" s="61" t="s">
        <v>18</v>
      </c>
      <c r="C282" s="61" t="s">
        <v>11</v>
      </c>
      <c r="D282" s="59">
        <f>IF(D272="","",(D272-'2018'!D312)/'2018'!D312)</f>
        <v>-7.0212765957446813E-2</v>
      </c>
      <c r="E282" s="59">
        <f>IF(E272="","",(E272-'2018'!E312)/'2018'!E312)</f>
        <v>-6.3936530159841326E-2</v>
      </c>
      <c r="F282" s="59">
        <f>IF(F272="","",(F272-'2018'!F312)/'2018'!F312)</f>
        <v>-4.3058981834492041E-2</v>
      </c>
      <c r="G282" s="62" t="str">
        <f>IF(G272="","",(G272-#REF!)/#REF!)</f>
        <v/>
      </c>
      <c r="H282" s="62" t="str">
        <f>IF(H272="","",(H272-#REF!)/#REF!)</f>
        <v/>
      </c>
      <c r="I282" s="62" t="str">
        <f>IF(I272="","",(I272-#REF!)/#REF!)</f>
        <v/>
      </c>
      <c r="J282" s="63"/>
      <c r="K282" s="63"/>
      <c r="L282" s="63"/>
      <c r="M282" s="63" t="str">
        <f>IF(G282="","",M272-((1/Comparisons!#REF!)*1000000))</f>
        <v/>
      </c>
      <c r="N282" s="63" t="str">
        <f>IF(H282="","",N272-((1/Comparisons!#REF!)*1000000))</f>
        <v/>
      </c>
      <c r="O282" s="64" t="str">
        <f>IF(I282="","",O272-((1/Comparisons!#REF!)*1000000))</f>
        <v/>
      </c>
    </row>
    <row r="283" spans="1:15" ht="18.75" x14ac:dyDescent="0.3">
      <c r="A283" s="119" t="s">
        <v>212</v>
      </c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5"/>
    </row>
    <row r="284" spans="1:15" x14ac:dyDescent="0.25">
      <c r="A284" s="134" t="s">
        <v>1</v>
      </c>
      <c r="B284" s="135"/>
      <c r="C284" s="135"/>
      <c r="D284" s="136" t="s">
        <v>19</v>
      </c>
      <c r="E284" s="136"/>
      <c r="F284" s="136"/>
      <c r="G284" s="136"/>
      <c r="H284" s="136"/>
      <c r="I284" s="136"/>
      <c r="J284" s="136" t="s">
        <v>22</v>
      </c>
      <c r="K284" s="136"/>
      <c r="L284" s="136"/>
      <c r="M284" s="136"/>
      <c r="N284" s="136"/>
      <c r="O284" s="137"/>
    </row>
    <row r="285" spans="1:15" x14ac:dyDescent="0.25">
      <c r="A285" s="47" t="s">
        <v>4</v>
      </c>
      <c r="B285" s="48" t="s">
        <v>5</v>
      </c>
      <c r="C285" s="48" t="s">
        <v>6</v>
      </c>
      <c r="D285" s="49">
        <v>1</v>
      </c>
      <c r="E285" s="49">
        <v>4</v>
      </c>
      <c r="F285" s="49">
        <v>16</v>
      </c>
      <c r="G285" s="49">
        <v>32</v>
      </c>
      <c r="H285" s="49">
        <v>64</v>
      </c>
      <c r="I285" s="49">
        <v>80</v>
      </c>
      <c r="J285" s="49">
        <v>1</v>
      </c>
      <c r="K285" s="49">
        <v>4</v>
      </c>
      <c r="L285" s="49">
        <v>16</v>
      </c>
      <c r="M285" s="49">
        <v>32</v>
      </c>
      <c r="N285" s="49">
        <v>64</v>
      </c>
      <c r="O285" s="50">
        <v>80</v>
      </c>
    </row>
    <row r="286" spans="1:15" x14ac:dyDescent="0.25">
      <c r="A286" s="51" t="s">
        <v>7</v>
      </c>
      <c r="B286" s="52" t="s">
        <v>8</v>
      </c>
      <c r="C286" s="52" t="s">
        <v>9</v>
      </c>
      <c r="D286" s="59">
        <f>IF(D267="","",(D267-'2018'!D370)/'2018'!D370)</f>
        <v>-8.3573155289513062E-2</v>
      </c>
      <c r="E286" s="59">
        <f>IF(E267="","",(E267-'2018'!E370)/'2018'!E370)</f>
        <v>-3.5699878983461074E-2</v>
      </c>
      <c r="F286" s="59">
        <f>IF(F267="","",(F267-'2018'!F370)/'2018'!F370)</f>
        <v>-5.9900735923327057E-3</v>
      </c>
      <c r="G286" s="59" t="str">
        <f>IF(G267="","",(G267-'2018'!G490)/'2018'!G490)</f>
        <v/>
      </c>
      <c r="H286" s="59" t="str">
        <f>IF(H267="","",(H267-'2018'!H490)/'2018'!H490)</f>
        <v/>
      </c>
      <c r="I286" s="59" t="str">
        <f>IF(I267="","",(I267-'2018'!I490)/'2018'!I490)</f>
        <v/>
      </c>
      <c r="J286" s="55"/>
      <c r="K286" s="55"/>
      <c r="L286" s="55"/>
      <c r="M286" s="55" t="str">
        <f>IF(G286="","",M276-((1/Comparisons!#REF!)*1000000))</f>
        <v/>
      </c>
      <c r="N286" s="55" t="str">
        <f>IF(H286="","",N276-((1/Comparisons!#REF!)*1000000))</f>
        <v/>
      </c>
      <c r="O286" s="56" t="str">
        <f>IF(I286="","",O276-((1/Comparisons!#REF!)*1000000))</f>
        <v/>
      </c>
    </row>
    <row r="287" spans="1:15" x14ac:dyDescent="0.25">
      <c r="A287" s="51" t="s">
        <v>10</v>
      </c>
      <c r="B287" s="52" t="s">
        <v>8</v>
      </c>
      <c r="C287" s="52" t="s">
        <v>11</v>
      </c>
      <c r="D287" s="59">
        <f>IF(D268="","",(D268-'2018'!D371)/'2018'!D371)</f>
        <v>-7.6097235356288595E-2</v>
      </c>
      <c r="E287" s="59">
        <f>IF(E268="","",(E268-'2018'!E371)/'2018'!E371)</f>
        <v>-6.9924248730541913E-2</v>
      </c>
      <c r="F287" s="59">
        <f>IF(F268="","",(F268-'2018'!F371)/'2018'!F371)</f>
        <v>-2.1153462382757931E-2</v>
      </c>
      <c r="G287" s="59" t="str">
        <f>IF(G277="","",(G277-#REF!)/#REF!)</f>
        <v/>
      </c>
      <c r="H287" s="59" t="str">
        <f>IF(H277="","",(H277-#REF!)/#REF!)</f>
        <v/>
      </c>
      <c r="I287" s="59" t="str">
        <f>IF(I277="","",(I277-#REF!)/#REF!)</f>
        <v/>
      </c>
      <c r="J287" s="55"/>
      <c r="K287" s="55"/>
      <c r="L287" s="55"/>
      <c r="M287" s="55" t="str">
        <f>IF(G287="","",M277-((1/Comparisons!#REF!)*1000000))</f>
        <v/>
      </c>
      <c r="N287" s="55" t="str">
        <f>IF(H287="","",N277-((1/Comparisons!#REF!)*1000000))</f>
        <v/>
      </c>
      <c r="O287" s="56" t="str">
        <f>IF(I287="","",O277-((1/Comparisons!#REF!)*1000000))</f>
        <v/>
      </c>
    </row>
    <row r="288" spans="1:15" x14ac:dyDescent="0.25">
      <c r="A288" s="51" t="s">
        <v>12</v>
      </c>
      <c r="B288" s="52" t="s">
        <v>13</v>
      </c>
      <c r="C288" s="52" t="s">
        <v>9</v>
      </c>
      <c r="D288" s="59">
        <f>IF(D269="","",(D269-'2018'!D372)/'2018'!D372)</f>
        <v>-7.76103714085494E-2</v>
      </c>
      <c r="E288" s="59">
        <f>IF(E269="","",(E269-'2018'!E372)/'2018'!E372)</f>
        <v>1.9130141225454341E-3</v>
      </c>
      <c r="F288" s="59">
        <f>IF(F269="","",(F269-'2018'!F372)/'2018'!F372)</f>
        <v>-6.7411743835373425E-3</v>
      </c>
      <c r="G288" s="59" t="str">
        <f>IF(G278="","",(G278-#REF!)/#REF!)</f>
        <v/>
      </c>
      <c r="H288" s="59" t="str">
        <f>IF(H278="","",(H278-#REF!)/#REF!)</f>
        <v/>
      </c>
      <c r="I288" s="59" t="str">
        <f>IF(I278="","",(I278-#REF!)/#REF!)</f>
        <v/>
      </c>
      <c r="J288" s="55"/>
      <c r="K288" s="55"/>
      <c r="L288" s="55"/>
      <c r="M288" s="55" t="str">
        <f>IF(G288="","",M278-((1/Comparisons!#REF!)*1000000))</f>
        <v/>
      </c>
      <c r="N288" s="55" t="str">
        <f>IF(H288="","",N278-((1/Comparisons!#REF!)*1000000))</f>
        <v/>
      </c>
      <c r="O288" s="56" t="str">
        <f>IF(I288="","",O278-((1/Comparisons!#REF!)*1000000))</f>
        <v/>
      </c>
    </row>
    <row r="289" spans="1:15" x14ac:dyDescent="0.25">
      <c r="A289" s="51" t="s">
        <v>14</v>
      </c>
      <c r="B289" s="52" t="s">
        <v>13</v>
      </c>
      <c r="C289" s="52" t="s">
        <v>11</v>
      </c>
      <c r="D289" s="59">
        <f>IF(D270="","",(D270-'2018'!D373)/'2018'!D373)</f>
        <v>-5.453732677693339E-2</v>
      </c>
      <c r="E289" s="59">
        <f>IF(E270="","",(E270-'2018'!E373)/'2018'!E373)</f>
        <v>-4.982450132694119E-2</v>
      </c>
      <c r="F289" s="59">
        <f>IF(F270="","",(F270-'2018'!F373)/'2018'!F373)</f>
        <v>1.8848167539267015E-3</v>
      </c>
      <c r="G289" s="59" t="str">
        <f>IF(G279="","",(G279-#REF!)/#REF!)</f>
        <v/>
      </c>
      <c r="H289" s="59" t="str">
        <f>IF(H279="","",(H279-#REF!)/#REF!)</f>
        <v/>
      </c>
      <c r="I289" s="59" t="str">
        <f>IF(I279="","",(I279-#REF!)/#REF!)</f>
        <v/>
      </c>
      <c r="J289" s="55"/>
      <c r="K289" s="55"/>
      <c r="L289" s="55"/>
      <c r="M289" s="55" t="str">
        <f>IF(G289="","",M279-((1/Comparisons!#REF!)*1000000))</f>
        <v/>
      </c>
      <c r="N289" s="55" t="str">
        <f>IF(H289="","",N279-((1/Comparisons!#REF!)*1000000))</f>
        <v/>
      </c>
      <c r="O289" s="56" t="str">
        <f>IF(I289="","",O279-((1/Comparisons!#REF!)*1000000))</f>
        <v/>
      </c>
    </row>
    <row r="290" spans="1:15" x14ac:dyDescent="0.25">
      <c r="A290" s="51" t="s">
        <v>15</v>
      </c>
      <c r="B290" s="8" t="s">
        <v>16</v>
      </c>
      <c r="C290" s="52" t="s">
        <v>11</v>
      </c>
      <c r="D290" s="59">
        <f>IF(D271="","",(D271-'2018'!D374)/'2018'!D374)</f>
        <v>-0.21659904094430099</v>
      </c>
      <c r="E290" s="59">
        <f>IF(E271="","",(E271-'2018'!E374)/'2018'!E374)</f>
        <v>-4.9937578027465668E-3</v>
      </c>
      <c r="F290" s="59">
        <f>IF(F271="","",(F271-'2018'!F374)/'2018'!F374)</f>
        <v>-0.11122682774421995</v>
      </c>
      <c r="G290" s="59" t="str">
        <f>IF(G280="","",(G280-#REF!)/#REF!)</f>
        <v/>
      </c>
      <c r="H290" s="59" t="str">
        <f>IF(H280="","",(H280-#REF!)/#REF!)</f>
        <v/>
      </c>
      <c r="I290" s="59" t="str">
        <f>IF(I280="","",(I280-#REF!)/#REF!)</f>
        <v/>
      </c>
      <c r="J290" s="55"/>
      <c r="K290" s="55"/>
      <c r="L290" s="55"/>
      <c r="M290" s="55" t="str">
        <f>IF(G290="","",M280-((1/Comparisons!#REF!)*1000000))</f>
        <v/>
      </c>
      <c r="N290" s="55" t="str">
        <f>IF(H290="","",N280-((1/Comparisons!#REF!)*1000000))</f>
        <v/>
      </c>
      <c r="O290" s="56" t="str">
        <f>IF(I290="","",O280-((1/Comparisons!#REF!)*1000000))</f>
        <v/>
      </c>
    </row>
    <row r="291" spans="1:15" ht="15.75" thickBot="1" x14ac:dyDescent="0.3">
      <c r="A291" s="60" t="s">
        <v>17</v>
      </c>
      <c r="B291" s="61" t="s">
        <v>18</v>
      </c>
      <c r="C291" s="61" t="s">
        <v>11</v>
      </c>
      <c r="D291" s="59">
        <f>IF(D272="","",(D272-'2018'!D375)/'2018'!D375)</f>
        <v>-7.9850988014253318E-2</v>
      </c>
      <c r="E291" s="59">
        <f>IF(E272="","",(E272-'2018'!E375)/'2018'!E375)</f>
        <v>-8.6634790528233155E-2</v>
      </c>
      <c r="F291" s="59">
        <f>IF(F272="","",(F272-'2018'!F375)/'2018'!F375)</f>
        <v>-9.9218914925058049E-2</v>
      </c>
      <c r="G291" s="62" t="str">
        <f>IF(G281="","",(G281-#REF!)/#REF!)</f>
        <v/>
      </c>
      <c r="H291" s="62" t="str">
        <f>IF(H281="","",(H281-#REF!)/#REF!)</f>
        <v/>
      </c>
      <c r="I291" s="62" t="str">
        <f>IF(I281="","",(I281-#REF!)/#REF!)</f>
        <v/>
      </c>
      <c r="J291" s="63"/>
      <c r="K291" s="63"/>
      <c r="L291" s="63"/>
      <c r="M291" s="63" t="str">
        <f>IF(G291="","",M281-((1/Comparisons!#REF!)*1000000))</f>
        <v/>
      </c>
      <c r="N291" s="63" t="str">
        <f>IF(H291="","",N281-((1/Comparisons!#REF!)*1000000))</f>
        <v/>
      </c>
      <c r="O291" s="64" t="str">
        <f>IF(I291="","",O281-((1/Comparisons!#REF!)*1000000))</f>
        <v/>
      </c>
    </row>
    <row r="292" spans="1:15" ht="15.75" thickBot="1" x14ac:dyDescent="0.3"/>
    <row r="293" spans="1:15" ht="18.75" x14ac:dyDescent="0.25">
      <c r="A293" s="110" t="s">
        <v>213</v>
      </c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40"/>
    </row>
    <row r="294" spans="1:15" ht="15.75" x14ac:dyDescent="0.25">
      <c r="A294" s="113" t="s">
        <v>221</v>
      </c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2"/>
    </row>
    <row r="295" spans="1:15" x14ac:dyDescent="0.25">
      <c r="A295" s="134" t="s">
        <v>1</v>
      </c>
      <c r="B295" s="135"/>
      <c r="C295" s="135"/>
      <c r="D295" s="136" t="s">
        <v>2</v>
      </c>
      <c r="E295" s="136"/>
      <c r="F295" s="136"/>
      <c r="G295" s="136"/>
      <c r="H295" s="136"/>
      <c r="I295" s="136"/>
      <c r="J295" s="136" t="s">
        <v>3</v>
      </c>
      <c r="K295" s="136"/>
      <c r="L295" s="136"/>
      <c r="M295" s="136"/>
      <c r="N295" s="136"/>
      <c r="O295" s="137"/>
    </row>
    <row r="296" spans="1:15" x14ac:dyDescent="0.25">
      <c r="A296" s="47" t="s">
        <v>26</v>
      </c>
      <c r="B296" s="48" t="s">
        <v>5</v>
      </c>
      <c r="C296" s="48" t="s">
        <v>6</v>
      </c>
      <c r="D296" s="49">
        <v>1</v>
      </c>
      <c r="E296" s="49">
        <v>4</v>
      </c>
      <c r="F296" s="49">
        <v>16</v>
      </c>
      <c r="G296" s="49">
        <v>32</v>
      </c>
      <c r="H296" s="49">
        <v>64</v>
      </c>
      <c r="I296" s="49">
        <v>80</v>
      </c>
      <c r="J296" s="49">
        <v>1</v>
      </c>
      <c r="K296" s="49">
        <v>4</v>
      </c>
      <c r="L296" s="49">
        <v>16</v>
      </c>
      <c r="M296" s="49">
        <v>32</v>
      </c>
      <c r="N296" s="49">
        <v>64</v>
      </c>
      <c r="O296" s="50">
        <v>80</v>
      </c>
    </row>
    <row r="297" spans="1:15" x14ac:dyDescent="0.25">
      <c r="A297" s="51" t="s">
        <v>7</v>
      </c>
      <c r="B297" s="52" t="s">
        <v>8</v>
      </c>
      <c r="C297" s="52" t="s">
        <v>9</v>
      </c>
      <c r="D297" s="53">
        <v>41003</v>
      </c>
      <c r="E297" s="53">
        <v>20094</v>
      </c>
      <c r="F297" s="53">
        <v>5843</v>
      </c>
      <c r="G297" s="54"/>
      <c r="H297" s="54"/>
      <c r="I297" s="54"/>
      <c r="J297" s="55"/>
      <c r="K297" s="55"/>
      <c r="L297" s="55"/>
      <c r="M297" s="55" t="str">
        <f t="shared" ref="M297:M302" si="34">IF(G297="","",(1/G297)*1000000)</f>
        <v/>
      </c>
      <c r="N297" s="55" t="str">
        <f t="shared" ref="N297:N302" si="35">IF(H297="","",(1/H297)*1000000)</f>
        <v/>
      </c>
      <c r="O297" s="56" t="str">
        <f t="shared" ref="O297:O302" si="36">IF(I297="","",(1/I297)*1000000)</f>
        <v/>
      </c>
    </row>
    <row r="298" spans="1:15" x14ac:dyDescent="0.25">
      <c r="A298" s="51" t="s">
        <v>10</v>
      </c>
      <c r="B298" s="52" t="s">
        <v>8</v>
      </c>
      <c r="C298" s="52" t="s">
        <v>11</v>
      </c>
      <c r="D298" s="53">
        <v>16197</v>
      </c>
      <c r="E298" s="53">
        <v>11334</v>
      </c>
      <c r="F298" s="53">
        <v>4801</v>
      </c>
      <c r="G298" s="54"/>
      <c r="H298" s="54"/>
      <c r="I298" s="54"/>
      <c r="J298" s="55"/>
      <c r="K298" s="55"/>
      <c r="L298" s="55"/>
      <c r="M298" s="55" t="str">
        <f t="shared" si="34"/>
        <v/>
      </c>
      <c r="N298" s="55" t="str">
        <f t="shared" si="35"/>
        <v/>
      </c>
      <c r="O298" s="56" t="str">
        <f t="shared" si="36"/>
        <v/>
      </c>
    </row>
    <row r="299" spans="1:15" x14ac:dyDescent="0.25">
      <c r="A299" s="51" t="s">
        <v>12</v>
      </c>
      <c r="B299" s="52" t="s">
        <v>13</v>
      </c>
      <c r="C299" s="52" t="s">
        <v>9</v>
      </c>
      <c r="D299" s="53">
        <v>39621</v>
      </c>
      <c r="E299" s="53">
        <v>18059</v>
      </c>
      <c r="F299" s="53">
        <v>5628</v>
      </c>
      <c r="G299" s="54"/>
      <c r="H299" s="54"/>
      <c r="I299" s="54"/>
      <c r="J299" s="55"/>
      <c r="K299" s="55"/>
      <c r="L299" s="55"/>
      <c r="M299" s="55" t="str">
        <f t="shared" si="34"/>
        <v/>
      </c>
      <c r="N299" s="55" t="str">
        <f t="shared" si="35"/>
        <v/>
      </c>
      <c r="O299" s="56" t="str">
        <f t="shared" si="36"/>
        <v/>
      </c>
    </row>
    <row r="300" spans="1:15" x14ac:dyDescent="0.25">
      <c r="A300" s="51" t="s">
        <v>14</v>
      </c>
      <c r="B300" s="52" t="s">
        <v>13</v>
      </c>
      <c r="C300" s="52" t="s">
        <v>11</v>
      </c>
      <c r="D300" s="53">
        <v>17541</v>
      </c>
      <c r="E300" s="53">
        <v>10617</v>
      </c>
      <c r="F300" s="53">
        <v>4627</v>
      </c>
      <c r="G300" s="54"/>
      <c r="H300" s="54"/>
      <c r="I300" s="54"/>
      <c r="J300" s="55"/>
      <c r="K300" s="55"/>
      <c r="L300" s="55"/>
      <c r="M300" s="55" t="str">
        <f t="shared" si="34"/>
        <v/>
      </c>
      <c r="N300" s="55" t="str">
        <f t="shared" si="35"/>
        <v/>
      </c>
      <c r="O300" s="56" t="str">
        <f t="shared" si="36"/>
        <v/>
      </c>
    </row>
    <row r="301" spans="1:15" x14ac:dyDescent="0.25">
      <c r="A301" s="51" t="s">
        <v>15</v>
      </c>
      <c r="B301" s="52" t="s">
        <v>16</v>
      </c>
      <c r="C301" s="52" t="s">
        <v>11</v>
      </c>
      <c r="D301" s="53">
        <v>11970</v>
      </c>
      <c r="E301" s="53">
        <v>9855</v>
      </c>
      <c r="F301" s="53">
        <v>4641</v>
      </c>
      <c r="G301" s="54"/>
      <c r="H301" s="54"/>
      <c r="I301" s="54"/>
      <c r="J301" s="55"/>
      <c r="K301" s="55"/>
      <c r="L301" s="55"/>
      <c r="M301" s="55" t="str">
        <f t="shared" si="34"/>
        <v/>
      </c>
      <c r="N301" s="55" t="str">
        <f t="shared" si="35"/>
        <v/>
      </c>
      <c r="O301" s="56" t="str">
        <f t="shared" si="36"/>
        <v/>
      </c>
    </row>
    <row r="302" spans="1:15" x14ac:dyDescent="0.25">
      <c r="A302" s="28" t="s">
        <v>17</v>
      </c>
      <c r="B302" s="52" t="s">
        <v>18</v>
      </c>
      <c r="C302" s="52" t="s">
        <v>11</v>
      </c>
      <c r="D302" s="53">
        <v>12231</v>
      </c>
      <c r="E302" s="53">
        <v>8784</v>
      </c>
      <c r="F302" s="53">
        <v>4642</v>
      </c>
      <c r="G302" s="54"/>
      <c r="H302" s="54"/>
      <c r="I302" s="54"/>
      <c r="J302" s="55"/>
      <c r="K302" s="55"/>
      <c r="L302" s="55"/>
      <c r="M302" s="55" t="str">
        <f t="shared" si="34"/>
        <v/>
      </c>
      <c r="N302" s="55" t="str">
        <f t="shared" si="35"/>
        <v/>
      </c>
      <c r="O302" s="56" t="str">
        <f t="shared" si="36"/>
        <v/>
      </c>
    </row>
    <row r="303" spans="1:15" x14ac:dyDescent="0.25">
      <c r="A303" s="116" t="s">
        <v>222</v>
      </c>
      <c r="B303" s="117"/>
      <c r="C303" s="117"/>
      <c r="D303" s="117"/>
      <c r="E303" s="143"/>
      <c r="F303" s="143"/>
      <c r="G303" s="143"/>
      <c r="H303" s="118"/>
      <c r="I303" s="118"/>
      <c r="J303" s="57"/>
      <c r="K303" s="57"/>
      <c r="L303" s="57"/>
      <c r="M303" s="57"/>
      <c r="N303" s="57"/>
      <c r="O303" s="58"/>
    </row>
    <row r="304" spans="1:15" ht="18.75" x14ac:dyDescent="0.3">
      <c r="A304" s="119" t="s">
        <v>193</v>
      </c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5"/>
    </row>
    <row r="305" spans="1:15" x14ac:dyDescent="0.25">
      <c r="A305" s="134" t="s">
        <v>1</v>
      </c>
      <c r="B305" s="135"/>
      <c r="C305" s="135"/>
      <c r="D305" s="136" t="s">
        <v>19</v>
      </c>
      <c r="E305" s="136"/>
      <c r="F305" s="136"/>
      <c r="G305" s="136"/>
      <c r="H305" s="136"/>
      <c r="I305" s="136"/>
      <c r="J305" s="136" t="s">
        <v>22</v>
      </c>
      <c r="K305" s="136"/>
      <c r="L305" s="136"/>
      <c r="M305" s="136"/>
      <c r="N305" s="136"/>
      <c r="O305" s="137"/>
    </row>
    <row r="306" spans="1:15" x14ac:dyDescent="0.25">
      <c r="A306" s="47" t="s">
        <v>4</v>
      </c>
      <c r="B306" s="48" t="s">
        <v>5</v>
      </c>
      <c r="C306" s="48" t="s">
        <v>6</v>
      </c>
      <c r="D306" s="49">
        <v>1</v>
      </c>
      <c r="E306" s="49">
        <v>4</v>
      </c>
      <c r="F306" s="49">
        <v>16</v>
      </c>
      <c r="G306" s="49">
        <v>32</v>
      </c>
      <c r="H306" s="49">
        <v>64</v>
      </c>
      <c r="I306" s="49">
        <v>80</v>
      </c>
      <c r="J306" s="49">
        <v>1</v>
      </c>
      <c r="K306" s="49">
        <v>4</v>
      </c>
      <c r="L306" s="49">
        <v>16</v>
      </c>
      <c r="M306" s="49">
        <v>32</v>
      </c>
      <c r="N306" s="49">
        <v>64</v>
      </c>
      <c r="O306" s="50">
        <v>80</v>
      </c>
    </row>
    <row r="307" spans="1:15" x14ac:dyDescent="0.25">
      <c r="A307" s="51" t="s">
        <v>7</v>
      </c>
      <c r="B307" s="52" t="s">
        <v>8</v>
      </c>
      <c r="C307" s="52" t="s">
        <v>9</v>
      </c>
      <c r="D307" s="59">
        <f>IF(D297="","",(D297-'2018'!D307)/'2018'!D307)</f>
        <v>-4.8632218844984802E-2</v>
      </c>
      <c r="E307" s="59">
        <f>IF(E297="","",(E297-'2018'!E307)/'2018'!E307)</f>
        <v>1.515610791148833E-2</v>
      </c>
      <c r="F307" s="59">
        <f>IF(F297="","",(F297-'2018'!F307)/'2018'!F307)</f>
        <v>0</v>
      </c>
      <c r="G307" s="59" t="str">
        <f>IF(G297="","",(G297-'2017'!G638)/'2017'!G638)</f>
        <v/>
      </c>
      <c r="H307" s="59" t="str">
        <f>IF(H297="","",(H297-#REF!)/#REF!)</f>
        <v/>
      </c>
      <c r="I307" s="59" t="str">
        <f>IF(I297="","",(I297-#REF!)/#REF!)</f>
        <v/>
      </c>
      <c r="J307" s="55"/>
      <c r="K307" s="55"/>
      <c r="L307" s="55"/>
      <c r="M307" s="55" t="str">
        <f>IF(G307="","",M297-((1/Comparisons!#REF!)*1000000))</f>
        <v/>
      </c>
      <c r="N307" s="55" t="str">
        <f>IF(H307="","",N297-((1/Comparisons!#REF!)*1000000))</f>
        <v/>
      </c>
      <c r="O307" s="56" t="str">
        <f>IF(I307="","",O297-((1/Comparisons!#REF!)*1000000))</f>
        <v/>
      </c>
    </row>
    <row r="308" spans="1:15" x14ac:dyDescent="0.25">
      <c r="A308" s="51" t="s">
        <v>10</v>
      </c>
      <c r="B308" s="52" t="s">
        <v>8</v>
      </c>
      <c r="C308" s="52" t="s">
        <v>11</v>
      </c>
      <c r="D308" s="59">
        <f>IF(D298="","",(D298-'2018'!D308)/'2018'!D308)</f>
        <v>-9.0413882181164709E-2</v>
      </c>
      <c r="E308" s="59">
        <f>IF(E298="","",(E298-'2018'!E308)/'2018'!E308)</f>
        <v>-6.6699604743083007E-2</v>
      </c>
      <c r="F308" s="59">
        <f>IF(F298="","",(F298-'2018'!F308)/'2018'!F308)</f>
        <v>-4.0375774535278831E-2</v>
      </c>
      <c r="G308" s="59" t="str">
        <f>IF(G298="","",(G298-#REF!)/#REF!)</f>
        <v/>
      </c>
      <c r="H308" s="59" t="str">
        <f>IF(H298="","",(H298-#REF!)/#REF!)</f>
        <v/>
      </c>
      <c r="I308" s="59" t="str">
        <f>IF(I298="","",(I298-#REF!)/#REF!)</f>
        <v/>
      </c>
      <c r="J308" s="55"/>
      <c r="K308" s="55"/>
      <c r="L308" s="55"/>
      <c r="M308" s="55" t="str">
        <f>IF(G308="","",M298-((1/Comparisons!#REF!)*1000000))</f>
        <v/>
      </c>
      <c r="N308" s="55" t="str">
        <f>IF(H308="","",N298-((1/Comparisons!#REF!)*1000000))</f>
        <v/>
      </c>
      <c r="O308" s="56" t="str">
        <f>IF(I308="","",O298-((1/Comparisons!#REF!)*1000000))</f>
        <v/>
      </c>
    </row>
    <row r="309" spans="1:15" x14ac:dyDescent="0.25">
      <c r="A309" s="51" t="s">
        <v>12</v>
      </c>
      <c r="B309" s="52" t="s">
        <v>13</v>
      </c>
      <c r="C309" s="52" t="s">
        <v>9</v>
      </c>
      <c r="D309" s="59">
        <f>IF(D299="","",(D299-'2018'!D309)/'2018'!D309)</f>
        <v>-8.3842226449094004E-3</v>
      </c>
      <c r="E309" s="59">
        <f>IF(E299="","",(E299-'2018'!E309)/'2018'!E309)</f>
        <v>8.2630785550778848E-3</v>
      </c>
      <c r="F309" s="59">
        <f>IF(F299="","",(F299-'2018'!F309)/'2018'!F309)</f>
        <v>6.9779924852388618E-3</v>
      </c>
      <c r="G309" s="59" t="str">
        <f>IF(G299="","",(G299-#REF!)/#REF!)</f>
        <v/>
      </c>
      <c r="H309" s="59" t="str">
        <f>IF(H299="","",(H299-#REF!)/#REF!)</f>
        <v/>
      </c>
      <c r="I309" s="59" t="str">
        <f>IF(I299="","",(I299-#REF!)/#REF!)</f>
        <v/>
      </c>
      <c r="J309" s="55"/>
      <c r="K309" s="55"/>
      <c r="L309" s="55"/>
      <c r="M309" s="55" t="str">
        <f>IF(G309="","",M299-((1/Comparisons!#REF!)*1000000))</f>
        <v/>
      </c>
      <c r="N309" s="55" t="str">
        <f>IF(H309="","",N299-((1/Comparisons!#REF!)*1000000))</f>
        <v/>
      </c>
      <c r="O309" s="56" t="str">
        <f>IF(I309="","",O299-((1/Comparisons!#REF!)*1000000))</f>
        <v/>
      </c>
    </row>
    <row r="310" spans="1:15" x14ac:dyDescent="0.25">
      <c r="A310" s="51" t="s">
        <v>14</v>
      </c>
      <c r="B310" s="52" t="s">
        <v>13</v>
      </c>
      <c r="C310" s="52" t="s">
        <v>11</v>
      </c>
      <c r="D310" s="59">
        <f>IF(D300="","",(D300-'2018'!D310)/'2018'!D310)</f>
        <v>-8.1424936386768447E-3</v>
      </c>
      <c r="E310" s="59">
        <f>IF(E300="","",(E300-'2018'!E310)/'2018'!E310)</f>
        <v>-7.7905158936946328E-2</v>
      </c>
      <c r="F310" s="59">
        <f>IF(F300="","",(F300-'2018'!F310)/'2018'!F310)</f>
        <v>-3.8645335549553295E-2</v>
      </c>
      <c r="G310" s="59" t="str">
        <f>IF(G300="","",(G300-#REF!)/#REF!)</f>
        <v/>
      </c>
      <c r="H310" s="59" t="str">
        <f>IF(H300="","",(H300-#REF!)/#REF!)</f>
        <v/>
      </c>
      <c r="I310" s="59" t="str">
        <f>IF(I300="","",(I300-#REF!)/#REF!)</f>
        <v/>
      </c>
      <c r="J310" s="55"/>
      <c r="K310" s="55"/>
      <c r="L310" s="55"/>
      <c r="M310" s="55" t="str">
        <f>IF(G310="","",M300-((1/Comparisons!#REF!)*1000000))</f>
        <v/>
      </c>
      <c r="N310" s="55" t="str">
        <f>IF(H310="","",N300-((1/Comparisons!#REF!)*1000000))</f>
        <v/>
      </c>
      <c r="O310" s="56" t="str">
        <f>IF(I310="","",O300-((1/Comparisons!#REF!)*1000000))</f>
        <v/>
      </c>
    </row>
    <row r="311" spans="1:15" x14ac:dyDescent="0.25">
      <c r="A311" s="51" t="s">
        <v>15</v>
      </c>
      <c r="B311" s="8" t="s">
        <v>16</v>
      </c>
      <c r="C311" s="52" t="s">
        <v>11</v>
      </c>
      <c r="D311" s="59">
        <f>IF(D301="","",(D301-'2018'!D311)/'2018'!D311)</f>
        <v>-0.13084519314551263</v>
      </c>
      <c r="E311" s="59">
        <f>IF(E301="","",(E301-'2018'!E311)/'2018'!E311)</f>
        <v>0</v>
      </c>
      <c r="F311" s="59">
        <f>IF(F301="","",(F301-'2018'!F311)/'2018'!F311)</f>
        <v>-3.873239436619718E-2</v>
      </c>
      <c r="G311" s="59" t="str">
        <f>IF(G301="","",(G301-#REF!)/#REF!)</f>
        <v/>
      </c>
      <c r="H311" s="59" t="str">
        <f>IF(H301="","",(H301-#REF!)/#REF!)</f>
        <v/>
      </c>
      <c r="I311" s="59" t="str">
        <f>IF(I301="","",(I301-#REF!)/#REF!)</f>
        <v/>
      </c>
      <c r="J311" s="55"/>
      <c r="K311" s="55"/>
      <c r="L311" s="55"/>
      <c r="M311" s="55" t="str">
        <f>IF(G311="","",M301-((1/Comparisons!#REF!)*1000000))</f>
        <v/>
      </c>
      <c r="N311" s="55" t="str">
        <f>IF(H311="","",N301-((1/Comparisons!#REF!)*1000000))</f>
        <v/>
      </c>
      <c r="O311" s="56" t="str">
        <f>IF(I311="","",O301-((1/Comparisons!#REF!)*1000000))</f>
        <v/>
      </c>
    </row>
    <row r="312" spans="1:15" ht="15.75" thickBot="1" x14ac:dyDescent="0.3">
      <c r="A312" s="60" t="s">
        <v>17</v>
      </c>
      <c r="B312" s="61" t="s">
        <v>18</v>
      </c>
      <c r="C312" s="61" t="s">
        <v>11</v>
      </c>
      <c r="D312" s="59">
        <f>IF(D302="","",(D302-'2018'!D312)/'2018'!D312)</f>
        <v>9.0016366612111296E-4</v>
      </c>
      <c r="E312" s="59">
        <f>IF(E302="","",(E302-'2018'!E312)/'2018'!E312)</f>
        <v>2.4851242562128107E-2</v>
      </c>
      <c r="F312" s="59">
        <f>IF(F302="","",(F302-'2018'!F312)/'2018'!F312)</f>
        <v>4.1040592061000226E-2</v>
      </c>
      <c r="G312" s="62" t="str">
        <f>IF(G302="","",(G302-#REF!)/#REF!)</f>
        <v/>
      </c>
      <c r="H312" s="62" t="str">
        <f>IF(H302="","",(H302-#REF!)/#REF!)</f>
        <v/>
      </c>
      <c r="I312" s="62" t="str">
        <f>IF(I302="","",(I302-#REF!)/#REF!)</f>
        <v/>
      </c>
      <c r="J312" s="63"/>
      <c r="K312" s="63"/>
      <c r="L312" s="63"/>
      <c r="M312" s="63" t="str">
        <f>IF(G312="","",M302-((1/Comparisons!#REF!)*1000000))</f>
        <v/>
      </c>
      <c r="N312" s="63" t="str">
        <f>IF(H312="","",N302-((1/Comparisons!#REF!)*1000000))</f>
        <v/>
      </c>
      <c r="O312" s="64" t="str">
        <f>IF(I312="","",O302-((1/Comparisons!#REF!)*1000000))</f>
        <v/>
      </c>
    </row>
    <row r="313" spans="1:15" ht="18.75" x14ac:dyDescent="0.3">
      <c r="A313" s="119" t="s">
        <v>212</v>
      </c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5"/>
    </row>
    <row r="314" spans="1:15" x14ac:dyDescent="0.25">
      <c r="A314" s="134" t="s">
        <v>1</v>
      </c>
      <c r="B314" s="135"/>
      <c r="C314" s="135"/>
      <c r="D314" s="136" t="s">
        <v>19</v>
      </c>
      <c r="E314" s="136"/>
      <c r="F314" s="136"/>
      <c r="G314" s="136"/>
      <c r="H314" s="136"/>
      <c r="I314" s="136"/>
      <c r="J314" s="136" t="s">
        <v>22</v>
      </c>
      <c r="K314" s="136"/>
      <c r="L314" s="136"/>
      <c r="M314" s="136"/>
      <c r="N314" s="136"/>
      <c r="O314" s="137"/>
    </row>
    <row r="315" spans="1:15" x14ac:dyDescent="0.25">
      <c r="A315" s="47" t="s">
        <v>4</v>
      </c>
      <c r="B315" s="48" t="s">
        <v>5</v>
      </c>
      <c r="C315" s="48" t="s">
        <v>6</v>
      </c>
      <c r="D315" s="49">
        <v>1</v>
      </c>
      <c r="E315" s="49">
        <v>4</v>
      </c>
      <c r="F315" s="49">
        <v>16</v>
      </c>
      <c r="G315" s="49">
        <v>32</v>
      </c>
      <c r="H315" s="49">
        <v>64</v>
      </c>
      <c r="I315" s="49">
        <v>80</v>
      </c>
      <c r="J315" s="49">
        <v>1</v>
      </c>
      <c r="K315" s="49">
        <v>4</v>
      </c>
      <c r="L315" s="49">
        <v>16</v>
      </c>
      <c r="M315" s="49">
        <v>32</v>
      </c>
      <c r="N315" s="49">
        <v>64</v>
      </c>
      <c r="O315" s="50">
        <v>80</v>
      </c>
    </row>
    <row r="316" spans="1:15" x14ac:dyDescent="0.25">
      <c r="A316" s="51" t="s">
        <v>7</v>
      </c>
      <c r="B316" s="52" t="s">
        <v>8</v>
      </c>
      <c r="C316" s="52" t="s">
        <v>9</v>
      </c>
      <c r="D316" s="59">
        <f>IF(D297="","",(D297-'2018'!D370)/'2018'!D370)</f>
        <v>-5.599171175319443E-2</v>
      </c>
      <c r="E316" s="59">
        <f>IF(E297="","",(E297-'2018'!E370)/'2018'!E370)</f>
        <v>1.3210972166196046E-2</v>
      </c>
      <c r="F316" s="59">
        <f>IF(F297="","",(F297-'2018'!F370)/'2018'!F370)</f>
        <v>0</v>
      </c>
      <c r="G316" s="59" t="str">
        <f>IF(G297="","",(G297-'2018'!G520)/'2018'!G520)</f>
        <v/>
      </c>
      <c r="H316" s="59" t="str">
        <f>IF(H297="","",(H297-'2018'!H520)/'2018'!H520)</f>
        <v/>
      </c>
      <c r="I316" s="59" t="str">
        <f>IF(I297="","",(I297-'2018'!I520)/'2018'!I520)</f>
        <v/>
      </c>
      <c r="J316" s="55"/>
      <c r="K316" s="55"/>
      <c r="L316" s="55"/>
      <c r="M316" s="55" t="str">
        <f>IF(G316="","",M306-((1/Comparisons!#REF!)*1000000))</f>
        <v/>
      </c>
      <c r="N316" s="55" t="str">
        <f>IF(H316="","",N306-((1/Comparisons!#REF!)*1000000))</f>
        <v/>
      </c>
      <c r="O316" s="56" t="str">
        <f>IF(I316="","",O306-((1/Comparisons!#REF!)*1000000))</f>
        <v/>
      </c>
    </row>
    <row r="317" spans="1:15" x14ac:dyDescent="0.25">
      <c r="A317" s="51" t="s">
        <v>10</v>
      </c>
      <c r="B317" s="52" t="s">
        <v>8</v>
      </c>
      <c r="C317" s="52" t="s">
        <v>11</v>
      </c>
      <c r="D317" s="59">
        <f>IF(D298="","",(D298-'2018'!D371)/'2018'!D371)</f>
        <v>-9.9015408577626973E-2</v>
      </c>
      <c r="E317" s="59">
        <f>IF(E298="","",(E298-'2018'!E371)/'2018'!E371)</f>
        <v>-5.6522101057188044E-2</v>
      </c>
      <c r="F317" s="59">
        <f>IF(F298="","",(F298-'2018'!F371)/'2018'!F371)</f>
        <v>-4.1907802833765717E-2</v>
      </c>
      <c r="G317" s="59" t="str">
        <f>IF(G307="","",(G307-#REF!)/#REF!)</f>
        <v/>
      </c>
      <c r="H317" s="59" t="str">
        <f>IF(H307="","",(H307-#REF!)/#REF!)</f>
        <v/>
      </c>
      <c r="I317" s="59" t="str">
        <f>IF(I307="","",(I307-#REF!)/#REF!)</f>
        <v/>
      </c>
      <c r="J317" s="55"/>
      <c r="K317" s="55"/>
      <c r="L317" s="55"/>
      <c r="M317" s="55" t="str">
        <f>IF(G317="","",M307-((1/Comparisons!#REF!)*1000000))</f>
        <v/>
      </c>
      <c r="N317" s="55" t="str">
        <f>IF(H317="","",N307-((1/Comparisons!#REF!)*1000000))</f>
        <v/>
      </c>
      <c r="O317" s="56" t="str">
        <f>IF(I317="","",O307-((1/Comparisons!#REF!)*1000000))</f>
        <v/>
      </c>
    </row>
    <row r="318" spans="1:15" x14ac:dyDescent="0.25">
      <c r="A318" s="51" t="s">
        <v>12</v>
      </c>
      <c r="B318" s="52" t="s">
        <v>13</v>
      </c>
      <c r="C318" s="52" t="s">
        <v>9</v>
      </c>
      <c r="D318" s="59">
        <f>IF(D299="","",(D299-'2018'!D372)/'2018'!D372)</f>
        <v>-8.3842226449094004E-3</v>
      </c>
      <c r="E318" s="59">
        <f>IF(E299="","",(E299-'2018'!E372)/'2018'!E372)</f>
        <v>1.6091824677882182E-2</v>
      </c>
      <c r="F318" s="59">
        <f>IF(F299="","",(F299-'2018'!F372)/'2018'!F372)</f>
        <v>-1.5965939329430547E-3</v>
      </c>
      <c r="G318" s="59" t="str">
        <f>IF(G308="","",(G308-#REF!)/#REF!)</f>
        <v/>
      </c>
      <c r="H318" s="59" t="str">
        <f>IF(H308="","",(H308-#REF!)/#REF!)</f>
        <v/>
      </c>
      <c r="I318" s="59" t="str">
        <f>IF(I308="","",(I308-#REF!)/#REF!)</f>
        <v/>
      </c>
      <c r="J318" s="55"/>
      <c r="K318" s="55"/>
      <c r="L318" s="55"/>
      <c r="M318" s="55" t="str">
        <f>IF(G318="","",M308-((1/Comparisons!#REF!)*1000000))</f>
        <v/>
      </c>
      <c r="N318" s="55" t="str">
        <f>IF(H318="","",N308-((1/Comparisons!#REF!)*1000000))</f>
        <v/>
      </c>
      <c r="O318" s="56" t="str">
        <f>IF(I318="","",O308-((1/Comparisons!#REF!)*1000000))</f>
        <v/>
      </c>
    </row>
    <row r="319" spans="1:15" x14ac:dyDescent="0.25">
      <c r="A319" s="51" t="s">
        <v>14</v>
      </c>
      <c r="B319" s="52" t="s">
        <v>13</v>
      </c>
      <c r="C319" s="52" t="s">
        <v>11</v>
      </c>
      <c r="D319" s="59">
        <f>IF(D300="","",(D300-'2018'!D373)/'2018'!D373)</f>
        <v>-1.9836835046937864E-2</v>
      </c>
      <c r="E319" s="59">
        <f>IF(E300="","",(E300-'2018'!E373)/'2018'!E373)</f>
        <v>-9.1088091772964647E-2</v>
      </c>
      <c r="F319" s="59">
        <f>IF(F300="","",(F300-'2018'!F373)/'2018'!F373)</f>
        <v>-3.0994764397905758E-2</v>
      </c>
      <c r="G319" s="59" t="str">
        <f>IF(G309="","",(G309-#REF!)/#REF!)</f>
        <v/>
      </c>
      <c r="H319" s="59" t="str">
        <f>IF(H309="","",(H309-#REF!)/#REF!)</f>
        <v/>
      </c>
      <c r="I319" s="59" t="str">
        <f>IF(I309="","",(I309-#REF!)/#REF!)</f>
        <v/>
      </c>
      <c r="J319" s="55"/>
      <c r="K319" s="55"/>
      <c r="L319" s="55"/>
      <c r="M319" s="55" t="str">
        <f>IF(G319="","",M309-((1/Comparisons!#REF!)*1000000))</f>
        <v/>
      </c>
      <c r="N319" s="55" t="str">
        <f>IF(H319="","",N309-((1/Comparisons!#REF!)*1000000))</f>
        <v/>
      </c>
      <c r="O319" s="56" t="str">
        <f>IF(I319="","",O309-((1/Comparisons!#REF!)*1000000))</f>
        <v/>
      </c>
    </row>
    <row r="320" spans="1:15" x14ac:dyDescent="0.25">
      <c r="A320" s="51" t="s">
        <v>15</v>
      </c>
      <c r="B320" s="8" t="s">
        <v>16</v>
      </c>
      <c r="C320" s="52" t="s">
        <v>11</v>
      </c>
      <c r="D320" s="59">
        <f>IF(D301="","",(D301-'2018'!D374)/'2018'!D374)</f>
        <v>-0.11693102176318701</v>
      </c>
      <c r="E320" s="59">
        <f>IF(E301="","",(E301-'2018'!E374)/'2018'!E374)</f>
        <v>2.5280898876404494E-2</v>
      </c>
      <c r="F320" s="59">
        <f>IF(F301="","",(F301-'2018'!F374)/'2018'!F374)</f>
        <v>-3.3326390335346803E-2</v>
      </c>
      <c r="G320" s="59" t="str">
        <f>IF(G310="","",(G310-#REF!)/#REF!)</f>
        <v/>
      </c>
      <c r="H320" s="59" t="str">
        <f>IF(H310="","",(H310-#REF!)/#REF!)</f>
        <v/>
      </c>
      <c r="I320" s="59" t="str">
        <f>IF(I310="","",(I310-#REF!)/#REF!)</f>
        <v/>
      </c>
      <c r="J320" s="55"/>
      <c r="K320" s="55"/>
      <c r="L320" s="55"/>
      <c r="M320" s="55" t="str">
        <f>IF(G320="","",M310-((1/Comparisons!#REF!)*1000000))</f>
        <v/>
      </c>
      <c r="N320" s="55" t="str">
        <f>IF(H320="","",N310-((1/Comparisons!#REF!)*1000000))</f>
        <v/>
      </c>
      <c r="O320" s="56" t="str">
        <f>IF(I320="","",O310-((1/Comparisons!#REF!)*1000000))</f>
        <v/>
      </c>
    </row>
    <row r="321" spans="1:15" ht="15.75" thickBot="1" x14ac:dyDescent="0.3">
      <c r="A321" s="60" t="s">
        <v>17</v>
      </c>
      <c r="B321" s="61" t="s">
        <v>18</v>
      </c>
      <c r="C321" s="61" t="s">
        <v>11</v>
      </c>
      <c r="D321" s="59">
        <f>IF(D302="","",(D302-'2018'!D375)/'2018'!D375)</f>
        <v>-9.4752186588921289E-3</v>
      </c>
      <c r="E321" s="59">
        <f>IF(E302="","",(E302-'2018'!E375)/'2018'!E375)</f>
        <v>0</v>
      </c>
      <c r="F321" s="59">
        <f>IF(F302="","",(F302-'2018'!F375)/'2018'!F375)</f>
        <v>-2.0054887059320244E-2</v>
      </c>
      <c r="G321" s="62" t="str">
        <f>IF(G311="","",(G311-#REF!)/#REF!)</f>
        <v/>
      </c>
      <c r="H321" s="62" t="str">
        <f>IF(H311="","",(H311-#REF!)/#REF!)</f>
        <v/>
      </c>
      <c r="I321" s="62" t="str">
        <f>IF(I311="","",(I311-#REF!)/#REF!)</f>
        <v/>
      </c>
      <c r="J321" s="63"/>
      <c r="K321" s="63"/>
      <c r="L321" s="63"/>
      <c r="M321" s="63" t="str">
        <f>IF(G321="","",M311-((1/Comparisons!#REF!)*1000000))</f>
        <v/>
      </c>
      <c r="N321" s="63" t="str">
        <f>IF(H321="","",N311-((1/Comparisons!#REF!)*1000000))</f>
        <v/>
      </c>
      <c r="O321" s="64" t="str">
        <f>IF(I321="","",O311-((1/Comparisons!#REF!)*1000000))</f>
        <v/>
      </c>
    </row>
    <row r="322" spans="1:15" ht="15.75" thickBot="1" x14ac:dyDescent="0.3"/>
    <row r="323" spans="1:15" ht="18.75" x14ac:dyDescent="0.25">
      <c r="A323" s="110" t="s">
        <v>213</v>
      </c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40"/>
    </row>
    <row r="324" spans="1:15" ht="15.75" x14ac:dyDescent="0.25">
      <c r="A324" s="113" t="s">
        <v>223</v>
      </c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2"/>
    </row>
    <row r="325" spans="1:15" x14ac:dyDescent="0.25">
      <c r="A325" s="134" t="s">
        <v>1</v>
      </c>
      <c r="B325" s="135"/>
      <c r="C325" s="135"/>
      <c r="D325" s="136" t="s">
        <v>2</v>
      </c>
      <c r="E325" s="136"/>
      <c r="F325" s="136"/>
      <c r="G325" s="136"/>
      <c r="H325" s="136"/>
      <c r="I325" s="136"/>
      <c r="J325" s="136" t="s">
        <v>3</v>
      </c>
      <c r="K325" s="136"/>
      <c r="L325" s="136"/>
      <c r="M325" s="136"/>
      <c r="N325" s="136"/>
      <c r="O325" s="137"/>
    </row>
    <row r="326" spans="1:15" x14ac:dyDescent="0.25">
      <c r="A326" s="47" t="s">
        <v>26</v>
      </c>
      <c r="B326" s="48" t="s">
        <v>5</v>
      </c>
      <c r="C326" s="48" t="s">
        <v>6</v>
      </c>
      <c r="D326" s="49">
        <v>1</v>
      </c>
      <c r="E326" s="49">
        <v>4</v>
      </c>
      <c r="F326" s="49">
        <v>16</v>
      </c>
      <c r="G326" s="49">
        <v>32</v>
      </c>
      <c r="H326" s="49">
        <v>64</v>
      </c>
      <c r="I326" s="49">
        <v>80</v>
      </c>
      <c r="J326" s="49">
        <v>1</v>
      </c>
      <c r="K326" s="49">
        <v>4</v>
      </c>
      <c r="L326" s="49">
        <v>16</v>
      </c>
      <c r="M326" s="49">
        <v>32</v>
      </c>
      <c r="N326" s="49">
        <v>64</v>
      </c>
      <c r="O326" s="50">
        <v>80</v>
      </c>
    </row>
    <row r="327" spans="1:15" x14ac:dyDescent="0.25">
      <c r="A327" s="51" t="s">
        <v>7</v>
      </c>
      <c r="B327" s="52" t="s">
        <v>8</v>
      </c>
      <c r="C327" s="52" t="s">
        <v>9</v>
      </c>
      <c r="D327" s="53">
        <v>42121</v>
      </c>
      <c r="E327" s="53">
        <v>20094</v>
      </c>
      <c r="F327" s="53">
        <v>5861</v>
      </c>
      <c r="G327" s="54"/>
      <c r="H327" s="54"/>
      <c r="I327" s="54"/>
      <c r="J327" s="55"/>
      <c r="K327" s="55"/>
      <c r="L327" s="55"/>
      <c r="M327" s="55" t="str">
        <f t="shared" ref="M327:M332" si="37">IF(G327="","",(1/G327)*1000000)</f>
        <v/>
      </c>
      <c r="N327" s="55" t="str">
        <f t="shared" ref="N327:N332" si="38">IF(H327="","",(1/H327)*1000000)</f>
        <v/>
      </c>
      <c r="O327" s="56" t="str">
        <f t="shared" ref="O327:O332" si="39">IF(I327="","",(1/I327)*1000000)</f>
        <v/>
      </c>
    </row>
    <row r="328" spans="1:15" x14ac:dyDescent="0.25">
      <c r="A328" s="51" t="s">
        <v>10</v>
      </c>
      <c r="B328" s="52" t="s">
        <v>8</v>
      </c>
      <c r="C328" s="52" t="s">
        <v>11</v>
      </c>
      <c r="D328" s="53">
        <v>17201</v>
      </c>
      <c r="E328" s="53">
        <v>11945</v>
      </c>
      <c r="F328" s="53">
        <v>4979</v>
      </c>
      <c r="G328" s="54"/>
      <c r="H328" s="54"/>
      <c r="I328" s="54"/>
      <c r="J328" s="55"/>
      <c r="K328" s="55"/>
      <c r="L328" s="55"/>
      <c r="M328" s="55" t="str">
        <f t="shared" si="37"/>
        <v/>
      </c>
      <c r="N328" s="55" t="str">
        <f t="shared" si="38"/>
        <v/>
      </c>
      <c r="O328" s="56" t="str">
        <f t="shared" si="39"/>
        <v/>
      </c>
    </row>
    <row r="329" spans="1:15" x14ac:dyDescent="0.25">
      <c r="A329" s="51" t="s">
        <v>12</v>
      </c>
      <c r="B329" s="52" t="s">
        <v>13</v>
      </c>
      <c r="C329" s="52" t="s">
        <v>9</v>
      </c>
      <c r="D329" s="53">
        <v>40668</v>
      </c>
      <c r="E329" s="53">
        <v>18490</v>
      </c>
      <c r="F329" s="53">
        <v>5628</v>
      </c>
      <c r="G329" s="54"/>
      <c r="H329" s="54"/>
      <c r="I329" s="54"/>
      <c r="J329" s="55"/>
      <c r="K329" s="55"/>
      <c r="L329" s="55"/>
      <c r="M329" s="55" t="str">
        <f t="shared" si="37"/>
        <v/>
      </c>
      <c r="N329" s="55" t="str">
        <f t="shared" si="38"/>
        <v/>
      </c>
      <c r="O329" s="56" t="str">
        <f t="shared" si="39"/>
        <v/>
      </c>
    </row>
    <row r="330" spans="1:15" x14ac:dyDescent="0.25">
      <c r="A330" s="51" t="s">
        <v>14</v>
      </c>
      <c r="B330" s="52" t="s">
        <v>13</v>
      </c>
      <c r="C330" s="52" t="s">
        <v>11</v>
      </c>
      <c r="D330" s="53">
        <v>16606</v>
      </c>
      <c r="E330" s="53">
        <v>10821</v>
      </c>
      <c r="F330" s="53">
        <v>4729</v>
      </c>
      <c r="G330" s="54"/>
      <c r="H330" s="54"/>
      <c r="I330" s="54"/>
      <c r="J330" s="55"/>
      <c r="K330" s="55"/>
      <c r="L330" s="55"/>
      <c r="M330" s="55" t="str">
        <f t="shared" si="37"/>
        <v/>
      </c>
      <c r="N330" s="55" t="str">
        <f t="shared" si="38"/>
        <v/>
      </c>
      <c r="O330" s="56" t="str">
        <f t="shared" si="39"/>
        <v/>
      </c>
    </row>
    <row r="331" spans="1:15" x14ac:dyDescent="0.25">
      <c r="A331" s="51" t="s">
        <v>15</v>
      </c>
      <c r="B331" s="52" t="s">
        <v>16</v>
      </c>
      <c r="C331" s="52" t="s">
        <v>11</v>
      </c>
      <c r="D331" s="53">
        <v>11534</v>
      </c>
      <c r="E331" s="53">
        <v>8847</v>
      </c>
      <c r="F331" s="53">
        <v>4721</v>
      </c>
      <c r="G331" s="54"/>
      <c r="H331" s="54"/>
      <c r="I331" s="54"/>
      <c r="J331" s="55"/>
      <c r="K331" s="55"/>
      <c r="L331" s="55"/>
      <c r="M331" s="55" t="str">
        <f t="shared" si="37"/>
        <v/>
      </c>
      <c r="N331" s="55" t="str">
        <f t="shared" si="38"/>
        <v/>
      </c>
      <c r="O331" s="56" t="str">
        <f t="shared" si="39"/>
        <v/>
      </c>
    </row>
    <row r="332" spans="1:15" x14ac:dyDescent="0.25">
      <c r="A332" s="28" t="s">
        <v>17</v>
      </c>
      <c r="B332" s="52" t="s">
        <v>18</v>
      </c>
      <c r="C332" s="52" t="s">
        <v>11</v>
      </c>
      <c r="D332" s="53">
        <v>11939</v>
      </c>
      <c r="E332" s="53">
        <v>8803</v>
      </c>
      <c r="F332" s="53">
        <v>4490</v>
      </c>
      <c r="G332" s="54"/>
      <c r="H332" s="54"/>
      <c r="I332" s="54"/>
      <c r="J332" s="55"/>
      <c r="K332" s="55"/>
      <c r="L332" s="55"/>
      <c r="M332" s="55" t="str">
        <f t="shared" si="37"/>
        <v/>
      </c>
      <c r="N332" s="55" t="str">
        <f t="shared" si="38"/>
        <v/>
      </c>
      <c r="O332" s="56" t="str">
        <f t="shared" si="39"/>
        <v/>
      </c>
    </row>
    <row r="333" spans="1:15" x14ac:dyDescent="0.25">
      <c r="A333" s="116" t="s">
        <v>224</v>
      </c>
      <c r="B333" s="117"/>
      <c r="C333" s="117"/>
      <c r="D333" s="117"/>
      <c r="E333" s="143"/>
      <c r="F333" s="143"/>
      <c r="G333" s="143"/>
      <c r="H333" s="118"/>
      <c r="I333" s="118"/>
      <c r="J333" s="57"/>
      <c r="K333" s="57"/>
      <c r="L333" s="57"/>
      <c r="M333" s="57"/>
      <c r="N333" s="57"/>
      <c r="O333" s="58"/>
    </row>
    <row r="334" spans="1:15" ht="18.75" x14ac:dyDescent="0.3">
      <c r="A334" s="119" t="s">
        <v>193</v>
      </c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5"/>
    </row>
    <row r="335" spans="1:15" x14ac:dyDescent="0.25">
      <c r="A335" s="134" t="s">
        <v>1</v>
      </c>
      <c r="B335" s="135"/>
      <c r="C335" s="135"/>
      <c r="D335" s="136" t="s">
        <v>19</v>
      </c>
      <c r="E335" s="136"/>
      <c r="F335" s="136"/>
      <c r="G335" s="136"/>
      <c r="H335" s="136"/>
      <c r="I335" s="136"/>
      <c r="J335" s="136" t="s">
        <v>22</v>
      </c>
      <c r="K335" s="136"/>
      <c r="L335" s="136"/>
      <c r="M335" s="136"/>
      <c r="N335" s="136"/>
      <c r="O335" s="137"/>
    </row>
    <row r="336" spans="1:15" x14ac:dyDescent="0.25">
      <c r="A336" s="47" t="s">
        <v>4</v>
      </c>
      <c r="B336" s="48" t="s">
        <v>5</v>
      </c>
      <c r="C336" s="48" t="s">
        <v>6</v>
      </c>
      <c r="D336" s="49">
        <v>1</v>
      </c>
      <c r="E336" s="49">
        <v>4</v>
      </c>
      <c r="F336" s="49">
        <v>16</v>
      </c>
      <c r="G336" s="49">
        <v>32</v>
      </c>
      <c r="H336" s="49">
        <v>64</v>
      </c>
      <c r="I336" s="49">
        <v>80</v>
      </c>
      <c r="J336" s="49">
        <v>1</v>
      </c>
      <c r="K336" s="49">
        <v>4</v>
      </c>
      <c r="L336" s="49">
        <v>16</v>
      </c>
      <c r="M336" s="49">
        <v>32</v>
      </c>
      <c r="N336" s="49">
        <v>64</v>
      </c>
      <c r="O336" s="50">
        <v>80</v>
      </c>
    </row>
    <row r="337" spans="1:15" x14ac:dyDescent="0.25">
      <c r="A337" s="51" t="s">
        <v>7</v>
      </c>
      <c r="B337" s="52" t="s">
        <v>8</v>
      </c>
      <c r="C337" s="52" t="s">
        <v>9</v>
      </c>
      <c r="D337" s="59">
        <f>IF(D327="","",(D327-'2018'!D307)/'2018'!D307)</f>
        <v>-2.2691941808394626E-2</v>
      </c>
      <c r="E337" s="59">
        <f>IF(E327="","",(E327-'2018'!E307)/'2018'!E307)</f>
        <v>1.515610791148833E-2</v>
      </c>
      <c r="F337" s="59">
        <f>IF(F327="","",(F327-'2018'!F307)/'2018'!F307)</f>
        <v>3.08060927605682E-3</v>
      </c>
      <c r="G337" s="59" t="str">
        <f>IF(G327="","",(G327-'2017'!G668)/'2017'!G668)</f>
        <v/>
      </c>
      <c r="H337" s="59" t="str">
        <f>IF(H327="","",(H327-#REF!)/#REF!)</f>
        <v/>
      </c>
      <c r="I337" s="59" t="str">
        <f>IF(I327="","",(I327-#REF!)/#REF!)</f>
        <v/>
      </c>
      <c r="J337" s="55"/>
      <c r="K337" s="55"/>
      <c r="L337" s="55"/>
      <c r="M337" s="55" t="str">
        <f>IF(G337="","",M327-((1/Comparisons!#REF!)*1000000))</f>
        <v/>
      </c>
      <c r="N337" s="55" t="str">
        <f>IF(H337="","",N327-((1/Comparisons!#REF!)*1000000))</f>
        <v/>
      </c>
      <c r="O337" s="56" t="str">
        <f>IF(I337="","",O327-((1/Comparisons!#REF!)*1000000))</f>
        <v/>
      </c>
    </row>
    <row r="338" spans="1:15" x14ac:dyDescent="0.25">
      <c r="A338" s="51" t="s">
        <v>10</v>
      </c>
      <c r="B338" s="52" t="s">
        <v>8</v>
      </c>
      <c r="C338" s="52" t="s">
        <v>11</v>
      </c>
      <c r="D338" s="59">
        <f>IF(D328="","",(D328-'2018'!D308)/'2018'!D308)</f>
        <v>-3.4031560622227217E-2</v>
      </c>
      <c r="E338" s="59">
        <f>IF(E328="","",(E328-'2018'!E308)/'2018'!E308)</f>
        <v>-1.63866930171278E-2</v>
      </c>
      <c r="F338" s="59">
        <f>IF(F328="","",(F328-'2018'!F308)/'2018'!F308)</f>
        <v>-4.7971217269638213E-3</v>
      </c>
      <c r="G338" s="59" t="str">
        <f>IF(G328="","",(G328-#REF!)/#REF!)</f>
        <v/>
      </c>
      <c r="H338" s="59" t="str">
        <f>IF(H328="","",(H328-#REF!)/#REF!)</f>
        <v/>
      </c>
      <c r="I338" s="59" t="str">
        <f>IF(I328="","",(I328-#REF!)/#REF!)</f>
        <v/>
      </c>
      <c r="J338" s="55"/>
      <c r="K338" s="55"/>
      <c r="L338" s="55"/>
      <c r="M338" s="55" t="str">
        <f>IF(G338="","",M328-((1/Comparisons!#REF!)*1000000))</f>
        <v/>
      </c>
      <c r="N338" s="55" t="str">
        <f>IF(H338="","",N328-((1/Comparisons!#REF!)*1000000))</f>
        <v/>
      </c>
      <c r="O338" s="56" t="str">
        <f>IF(I338="","",O328-((1/Comparisons!#REF!)*1000000))</f>
        <v/>
      </c>
    </row>
    <row r="339" spans="1:15" x14ac:dyDescent="0.25">
      <c r="A339" s="51" t="s">
        <v>12</v>
      </c>
      <c r="B339" s="52" t="s">
        <v>13</v>
      </c>
      <c r="C339" s="52" t="s">
        <v>9</v>
      </c>
      <c r="D339" s="59">
        <f>IF(D329="","",(D329-'2018'!D309)/'2018'!D309)</f>
        <v>1.7819601561717888E-2</v>
      </c>
      <c r="E339" s="59">
        <f>IF(E329="","",(E329-'2018'!E309)/'2018'!E309)</f>
        <v>3.2326503266149297E-2</v>
      </c>
      <c r="F339" s="59">
        <f>IF(F329="","",(F329-'2018'!F309)/'2018'!F309)</f>
        <v>6.9779924852388618E-3</v>
      </c>
      <c r="G339" s="59" t="str">
        <f>IF(G329="","",(G329-#REF!)/#REF!)</f>
        <v/>
      </c>
      <c r="H339" s="59" t="str">
        <f>IF(H329="","",(H329-#REF!)/#REF!)</f>
        <v/>
      </c>
      <c r="I339" s="59" t="str">
        <f>IF(I329="","",(I329-#REF!)/#REF!)</f>
        <v/>
      </c>
      <c r="J339" s="55"/>
      <c r="K339" s="55"/>
      <c r="L339" s="55"/>
      <c r="M339" s="55" t="str">
        <f>IF(G339="","",M329-((1/Comparisons!#REF!)*1000000))</f>
        <v/>
      </c>
      <c r="N339" s="55" t="str">
        <f>IF(H339="","",N329-((1/Comparisons!#REF!)*1000000))</f>
        <v/>
      </c>
      <c r="O339" s="56" t="str">
        <f>IF(I339="","",O329-((1/Comparisons!#REF!)*1000000))</f>
        <v/>
      </c>
    </row>
    <row r="340" spans="1:15" x14ac:dyDescent="0.25">
      <c r="A340" s="51" t="s">
        <v>14</v>
      </c>
      <c r="B340" s="52" t="s">
        <v>13</v>
      </c>
      <c r="C340" s="52" t="s">
        <v>11</v>
      </c>
      <c r="D340" s="59">
        <f>IF(D330="","",(D330-'2018'!D310)/'2018'!D310)</f>
        <v>-6.1012157195363299E-2</v>
      </c>
      <c r="E340" s="59">
        <f>IF(E330="","",(E330-'2018'!E310)/'2018'!E310)</f>
        <v>-6.0187597707139134E-2</v>
      </c>
      <c r="F340" s="59">
        <f>IF(F330="","",(F330-'2018'!F310)/'2018'!F310)</f>
        <v>-1.7452732183669228E-2</v>
      </c>
      <c r="G340" s="59" t="str">
        <f>IF(G330="","",(G330-#REF!)/#REF!)</f>
        <v/>
      </c>
      <c r="H340" s="59" t="str">
        <f>IF(H330="","",(H330-#REF!)/#REF!)</f>
        <v/>
      </c>
      <c r="I340" s="59" t="str">
        <f>IF(I330="","",(I330-#REF!)/#REF!)</f>
        <v/>
      </c>
      <c r="J340" s="55"/>
      <c r="K340" s="55"/>
      <c r="L340" s="55"/>
      <c r="M340" s="55" t="str">
        <f>IF(G340="","",M330-((1/Comparisons!#REF!)*1000000))</f>
        <v/>
      </c>
      <c r="N340" s="55" t="str">
        <f>IF(H340="","",N330-((1/Comparisons!#REF!)*1000000))</f>
        <v/>
      </c>
      <c r="O340" s="56" t="str">
        <f>IF(I340="","",O330-((1/Comparisons!#REF!)*1000000))</f>
        <v/>
      </c>
    </row>
    <row r="341" spans="1:15" x14ac:dyDescent="0.25">
      <c r="A341" s="51" t="s">
        <v>15</v>
      </c>
      <c r="B341" s="8" t="s">
        <v>16</v>
      </c>
      <c r="C341" s="52" t="s">
        <v>11</v>
      </c>
      <c r="D341" s="59">
        <f>IF(D331="","",(D331-'2018'!D311)/'2018'!D311)</f>
        <v>-0.16250363055474876</v>
      </c>
      <c r="E341" s="59">
        <f>IF(E331="","",(E331-'2018'!E311)/'2018'!E311)</f>
        <v>-0.10228310502283106</v>
      </c>
      <c r="F341" s="59">
        <f>IF(F331="","",(F331-'2018'!F311)/'2018'!F311)</f>
        <v>-2.2162386081193041E-2</v>
      </c>
      <c r="G341" s="59" t="str">
        <f>IF(G331="","",(G331-#REF!)/#REF!)</f>
        <v/>
      </c>
      <c r="H341" s="59" t="str">
        <f>IF(H331="","",(H331-#REF!)/#REF!)</f>
        <v/>
      </c>
      <c r="I341" s="59" t="str">
        <f>IF(I331="","",(I331-#REF!)/#REF!)</f>
        <v/>
      </c>
      <c r="J341" s="55"/>
      <c r="K341" s="55"/>
      <c r="L341" s="55"/>
      <c r="M341" s="55" t="str">
        <f>IF(G341="","",M331-((1/Comparisons!#REF!)*1000000))</f>
        <v/>
      </c>
      <c r="N341" s="55" t="str">
        <f>IF(H341="","",N331-((1/Comparisons!#REF!)*1000000))</f>
        <v/>
      </c>
      <c r="O341" s="56" t="str">
        <f>IF(I341="","",O331-((1/Comparisons!#REF!)*1000000))</f>
        <v/>
      </c>
    </row>
    <row r="342" spans="1:15" ht="15.75" thickBot="1" x14ac:dyDescent="0.3">
      <c r="A342" s="60" t="s">
        <v>17</v>
      </c>
      <c r="B342" s="61" t="s">
        <v>18</v>
      </c>
      <c r="C342" s="61" t="s">
        <v>11</v>
      </c>
      <c r="D342" s="59">
        <f>IF(D332="","",(D332-'2018'!D312)/'2018'!D312)</f>
        <v>-2.2995090016366612E-2</v>
      </c>
      <c r="E342" s="59">
        <f>IF(E332="","",(E332-'2018'!E312)/'2018'!E312)</f>
        <v>2.7068020067670052E-2</v>
      </c>
      <c r="F342" s="59">
        <f>IF(F332="","",(F332-'2018'!F312)/'2018'!F312)</f>
        <v>6.9522314420273606E-3</v>
      </c>
      <c r="G342" s="62" t="str">
        <f>IF(G332="","",(G332-#REF!)/#REF!)</f>
        <v/>
      </c>
      <c r="H342" s="62" t="str">
        <f>IF(H332="","",(H332-#REF!)/#REF!)</f>
        <v/>
      </c>
      <c r="I342" s="62" t="str">
        <f>IF(I332="","",(I332-#REF!)/#REF!)</f>
        <v/>
      </c>
      <c r="J342" s="63"/>
      <c r="K342" s="63"/>
      <c r="L342" s="63"/>
      <c r="M342" s="63" t="str">
        <f>IF(G342="","",M332-((1/Comparisons!#REF!)*1000000))</f>
        <v/>
      </c>
      <c r="N342" s="63" t="str">
        <f>IF(H342="","",N332-((1/Comparisons!#REF!)*1000000))</f>
        <v/>
      </c>
      <c r="O342" s="64" t="str">
        <f>IF(I342="","",O332-((1/Comparisons!#REF!)*1000000))</f>
        <v/>
      </c>
    </row>
    <row r="343" spans="1:15" ht="18.75" x14ac:dyDescent="0.3">
      <c r="A343" s="119" t="s">
        <v>212</v>
      </c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5"/>
    </row>
    <row r="344" spans="1:15" x14ac:dyDescent="0.25">
      <c r="A344" s="134" t="s">
        <v>1</v>
      </c>
      <c r="B344" s="135"/>
      <c r="C344" s="135"/>
      <c r="D344" s="136" t="s">
        <v>19</v>
      </c>
      <c r="E344" s="136"/>
      <c r="F344" s="136"/>
      <c r="G344" s="136"/>
      <c r="H344" s="136"/>
      <c r="I344" s="136"/>
      <c r="J344" s="136" t="s">
        <v>22</v>
      </c>
      <c r="K344" s="136"/>
      <c r="L344" s="136"/>
      <c r="M344" s="136"/>
      <c r="N344" s="136"/>
      <c r="O344" s="137"/>
    </row>
    <row r="345" spans="1:15" x14ac:dyDescent="0.25">
      <c r="A345" s="47" t="s">
        <v>4</v>
      </c>
      <c r="B345" s="48" t="s">
        <v>5</v>
      </c>
      <c r="C345" s="48" t="s">
        <v>6</v>
      </c>
      <c r="D345" s="49">
        <v>1</v>
      </c>
      <c r="E345" s="49">
        <v>4</v>
      </c>
      <c r="F345" s="49">
        <v>16</v>
      </c>
      <c r="G345" s="49">
        <v>32</v>
      </c>
      <c r="H345" s="49">
        <v>64</v>
      </c>
      <c r="I345" s="49">
        <v>80</v>
      </c>
      <c r="J345" s="49">
        <v>1</v>
      </c>
      <c r="K345" s="49">
        <v>4</v>
      </c>
      <c r="L345" s="49">
        <v>16</v>
      </c>
      <c r="M345" s="49">
        <v>32</v>
      </c>
      <c r="N345" s="49">
        <v>64</v>
      </c>
      <c r="O345" s="50">
        <v>80</v>
      </c>
    </row>
    <row r="346" spans="1:15" x14ac:dyDescent="0.25">
      <c r="A346" s="51" t="s">
        <v>7</v>
      </c>
      <c r="B346" s="52" t="s">
        <v>8</v>
      </c>
      <c r="C346" s="52" t="s">
        <v>9</v>
      </c>
      <c r="D346" s="59">
        <f>IF(D327="","",(D327-'2018'!D370)/'2018'!D370)</f>
        <v>-3.0252100840336135E-2</v>
      </c>
      <c r="E346" s="59">
        <f>IF(E327="","",(E327-'2018'!E370)/'2018'!E370)</f>
        <v>1.3210972166196046E-2</v>
      </c>
      <c r="F346" s="59">
        <f>IF(F327="","",(F327-'2018'!F370)/'2018'!F370)</f>
        <v>3.08060927605682E-3</v>
      </c>
      <c r="G346" s="59" t="str">
        <f>IF(G327="","",(G327-'2018'!G550)/'2018'!G550)</f>
        <v/>
      </c>
      <c r="H346" s="59" t="str">
        <f>IF(H327="","",(H327-'2018'!H550)/'2018'!H550)</f>
        <v/>
      </c>
      <c r="I346" s="59" t="str">
        <f>IF(I327="","",(I327-'2018'!I550)/'2018'!I550)</f>
        <v/>
      </c>
      <c r="J346" s="55"/>
      <c r="K346" s="55"/>
      <c r="L346" s="55"/>
      <c r="M346" s="55" t="str">
        <f>IF(G346="","",M336-((1/Comparisons!#REF!)*1000000))</f>
        <v/>
      </c>
      <c r="N346" s="55" t="str">
        <f>IF(H346="","",N336-((1/Comparisons!#REF!)*1000000))</f>
        <v/>
      </c>
      <c r="O346" s="56" t="str">
        <f>IF(I346="","",O336-((1/Comparisons!#REF!)*1000000))</f>
        <v/>
      </c>
    </row>
    <row r="347" spans="1:15" x14ac:dyDescent="0.25">
      <c r="A347" s="51" t="s">
        <v>10</v>
      </c>
      <c r="B347" s="52" t="s">
        <v>8</v>
      </c>
      <c r="C347" s="52" t="s">
        <v>11</v>
      </c>
      <c r="D347" s="59">
        <f>IF(D328="","",(D328-'2018'!D371)/'2018'!D371)</f>
        <v>-4.3166268009122766E-2</v>
      </c>
      <c r="E347" s="59">
        <f>IF(E328="","",(E328-'2018'!E371)/'2018'!E371)</f>
        <v>-5.6605344210438691E-3</v>
      </c>
      <c r="F347" s="59">
        <f>IF(F328="","",(F328-'2018'!F371)/'2018'!F371)</f>
        <v>-6.3859509080023951E-3</v>
      </c>
      <c r="G347" s="59" t="str">
        <f>IF(G337="","",(G337-#REF!)/#REF!)</f>
        <v/>
      </c>
      <c r="H347" s="59" t="str">
        <f>IF(H337="","",(H337-#REF!)/#REF!)</f>
        <v/>
      </c>
      <c r="I347" s="59" t="str">
        <f>IF(I337="","",(I337-#REF!)/#REF!)</f>
        <v/>
      </c>
      <c r="J347" s="55"/>
      <c r="K347" s="55"/>
      <c r="L347" s="55"/>
      <c r="M347" s="55" t="str">
        <f>IF(G347="","",M337-((1/Comparisons!#REF!)*1000000))</f>
        <v/>
      </c>
      <c r="N347" s="55" t="str">
        <f>IF(H347="","",N337-((1/Comparisons!#REF!)*1000000))</f>
        <v/>
      </c>
      <c r="O347" s="56" t="str">
        <f>IF(I347="","",O337-((1/Comparisons!#REF!)*1000000))</f>
        <v/>
      </c>
    </row>
    <row r="348" spans="1:15" x14ac:dyDescent="0.25">
      <c r="A348" s="51" t="s">
        <v>12</v>
      </c>
      <c r="B348" s="52" t="s">
        <v>13</v>
      </c>
      <c r="C348" s="52" t="s">
        <v>9</v>
      </c>
      <c r="D348" s="59">
        <f>IF(D329="","",(D329-'2018'!D372)/'2018'!D372)</f>
        <v>1.7819601561717888E-2</v>
      </c>
      <c r="E348" s="59">
        <f>IF(E329="","",(E329-'2018'!E372)/'2018'!E372)</f>
        <v>4.0342091937208127E-2</v>
      </c>
      <c r="F348" s="59">
        <f>IF(F329="","",(F329-'2018'!F372)/'2018'!F372)</f>
        <v>-1.5965939329430547E-3</v>
      </c>
      <c r="G348" s="59" t="str">
        <f>IF(G338="","",(G338-#REF!)/#REF!)</f>
        <v/>
      </c>
      <c r="H348" s="59" t="str">
        <f>IF(H338="","",(H338-#REF!)/#REF!)</f>
        <v/>
      </c>
      <c r="I348" s="59" t="str">
        <f>IF(I338="","",(I338-#REF!)/#REF!)</f>
        <v/>
      </c>
      <c r="J348" s="55"/>
      <c r="K348" s="55"/>
      <c r="L348" s="55"/>
      <c r="M348" s="55" t="str">
        <f>IF(G348="","",M338-((1/Comparisons!#REF!)*1000000))</f>
        <v/>
      </c>
      <c r="N348" s="55" t="str">
        <f>IF(H348="","",N338-((1/Comparisons!#REF!)*1000000))</f>
        <v/>
      </c>
      <c r="O348" s="56" t="str">
        <f>IF(I348="","",O338-((1/Comparisons!#REF!)*1000000))</f>
        <v/>
      </c>
    </row>
    <row r="349" spans="1:15" x14ac:dyDescent="0.25">
      <c r="A349" s="51" t="s">
        <v>14</v>
      </c>
      <c r="B349" s="52" t="s">
        <v>13</v>
      </c>
      <c r="C349" s="52" t="s">
        <v>11</v>
      </c>
      <c r="D349" s="59">
        <f>IF(D330="","",(D330-'2018'!D373)/'2018'!D373)</f>
        <v>-7.2083147071971387E-2</v>
      </c>
      <c r="E349" s="59">
        <f>IF(E330="","",(E330-'2018'!E373)/'2018'!E373)</f>
        <v>-7.3623833575892472E-2</v>
      </c>
      <c r="F349" s="59">
        <f>IF(F330="","",(F330-'2018'!F373)/'2018'!F373)</f>
        <v>-9.633507853403141E-3</v>
      </c>
      <c r="G349" s="59" t="str">
        <f>IF(G339="","",(G339-#REF!)/#REF!)</f>
        <v/>
      </c>
      <c r="H349" s="59" t="str">
        <f>IF(H339="","",(H339-#REF!)/#REF!)</f>
        <v/>
      </c>
      <c r="I349" s="59" t="str">
        <f>IF(I339="","",(I339-#REF!)/#REF!)</f>
        <v/>
      </c>
      <c r="J349" s="55"/>
      <c r="K349" s="55"/>
      <c r="L349" s="55"/>
      <c r="M349" s="55" t="str">
        <f>IF(G349="","",M339-((1/Comparisons!#REF!)*1000000))</f>
        <v/>
      </c>
      <c r="N349" s="55" t="str">
        <f>IF(H349="","",N339-((1/Comparisons!#REF!)*1000000))</f>
        <v/>
      </c>
      <c r="O349" s="56" t="str">
        <f>IF(I349="","",O339-((1/Comparisons!#REF!)*1000000))</f>
        <v/>
      </c>
    </row>
    <row r="350" spans="1:15" x14ac:dyDescent="0.25">
      <c r="A350" s="51" t="s">
        <v>15</v>
      </c>
      <c r="B350" s="8" t="s">
        <v>16</v>
      </c>
      <c r="C350" s="52" t="s">
        <v>11</v>
      </c>
      <c r="D350" s="59">
        <f>IF(D331="","",(D331-'2018'!D374)/'2018'!D374)</f>
        <v>-0.14909627443747694</v>
      </c>
      <c r="E350" s="59">
        <f>IF(E331="","",(E331-'2018'!E374)/'2018'!E374)</f>
        <v>-7.9588014981273408E-2</v>
      </c>
      <c r="F350" s="59">
        <f>IF(F331="","",(F331-'2018'!F374)/'2018'!F374)</f>
        <v>-1.6663195167673402E-2</v>
      </c>
      <c r="G350" s="59" t="str">
        <f>IF(G340="","",(G340-#REF!)/#REF!)</f>
        <v/>
      </c>
      <c r="H350" s="59" t="str">
        <f>IF(H340="","",(H340-#REF!)/#REF!)</f>
        <v/>
      </c>
      <c r="I350" s="59" t="str">
        <f>IF(I340="","",(I340-#REF!)/#REF!)</f>
        <v/>
      </c>
      <c r="J350" s="55"/>
      <c r="K350" s="55"/>
      <c r="L350" s="55"/>
      <c r="M350" s="55" t="str">
        <f>IF(G350="","",M340-((1/Comparisons!#REF!)*1000000))</f>
        <v/>
      </c>
      <c r="N350" s="55" t="str">
        <f>IF(H350="","",N340-((1/Comparisons!#REF!)*1000000))</f>
        <v/>
      </c>
      <c r="O350" s="56" t="str">
        <f>IF(I350="","",O340-((1/Comparisons!#REF!)*1000000))</f>
        <v/>
      </c>
    </row>
    <row r="351" spans="1:15" ht="15.75" thickBot="1" x14ac:dyDescent="0.3">
      <c r="A351" s="60" t="s">
        <v>17</v>
      </c>
      <c r="B351" s="61" t="s">
        <v>18</v>
      </c>
      <c r="C351" s="61" t="s">
        <v>11</v>
      </c>
      <c r="D351" s="59">
        <f>IF(D332="","",(D332-'2018'!D375)/'2018'!D375)</f>
        <v>-3.3122772918691284E-2</v>
      </c>
      <c r="E351" s="59">
        <f>IF(E332="","",(E332-'2018'!E375)/'2018'!E375)</f>
        <v>2.163023679417122E-3</v>
      </c>
      <c r="F351" s="59">
        <f>IF(F332="","",(F332-'2018'!F375)/'2018'!F375)</f>
        <v>-5.2142706354232633E-2</v>
      </c>
      <c r="G351" s="62" t="str">
        <f>IF(G341="","",(G341-#REF!)/#REF!)</f>
        <v/>
      </c>
      <c r="H351" s="62" t="str">
        <f>IF(H341="","",(H341-#REF!)/#REF!)</f>
        <v/>
      </c>
      <c r="I351" s="62" t="str">
        <f>IF(I341="","",(I341-#REF!)/#REF!)</f>
        <v/>
      </c>
      <c r="J351" s="63"/>
      <c r="K351" s="63"/>
      <c r="L351" s="63"/>
      <c r="M351" s="63" t="str">
        <f>IF(G351="","",M341-((1/Comparisons!#REF!)*1000000))</f>
        <v/>
      </c>
      <c r="N351" s="63" t="str">
        <f>IF(H351="","",N341-((1/Comparisons!#REF!)*1000000))</f>
        <v/>
      </c>
      <c r="O351" s="64" t="str">
        <f>IF(I351="","",O341-((1/Comparisons!#REF!)*1000000))</f>
        <v/>
      </c>
    </row>
    <row r="352" spans="1:15" ht="15.75" thickBot="1" x14ac:dyDescent="0.3"/>
    <row r="353" spans="1:15" ht="18.75" x14ac:dyDescent="0.25">
      <c r="A353" s="110" t="s">
        <v>213</v>
      </c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40"/>
    </row>
    <row r="354" spans="1:15" ht="15.75" x14ac:dyDescent="0.25">
      <c r="A354" s="113" t="s">
        <v>225</v>
      </c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2"/>
    </row>
    <row r="355" spans="1:15" x14ac:dyDescent="0.25">
      <c r="A355" s="134" t="s">
        <v>1</v>
      </c>
      <c r="B355" s="135"/>
      <c r="C355" s="135"/>
      <c r="D355" s="136" t="s">
        <v>2</v>
      </c>
      <c r="E355" s="136"/>
      <c r="F355" s="136"/>
      <c r="G355" s="136"/>
      <c r="H355" s="136"/>
      <c r="I355" s="136"/>
      <c r="J355" s="136" t="s">
        <v>3</v>
      </c>
      <c r="K355" s="136"/>
      <c r="L355" s="136"/>
      <c r="M355" s="136"/>
      <c r="N355" s="136"/>
      <c r="O355" s="137"/>
    </row>
    <row r="356" spans="1:15" x14ac:dyDescent="0.25">
      <c r="A356" s="47" t="s">
        <v>26</v>
      </c>
      <c r="B356" s="48" t="s">
        <v>5</v>
      </c>
      <c r="C356" s="48" t="s">
        <v>6</v>
      </c>
      <c r="D356" s="49">
        <v>1</v>
      </c>
      <c r="E356" s="49">
        <v>4</v>
      </c>
      <c r="F356" s="49">
        <v>16</v>
      </c>
      <c r="G356" s="49">
        <v>32</v>
      </c>
      <c r="H356" s="49">
        <v>64</v>
      </c>
      <c r="I356" s="49">
        <v>80</v>
      </c>
      <c r="J356" s="49">
        <v>1</v>
      </c>
      <c r="K356" s="49">
        <v>4</v>
      </c>
      <c r="L356" s="49">
        <v>16</v>
      </c>
      <c r="M356" s="49">
        <v>32</v>
      </c>
      <c r="N356" s="49">
        <v>64</v>
      </c>
      <c r="O356" s="50">
        <v>80</v>
      </c>
    </row>
    <row r="357" spans="1:15" x14ac:dyDescent="0.25">
      <c r="A357" s="51" t="s">
        <v>7</v>
      </c>
      <c r="B357" s="52" t="s">
        <v>8</v>
      </c>
      <c r="C357" s="52" t="s">
        <v>9</v>
      </c>
      <c r="D357" s="53">
        <v>41222</v>
      </c>
      <c r="E357" s="53">
        <v>19993</v>
      </c>
      <c r="F357" s="53">
        <v>5843</v>
      </c>
      <c r="G357" s="54"/>
      <c r="H357" s="54"/>
      <c r="I357" s="54"/>
      <c r="J357" s="55"/>
      <c r="K357" s="55"/>
      <c r="L357" s="55"/>
      <c r="M357" s="55" t="str">
        <f t="shared" ref="M357:M362" si="40">IF(G357="","",(1/G357)*1000000)</f>
        <v/>
      </c>
      <c r="N357" s="55" t="str">
        <f t="shared" ref="N357:N362" si="41">IF(H357="","",(1/H357)*1000000)</f>
        <v/>
      </c>
      <c r="O357" s="56" t="str">
        <f t="shared" ref="O357:O362" si="42">IF(I357="","",(1/I357)*1000000)</f>
        <v/>
      </c>
    </row>
    <row r="358" spans="1:15" x14ac:dyDescent="0.25">
      <c r="A358" s="51" t="s">
        <v>10</v>
      </c>
      <c r="B358" s="52" t="s">
        <v>8</v>
      </c>
      <c r="C358" s="52" t="s">
        <v>11</v>
      </c>
      <c r="D358" s="53">
        <v>17555</v>
      </c>
      <c r="E358" s="53">
        <v>11194</v>
      </c>
      <c r="F358" s="53">
        <v>4801</v>
      </c>
      <c r="G358" s="54"/>
      <c r="H358" s="54"/>
      <c r="I358" s="54"/>
      <c r="J358" s="55"/>
      <c r="K358" s="55"/>
      <c r="L358" s="55"/>
      <c r="M358" s="55" t="str">
        <f t="shared" si="40"/>
        <v/>
      </c>
      <c r="N358" s="55" t="str">
        <f t="shared" si="41"/>
        <v/>
      </c>
      <c r="O358" s="56" t="str">
        <f t="shared" si="42"/>
        <v/>
      </c>
    </row>
    <row r="359" spans="1:15" x14ac:dyDescent="0.25">
      <c r="A359" s="51" t="s">
        <v>12</v>
      </c>
      <c r="B359" s="52" t="s">
        <v>13</v>
      </c>
      <c r="C359" s="52" t="s">
        <v>9</v>
      </c>
      <c r="D359" s="53">
        <v>39956</v>
      </c>
      <c r="E359" s="53">
        <v>18254</v>
      </c>
      <c r="F359" s="53">
        <v>5637</v>
      </c>
      <c r="G359" s="54"/>
      <c r="H359" s="54"/>
      <c r="I359" s="54"/>
      <c r="J359" s="55"/>
      <c r="K359" s="55"/>
      <c r="L359" s="55"/>
      <c r="M359" s="55" t="str">
        <f t="shared" si="40"/>
        <v/>
      </c>
      <c r="N359" s="55" t="str">
        <f t="shared" si="41"/>
        <v/>
      </c>
      <c r="O359" s="56" t="str">
        <f t="shared" si="42"/>
        <v/>
      </c>
    </row>
    <row r="360" spans="1:15" x14ac:dyDescent="0.25">
      <c r="A360" s="51" t="s">
        <v>14</v>
      </c>
      <c r="B360" s="52" t="s">
        <v>13</v>
      </c>
      <c r="C360" s="52" t="s">
        <v>11</v>
      </c>
      <c r="D360" s="53">
        <v>16486</v>
      </c>
      <c r="E360" s="53">
        <v>11151</v>
      </c>
      <c r="F360" s="53">
        <v>4808</v>
      </c>
      <c r="G360" s="54"/>
      <c r="H360" s="54"/>
      <c r="I360" s="54"/>
      <c r="J360" s="55"/>
      <c r="K360" s="55"/>
      <c r="L360" s="55"/>
      <c r="M360" s="55" t="str">
        <f t="shared" si="40"/>
        <v/>
      </c>
      <c r="N360" s="55" t="str">
        <f t="shared" si="41"/>
        <v/>
      </c>
      <c r="O360" s="56" t="str">
        <f t="shared" si="42"/>
        <v/>
      </c>
    </row>
    <row r="361" spans="1:15" x14ac:dyDescent="0.25">
      <c r="A361" s="51" t="s">
        <v>15</v>
      </c>
      <c r="B361" s="52" t="s">
        <v>16</v>
      </c>
      <c r="C361" s="52" t="s">
        <v>11</v>
      </c>
      <c r="D361" s="53">
        <v>13594</v>
      </c>
      <c r="E361" s="53">
        <v>10377</v>
      </c>
      <c r="F361" s="53">
        <v>4641</v>
      </c>
      <c r="G361" s="54"/>
      <c r="H361" s="54"/>
      <c r="I361" s="54"/>
      <c r="J361" s="55"/>
      <c r="K361" s="55"/>
      <c r="L361" s="55"/>
      <c r="M361" s="55" t="str">
        <f t="shared" si="40"/>
        <v/>
      </c>
      <c r="N361" s="55" t="str">
        <f t="shared" si="41"/>
        <v/>
      </c>
      <c r="O361" s="56" t="str">
        <f t="shared" si="42"/>
        <v/>
      </c>
    </row>
    <row r="362" spans="1:15" x14ac:dyDescent="0.25">
      <c r="A362" s="28" t="s">
        <v>17</v>
      </c>
      <c r="B362" s="52" t="s">
        <v>18</v>
      </c>
      <c r="C362" s="52" t="s">
        <v>11</v>
      </c>
      <c r="D362" s="53">
        <v>11553</v>
      </c>
      <c r="E362" s="53">
        <v>10427</v>
      </c>
      <c r="F362" s="53">
        <v>4674</v>
      </c>
      <c r="G362" s="54"/>
      <c r="H362" s="54"/>
      <c r="I362" s="54"/>
      <c r="J362" s="55"/>
      <c r="K362" s="55"/>
      <c r="L362" s="55"/>
      <c r="M362" s="55" t="str">
        <f t="shared" si="40"/>
        <v/>
      </c>
      <c r="N362" s="55" t="str">
        <f t="shared" si="41"/>
        <v/>
      </c>
      <c r="O362" s="56" t="str">
        <f t="shared" si="42"/>
        <v/>
      </c>
    </row>
    <row r="363" spans="1:15" x14ac:dyDescent="0.25">
      <c r="A363" s="116" t="s">
        <v>226</v>
      </c>
      <c r="B363" s="117"/>
      <c r="C363" s="117"/>
      <c r="D363" s="117"/>
      <c r="E363" s="143"/>
      <c r="F363" s="143"/>
      <c r="G363" s="143"/>
      <c r="H363" s="118"/>
      <c r="I363" s="118"/>
      <c r="J363" s="57"/>
      <c r="K363" s="57"/>
      <c r="L363" s="57"/>
      <c r="M363" s="57"/>
      <c r="N363" s="57"/>
      <c r="O363" s="58"/>
    </row>
    <row r="364" spans="1:15" ht="18.75" x14ac:dyDescent="0.3">
      <c r="A364" s="119" t="s">
        <v>193</v>
      </c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5"/>
    </row>
    <row r="365" spans="1:15" x14ac:dyDescent="0.25">
      <c r="A365" s="134" t="s">
        <v>1</v>
      </c>
      <c r="B365" s="135"/>
      <c r="C365" s="135"/>
      <c r="D365" s="136" t="s">
        <v>19</v>
      </c>
      <c r="E365" s="136"/>
      <c r="F365" s="136"/>
      <c r="G365" s="136"/>
      <c r="H365" s="136"/>
      <c r="I365" s="136"/>
      <c r="J365" s="136" t="s">
        <v>22</v>
      </c>
      <c r="K365" s="136"/>
      <c r="L365" s="136"/>
      <c r="M365" s="136"/>
      <c r="N365" s="136"/>
      <c r="O365" s="137"/>
    </row>
    <row r="366" spans="1:15" x14ac:dyDescent="0.25">
      <c r="A366" s="47" t="s">
        <v>4</v>
      </c>
      <c r="B366" s="48" t="s">
        <v>5</v>
      </c>
      <c r="C366" s="48" t="s">
        <v>6</v>
      </c>
      <c r="D366" s="49">
        <v>1</v>
      </c>
      <c r="E366" s="49">
        <v>4</v>
      </c>
      <c r="F366" s="49">
        <v>16</v>
      </c>
      <c r="G366" s="49">
        <v>32</v>
      </c>
      <c r="H366" s="49">
        <v>64</v>
      </c>
      <c r="I366" s="49">
        <v>80</v>
      </c>
      <c r="J366" s="49">
        <v>1</v>
      </c>
      <c r="K366" s="49">
        <v>4</v>
      </c>
      <c r="L366" s="49">
        <v>16</v>
      </c>
      <c r="M366" s="49">
        <v>32</v>
      </c>
      <c r="N366" s="49">
        <v>64</v>
      </c>
      <c r="O366" s="50">
        <v>80</v>
      </c>
    </row>
    <row r="367" spans="1:15" x14ac:dyDescent="0.25">
      <c r="A367" s="51" t="s">
        <v>7</v>
      </c>
      <c r="B367" s="52" t="s">
        <v>8</v>
      </c>
      <c r="C367" s="52" t="s">
        <v>9</v>
      </c>
      <c r="D367" s="59">
        <f>IF(D357="","",(D357-'2018'!D307)/'2018'!D307)</f>
        <v>-4.3550894452307476E-2</v>
      </c>
      <c r="E367" s="59">
        <f>IF(E357="","",(E357-'2018'!E307)/'2018'!E307)</f>
        <v>1.0053551581287259E-2</v>
      </c>
      <c r="F367" s="59">
        <f>IF(F357="","",(F357-'2018'!F307)/'2018'!F307)</f>
        <v>0</v>
      </c>
      <c r="G367" s="59" t="str">
        <f>IF(G357="","",(G357-'2017'!G698)/'2017'!G698)</f>
        <v/>
      </c>
      <c r="H367" s="59" t="str">
        <f>IF(H357="","",(H357-#REF!)/#REF!)</f>
        <v/>
      </c>
      <c r="I367" s="59" t="str">
        <f>IF(I357="","",(I357-#REF!)/#REF!)</f>
        <v/>
      </c>
      <c r="J367" s="55"/>
      <c r="K367" s="55"/>
      <c r="L367" s="55"/>
      <c r="M367" s="55" t="str">
        <f>IF(G367="","",M357-((1/Comparisons!#REF!)*1000000))</f>
        <v/>
      </c>
      <c r="N367" s="55" t="str">
        <f>IF(H367="","",N357-((1/Comparisons!#REF!)*1000000))</f>
        <v/>
      </c>
      <c r="O367" s="56" t="str">
        <f>IF(I367="","",O357-((1/Comparisons!#REF!)*1000000))</f>
        <v/>
      </c>
    </row>
    <row r="368" spans="1:15" x14ac:dyDescent="0.25">
      <c r="A368" s="51" t="s">
        <v>10</v>
      </c>
      <c r="B368" s="52" t="s">
        <v>8</v>
      </c>
      <c r="C368" s="52" t="s">
        <v>11</v>
      </c>
      <c r="D368" s="59">
        <f>IF(D358="","",(D358-'2018'!D308)/'2018'!D308)</f>
        <v>-1.4151738080530128E-2</v>
      </c>
      <c r="E368" s="59">
        <f>IF(E358="","",(E358-'2018'!E308)/'2018'!E308)</f>
        <v>-7.8227931488801056E-2</v>
      </c>
      <c r="F368" s="59">
        <f>IF(F358="","",(F358-'2018'!F308)/'2018'!F308)</f>
        <v>-4.0375774535278831E-2</v>
      </c>
      <c r="G368" s="59" t="str">
        <f>IF(G358="","",(G358-#REF!)/#REF!)</f>
        <v/>
      </c>
      <c r="H368" s="59" t="str">
        <f>IF(H358="","",(H358-#REF!)/#REF!)</f>
        <v/>
      </c>
      <c r="I368" s="59" t="str">
        <f>IF(I358="","",(I358-#REF!)/#REF!)</f>
        <v/>
      </c>
      <c r="J368" s="55"/>
      <c r="K368" s="55"/>
      <c r="L368" s="55"/>
      <c r="M368" s="55" t="str">
        <f>IF(G368="","",M358-((1/Comparisons!#REF!)*1000000))</f>
        <v/>
      </c>
      <c r="N368" s="55" t="str">
        <f>IF(H368="","",N358-((1/Comparisons!#REF!)*1000000))</f>
        <v/>
      </c>
      <c r="O368" s="56" t="str">
        <f>IF(I368="","",O358-((1/Comparisons!#REF!)*1000000))</f>
        <v/>
      </c>
    </row>
    <row r="369" spans="1:15" x14ac:dyDescent="0.25">
      <c r="A369" s="51" t="s">
        <v>12</v>
      </c>
      <c r="B369" s="52" t="s">
        <v>13</v>
      </c>
      <c r="C369" s="52" t="s">
        <v>9</v>
      </c>
      <c r="D369" s="59">
        <f>IF(D359="","",(D359-'2018'!D309)/'2018'!D309)</f>
        <v>0</v>
      </c>
      <c r="E369" s="59">
        <f>IF(E359="","",(E359-'2018'!E309)/'2018'!E309)</f>
        <v>1.9150242867511585E-2</v>
      </c>
      <c r="F369" s="59">
        <f>IF(F359="","",(F359-'2018'!F309)/'2018'!F309)</f>
        <v>8.5882984433709071E-3</v>
      </c>
      <c r="G369" s="59" t="str">
        <f>IF(G359="","",(G359-#REF!)/#REF!)</f>
        <v/>
      </c>
      <c r="H369" s="59" t="str">
        <f>IF(H359="","",(H359-#REF!)/#REF!)</f>
        <v/>
      </c>
      <c r="I369" s="59" t="str">
        <f>IF(I359="","",(I359-#REF!)/#REF!)</f>
        <v/>
      </c>
      <c r="J369" s="55"/>
      <c r="K369" s="55"/>
      <c r="L369" s="55"/>
      <c r="M369" s="55" t="str">
        <f>IF(G369="","",M359-((1/Comparisons!#REF!)*1000000))</f>
        <v/>
      </c>
      <c r="N369" s="55" t="str">
        <f>IF(H369="","",N359-((1/Comparisons!#REF!)*1000000))</f>
        <v/>
      </c>
      <c r="O369" s="56" t="str">
        <f>IF(I369="","",O359-((1/Comparisons!#REF!)*1000000))</f>
        <v/>
      </c>
    </row>
    <row r="370" spans="1:15" x14ac:dyDescent="0.25">
      <c r="A370" s="51" t="s">
        <v>14</v>
      </c>
      <c r="B370" s="52" t="s">
        <v>13</v>
      </c>
      <c r="C370" s="52" t="s">
        <v>11</v>
      </c>
      <c r="D370" s="59">
        <f>IF(D360="","",(D360-'2018'!D310)/'2018'!D310)</f>
        <v>-6.7797568560927335E-2</v>
      </c>
      <c r="E370" s="59">
        <f>IF(E360="","",(E360-'2018'!E310)/'2018'!E310)</f>
        <v>-3.1526836894215739E-2</v>
      </c>
      <c r="F370" s="59">
        <f>IF(F360="","",(F360-'2018'!F310)/'2018'!F310)</f>
        <v>-1.0388531061707874E-3</v>
      </c>
      <c r="G370" s="59" t="str">
        <f>IF(G360="","",(G360-#REF!)/#REF!)</f>
        <v/>
      </c>
      <c r="H370" s="59" t="str">
        <f>IF(H360="","",(H360-#REF!)/#REF!)</f>
        <v/>
      </c>
      <c r="I370" s="59" t="str">
        <f>IF(I360="","",(I360-#REF!)/#REF!)</f>
        <v/>
      </c>
      <c r="J370" s="55"/>
      <c r="K370" s="55"/>
      <c r="L370" s="55"/>
      <c r="M370" s="55" t="str">
        <f>IF(G370="","",M360-((1/Comparisons!#REF!)*1000000))</f>
        <v/>
      </c>
      <c r="N370" s="55" t="str">
        <f>IF(H370="","",N360-((1/Comparisons!#REF!)*1000000))</f>
        <v/>
      </c>
      <c r="O370" s="56" t="str">
        <f>IF(I370="","",O360-((1/Comparisons!#REF!)*1000000))</f>
        <v/>
      </c>
    </row>
    <row r="371" spans="1:15" x14ac:dyDescent="0.25">
      <c r="A371" s="51" t="s">
        <v>15</v>
      </c>
      <c r="B371" s="8" t="s">
        <v>16</v>
      </c>
      <c r="C371" s="52" t="s">
        <v>11</v>
      </c>
      <c r="D371" s="59">
        <f>IF(D361="","",(D361-'2018'!D311)/'2018'!D311)</f>
        <v>-1.2924774905605577E-2</v>
      </c>
      <c r="E371" s="59">
        <f>IF(E361="","",(E361-'2018'!E311)/'2018'!E311)</f>
        <v>5.2968036529680365E-2</v>
      </c>
      <c r="F371" s="59">
        <f>IF(F361="","",(F361-'2018'!F311)/'2018'!F311)</f>
        <v>-3.873239436619718E-2</v>
      </c>
      <c r="G371" s="59" t="str">
        <f>IF(G361="","",(G361-#REF!)/#REF!)</f>
        <v/>
      </c>
      <c r="H371" s="59" t="str">
        <f>IF(H361="","",(H361-#REF!)/#REF!)</f>
        <v/>
      </c>
      <c r="I371" s="59" t="str">
        <f>IF(I361="","",(I361-#REF!)/#REF!)</f>
        <v/>
      </c>
      <c r="J371" s="55"/>
      <c r="K371" s="55"/>
      <c r="L371" s="55"/>
      <c r="M371" s="55" t="str">
        <f>IF(G371="","",M361-((1/Comparisons!#REF!)*1000000))</f>
        <v/>
      </c>
      <c r="N371" s="55" t="str">
        <f>IF(H371="","",N361-((1/Comparisons!#REF!)*1000000))</f>
        <v/>
      </c>
      <c r="O371" s="56" t="str">
        <f>IF(I371="","",O361-((1/Comparisons!#REF!)*1000000))</f>
        <v/>
      </c>
    </row>
    <row r="372" spans="1:15" ht="15.75" thickBot="1" x14ac:dyDescent="0.3">
      <c r="A372" s="60" t="s">
        <v>17</v>
      </c>
      <c r="B372" s="61" t="s">
        <v>18</v>
      </c>
      <c r="C372" s="61" t="s">
        <v>11</v>
      </c>
      <c r="D372" s="59">
        <f>IF(D362="","",(D362-'2018'!D312)/'2018'!D312)</f>
        <v>-5.4582651391162029E-2</v>
      </c>
      <c r="E372" s="59">
        <f>IF(E362="","",(E362-'2018'!E312)/'2018'!E312)</f>
        <v>0.21654416054136041</v>
      </c>
      <c r="F372" s="59">
        <f>IF(F362="","",(F362-'2018'!F312)/'2018'!F312)</f>
        <v>4.8217089033415567E-2</v>
      </c>
      <c r="G372" s="62" t="str">
        <f>IF(G362="","",(G362-#REF!)/#REF!)</f>
        <v/>
      </c>
      <c r="H372" s="62" t="str">
        <f>IF(H362="","",(H362-#REF!)/#REF!)</f>
        <v/>
      </c>
      <c r="I372" s="62" t="str">
        <f>IF(I362="","",(I362-#REF!)/#REF!)</f>
        <v/>
      </c>
      <c r="J372" s="63"/>
      <c r="K372" s="63"/>
      <c r="L372" s="63"/>
      <c r="M372" s="63" t="str">
        <f>IF(G372="","",M362-((1/Comparisons!#REF!)*1000000))</f>
        <v/>
      </c>
      <c r="N372" s="63" t="str">
        <f>IF(H372="","",N362-((1/Comparisons!#REF!)*1000000))</f>
        <v/>
      </c>
      <c r="O372" s="64" t="str">
        <f>IF(I372="","",O362-((1/Comparisons!#REF!)*1000000))</f>
        <v/>
      </c>
    </row>
    <row r="373" spans="1:15" ht="18.75" x14ac:dyDescent="0.3">
      <c r="A373" s="119" t="s">
        <v>212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5"/>
    </row>
    <row r="374" spans="1:15" x14ac:dyDescent="0.25">
      <c r="A374" s="134" t="s">
        <v>1</v>
      </c>
      <c r="B374" s="135"/>
      <c r="C374" s="135"/>
      <c r="D374" s="136" t="s">
        <v>19</v>
      </c>
      <c r="E374" s="136"/>
      <c r="F374" s="136"/>
      <c r="G374" s="136"/>
      <c r="H374" s="136"/>
      <c r="I374" s="136"/>
      <c r="J374" s="136" t="s">
        <v>22</v>
      </c>
      <c r="K374" s="136"/>
      <c r="L374" s="136"/>
      <c r="M374" s="136"/>
      <c r="N374" s="136"/>
      <c r="O374" s="137"/>
    </row>
    <row r="375" spans="1:15" x14ac:dyDescent="0.25">
      <c r="A375" s="47" t="s">
        <v>4</v>
      </c>
      <c r="B375" s="48" t="s">
        <v>5</v>
      </c>
      <c r="C375" s="48" t="s">
        <v>6</v>
      </c>
      <c r="D375" s="49">
        <v>1</v>
      </c>
      <c r="E375" s="49">
        <v>4</v>
      </c>
      <c r="F375" s="49">
        <v>16</v>
      </c>
      <c r="G375" s="49">
        <v>32</v>
      </c>
      <c r="H375" s="49">
        <v>64</v>
      </c>
      <c r="I375" s="49">
        <v>80</v>
      </c>
      <c r="J375" s="49">
        <v>1</v>
      </c>
      <c r="K375" s="49">
        <v>4</v>
      </c>
      <c r="L375" s="49">
        <v>16</v>
      </c>
      <c r="M375" s="49">
        <v>32</v>
      </c>
      <c r="N375" s="49">
        <v>64</v>
      </c>
      <c r="O375" s="50">
        <v>80</v>
      </c>
    </row>
    <row r="376" spans="1:15" x14ac:dyDescent="0.25">
      <c r="A376" s="51" t="s">
        <v>7</v>
      </c>
      <c r="B376" s="52" t="s">
        <v>8</v>
      </c>
      <c r="C376" s="52" t="s">
        <v>9</v>
      </c>
      <c r="D376" s="59">
        <f>IF(D357="","",(D357-'2018'!D370)/'2018'!D370)</f>
        <v>-5.0949694946471738E-2</v>
      </c>
      <c r="E376" s="59">
        <f>IF(E357="","",(E357-'2018'!E370)/'2018'!E370)</f>
        <v>8.1181928196853576E-3</v>
      </c>
      <c r="F376" s="59">
        <f>IF(F357="","",(F357-'2018'!F370)/'2018'!F370)</f>
        <v>0</v>
      </c>
      <c r="G376" s="59" t="str">
        <f>IF(G357="","",(G357-'2018'!G580)/'2018'!G580)</f>
        <v/>
      </c>
      <c r="H376" s="59" t="str">
        <f>IF(H357="","",(H357-'2018'!H580)/'2018'!H580)</f>
        <v/>
      </c>
      <c r="I376" s="59" t="str">
        <f>IF(I357="","",(I357-'2018'!I580)/'2018'!I580)</f>
        <v/>
      </c>
      <c r="J376" s="55"/>
      <c r="K376" s="55"/>
      <c r="L376" s="55"/>
      <c r="M376" s="55" t="str">
        <f>IF(G376="","",M366-((1/Comparisons!#REF!)*1000000))</f>
        <v/>
      </c>
      <c r="N376" s="55" t="str">
        <f>IF(H376="","",N366-((1/Comparisons!#REF!)*1000000))</f>
        <v/>
      </c>
      <c r="O376" s="56" t="str">
        <f>IF(I376="","",O366-((1/Comparisons!#REF!)*1000000))</f>
        <v/>
      </c>
    </row>
    <row r="377" spans="1:15" x14ac:dyDescent="0.25">
      <c r="A377" s="51" t="s">
        <v>10</v>
      </c>
      <c r="B377" s="52" t="s">
        <v>8</v>
      </c>
      <c r="C377" s="52" t="s">
        <v>11</v>
      </c>
      <c r="D377" s="59">
        <f>IF(D358="","",(D358-'2018'!D371)/'2018'!D371)</f>
        <v>-2.3474439561662123E-2</v>
      </c>
      <c r="E377" s="59">
        <f>IF(E358="","",(E358-'2018'!E371)/'2018'!E371)</f>
        <v>-6.8176142512278368E-2</v>
      </c>
      <c r="F377" s="59">
        <f>IF(F358="","",(F358-'2018'!F371)/'2018'!F371)</f>
        <v>-4.1907802833765717E-2</v>
      </c>
      <c r="G377" s="59" t="str">
        <f>IF(G367="","",(G367-#REF!)/#REF!)</f>
        <v/>
      </c>
      <c r="H377" s="59" t="str">
        <f>IF(H367="","",(H367-#REF!)/#REF!)</f>
        <v/>
      </c>
      <c r="I377" s="59" t="str">
        <f>IF(I367="","",(I367-#REF!)/#REF!)</f>
        <v/>
      </c>
      <c r="J377" s="55"/>
      <c r="K377" s="55"/>
      <c r="L377" s="55"/>
      <c r="M377" s="55" t="str">
        <f>IF(G377="","",M367-((1/Comparisons!#REF!)*1000000))</f>
        <v/>
      </c>
      <c r="N377" s="55" t="str">
        <f>IF(H377="","",N367-((1/Comparisons!#REF!)*1000000))</f>
        <v/>
      </c>
      <c r="O377" s="56" t="str">
        <f>IF(I377="","",O367-((1/Comparisons!#REF!)*1000000))</f>
        <v/>
      </c>
    </row>
    <row r="378" spans="1:15" x14ac:dyDescent="0.25">
      <c r="A378" s="51" t="s">
        <v>12</v>
      </c>
      <c r="B378" s="52" t="s">
        <v>13</v>
      </c>
      <c r="C378" s="52" t="s">
        <v>9</v>
      </c>
      <c r="D378" s="59">
        <f>IF(D359="","",(D359-'2018'!D372)/'2018'!D372)</f>
        <v>0</v>
      </c>
      <c r="E378" s="59">
        <f>IF(E359="","",(E359-'2018'!E372)/'2018'!E372)</f>
        <v>2.7063523321892758E-2</v>
      </c>
      <c r="F378" s="59">
        <f>IF(F359="","",(F359-'2018'!F372)/'2018'!F372)</f>
        <v>0</v>
      </c>
      <c r="G378" s="59" t="str">
        <f>IF(G368="","",(G368-#REF!)/#REF!)</f>
        <v/>
      </c>
      <c r="H378" s="59" t="str">
        <f>IF(H368="","",(H368-#REF!)/#REF!)</f>
        <v/>
      </c>
      <c r="I378" s="59" t="str">
        <f>IF(I368="","",(I368-#REF!)/#REF!)</f>
        <v/>
      </c>
      <c r="J378" s="55"/>
      <c r="K378" s="55"/>
      <c r="L378" s="55"/>
      <c r="M378" s="55" t="str">
        <f>IF(G378="","",M368-((1/Comparisons!#REF!)*1000000))</f>
        <v/>
      </c>
      <c r="N378" s="55" t="str">
        <f>IF(H378="","",N368-((1/Comparisons!#REF!)*1000000))</f>
        <v/>
      </c>
      <c r="O378" s="56" t="str">
        <f>IF(I378="","",O368-((1/Comparisons!#REF!)*1000000))</f>
        <v/>
      </c>
    </row>
    <row r="379" spans="1:15" x14ac:dyDescent="0.25">
      <c r="A379" s="51" t="s">
        <v>14</v>
      </c>
      <c r="B379" s="52" t="s">
        <v>13</v>
      </c>
      <c r="C379" s="52" t="s">
        <v>11</v>
      </c>
      <c r="D379" s="59">
        <f>IF(D360="","",(D360-'2018'!D373)/'2018'!D373)</f>
        <v>-7.8788556101922216E-2</v>
      </c>
      <c r="E379" s="59">
        <f>IF(E360="","",(E360-'2018'!E373)/'2018'!E373)</f>
        <v>-4.5372827668863969E-2</v>
      </c>
      <c r="F379" s="59">
        <f>IF(F360="","",(F360-'2018'!F373)/'2018'!F373)</f>
        <v>6.9109947643979054E-3</v>
      </c>
      <c r="G379" s="59" t="str">
        <f>IF(G369="","",(G369-#REF!)/#REF!)</f>
        <v/>
      </c>
      <c r="H379" s="59" t="str">
        <f>IF(H369="","",(H369-#REF!)/#REF!)</f>
        <v/>
      </c>
      <c r="I379" s="59" t="str">
        <f>IF(I369="","",(I369-#REF!)/#REF!)</f>
        <v/>
      </c>
      <c r="J379" s="55"/>
      <c r="K379" s="55"/>
      <c r="L379" s="55"/>
      <c r="M379" s="55" t="str">
        <f>IF(G379="","",M369-((1/Comparisons!#REF!)*1000000))</f>
        <v/>
      </c>
      <c r="N379" s="55" t="str">
        <f>IF(H379="","",N369-((1/Comparisons!#REF!)*1000000))</f>
        <v/>
      </c>
      <c r="O379" s="56" t="str">
        <f>IF(I379="","",O369-((1/Comparisons!#REF!)*1000000))</f>
        <v/>
      </c>
    </row>
    <row r="380" spans="1:15" x14ac:dyDescent="0.25">
      <c r="A380" s="51" t="s">
        <v>15</v>
      </c>
      <c r="B380" s="8" t="s">
        <v>16</v>
      </c>
      <c r="C380" s="52" t="s">
        <v>11</v>
      </c>
      <c r="D380" s="59">
        <f>IF(D361="","",(D361-'2018'!D374)/'2018'!D374)</f>
        <v>2.8771670970121725E-3</v>
      </c>
      <c r="E380" s="59">
        <f>IF(E361="","",(E361-'2018'!E374)/'2018'!E374)</f>
        <v>7.9588014981273408E-2</v>
      </c>
      <c r="F380" s="59">
        <f>IF(F361="","",(F361-'2018'!F374)/'2018'!F374)</f>
        <v>-3.3326390335346803E-2</v>
      </c>
      <c r="G380" s="59" t="str">
        <f>IF(G370="","",(G370-#REF!)/#REF!)</f>
        <v/>
      </c>
      <c r="H380" s="59" t="str">
        <f>IF(H370="","",(H370-#REF!)/#REF!)</f>
        <v/>
      </c>
      <c r="I380" s="59" t="str">
        <f>IF(I370="","",(I370-#REF!)/#REF!)</f>
        <v/>
      </c>
      <c r="J380" s="55"/>
      <c r="K380" s="55"/>
      <c r="L380" s="55"/>
      <c r="M380" s="55" t="str">
        <f>IF(G380="","",M370-((1/Comparisons!#REF!)*1000000))</f>
        <v/>
      </c>
      <c r="N380" s="55" t="str">
        <f>IF(H380="","",N370-((1/Comparisons!#REF!)*1000000))</f>
        <v/>
      </c>
      <c r="O380" s="56" t="str">
        <f>IF(I380="","",O370-((1/Comparisons!#REF!)*1000000))</f>
        <v/>
      </c>
    </row>
    <row r="381" spans="1:15" ht="15.75" thickBot="1" x14ac:dyDescent="0.3">
      <c r="A381" s="60" t="s">
        <v>17</v>
      </c>
      <c r="B381" s="61" t="s">
        <v>18</v>
      </c>
      <c r="C381" s="61" t="s">
        <v>11</v>
      </c>
      <c r="D381" s="59">
        <f>IF(D362="","",(D362-'2018'!D375)/'2018'!D375)</f>
        <v>-6.4382896015549071E-2</v>
      </c>
      <c r="E381" s="59">
        <f>IF(E362="","",(E362-'2018'!E375)/'2018'!E375)</f>
        <v>0.18704462659380691</v>
      </c>
      <c r="F381" s="59">
        <f>IF(F362="","",(F362-'2018'!F375)/'2018'!F375)</f>
        <v>-1.3299556681443952E-2</v>
      </c>
      <c r="G381" s="62" t="str">
        <f>IF(G371="","",(G371-#REF!)/#REF!)</f>
        <v/>
      </c>
      <c r="H381" s="62" t="str">
        <f>IF(H371="","",(H371-#REF!)/#REF!)</f>
        <v/>
      </c>
      <c r="I381" s="62" t="str">
        <f>IF(I371="","",(I371-#REF!)/#REF!)</f>
        <v/>
      </c>
      <c r="J381" s="63"/>
      <c r="K381" s="63"/>
      <c r="L381" s="63"/>
      <c r="M381" s="63" t="str">
        <f>IF(G381="","",M371-((1/Comparisons!#REF!)*1000000))</f>
        <v/>
      </c>
      <c r="N381" s="63" t="str">
        <f>IF(H381="","",N371-((1/Comparisons!#REF!)*1000000))</f>
        <v/>
      </c>
      <c r="O381" s="64" t="str">
        <f>IF(I381="","",O371-((1/Comparisons!#REF!)*1000000))</f>
        <v/>
      </c>
    </row>
    <row r="382" spans="1:15" ht="15.75" thickBot="1" x14ac:dyDescent="0.3"/>
    <row r="383" spans="1:15" ht="18.75" x14ac:dyDescent="0.25">
      <c r="A383" s="110" t="s">
        <v>213</v>
      </c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40"/>
    </row>
    <row r="384" spans="1:15" ht="15.75" x14ac:dyDescent="0.25">
      <c r="A384" s="113" t="s">
        <v>228</v>
      </c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2"/>
    </row>
    <row r="385" spans="1:15" x14ac:dyDescent="0.25">
      <c r="A385" s="134" t="s">
        <v>1</v>
      </c>
      <c r="B385" s="135"/>
      <c r="C385" s="135"/>
      <c r="D385" s="136" t="s">
        <v>2</v>
      </c>
      <c r="E385" s="136"/>
      <c r="F385" s="136"/>
      <c r="G385" s="136"/>
      <c r="H385" s="136"/>
      <c r="I385" s="136"/>
      <c r="J385" s="136" t="s">
        <v>3</v>
      </c>
      <c r="K385" s="136"/>
      <c r="L385" s="136"/>
      <c r="M385" s="136"/>
      <c r="N385" s="136"/>
      <c r="O385" s="137"/>
    </row>
    <row r="386" spans="1:15" x14ac:dyDescent="0.25">
      <c r="A386" s="47" t="s">
        <v>26</v>
      </c>
      <c r="B386" s="48" t="s">
        <v>5</v>
      </c>
      <c r="C386" s="48" t="s">
        <v>6</v>
      </c>
      <c r="D386" s="49">
        <v>1</v>
      </c>
      <c r="E386" s="49">
        <v>4</v>
      </c>
      <c r="F386" s="49">
        <v>16</v>
      </c>
      <c r="G386" s="49">
        <v>32</v>
      </c>
      <c r="H386" s="49">
        <v>64</v>
      </c>
      <c r="I386" s="49">
        <v>80</v>
      </c>
      <c r="J386" s="49">
        <v>1</v>
      </c>
      <c r="K386" s="49">
        <v>4</v>
      </c>
      <c r="L386" s="49">
        <v>16</v>
      </c>
      <c r="M386" s="49">
        <v>32</v>
      </c>
      <c r="N386" s="49">
        <v>64</v>
      </c>
      <c r="O386" s="50">
        <v>80</v>
      </c>
    </row>
    <row r="387" spans="1:15" x14ac:dyDescent="0.25">
      <c r="A387" s="51" t="s">
        <v>7</v>
      </c>
      <c r="B387" s="52" t="s">
        <v>8</v>
      </c>
      <c r="C387" s="52" t="s">
        <v>9</v>
      </c>
      <c r="D387" s="53">
        <v>41129</v>
      </c>
      <c r="E387" s="53">
        <v>19447</v>
      </c>
      <c r="F387" s="53">
        <v>5843</v>
      </c>
      <c r="G387" s="54"/>
      <c r="H387" s="54"/>
      <c r="I387" s="54"/>
      <c r="J387" s="55"/>
      <c r="K387" s="55"/>
      <c r="L387" s="55"/>
      <c r="M387" s="55" t="str">
        <f t="shared" ref="M387:M392" si="43">IF(G387="","",(1/G387)*1000000)</f>
        <v/>
      </c>
      <c r="N387" s="55" t="str">
        <f t="shared" ref="N387:N392" si="44">IF(H387="","",(1/H387)*1000000)</f>
        <v/>
      </c>
      <c r="O387" s="56" t="str">
        <f t="shared" ref="O387:O392" si="45">IF(I387="","",(1/I387)*1000000)</f>
        <v/>
      </c>
    </row>
    <row r="388" spans="1:15" x14ac:dyDescent="0.25">
      <c r="A388" s="51" t="s">
        <v>10</v>
      </c>
      <c r="B388" s="52" t="s">
        <v>8</v>
      </c>
      <c r="C388" s="52" t="s">
        <v>11</v>
      </c>
      <c r="D388" s="53">
        <v>17210</v>
      </c>
      <c r="E388" s="53">
        <v>12109</v>
      </c>
      <c r="F388" s="53">
        <v>5042</v>
      </c>
      <c r="G388" s="54"/>
      <c r="H388" s="54"/>
      <c r="I388" s="54"/>
      <c r="J388" s="55"/>
      <c r="K388" s="55"/>
      <c r="L388" s="55"/>
      <c r="M388" s="55" t="str">
        <f t="shared" si="43"/>
        <v/>
      </c>
      <c r="N388" s="55" t="str">
        <f t="shared" si="44"/>
        <v/>
      </c>
      <c r="O388" s="56" t="str">
        <f t="shared" si="45"/>
        <v/>
      </c>
    </row>
    <row r="389" spans="1:15" x14ac:dyDescent="0.25">
      <c r="A389" s="51" t="s">
        <v>12</v>
      </c>
      <c r="B389" s="52" t="s">
        <v>13</v>
      </c>
      <c r="C389" s="52" t="s">
        <v>9</v>
      </c>
      <c r="D389" s="53">
        <v>39600</v>
      </c>
      <c r="E389" s="53">
        <v>17896</v>
      </c>
      <c r="F389" s="53">
        <v>5646</v>
      </c>
      <c r="G389" s="54"/>
      <c r="H389" s="54"/>
      <c r="I389" s="54"/>
      <c r="J389" s="55"/>
      <c r="K389" s="55"/>
      <c r="L389" s="55"/>
      <c r="M389" s="55" t="str">
        <f t="shared" si="43"/>
        <v/>
      </c>
      <c r="N389" s="55" t="str">
        <f t="shared" si="44"/>
        <v/>
      </c>
      <c r="O389" s="56" t="str">
        <f t="shared" si="45"/>
        <v/>
      </c>
    </row>
    <row r="390" spans="1:15" x14ac:dyDescent="0.25">
      <c r="A390" s="51" t="s">
        <v>14</v>
      </c>
      <c r="B390" s="52" t="s">
        <v>13</v>
      </c>
      <c r="C390" s="52" t="s">
        <v>11</v>
      </c>
      <c r="D390" s="53">
        <v>16692</v>
      </c>
      <c r="E390" s="53">
        <v>11151</v>
      </c>
      <c r="F390" s="53">
        <v>4801</v>
      </c>
      <c r="G390" s="54"/>
      <c r="H390" s="54"/>
      <c r="I390" s="54"/>
      <c r="J390" s="55"/>
      <c r="K390" s="55"/>
      <c r="L390" s="55"/>
      <c r="M390" s="55" t="str">
        <f t="shared" si="43"/>
        <v/>
      </c>
      <c r="N390" s="55" t="str">
        <f t="shared" si="44"/>
        <v/>
      </c>
      <c r="O390" s="56" t="str">
        <f t="shared" si="45"/>
        <v/>
      </c>
    </row>
    <row r="391" spans="1:15" x14ac:dyDescent="0.25">
      <c r="A391" s="51" t="s">
        <v>15</v>
      </c>
      <c r="B391" s="52" t="s">
        <v>16</v>
      </c>
      <c r="C391" s="52" t="s">
        <v>11</v>
      </c>
      <c r="D391" s="53">
        <v>13024</v>
      </c>
      <c r="E391" s="53">
        <v>8847</v>
      </c>
      <c r="F391" s="53">
        <v>4267</v>
      </c>
      <c r="G391" s="54"/>
      <c r="H391" s="54"/>
      <c r="I391" s="54"/>
      <c r="J391" s="55"/>
      <c r="K391" s="55"/>
      <c r="L391" s="55"/>
      <c r="M391" s="55" t="str">
        <f t="shared" si="43"/>
        <v/>
      </c>
      <c r="N391" s="55" t="str">
        <f t="shared" si="44"/>
        <v/>
      </c>
      <c r="O391" s="56" t="str">
        <f t="shared" si="45"/>
        <v/>
      </c>
    </row>
    <row r="392" spans="1:15" x14ac:dyDescent="0.25">
      <c r="A392" s="28" t="s">
        <v>17</v>
      </c>
      <c r="B392" s="52" t="s">
        <v>18</v>
      </c>
      <c r="C392" s="52" t="s">
        <v>11</v>
      </c>
      <c r="D392" s="53">
        <v>12231</v>
      </c>
      <c r="E392" s="53">
        <v>8803</v>
      </c>
      <c r="F392" s="53">
        <v>4459</v>
      </c>
      <c r="G392" s="54"/>
      <c r="H392" s="54"/>
      <c r="I392" s="54"/>
      <c r="J392" s="55"/>
      <c r="K392" s="55"/>
      <c r="L392" s="55"/>
      <c r="M392" s="55" t="str">
        <f t="shared" si="43"/>
        <v/>
      </c>
      <c r="N392" s="55" t="str">
        <f t="shared" si="44"/>
        <v/>
      </c>
      <c r="O392" s="56" t="str">
        <f t="shared" si="45"/>
        <v/>
      </c>
    </row>
    <row r="393" spans="1:15" x14ac:dyDescent="0.25">
      <c r="A393" s="116" t="s">
        <v>227</v>
      </c>
      <c r="B393" s="117"/>
      <c r="C393" s="117"/>
      <c r="D393" s="117"/>
      <c r="E393" s="143"/>
      <c r="F393" s="143"/>
      <c r="G393" s="143"/>
      <c r="H393" s="118"/>
      <c r="I393" s="118"/>
      <c r="J393" s="57"/>
      <c r="K393" s="57"/>
      <c r="L393" s="57"/>
      <c r="M393" s="57"/>
      <c r="N393" s="57"/>
      <c r="O393" s="58"/>
    </row>
    <row r="394" spans="1:15" ht="18.75" x14ac:dyDescent="0.3">
      <c r="A394" s="119" t="s">
        <v>193</v>
      </c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5"/>
    </row>
    <row r="395" spans="1:15" x14ac:dyDescent="0.25">
      <c r="A395" s="134" t="s">
        <v>1</v>
      </c>
      <c r="B395" s="135"/>
      <c r="C395" s="135"/>
      <c r="D395" s="136" t="s">
        <v>19</v>
      </c>
      <c r="E395" s="136"/>
      <c r="F395" s="136"/>
      <c r="G395" s="136"/>
      <c r="H395" s="136"/>
      <c r="I395" s="136"/>
      <c r="J395" s="136" t="s">
        <v>22</v>
      </c>
      <c r="K395" s="136"/>
      <c r="L395" s="136"/>
      <c r="M395" s="136"/>
      <c r="N395" s="136"/>
      <c r="O395" s="137"/>
    </row>
    <row r="396" spans="1:15" x14ac:dyDescent="0.25">
      <c r="A396" s="47" t="s">
        <v>4</v>
      </c>
      <c r="B396" s="48" t="s">
        <v>5</v>
      </c>
      <c r="C396" s="48" t="s">
        <v>6</v>
      </c>
      <c r="D396" s="49">
        <v>1</v>
      </c>
      <c r="E396" s="49">
        <v>4</v>
      </c>
      <c r="F396" s="49">
        <v>16</v>
      </c>
      <c r="G396" s="49">
        <v>32</v>
      </c>
      <c r="H396" s="49">
        <v>64</v>
      </c>
      <c r="I396" s="49">
        <v>80</v>
      </c>
      <c r="J396" s="49">
        <v>1</v>
      </c>
      <c r="K396" s="49">
        <v>4</v>
      </c>
      <c r="L396" s="49">
        <v>16</v>
      </c>
      <c r="M396" s="49">
        <v>32</v>
      </c>
      <c r="N396" s="49">
        <v>64</v>
      </c>
      <c r="O396" s="50">
        <v>80</v>
      </c>
    </row>
    <row r="397" spans="1:15" x14ac:dyDescent="0.25">
      <c r="A397" s="51" t="s">
        <v>7</v>
      </c>
      <c r="B397" s="52" t="s">
        <v>8</v>
      </c>
      <c r="C397" s="52" t="s">
        <v>9</v>
      </c>
      <c r="D397" s="59">
        <f>IF(D387="","",(D387-'2018'!D307)/'2018'!D307)</f>
        <v>-4.5708717139608807E-2</v>
      </c>
      <c r="E397" s="59">
        <f>IF(E387="","",(E387-'2018'!E307)/'2018'!E307)</f>
        <v>-1.75305648176215E-2</v>
      </c>
      <c r="F397" s="59">
        <f>IF(F387="","",(F387-'2018'!F307)/'2018'!F307)</f>
        <v>0</v>
      </c>
      <c r="G397" s="59" t="str">
        <f>IF(G387="","",(G387-'2017'!G728)/'2017'!G728)</f>
        <v/>
      </c>
      <c r="H397" s="59" t="str">
        <f>IF(H387="","",(H387-#REF!)/#REF!)</f>
        <v/>
      </c>
      <c r="I397" s="59" t="str">
        <f>IF(I387="","",(I387-#REF!)/#REF!)</f>
        <v/>
      </c>
      <c r="J397" s="55"/>
      <c r="K397" s="55"/>
      <c r="L397" s="55"/>
      <c r="M397" s="55" t="str">
        <f>IF(G397="","",M387-((1/Comparisons!#REF!)*1000000))</f>
        <v/>
      </c>
      <c r="N397" s="55" t="str">
        <f>IF(H397="","",N387-((1/Comparisons!#REF!)*1000000))</f>
        <v/>
      </c>
      <c r="O397" s="56" t="str">
        <f>IF(I397="","",O387-((1/Comparisons!#REF!)*1000000))</f>
        <v/>
      </c>
    </row>
    <row r="398" spans="1:15" x14ac:dyDescent="0.25">
      <c r="A398" s="51" t="s">
        <v>10</v>
      </c>
      <c r="B398" s="52" t="s">
        <v>8</v>
      </c>
      <c r="C398" s="52" t="s">
        <v>11</v>
      </c>
      <c r="D398" s="59">
        <f>IF(D388="","",(D388-'2018'!D308)/'2018'!D308)</f>
        <v>-3.3526141405065421E-2</v>
      </c>
      <c r="E398" s="59">
        <f>IF(E388="","",(E388-'2018'!E308)/'2018'!E308)</f>
        <v>-2.8820816864295125E-3</v>
      </c>
      <c r="F398" s="59">
        <f>IF(F388="","",(F388-'2018'!F308)/'2018'!F308)</f>
        <v>7.7953228063162103E-3</v>
      </c>
      <c r="G398" s="59" t="str">
        <f>IF(G388="","",(G388-#REF!)/#REF!)</f>
        <v/>
      </c>
      <c r="H398" s="59" t="str">
        <f>IF(H388="","",(H388-#REF!)/#REF!)</f>
        <v/>
      </c>
      <c r="I398" s="59" t="str">
        <f>IF(I388="","",(I388-#REF!)/#REF!)</f>
        <v/>
      </c>
      <c r="J398" s="55"/>
      <c r="K398" s="55"/>
      <c r="L398" s="55"/>
      <c r="M398" s="55" t="str">
        <f>IF(G398="","",M388-((1/Comparisons!#REF!)*1000000))</f>
        <v/>
      </c>
      <c r="N398" s="55" t="str">
        <f>IF(H398="","",N388-((1/Comparisons!#REF!)*1000000))</f>
        <v/>
      </c>
      <c r="O398" s="56" t="str">
        <f>IF(I398="","",O388-((1/Comparisons!#REF!)*1000000))</f>
        <v/>
      </c>
    </row>
    <row r="399" spans="1:15" x14ac:dyDescent="0.25">
      <c r="A399" s="51" t="s">
        <v>12</v>
      </c>
      <c r="B399" s="52" t="s">
        <v>13</v>
      </c>
      <c r="C399" s="52" t="s">
        <v>9</v>
      </c>
      <c r="D399" s="59">
        <f>IF(D389="","",(D389-'2018'!D309)/'2018'!D309)</f>
        <v>-8.9098007808589442E-3</v>
      </c>
      <c r="E399" s="59">
        <f>IF(E389="","",(E389-'2018'!E309)/'2018'!E309)</f>
        <v>-8.3747417787951542E-4</v>
      </c>
      <c r="F399" s="59">
        <f>IF(F389="","",(F389-'2018'!F309)/'2018'!F309)</f>
        <v>1.0198604401502952E-2</v>
      </c>
      <c r="G399" s="59" t="str">
        <f>IF(G389="","",(G389-#REF!)/#REF!)</f>
        <v/>
      </c>
      <c r="H399" s="59" t="str">
        <f>IF(H389="","",(H389-#REF!)/#REF!)</f>
        <v/>
      </c>
      <c r="I399" s="59" t="str">
        <f>IF(I389="","",(I389-#REF!)/#REF!)</f>
        <v/>
      </c>
      <c r="J399" s="55"/>
      <c r="K399" s="55"/>
      <c r="L399" s="55"/>
      <c r="M399" s="55" t="str">
        <f>IF(G399="","",M389-((1/Comparisons!#REF!)*1000000))</f>
        <v/>
      </c>
      <c r="N399" s="55" t="str">
        <f>IF(H399="","",N389-((1/Comparisons!#REF!)*1000000))</f>
        <v/>
      </c>
      <c r="O399" s="56" t="str">
        <f>IF(I399="","",O389-((1/Comparisons!#REF!)*1000000))</f>
        <v/>
      </c>
    </row>
    <row r="400" spans="1:15" x14ac:dyDescent="0.25">
      <c r="A400" s="51" t="s">
        <v>14</v>
      </c>
      <c r="B400" s="52" t="s">
        <v>13</v>
      </c>
      <c r="C400" s="52" t="s">
        <v>11</v>
      </c>
      <c r="D400" s="59">
        <f>IF(D390="","",(D390-'2018'!D310)/'2018'!D310)</f>
        <v>-5.6149279050042411E-2</v>
      </c>
      <c r="E400" s="59">
        <f>IF(E390="","",(E390-'2018'!E310)/'2018'!E310)</f>
        <v>-3.1526836894215739E-2</v>
      </c>
      <c r="F400" s="59">
        <f>IF(F390="","",(F390-'2018'!F310)/'2018'!F310)</f>
        <v>-2.4932474548098899E-3</v>
      </c>
      <c r="G400" s="59" t="str">
        <f>IF(G390="","",(G390-#REF!)/#REF!)</f>
        <v/>
      </c>
      <c r="H400" s="59" t="str">
        <f>IF(H390="","",(H390-#REF!)/#REF!)</f>
        <v/>
      </c>
      <c r="I400" s="59" t="str">
        <f>IF(I390="","",(I390-#REF!)/#REF!)</f>
        <v/>
      </c>
      <c r="J400" s="55"/>
      <c r="K400" s="55"/>
      <c r="L400" s="55"/>
      <c r="M400" s="55" t="str">
        <f>IF(G400="","",M390-((1/Comparisons!#REF!)*1000000))</f>
        <v/>
      </c>
      <c r="N400" s="55" t="str">
        <f>IF(H400="","",N390-((1/Comparisons!#REF!)*1000000))</f>
        <v/>
      </c>
      <c r="O400" s="56" t="str">
        <f>IF(I400="","",O390-((1/Comparisons!#REF!)*1000000))</f>
        <v/>
      </c>
    </row>
    <row r="401" spans="1:15" x14ac:dyDescent="0.25">
      <c r="A401" s="51" t="s">
        <v>15</v>
      </c>
      <c r="B401" s="8" t="s">
        <v>16</v>
      </c>
      <c r="C401" s="52" t="s">
        <v>11</v>
      </c>
      <c r="D401" s="59">
        <f>IF(D391="","",(D391-'2018'!D311)/'2018'!D311)</f>
        <v>-5.4313099041533544E-2</v>
      </c>
      <c r="E401" s="59">
        <f>IF(E391="","",(E391-'2018'!E311)/'2018'!E311)</f>
        <v>-0.10228310502283106</v>
      </c>
      <c r="F401" s="59">
        <f>IF(F391="","",(F391-'2018'!F311)/'2018'!F311)</f>
        <v>-0.11619718309859155</v>
      </c>
      <c r="G401" s="59" t="str">
        <f>IF(G391="","",(G391-#REF!)/#REF!)</f>
        <v/>
      </c>
      <c r="H401" s="59" t="str">
        <f>IF(H391="","",(H391-#REF!)/#REF!)</f>
        <v/>
      </c>
      <c r="I401" s="59" t="str">
        <f>IF(I391="","",(I391-#REF!)/#REF!)</f>
        <v/>
      </c>
      <c r="J401" s="55"/>
      <c r="K401" s="55"/>
      <c r="L401" s="55"/>
      <c r="M401" s="55" t="str">
        <f>IF(G401="","",M391-((1/Comparisons!#REF!)*1000000))</f>
        <v/>
      </c>
      <c r="N401" s="55" t="str">
        <f>IF(H401="","",N391-((1/Comparisons!#REF!)*1000000))</f>
        <v/>
      </c>
      <c r="O401" s="56" t="str">
        <f>IF(I401="","",O391-((1/Comparisons!#REF!)*1000000))</f>
        <v/>
      </c>
    </row>
    <row r="402" spans="1:15" ht="15.75" thickBot="1" x14ac:dyDescent="0.3">
      <c r="A402" s="60" t="s">
        <v>17</v>
      </c>
      <c r="B402" s="61" t="s">
        <v>18</v>
      </c>
      <c r="C402" s="61" t="s">
        <v>11</v>
      </c>
      <c r="D402" s="59">
        <f>IF(D392="","",(D392-'2018'!D312)/'2018'!D312)</f>
        <v>9.0016366612111296E-4</v>
      </c>
      <c r="E402" s="59">
        <f>IF(E392="","",(E392-'2018'!E312)/'2018'!E312)</f>
        <v>2.7068020067670052E-2</v>
      </c>
      <c r="F402" s="59">
        <f>IF(F392="","",(F392-'2018'!F312)/'2018'!F312)</f>
        <v>0</v>
      </c>
      <c r="G402" s="62" t="str">
        <f>IF(G392="","",(G392-#REF!)/#REF!)</f>
        <v/>
      </c>
      <c r="H402" s="62" t="str">
        <f>IF(H392="","",(H392-#REF!)/#REF!)</f>
        <v/>
      </c>
      <c r="I402" s="62" t="str">
        <f>IF(I392="","",(I392-#REF!)/#REF!)</f>
        <v/>
      </c>
      <c r="J402" s="63"/>
      <c r="K402" s="63"/>
      <c r="L402" s="63"/>
      <c r="M402" s="63" t="str">
        <f>IF(G402="","",M392-((1/Comparisons!#REF!)*1000000))</f>
        <v/>
      </c>
      <c r="N402" s="63" t="str">
        <f>IF(H402="","",N392-((1/Comparisons!#REF!)*1000000))</f>
        <v/>
      </c>
      <c r="O402" s="64" t="str">
        <f>IF(I402="","",O392-((1/Comparisons!#REF!)*1000000))</f>
        <v/>
      </c>
    </row>
    <row r="403" spans="1:15" ht="18.75" x14ac:dyDescent="0.3">
      <c r="A403" s="119" t="s">
        <v>212</v>
      </c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5"/>
    </row>
    <row r="404" spans="1:15" x14ac:dyDescent="0.25">
      <c r="A404" s="134" t="s">
        <v>1</v>
      </c>
      <c r="B404" s="135"/>
      <c r="C404" s="135"/>
      <c r="D404" s="136" t="s">
        <v>19</v>
      </c>
      <c r="E404" s="136"/>
      <c r="F404" s="136"/>
      <c r="G404" s="136"/>
      <c r="H404" s="136"/>
      <c r="I404" s="136"/>
      <c r="J404" s="136" t="s">
        <v>22</v>
      </c>
      <c r="K404" s="136"/>
      <c r="L404" s="136"/>
      <c r="M404" s="136"/>
      <c r="N404" s="136"/>
      <c r="O404" s="137"/>
    </row>
    <row r="405" spans="1:15" x14ac:dyDescent="0.25">
      <c r="A405" s="47" t="s">
        <v>4</v>
      </c>
      <c r="B405" s="48" t="s">
        <v>5</v>
      </c>
      <c r="C405" s="48" t="s">
        <v>6</v>
      </c>
      <c r="D405" s="49">
        <v>1</v>
      </c>
      <c r="E405" s="49">
        <v>4</v>
      </c>
      <c r="F405" s="49">
        <v>16</v>
      </c>
      <c r="G405" s="49">
        <v>32</v>
      </c>
      <c r="H405" s="49">
        <v>64</v>
      </c>
      <c r="I405" s="49">
        <v>80</v>
      </c>
      <c r="J405" s="49">
        <v>1</v>
      </c>
      <c r="K405" s="49">
        <v>4</v>
      </c>
      <c r="L405" s="49">
        <v>16</v>
      </c>
      <c r="M405" s="49">
        <v>32</v>
      </c>
      <c r="N405" s="49">
        <v>64</v>
      </c>
      <c r="O405" s="50">
        <v>80</v>
      </c>
    </row>
    <row r="406" spans="1:15" x14ac:dyDescent="0.25">
      <c r="A406" s="51" t="s">
        <v>7</v>
      </c>
      <c r="B406" s="52" t="s">
        <v>8</v>
      </c>
      <c r="C406" s="52" t="s">
        <v>9</v>
      </c>
      <c r="D406" s="59">
        <f>IF(D387="","",(D387-'2018'!D370)/'2018'!D370)</f>
        <v>-5.3090825371244391E-2</v>
      </c>
      <c r="E406" s="59">
        <f>IF(E387="","",(E387-'2018'!E370)/'2018'!E370)</f>
        <v>-1.9413069786204114E-2</v>
      </c>
      <c r="F406" s="59">
        <f>IF(F387="","",(F387-'2018'!F370)/'2018'!F370)</f>
        <v>0</v>
      </c>
      <c r="G406" s="59" t="str">
        <f>IF(G387="","",(G387-'2018'!G610)/'2018'!G610)</f>
        <v/>
      </c>
      <c r="H406" s="59" t="str">
        <f>IF(H387="","",(H387-'2018'!H610)/'2018'!H610)</f>
        <v/>
      </c>
      <c r="I406" s="59" t="str">
        <f>IF(I387="","",(I387-'2018'!I610)/'2018'!I610)</f>
        <v/>
      </c>
      <c r="J406" s="55"/>
      <c r="K406" s="55"/>
      <c r="L406" s="55"/>
      <c r="M406" s="55" t="str">
        <f>IF(G406="","",M396-((1/Comparisons!#REF!)*1000000))</f>
        <v/>
      </c>
      <c r="N406" s="55" t="str">
        <f>IF(H406="","",N396-((1/Comparisons!#REF!)*1000000))</f>
        <v/>
      </c>
      <c r="O406" s="56" t="str">
        <f>IF(I406="","",O396-((1/Comparisons!#REF!)*1000000))</f>
        <v/>
      </c>
    </row>
    <row r="407" spans="1:15" x14ac:dyDescent="0.25">
      <c r="A407" s="51" t="s">
        <v>10</v>
      </c>
      <c r="B407" s="52" t="s">
        <v>8</v>
      </c>
      <c r="C407" s="52" t="s">
        <v>11</v>
      </c>
      <c r="D407" s="59">
        <f>IF(D388="","",(D388-'2018'!D371)/'2018'!D371)</f>
        <v>-4.2665628302831396E-2</v>
      </c>
      <c r="E407" s="59">
        <f>IF(E388="","",(E388-'2018'!E371)/'2018'!E371)</f>
        <v>7.9913427120619322E-3</v>
      </c>
      <c r="F407" s="59">
        <f>IF(F388="","",(F388-'2018'!F371)/'2018'!F371)</f>
        <v>6.1863899421273202E-3</v>
      </c>
      <c r="G407" s="59" t="str">
        <f>IF(G397="","",(G397-#REF!)/#REF!)</f>
        <v/>
      </c>
      <c r="H407" s="59" t="str">
        <f>IF(H397="","",(H397-#REF!)/#REF!)</f>
        <v/>
      </c>
      <c r="I407" s="59" t="str">
        <f>IF(I397="","",(I397-#REF!)/#REF!)</f>
        <v/>
      </c>
      <c r="J407" s="55"/>
      <c r="K407" s="55"/>
      <c r="L407" s="55"/>
      <c r="M407" s="55" t="str">
        <f>IF(G407="","",M397-((1/Comparisons!#REF!)*1000000))</f>
        <v/>
      </c>
      <c r="N407" s="55" t="str">
        <f>IF(H407="","",N397-((1/Comparisons!#REF!)*1000000))</f>
        <v/>
      </c>
      <c r="O407" s="56" t="str">
        <f>IF(I407="","",O397-((1/Comparisons!#REF!)*1000000))</f>
        <v/>
      </c>
    </row>
    <row r="408" spans="1:15" x14ac:dyDescent="0.25">
      <c r="A408" s="51" t="s">
        <v>12</v>
      </c>
      <c r="B408" s="52" t="s">
        <v>13</v>
      </c>
      <c r="C408" s="52" t="s">
        <v>9</v>
      </c>
      <c r="D408" s="59">
        <f>IF(D389="","",(D389-'2018'!D372)/'2018'!D372)</f>
        <v>-8.9098007808589442E-3</v>
      </c>
      <c r="E408" s="59">
        <f>IF(E389="","",(E389-'2018'!E372)/'2018'!E372)</f>
        <v>6.9206099139143646E-3</v>
      </c>
      <c r="F408" s="59">
        <f>IF(F389="","",(F389-'2018'!F372)/'2018'!F372)</f>
        <v>1.5965939329430547E-3</v>
      </c>
      <c r="G408" s="59" t="str">
        <f>IF(G398="","",(G398-#REF!)/#REF!)</f>
        <v/>
      </c>
      <c r="H408" s="59" t="str">
        <f>IF(H398="","",(H398-#REF!)/#REF!)</f>
        <v/>
      </c>
      <c r="I408" s="59" t="str">
        <f>IF(I398="","",(I398-#REF!)/#REF!)</f>
        <v/>
      </c>
      <c r="J408" s="55"/>
      <c r="K408" s="55"/>
      <c r="L408" s="55"/>
      <c r="M408" s="55" t="str">
        <f>IF(G408="","",M398-((1/Comparisons!#REF!)*1000000))</f>
        <v/>
      </c>
      <c r="N408" s="55" t="str">
        <f>IF(H408="","",N398-((1/Comparisons!#REF!)*1000000))</f>
        <v/>
      </c>
      <c r="O408" s="56" t="str">
        <f>IF(I408="","",O398-((1/Comparisons!#REF!)*1000000))</f>
        <v/>
      </c>
    </row>
    <row r="409" spans="1:15" x14ac:dyDescent="0.25">
      <c r="A409" s="51" t="s">
        <v>14</v>
      </c>
      <c r="B409" s="52" t="s">
        <v>13</v>
      </c>
      <c r="C409" s="52" t="s">
        <v>11</v>
      </c>
      <c r="D409" s="59">
        <f>IF(D390="","",(D390-'2018'!D373)/'2018'!D373)</f>
        <v>-6.7277603933839969E-2</v>
      </c>
      <c r="E409" s="59">
        <f>IF(E390="","",(E390-'2018'!E373)/'2018'!E373)</f>
        <v>-4.5372827668863969E-2</v>
      </c>
      <c r="F409" s="59">
        <f>IF(F390="","",(F390-'2018'!F373)/'2018'!F373)</f>
        <v>5.4450261780104713E-3</v>
      </c>
      <c r="G409" s="59" t="str">
        <f>IF(G399="","",(G399-#REF!)/#REF!)</f>
        <v/>
      </c>
      <c r="H409" s="59" t="str">
        <f>IF(H399="","",(H399-#REF!)/#REF!)</f>
        <v/>
      </c>
      <c r="I409" s="59" t="str">
        <f>IF(I399="","",(I399-#REF!)/#REF!)</f>
        <v/>
      </c>
      <c r="J409" s="55"/>
      <c r="K409" s="55"/>
      <c r="L409" s="55"/>
      <c r="M409" s="55" t="str">
        <f>IF(G409="","",M399-((1/Comparisons!#REF!)*1000000))</f>
        <v/>
      </c>
      <c r="N409" s="55" t="str">
        <f>IF(H409="","",N399-((1/Comparisons!#REF!)*1000000))</f>
        <v/>
      </c>
      <c r="O409" s="56" t="str">
        <f>IF(I409="","",O399-((1/Comparisons!#REF!)*1000000))</f>
        <v/>
      </c>
    </row>
    <row r="410" spans="1:15" x14ac:dyDescent="0.25">
      <c r="A410" s="51" t="s">
        <v>15</v>
      </c>
      <c r="B410" s="8" t="s">
        <v>16</v>
      </c>
      <c r="C410" s="52" t="s">
        <v>11</v>
      </c>
      <c r="D410" s="59">
        <f>IF(D391="","",(D391-'2018'!D374)/'2018'!D374)</f>
        <v>-3.9173736628550351E-2</v>
      </c>
      <c r="E410" s="59">
        <f>IF(E391="","",(E391-'2018'!E374)/'2018'!E374)</f>
        <v>-7.9588014981273408E-2</v>
      </c>
      <c r="F410" s="59">
        <f>IF(F391="","",(F391-'2018'!F374)/'2018'!F374)</f>
        <v>-0.11122682774421995</v>
      </c>
      <c r="G410" s="59" t="str">
        <f>IF(G400="","",(G400-#REF!)/#REF!)</f>
        <v/>
      </c>
      <c r="H410" s="59" t="str">
        <f>IF(H400="","",(H400-#REF!)/#REF!)</f>
        <v/>
      </c>
      <c r="I410" s="59" t="str">
        <f>IF(I400="","",(I400-#REF!)/#REF!)</f>
        <v/>
      </c>
      <c r="J410" s="55"/>
      <c r="K410" s="55"/>
      <c r="L410" s="55"/>
      <c r="M410" s="55" t="str">
        <f>IF(G410="","",M400-((1/Comparisons!#REF!)*1000000))</f>
        <v/>
      </c>
      <c r="N410" s="55" t="str">
        <f>IF(H410="","",N400-((1/Comparisons!#REF!)*1000000))</f>
        <v/>
      </c>
      <c r="O410" s="56" t="str">
        <f>IF(I410="","",O400-((1/Comparisons!#REF!)*1000000))</f>
        <v/>
      </c>
    </row>
    <row r="411" spans="1:15" ht="15.75" thickBot="1" x14ac:dyDescent="0.3">
      <c r="A411" s="60" t="s">
        <v>17</v>
      </c>
      <c r="B411" s="61" t="s">
        <v>18</v>
      </c>
      <c r="C411" s="61" t="s">
        <v>11</v>
      </c>
      <c r="D411" s="59">
        <f>IF(D392="","",(D392-'2018'!D375)/'2018'!D375)</f>
        <v>-9.4752186588921289E-3</v>
      </c>
      <c r="E411" s="59">
        <f>IF(E392="","",(E392-'2018'!E375)/'2018'!E375)</f>
        <v>2.163023679417122E-3</v>
      </c>
      <c r="F411" s="59">
        <f>IF(F392="","",(F392-'2018'!F375)/'2018'!F375)</f>
        <v>-5.8686932657800298E-2</v>
      </c>
      <c r="G411" s="62" t="str">
        <f>IF(G401="","",(G401-#REF!)/#REF!)</f>
        <v/>
      </c>
      <c r="H411" s="62" t="str">
        <f>IF(H401="","",(H401-#REF!)/#REF!)</f>
        <v/>
      </c>
      <c r="I411" s="62" t="str">
        <f>IF(I401="","",(I401-#REF!)/#REF!)</f>
        <v/>
      </c>
      <c r="J411" s="63"/>
      <c r="K411" s="63"/>
      <c r="L411" s="63"/>
      <c r="M411" s="63" t="str">
        <f>IF(G411="","",M401-((1/Comparisons!#REF!)*1000000))</f>
        <v/>
      </c>
      <c r="N411" s="63" t="str">
        <f>IF(H411="","",N401-((1/Comparisons!#REF!)*1000000))</f>
        <v/>
      </c>
      <c r="O411" s="64" t="str">
        <f>IF(I411="","",O401-((1/Comparisons!#REF!)*1000000))</f>
        <v/>
      </c>
    </row>
    <row r="413" spans="1:15" ht="15.75" thickBot="1" x14ac:dyDescent="0.3"/>
    <row r="414" spans="1:15" ht="18.75" x14ac:dyDescent="0.25">
      <c r="A414" s="110" t="s">
        <v>213</v>
      </c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40"/>
    </row>
    <row r="415" spans="1:15" ht="15.75" x14ac:dyDescent="0.25">
      <c r="A415" s="113" t="s">
        <v>231</v>
      </c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2"/>
    </row>
    <row r="416" spans="1:15" x14ac:dyDescent="0.25">
      <c r="A416" s="134" t="s">
        <v>1</v>
      </c>
      <c r="B416" s="135"/>
      <c r="C416" s="135"/>
      <c r="D416" s="136" t="s">
        <v>2</v>
      </c>
      <c r="E416" s="136"/>
      <c r="F416" s="136"/>
      <c r="G416" s="136"/>
      <c r="H416" s="136"/>
      <c r="I416" s="136"/>
      <c r="J416" s="136" t="s">
        <v>3</v>
      </c>
      <c r="K416" s="136"/>
      <c r="L416" s="136"/>
      <c r="M416" s="136"/>
      <c r="N416" s="136"/>
      <c r="O416" s="137"/>
    </row>
    <row r="417" spans="1:15" x14ac:dyDescent="0.25">
      <c r="A417" s="47" t="s">
        <v>26</v>
      </c>
      <c r="B417" s="48" t="s">
        <v>5</v>
      </c>
      <c r="C417" s="48" t="s">
        <v>6</v>
      </c>
      <c r="D417" s="49">
        <v>1</v>
      </c>
      <c r="E417" s="49">
        <v>4</v>
      </c>
      <c r="F417" s="49">
        <v>16</v>
      </c>
      <c r="G417" s="49">
        <v>32</v>
      </c>
      <c r="H417" s="49">
        <v>64</v>
      </c>
      <c r="I417" s="49">
        <v>80</v>
      </c>
      <c r="J417" s="49">
        <v>1</v>
      </c>
      <c r="K417" s="49">
        <v>4</v>
      </c>
      <c r="L417" s="49">
        <v>16</v>
      </c>
      <c r="M417" s="49">
        <v>32</v>
      </c>
      <c r="N417" s="49">
        <v>64</v>
      </c>
      <c r="O417" s="50">
        <v>80</v>
      </c>
    </row>
    <row r="418" spans="1:15" x14ac:dyDescent="0.25">
      <c r="A418" s="51" t="s">
        <v>7</v>
      </c>
      <c r="B418" s="52" t="s">
        <v>8</v>
      </c>
      <c r="C418" s="52" t="s">
        <v>9</v>
      </c>
      <c r="D418" s="53">
        <v>41621</v>
      </c>
      <c r="E418" s="53">
        <v>19447</v>
      </c>
      <c r="F418" s="53">
        <v>5837</v>
      </c>
      <c r="G418" s="54"/>
      <c r="H418" s="54"/>
      <c r="I418" s="54"/>
      <c r="J418" s="55"/>
      <c r="K418" s="55"/>
      <c r="L418" s="55"/>
      <c r="M418" s="55" t="str">
        <f t="shared" ref="M418:M423" si="46">IF(G418="","",(1/G418)*1000000)</f>
        <v/>
      </c>
      <c r="N418" s="55" t="str">
        <f t="shared" ref="N418:N423" si="47">IF(H418="","",(1/H418)*1000000)</f>
        <v/>
      </c>
      <c r="O418" s="56" t="str">
        <f t="shared" ref="O418:O423" si="48">IF(I418="","",(1/I418)*1000000)</f>
        <v/>
      </c>
    </row>
    <row r="419" spans="1:15" x14ac:dyDescent="0.25">
      <c r="A419" s="51" t="s">
        <v>10</v>
      </c>
      <c r="B419" s="52" t="s">
        <v>8</v>
      </c>
      <c r="C419" s="52" t="s">
        <v>11</v>
      </c>
      <c r="D419" s="53">
        <v>16992</v>
      </c>
      <c r="E419" s="53">
        <v>10617</v>
      </c>
      <c r="F419" s="53">
        <v>4964</v>
      </c>
      <c r="G419" s="54"/>
      <c r="H419" s="54"/>
      <c r="I419" s="54"/>
      <c r="J419" s="55"/>
      <c r="K419" s="55"/>
      <c r="L419" s="55"/>
      <c r="M419" s="55" t="str">
        <f t="shared" si="46"/>
        <v/>
      </c>
      <c r="N419" s="55" t="str">
        <f t="shared" si="47"/>
        <v/>
      </c>
      <c r="O419" s="56" t="str">
        <f t="shared" si="48"/>
        <v/>
      </c>
    </row>
    <row r="420" spans="1:15" x14ac:dyDescent="0.25">
      <c r="A420" s="51" t="s">
        <v>12</v>
      </c>
      <c r="B420" s="52" t="s">
        <v>13</v>
      </c>
      <c r="C420" s="52" t="s">
        <v>9</v>
      </c>
      <c r="D420" s="53">
        <v>39621</v>
      </c>
      <c r="E420" s="53">
        <v>18239</v>
      </c>
      <c r="F420" s="53">
        <v>5637</v>
      </c>
      <c r="G420" s="54"/>
      <c r="H420" s="54"/>
      <c r="I420" s="54"/>
      <c r="J420" s="55"/>
      <c r="K420" s="55"/>
      <c r="L420" s="55"/>
      <c r="M420" s="55" t="str">
        <f t="shared" si="46"/>
        <v/>
      </c>
      <c r="N420" s="55" t="str">
        <f t="shared" si="47"/>
        <v/>
      </c>
      <c r="O420" s="56" t="str">
        <f t="shared" si="48"/>
        <v/>
      </c>
    </row>
    <row r="421" spans="1:15" x14ac:dyDescent="0.25">
      <c r="A421" s="51" t="s">
        <v>14</v>
      </c>
      <c r="B421" s="52" t="s">
        <v>13</v>
      </c>
      <c r="C421" s="52" t="s">
        <v>11</v>
      </c>
      <c r="D421" s="53">
        <v>17210</v>
      </c>
      <c r="E421" s="53">
        <v>11514</v>
      </c>
      <c r="F421" s="53">
        <v>4799</v>
      </c>
      <c r="G421" s="54"/>
      <c r="H421" s="54"/>
      <c r="I421" s="54"/>
      <c r="J421" s="55"/>
      <c r="K421" s="55"/>
      <c r="L421" s="55"/>
      <c r="M421" s="55" t="str">
        <f t="shared" si="46"/>
        <v/>
      </c>
      <c r="N421" s="55" t="str">
        <f t="shared" si="47"/>
        <v/>
      </c>
      <c r="O421" s="56" t="str">
        <f t="shared" si="48"/>
        <v/>
      </c>
    </row>
    <row r="422" spans="1:15" x14ac:dyDescent="0.25">
      <c r="A422" s="51" t="s">
        <v>15</v>
      </c>
      <c r="B422" s="52" t="s">
        <v>16</v>
      </c>
      <c r="C422" s="52" t="s">
        <v>11</v>
      </c>
      <c r="D422" s="53">
        <v>13277</v>
      </c>
      <c r="E422" s="53">
        <v>10149</v>
      </c>
      <c r="F422" s="53">
        <v>4267</v>
      </c>
      <c r="G422" s="54"/>
      <c r="H422" s="54"/>
      <c r="I422" s="54"/>
      <c r="J422" s="55"/>
      <c r="K422" s="55"/>
      <c r="L422" s="55"/>
      <c r="M422" s="55" t="str">
        <f t="shared" si="46"/>
        <v/>
      </c>
      <c r="N422" s="55" t="str">
        <f t="shared" si="47"/>
        <v/>
      </c>
      <c r="O422" s="56" t="str">
        <f t="shared" si="48"/>
        <v/>
      </c>
    </row>
    <row r="423" spans="1:15" x14ac:dyDescent="0.25">
      <c r="A423" s="28" t="s">
        <v>17</v>
      </c>
      <c r="B423" s="52" t="s">
        <v>18</v>
      </c>
      <c r="C423" s="52" t="s">
        <v>11</v>
      </c>
      <c r="D423" s="53">
        <v>12083</v>
      </c>
      <c r="E423" s="53">
        <v>8942</v>
      </c>
      <c r="F423" s="53">
        <v>4322</v>
      </c>
      <c r="G423" s="54"/>
      <c r="H423" s="54"/>
      <c r="I423" s="54"/>
      <c r="J423" s="55"/>
      <c r="K423" s="55"/>
      <c r="L423" s="55"/>
      <c r="M423" s="55" t="str">
        <f t="shared" si="46"/>
        <v/>
      </c>
      <c r="N423" s="55" t="str">
        <f t="shared" si="47"/>
        <v/>
      </c>
      <c r="O423" s="56" t="str">
        <f t="shared" si="48"/>
        <v/>
      </c>
    </row>
    <row r="424" spans="1:15" x14ac:dyDescent="0.25">
      <c r="A424" s="116" t="s">
        <v>230</v>
      </c>
      <c r="B424" s="117"/>
      <c r="C424" s="117"/>
      <c r="D424" s="117"/>
      <c r="E424" s="143"/>
      <c r="F424" s="143"/>
      <c r="G424" s="143"/>
      <c r="H424" s="118"/>
      <c r="I424" s="118"/>
      <c r="J424" s="57"/>
      <c r="K424" s="57"/>
      <c r="L424" s="57"/>
      <c r="M424" s="57"/>
      <c r="N424" s="57"/>
      <c r="O424" s="58"/>
    </row>
    <row r="425" spans="1:15" ht="18.75" x14ac:dyDescent="0.3">
      <c r="A425" s="119" t="s">
        <v>193</v>
      </c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5"/>
    </row>
    <row r="426" spans="1:15" x14ac:dyDescent="0.25">
      <c r="A426" s="134" t="s">
        <v>1</v>
      </c>
      <c r="B426" s="135"/>
      <c r="C426" s="135"/>
      <c r="D426" s="136" t="s">
        <v>19</v>
      </c>
      <c r="E426" s="136"/>
      <c r="F426" s="136"/>
      <c r="G426" s="136"/>
      <c r="H426" s="136"/>
      <c r="I426" s="136"/>
      <c r="J426" s="136" t="s">
        <v>22</v>
      </c>
      <c r="K426" s="136"/>
      <c r="L426" s="136"/>
      <c r="M426" s="136"/>
      <c r="N426" s="136"/>
      <c r="O426" s="137"/>
    </row>
    <row r="427" spans="1:15" x14ac:dyDescent="0.25">
      <c r="A427" s="47" t="s">
        <v>4</v>
      </c>
      <c r="B427" s="48" t="s">
        <v>5</v>
      </c>
      <c r="C427" s="48" t="s">
        <v>6</v>
      </c>
      <c r="D427" s="49">
        <v>1</v>
      </c>
      <c r="E427" s="49">
        <v>4</v>
      </c>
      <c r="F427" s="49">
        <v>16</v>
      </c>
      <c r="G427" s="49">
        <v>32</v>
      </c>
      <c r="H427" s="49">
        <v>64</v>
      </c>
      <c r="I427" s="49">
        <v>80</v>
      </c>
      <c r="J427" s="49">
        <v>1</v>
      </c>
      <c r="K427" s="49">
        <v>4</v>
      </c>
      <c r="L427" s="49">
        <v>16</v>
      </c>
      <c r="M427" s="49">
        <v>32</v>
      </c>
      <c r="N427" s="49">
        <v>64</v>
      </c>
      <c r="O427" s="50">
        <v>80</v>
      </c>
    </row>
    <row r="428" spans="1:15" x14ac:dyDescent="0.25">
      <c r="A428" s="51" t="s">
        <v>7</v>
      </c>
      <c r="B428" s="52" t="s">
        <v>8</v>
      </c>
      <c r="C428" s="52" t="s">
        <v>9</v>
      </c>
      <c r="D428" s="59">
        <f>IF(D418="","",(D418-'2018'!D307)/'2018'!D307)</f>
        <v>-3.429313905195016E-2</v>
      </c>
      <c r="E428" s="59">
        <f>IF(E418="","",(E418-'2018'!E307)/'2018'!E307)</f>
        <v>-1.75305648176215E-2</v>
      </c>
      <c r="F428" s="59">
        <f>IF(F418="","",(F418-'2018'!F307)/'2018'!F307)</f>
        <v>-1.0268697586856067E-3</v>
      </c>
      <c r="G428" s="59" t="str">
        <f>IF(G418="","",(G418-'2017'!G759)/'2017'!G759)</f>
        <v/>
      </c>
      <c r="H428" s="59" t="str">
        <f>IF(H418="","",(H418-#REF!)/#REF!)</f>
        <v/>
      </c>
      <c r="I428" s="59" t="str">
        <f>IF(I418="","",(I418-#REF!)/#REF!)</f>
        <v/>
      </c>
      <c r="J428" s="55"/>
      <c r="K428" s="55"/>
      <c r="L428" s="55"/>
      <c r="M428" s="55" t="str">
        <f>IF(G428="","",M418-((1/Comparisons!#REF!)*1000000))</f>
        <v/>
      </c>
      <c r="N428" s="55" t="str">
        <f>IF(H428="","",N418-((1/Comparisons!#REF!)*1000000))</f>
        <v/>
      </c>
      <c r="O428" s="56" t="str">
        <f>IF(I428="","",O418-((1/Comparisons!#REF!)*1000000))</f>
        <v/>
      </c>
    </row>
    <row r="429" spans="1:15" x14ac:dyDescent="0.25">
      <c r="A429" s="51" t="s">
        <v>10</v>
      </c>
      <c r="B429" s="52" t="s">
        <v>8</v>
      </c>
      <c r="C429" s="52" t="s">
        <v>11</v>
      </c>
      <c r="D429" s="59">
        <f>IF(D419="","",(D419-'2018'!D308)/'2018'!D308)</f>
        <v>-4.5768517998539898E-2</v>
      </c>
      <c r="E429" s="59">
        <f>IF(E419="","",(E419-'2018'!E308)/'2018'!E308)</f>
        <v>-0.12574110671936758</v>
      </c>
      <c r="F429" s="59">
        <f>IF(F419="","",(F419-'2018'!F308)/'2018'!F308)</f>
        <v>-7.7953228063162103E-3</v>
      </c>
      <c r="G429" s="59" t="str">
        <f>IF(G419="","",(G419-#REF!)/#REF!)</f>
        <v/>
      </c>
      <c r="H429" s="59" t="str">
        <f>IF(H419="","",(H419-#REF!)/#REF!)</f>
        <v/>
      </c>
      <c r="I429" s="59" t="str">
        <f>IF(I419="","",(I419-#REF!)/#REF!)</f>
        <v/>
      </c>
      <c r="J429" s="55"/>
      <c r="K429" s="55"/>
      <c r="L429" s="55"/>
      <c r="M429" s="55" t="str">
        <f>IF(G429="","",M419-((1/Comparisons!#REF!)*1000000))</f>
        <v/>
      </c>
      <c r="N429" s="55" t="str">
        <f>IF(H429="","",N419-((1/Comparisons!#REF!)*1000000))</f>
        <v/>
      </c>
      <c r="O429" s="56" t="str">
        <f>IF(I429="","",O419-((1/Comparisons!#REF!)*1000000))</f>
        <v/>
      </c>
    </row>
    <row r="430" spans="1:15" x14ac:dyDescent="0.25">
      <c r="A430" s="51" t="s">
        <v>12</v>
      </c>
      <c r="B430" s="52" t="s">
        <v>13</v>
      </c>
      <c r="C430" s="52" t="s">
        <v>9</v>
      </c>
      <c r="D430" s="59">
        <f>IF(D420="","",(D420-'2018'!D309)/'2018'!D309)</f>
        <v>-8.3842226449094004E-3</v>
      </c>
      <c r="E430" s="59">
        <f>IF(E420="","",(E420-'2018'!E309)/'2018'!E309)</f>
        <v>1.831276868963207E-2</v>
      </c>
      <c r="F430" s="59">
        <f>IF(F420="","",(F420-'2018'!F309)/'2018'!F309)</f>
        <v>8.5882984433709071E-3</v>
      </c>
      <c r="G430" s="59" t="str">
        <f>IF(G420="","",(G420-#REF!)/#REF!)</f>
        <v/>
      </c>
      <c r="H430" s="59" t="str">
        <f>IF(H420="","",(H420-#REF!)/#REF!)</f>
        <v/>
      </c>
      <c r="I430" s="59" t="str">
        <f>IF(I420="","",(I420-#REF!)/#REF!)</f>
        <v/>
      </c>
      <c r="J430" s="55"/>
      <c r="K430" s="55"/>
      <c r="L430" s="55"/>
      <c r="M430" s="55" t="str">
        <f>IF(G430="","",M420-((1/Comparisons!#REF!)*1000000))</f>
        <v/>
      </c>
      <c r="N430" s="55" t="str">
        <f>IF(H430="","",N420-((1/Comparisons!#REF!)*1000000))</f>
        <v/>
      </c>
      <c r="O430" s="56" t="str">
        <f>IF(I430="","",O420-((1/Comparisons!#REF!)*1000000))</f>
        <v/>
      </c>
    </row>
    <row r="431" spans="1:15" x14ac:dyDescent="0.25">
      <c r="A431" s="51" t="s">
        <v>14</v>
      </c>
      <c r="B431" s="52" t="s">
        <v>13</v>
      </c>
      <c r="C431" s="52" t="s">
        <v>11</v>
      </c>
      <c r="D431" s="59">
        <f>IF(D421="","",(D421-'2018'!D310)/'2018'!D310)</f>
        <v>-2.6858919988690982E-2</v>
      </c>
      <c r="E431" s="59">
        <f>IF(E421="","",(E421-'2018'!E310)/'2018'!E310)</f>
        <v>0</v>
      </c>
      <c r="F431" s="59">
        <f>IF(F421="","",(F421-'2018'!F310)/'2018'!F310)</f>
        <v>-2.9087886972782051E-3</v>
      </c>
      <c r="G431" s="59" t="str">
        <f>IF(G421="","",(G421-#REF!)/#REF!)</f>
        <v/>
      </c>
      <c r="H431" s="59" t="str">
        <f>IF(H421="","",(H421-#REF!)/#REF!)</f>
        <v/>
      </c>
      <c r="I431" s="59" t="str">
        <f>IF(I421="","",(I421-#REF!)/#REF!)</f>
        <v/>
      </c>
      <c r="J431" s="55"/>
      <c r="K431" s="55"/>
      <c r="L431" s="55"/>
      <c r="M431" s="55" t="str">
        <f>IF(G431="","",M421-((1/Comparisons!#REF!)*1000000))</f>
        <v/>
      </c>
      <c r="N431" s="55" t="str">
        <f>IF(H431="","",N421-((1/Comparisons!#REF!)*1000000))</f>
        <v/>
      </c>
      <c r="O431" s="56" t="str">
        <f>IF(I431="","",O421-((1/Comparisons!#REF!)*1000000))</f>
        <v/>
      </c>
    </row>
    <row r="432" spans="1:15" x14ac:dyDescent="0.25">
      <c r="A432" s="51" t="s">
        <v>15</v>
      </c>
      <c r="B432" s="8" t="s">
        <v>16</v>
      </c>
      <c r="C432" s="52" t="s">
        <v>11</v>
      </c>
      <c r="D432" s="59">
        <f>IF(D422="","",(D422-'2018'!D311)/'2018'!D311)</f>
        <v>-3.5942492012779555E-2</v>
      </c>
      <c r="E432" s="59">
        <f>IF(E422="","",(E422-'2018'!E311)/'2018'!E311)</f>
        <v>2.9832572298325723E-2</v>
      </c>
      <c r="F432" s="59">
        <f>IF(F422="","",(F422-'2018'!F311)/'2018'!F311)</f>
        <v>-0.11619718309859155</v>
      </c>
      <c r="G432" s="59" t="str">
        <f>IF(G422="","",(G422-#REF!)/#REF!)</f>
        <v/>
      </c>
      <c r="H432" s="59" t="str">
        <f>IF(H422="","",(H422-#REF!)/#REF!)</f>
        <v/>
      </c>
      <c r="I432" s="59" t="str">
        <f>IF(I422="","",(I422-#REF!)/#REF!)</f>
        <v/>
      </c>
      <c r="J432" s="55"/>
      <c r="K432" s="55"/>
      <c r="L432" s="55"/>
      <c r="M432" s="55" t="str">
        <f>IF(G432="","",M422-((1/Comparisons!#REF!)*1000000))</f>
        <v/>
      </c>
      <c r="N432" s="55" t="str">
        <f>IF(H432="","",N422-((1/Comparisons!#REF!)*1000000))</f>
        <v/>
      </c>
      <c r="O432" s="56" t="str">
        <f>IF(I432="","",O422-((1/Comparisons!#REF!)*1000000))</f>
        <v/>
      </c>
    </row>
    <row r="433" spans="1:15" ht="15.75" thickBot="1" x14ac:dyDescent="0.3">
      <c r="A433" s="60" t="s">
        <v>17</v>
      </c>
      <c r="B433" s="61" t="s">
        <v>18</v>
      </c>
      <c r="C433" s="61" t="s">
        <v>11</v>
      </c>
      <c r="D433" s="59">
        <f>IF(D423="","",(D423-'2018'!D312)/'2018'!D312)</f>
        <v>-1.1211129296235679E-2</v>
      </c>
      <c r="E433" s="59">
        <f>IF(E423="","",(E423-'2018'!E312)/'2018'!E312)</f>
        <v>4.3285497608213742E-2</v>
      </c>
      <c r="F433" s="59">
        <f>IF(F423="","",(F423-'2018'!F312)/'2018'!F312)</f>
        <v>-3.0724377663153172E-2</v>
      </c>
      <c r="G433" s="62" t="str">
        <f>IF(G423="","",(G423-#REF!)/#REF!)</f>
        <v/>
      </c>
      <c r="H433" s="62" t="str">
        <f>IF(H423="","",(H423-#REF!)/#REF!)</f>
        <v/>
      </c>
      <c r="I433" s="62" t="str">
        <f>IF(I423="","",(I423-#REF!)/#REF!)</f>
        <v/>
      </c>
      <c r="J433" s="63"/>
      <c r="K433" s="63"/>
      <c r="L433" s="63"/>
      <c r="M433" s="63" t="str">
        <f>IF(G433="","",M423-((1/Comparisons!#REF!)*1000000))</f>
        <v/>
      </c>
      <c r="N433" s="63" t="str">
        <f>IF(H433="","",N423-((1/Comparisons!#REF!)*1000000))</f>
        <v/>
      </c>
      <c r="O433" s="64" t="str">
        <f>IF(I433="","",O423-((1/Comparisons!#REF!)*1000000))</f>
        <v/>
      </c>
    </row>
    <row r="434" spans="1:15" ht="18.75" x14ac:dyDescent="0.3">
      <c r="A434" s="119" t="s">
        <v>212</v>
      </c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5"/>
    </row>
    <row r="435" spans="1:15" x14ac:dyDescent="0.25">
      <c r="A435" s="134" t="s">
        <v>1</v>
      </c>
      <c r="B435" s="135"/>
      <c r="C435" s="135"/>
      <c r="D435" s="136" t="s">
        <v>19</v>
      </c>
      <c r="E435" s="136"/>
      <c r="F435" s="136"/>
      <c r="G435" s="136"/>
      <c r="H435" s="136"/>
      <c r="I435" s="136"/>
      <c r="J435" s="136" t="s">
        <v>22</v>
      </c>
      <c r="K435" s="136"/>
      <c r="L435" s="136"/>
      <c r="M435" s="136"/>
      <c r="N435" s="136"/>
      <c r="O435" s="137"/>
    </row>
    <row r="436" spans="1:15" x14ac:dyDescent="0.25">
      <c r="A436" s="47" t="s">
        <v>4</v>
      </c>
      <c r="B436" s="48" t="s">
        <v>5</v>
      </c>
      <c r="C436" s="48" t="s">
        <v>6</v>
      </c>
      <c r="D436" s="49">
        <v>1</v>
      </c>
      <c r="E436" s="49">
        <v>4</v>
      </c>
      <c r="F436" s="49">
        <v>16</v>
      </c>
      <c r="G436" s="49">
        <v>32</v>
      </c>
      <c r="H436" s="49">
        <v>64</v>
      </c>
      <c r="I436" s="49">
        <v>80</v>
      </c>
      <c r="J436" s="49">
        <v>1</v>
      </c>
      <c r="K436" s="49">
        <v>4</v>
      </c>
      <c r="L436" s="49">
        <v>16</v>
      </c>
      <c r="M436" s="49">
        <v>32</v>
      </c>
      <c r="N436" s="49">
        <v>64</v>
      </c>
      <c r="O436" s="50">
        <v>80</v>
      </c>
    </row>
    <row r="437" spans="1:15" x14ac:dyDescent="0.25">
      <c r="A437" s="51" t="s">
        <v>7</v>
      </c>
      <c r="B437" s="52" t="s">
        <v>8</v>
      </c>
      <c r="C437" s="52" t="s">
        <v>9</v>
      </c>
      <c r="D437" s="59">
        <f>IF(D418="","",(D418-'2018'!D370)/'2018'!D370)</f>
        <v>-4.1763554736963276E-2</v>
      </c>
      <c r="E437" s="59">
        <f>IF(E418="","",(E418-'2018'!E370)/'2018'!E370)</f>
        <v>-1.9413069786204114E-2</v>
      </c>
      <c r="F437" s="59">
        <f>IF(F418="","",(F418-'2018'!F370)/'2018'!F370)</f>
        <v>-1.0268697586856067E-3</v>
      </c>
      <c r="G437" s="59" t="str">
        <f>IF(G418="","",(G418-'2018'!G641)/'2018'!G641)</f>
        <v/>
      </c>
      <c r="H437" s="59" t="str">
        <f>IF(H418="","",(H418-'2018'!H641)/'2018'!H641)</f>
        <v/>
      </c>
      <c r="I437" s="59" t="str">
        <f>IF(I418="","",(I418-'2018'!I641)/'2018'!I641)</f>
        <v/>
      </c>
      <c r="J437" s="55"/>
      <c r="K437" s="55"/>
      <c r="L437" s="55"/>
      <c r="M437" s="55" t="str">
        <f>IF(G437="","",M427-((1/Comparisons!#REF!)*1000000))</f>
        <v/>
      </c>
      <c r="N437" s="55" t="str">
        <f>IF(H437="","",N427-((1/Comparisons!#REF!)*1000000))</f>
        <v/>
      </c>
      <c r="O437" s="56" t="str">
        <f>IF(I437="","",O427-((1/Comparisons!#REF!)*1000000))</f>
        <v/>
      </c>
    </row>
    <row r="438" spans="1:15" x14ac:dyDescent="0.25">
      <c r="A438" s="51" t="s">
        <v>10</v>
      </c>
      <c r="B438" s="52" t="s">
        <v>8</v>
      </c>
      <c r="C438" s="52" t="s">
        <v>11</v>
      </c>
      <c r="D438" s="59">
        <f>IF(D419="","",(D419-'2018'!D371)/'2018'!D371)</f>
        <v>-5.4792234521889083E-2</v>
      </c>
      <c r="E438" s="59">
        <f>IF(E419="","",(E419-'2018'!E371)/'2018'!E371)</f>
        <v>-0.11620744193790061</v>
      </c>
      <c r="F438" s="59">
        <f>IF(F419="","",(F419-'2018'!F371)/'2018'!F371)</f>
        <v>-9.3793653961285178E-3</v>
      </c>
      <c r="G438" s="59" t="str">
        <f>IF(G428="","",(G428-#REF!)/#REF!)</f>
        <v/>
      </c>
      <c r="H438" s="59" t="str">
        <f>IF(H428="","",(H428-#REF!)/#REF!)</f>
        <v/>
      </c>
      <c r="I438" s="59" t="str">
        <f>IF(I428="","",(I428-#REF!)/#REF!)</f>
        <v/>
      </c>
      <c r="J438" s="55"/>
      <c r="K438" s="55"/>
      <c r="L438" s="55"/>
      <c r="M438" s="55" t="str">
        <f>IF(G438="","",M428-((1/Comparisons!#REF!)*1000000))</f>
        <v/>
      </c>
      <c r="N438" s="55" t="str">
        <f>IF(H438="","",N428-((1/Comparisons!#REF!)*1000000))</f>
        <v/>
      </c>
      <c r="O438" s="56" t="str">
        <f>IF(I438="","",O428-((1/Comparisons!#REF!)*1000000))</f>
        <v/>
      </c>
    </row>
    <row r="439" spans="1:15" x14ac:dyDescent="0.25">
      <c r="A439" s="51" t="s">
        <v>12</v>
      </c>
      <c r="B439" s="52" t="s">
        <v>13</v>
      </c>
      <c r="C439" s="52" t="s">
        <v>9</v>
      </c>
      <c r="D439" s="59">
        <f>IF(D420="","",(D420-'2018'!D372)/'2018'!D372)</f>
        <v>-8.3842226449094004E-3</v>
      </c>
      <c r="E439" s="59">
        <f>IF(E420="","",(E420-'2018'!E372)/'2018'!E372)</f>
        <v>2.6219546503122713E-2</v>
      </c>
      <c r="F439" s="59">
        <f>IF(F420="","",(F420-'2018'!F372)/'2018'!F372)</f>
        <v>0</v>
      </c>
      <c r="G439" s="59" t="str">
        <f>IF(G429="","",(G429-#REF!)/#REF!)</f>
        <v/>
      </c>
      <c r="H439" s="59" t="str">
        <f>IF(H429="","",(H429-#REF!)/#REF!)</f>
        <v/>
      </c>
      <c r="I439" s="59" t="str">
        <f>IF(I429="","",(I429-#REF!)/#REF!)</f>
        <v/>
      </c>
      <c r="J439" s="55"/>
      <c r="K439" s="55"/>
      <c r="L439" s="55"/>
      <c r="M439" s="55" t="str">
        <f>IF(G439="","",M429-((1/Comparisons!#REF!)*1000000))</f>
        <v/>
      </c>
      <c r="N439" s="55" t="str">
        <f>IF(H439="","",N429-((1/Comparisons!#REF!)*1000000))</f>
        <v/>
      </c>
      <c r="O439" s="56" t="str">
        <f>IF(I439="","",O429-((1/Comparisons!#REF!)*1000000))</f>
        <v/>
      </c>
    </row>
    <row r="440" spans="1:15" x14ac:dyDescent="0.25">
      <c r="A440" s="51" t="s">
        <v>14</v>
      </c>
      <c r="B440" s="52" t="s">
        <v>13</v>
      </c>
      <c r="C440" s="52" t="s">
        <v>11</v>
      </c>
      <c r="D440" s="59">
        <f>IF(D421="","",(D421-'2018'!D373)/'2018'!D373)</f>
        <v>-3.8332588287885563E-2</v>
      </c>
      <c r="E440" s="59">
        <f>IF(E421="","",(E421-'2018'!E373)/'2018'!E373)</f>
        <v>-1.4296721171132608E-2</v>
      </c>
      <c r="F440" s="59">
        <f>IF(F421="","",(F421-'2018'!F373)/'2018'!F373)</f>
        <v>5.0261780104712038E-3</v>
      </c>
      <c r="G440" s="59" t="str">
        <f>IF(G430="","",(G430-#REF!)/#REF!)</f>
        <v/>
      </c>
      <c r="H440" s="59" t="str">
        <f>IF(H430="","",(H430-#REF!)/#REF!)</f>
        <v/>
      </c>
      <c r="I440" s="59" t="str">
        <f>IF(I430="","",(I430-#REF!)/#REF!)</f>
        <v/>
      </c>
      <c r="J440" s="55"/>
      <c r="K440" s="55"/>
      <c r="L440" s="55"/>
      <c r="M440" s="55" t="str">
        <f>IF(G440="","",M430-((1/Comparisons!#REF!)*1000000))</f>
        <v/>
      </c>
      <c r="N440" s="55" t="str">
        <f>IF(H440="","",N430-((1/Comparisons!#REF!)*1000000))</f>
        <v/>
      </c>
      <c r="O440" s="56" t="str">
        <f>IF(I440="","",O430-((1/Comparisons!#REF!)*1000000))</f>
        <v/>
      </c>
    </row>
    <row r="441" spans="1:15" x14ac:dyDescent="0.25">
      <c r="A441" s="51" t="s">
        <v>15</v>
      </c>
      <c r="B441" s="8" t="s">
        <v>16</v>
      </c>
      <c r="C441" s="52" t="s">
        <v>11</v>
      </c>
      <c r="D441" s="59">
        <f>IF(D422="","",(D422-'2018'!D374)/'2018'!D374)</f>
        <v>-2.050903725562523E-2</v>
      </c>
      <c r="E441" s="59">
        <f>IF(E422="","",(E422-'2018'!E374)/'2018'!E374)</f>
        <v>5.5867665418227214E-2</v>
      </c>
      <c r="F441" s="59">
        <f>IF(F422="","",(F422-'2018'!F374)/'2018'!F374)</f>
        <v>-0.11122682774421995</v>
      </c>
      <c r="G441" s="59" t="str">
        <f>IF(G431="","",(G431-#REF!)/#REF!)</f>
        <v/>
      </c>
      <c r="H441" s="59" t="str">
        <f>IF(H431="","",(H431-#REF!)/#REF!)</f>
        <v/>
      </c>
      <c r="I441" s="59" t="str">
        <f>IF(I431="","",(I431-#REF!)/#REF!)</f>
        <v/>
      </c>
      <c r="J441" s="55"/>
      <c r="K441" s="55"/>
      <c r="L441" s="55"/>
      <c r="M441" s="55" t="str">
        <f>IF(G441="","",M431-((1/Comparisons!#REF!)*1000000))</f>
        <v/>
      </c>
      <c r="N441" s="55" t="str">
        <f>IF(H441="","",N431-((1/Comparisons!#REF!)*1000000))</f>
        <v/>
      </c>
      <c r="O441" s="56" t="str">
        <f>IF(I441="","",O431-((1/Comparisons!#REF!)*1000000))</f>
        <v/>
      </c>
    </row>
    <row r="442" spans="1:15" ht="15.75" thickBot="1" x14ac:dyDescent="0.3">
      <c r="A442" s="60" t="s">
        <v>17</v>
      </c>
      <c r="B442" s="61" t="s">
        <v>18</v>
      </c>
      <c r="C442" s="61" t="s">
        <v>11</v>
      </c>
      <c r="D442" s="59">
        <f>IF(D423="","",(D423-'2018'!D375)/'2018'!D375)</f>
        <v>-2.1460965338516359E-2</v>
      </c>
      <c r="E442" s="59">
        <f>IF(E423="","",(E423-'2018'!E375)/'2018'!E375)</f>
        <v>1.7987249544626594E-2</v>
      </c>
      <c r="F442" s="59">
        <f>IF(F423="","",(F423-'2018'!F375)/'2018'!F375)</f>
        <v>-8.7608190838083175E-2</v>
      </c>
      <c r="G442" s="62" t="str">
        <f>IF(G432="","",(G432-#REF!)/#REF!)</f>
        <v/>
      </c>
      <c r="H442" s="62" t="str">
        <f>IF(H432="","",(H432-#REF!)/#REF!)</f>
        <v/>
      </c>
      <c r="I442" s="62" t="str">
        <f>IF(I432="","",(I432-#REF!)/#REF!)</f>
        <v/>
      </c>
      <c r="J442" s="63"/>
      <c r="K442" s="63"/>
      <c r="L442" s="63"/>
      <c r="M442" s="63" t="str">
        <f>IF(G442="","",M432-((1/Comparisons!#REF!)*1000000))</f>
        <v/>
      </c>
      <c r="N442" s="63" t="str">
        <f>IF(H442="","",N432-((1/Comparisons!#REF!)*1000000))</f>
        <v/>
      </c>
      <c r="O442" s="64" t="str">
        <f>IF(I442="","",O432-((1/Comparisons!#REF!)*1000000))</f>
        <v/>
      </c>
    </row>
  </sheetData>
  <mergeCells count="237">
    <mergeCell ref="A426:C426"/>
    <mergeCell ref="D426:I426"/>
    <mergeCell ref="J426:O426"/>
    <mergeCell ref="A434:O434"/>
    <mergeCell ref="A435:C435"/>
    <mergeCell ref="D435:I435"/>
    <mergeCell ref="J435:O435"/>
    <mergeCell ref="A414:O414"/>
    <mergeCell ref="A415:O415"/>
    <mergeCell ref="A416:C416"/>
    <mergeCell ref="D416:I416"/>
    <mergeCell ref="J416:O416"/>
    <mergeCell ref="A424:D424"/>
    <mergeCell ref="E424:G424"/>
    <mergeCell ref="H424:I424"/>
    <mergeCell ref="A425:O425"/>
    <mergeCell ref="A403:O403"/>
    <mergeCell ref="A404:C404"/>
    <mergeCell ref="D404:I404"/>
    <mergeCell ref="J404:O404"/>
    <mergeCell ref="A385:C385"/>
    <mergeCell ref="D385:I385"/>
    <mergeCell ref="J385:O385"/>
    <mergeCell ref="A393:D393"/>
    <mergeCell ref="E393:G393"/>
    <mergeCell ref="H393:I393"/>
    <mergeCell ref="A394:O394"/>
    <mergeCell ref="A395:C395"/>
    <mergeCell ref="D395:I395"/>
    <mergeCell ref="J395:O395"/>
    <mergeCell ref="A365:C365"/>
    <mergeCell ref="D365:I365"/>
    <mergeCell ref="J365:O365"/>
    <mergeCell ref="A373:O373"/>
    <mergeCell ref="A374:C374"/>
    <mergeCell ref="D374:I374"/>
    <mergeCell ref="J374:O374"/>
    <mergeCell ref="A383:O383"/>
    <mergeCell ref="A384:O384"/>
    <mergeCell ref="A353:O353"/>
    <mergeCell ref="A354:O354"/>
    <mergeCell ref="A355:C355"/>
    <mergeCell ref="D355:I355"/>
    <mergeCell ref="J355:O355"/>
    <mergeCell ref="A363:D363"/>
    <mergeCell ref="E363:G363"/>
    <mergeCell ref="H363:I363"/>
    <mergeCell ref="A364:O364"/>
    <mergeCell ref="A305:C305"/>
    <mergeCell ref="D305:I305"/>
    <mergeCell ref="J305:O305"/>
    <mergeCell ref="A313:O313"/>
    <mergeCell ref="A314:C314"/>
    <mergeCell ref="D314:I314"/>
    <mergeCell ref="J314:O314"/>
    <mergeCell ref="A293:O293"/>
    <mergeCell ref="A294:O294"/>
    <mergeCell ref="A295:C295"/>
    <mergeCell ref="D295:I295"/>
    <mergeCell ref="J295:O295"/>
    <mergeCell ref="A303:D303"/>
    <mergeCell ref="E303:G303"/>
    <mergeCell ref="H303:I303"/>
    <mergeCell ref="A304:O304"/>
    <mergeCell ref="A245:C245"/>
    <mergeCell ref="D245:I245"/>
    <mergeCell ref="J245:O245"/>
    <mergeCell ref="A253:O253"/>
    <mergeCell ref="A254:C254"/>
    <mergeCell ref="D254:I254"/>
    <mergeCell ref="J254:O254"/>
    <mergeCell ref="A233:O233"/>
    <mergeCell ref="A234:O234"/>
    <mergeCell ref="A235:C235"/>
    <mergeCell ref="D235:I235"/>
    <mergeCell ref="J235:O235"/>
    <mergeCell ref="A243:D243"/>
    <mergeCell ref="E243:G243"/>
    <mergeCell ref="H243:I243"/>
    <mergeCell ref="A244:O244"/>
    <mergeCell ref="A1:O1"/>
    <mergeCell ref="A2:O2"/>
    <mergeCell ref="A3:C3"/>
    <mergeCell ref="D3:I3"/>
    <mergeCell ref="J3:O3"/>
    <mergeCell ref="A11:D11"/>
    <mergeCell ref="E11:G11"/>
    <mergeCell ref="H11:I11"/>
    <mergeCell ref="A53:O53"/>
    <mergeCell ref="A43:O43"/>
    <mergeCell ref="A44:C44"/>
    <mergeCell ref="D44:I44"/>
    <mergeCell ref="J44:O44"/>
    <mergeCell ref="A52:D52"/>
    <mergeCell ref="E52:G52"/>
    <mergeCell ref="H52:I52"/>
    <mergeCell ref="A23:O23"/>
    <mergeCell ref="A24:C24"/>
    <mergeCell ref="D24:I24"/>
    <mergeCell ref="J24:O24"/>
    <mergeCell ref="A32:D32"/>
    <mergeCell ref="E32:G32"/>
    <mergeCell ref="H32:I32"/>
    <mergeCell ref="A12:O12"/>
    <mergeCell ref="A13:C13"/>
    <mergeCell ref="D13:I13"/>
    <mergeCell ref="J13:O13"/>
    <mergeCell ref="A63:O63"/>
    <mergeCell ref="A64:C64"/>
    <mergeCell ref="D64:I64"/>
    <mergeCell ref="J64:O64"/>
    <mergeCell ref="A72:D72"/>
    <mergeCell ref="E72:G72"/>
    <mergeCell ref="H72:I72"/>
    <mergeCell ref="A33:O33"/>
    <mergeCell ref="A34:C34"/>
    <mergeCell ref="D34:I34"/>
    <mergeCell ref="J34:O34"/>
    <mergeCell ref="A54:C54"/>
    <mergeCell ref="D54:I54"/>
    <mergeCell ref="J54:O54"/>
    <mergeCell ref="A85:C85"/>
    <mergeCell ref="D85:I85"/>
    <mergeCell ref="J85:O85"/>
    <mergeCell ref="A93:D93"/>
    <mergeCell ref="E93:G93"/>
    <mergeCell ref="H93:I93"/>
    <mergeCell ref="A73:O73"/>
    <mergeCell ref="A74:C74"/>
    <mergeCell ref="D74:I74"/>
    <mergeCell ref="J74:O74"/>
    <mergeCell ref="A84:O84"/>
    <mergeCell ref="A104:O104"/>
    <mergeCell ref="A105:C105"/>
    <mergeCell ref="D105:I105"/>
    <mergeCell ref="J105:O105"/>
    <mergeCell ref="A113:D113"/>
    <mergeCell ref="E113:G113"/>
    <mergeCell ref="H113:I113"/>
    <mergeCell ref="A94:O94"/>
    <mergeCell ref="A95:C95"/>
    <mergeCell ref="D95:I95"/>
    <mergeCell ref="J95:O95"/>
    <mergeCell ref="A124:O124"/>
    <mergeCell ref="A125:C125"/>
    <mergeCell ref="D125:I125"/>
    <mergeCell ref="J125:O125"/>
    <mergeCell ref="A133:D133"/>
    <mergeCell ref="E133:G133"/>
    <mergeCell ref="H133:I133"/>
    <mergeCell ref="A114:O114"/>
    <mergeCell ref="A115:C115"/>
    <mergeCell ref="D115:I115"/>
    <mergeCell ref="J115:O115"/>
    <mergeCell ref="A173:O173"/>
    <mergeCell ref="A174:O174"/>
    <mergeCell ref="A175:C175"/>
    <mergeCell ref="D175:I175"/>
    <mergeCell ref="J175:O175"/>
    <mergeCell ref="A134:O134"/>
    <mergeCell ref="A135:C135"/>
    <mergeCell ref="D135:I135"/>
    <mergeCell ref="J135:O135"/>
    <mergeCell ref="A144:O144"/>
    <mergeCell ref="A145:C145"/>
    <mergeCell ref="D145:I145"/>
    <mergeCell ref="J145:O145"/>
    <mergeCell ref="A153:D153"/>
    <mergeCell ref="E153:G153"/>
    <mergeCell ref="H153:I153"/>
    <mergeCell ref="A164:C164"/>
    <mergeCell ref="D164:I164"/>
    <mergeCell ref="J164:O164"/>
    <mergeCell ref="A154:O154"/>
    <mergeCell ref="A155:C155"/>
    <mergeCell ref="D155:I155"/>
    <mergeCell ref="J155:O155"/>
    <mergeCell ref="A163:O163"/>
    <mergeCell ref="A193:O193"/>
    <mergeCell ref="A194:C194"/>
    <mergeCell ref="D194:I194"/>
    <mergeCell ref="J194:O194"/>
    <mergeCell ref="A203:O203"/>
    <mergeCell ref="A183:D183"/>
    <mergeCell ref="E183:G183"/>
    <mergeCell ref="H183:I183"/>
    <mergeCell ref="A184:O184"/>
    <mergeCell ref="A185:C185"/>
    <mergeCell ref="D185:I185"/>
    <mergeCell ref="J185:O185"/>
    <mergeCell ref="A224:C224"/>
    <mergeCell ref="D224:I224"/>
    <mergeCell ref="J224:O224"/>
    <mergeCell ref="A214:O214"/>
    <mergeCell ref="A215:C215"/>
    <mergeCell ref="D215:I215"/>
    <mergeCell ref="J215:O215"/>
    <mergeCell ref="A223:O223"/>
    <mergeCell ref="A204:O204"/>
    <mergeCell ref="A205:C205"/>
    <mergeCell ref="D205:I205"/>
    <mergeCell ref="J205:O205"/>
    <mergeCell ref="A213:D213"/>
    <mergeCell ref="E213:G213"/>
    <mergeCell ref="H213:I213"/>
    <mergeCell ref="A275:C275"/>
    <mergeCell ref="D275:I275"/>
    <mergeCell ref="J275:O275"/>
    <mergeCell ref="A283:O283"/>
    <mergeCell ref="A284:C284"/>
    <mergeCell ref="D284:I284"/>
    <mergeCell ref="J284:O284"/>
    <mergeCell ref="A263:O263"/>
    <mergeCell ref="A264:O264"/>
    <mergeCell ref="A265:C265"/>
    <mergeCell ref="D265:I265"/>
    <mergeCell ref="J265:O265"/>
    <mergeCell ref="A273:D273"/>
    <mergeCell ref="E273:G273"/>
    <mergeCell ref="H273:I273"/>
    <mergeCell ref="A274:O274"/>
    <mergeCell ref="A335:C335"/>
    <mergeCell ref="D335:I335"/>
    <mergeCell ref="J335:O335"/>
    <mergeCell ref="A343:O343"/>
    <mergeCell ref="A344:C344"/>
    <mergeCell ref="D344:I344"/>
    <mergeCell ref="J344:O344"/>
    <mergeCell ref="A323:O323"/>
    <mergeCell ref="A324:O324"/>
    <mergeCell ref="A325:C325"/>
    <mergeCell ref="D325:I325"/>
    <mergeCell ref="J325:O325"/>
    <mergeCell ref="A333:D333"/>
    <mergeCell ref="E333:G333"/>
    <mergeCell ref="H333:I333"/>
    <mergeCell ref="A334:O334"/>
  </mergeCells>
  <conditionalFormatting sqref="G16:I20 H15:I15">
    <cfRule type="colorScale" priority="6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G15 D16:F20">
    <cfRule type="colorScale" priority="6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7:I41 H36:I36">
    <cfRule type="colorScale" priority="6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G36 D37:F41">
    <cfRule type="colorScale" priority="6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7:I61 H56:I56">
    <cfRule type="colorScale" priority="6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6:G56 D57:F61">
    <cfRule type="colorScale" priority="5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77:I81 H76:I76">
    <cfRule type="colorScale" priority="5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6:G76 D77:F81">
    <cfRule type="colorScale" priority="5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98:I102 H97:I97">
    <cfRule type="colorScale" priority="5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7:G97 D98:F102">
    <cfRule type="colorScale" priority="5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18:I122 H117:I117">
    <cfRule type="colorScale" priority="5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7:G117 D118:F122">
    <cfRule type="colorScale" priority="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38:I142 H137:I137">
    <cfRule type="colorScale" priority="5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7:G137 D138:F142">
    <cfRule type="colorScale" priority="5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58:I162 H157:I157">
    <cfRule type="colorScale" priority="5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57">
    <cfRule type="colorScale" priority="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67:I171">
    <cfRule type="colorScale" priority="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6:I166 D167:F171">
    <cfRule type="colorScale" priority="4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7:F162">
    <cfRule type="colorScale" priority="4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88:I192 H187:I187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87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97:I201">
    <cfRule type="colorScale" priority="4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6:I196 D197:F201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7:F192">
    <cfRule type="colorScale" priority="4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18:I222 H217:I217">
    <cfRule type="colorScale" priority="4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17">
    <cfRule type="colorScale" priority="3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27:I231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6:I226 D227:F231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7:F222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48:I252 H247:I247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47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57:I261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6:I256 D257:F261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7:F252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78:I282 H277:I277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77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87:I291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6:I286 D287:F291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77:F282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08:I312 H307:I307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07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17:I321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16:I316 D317:F321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7:F312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38:I342 H337:I337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37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47:I351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6:I346 D347:F351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7:F342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68:I372 H367:I367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67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77:I381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6:I376 D377:F381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7:F372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98:I402 H397:I397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97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07:I411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06:I406 D407:F411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7:F402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29:I433 H428:I428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28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38:I442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37:I437 D438:F442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28:F433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display="9033_sp_online_int_reboots_16.0a12" xr:uid="{E1AFABC5-196D-4EFD-B2D9-191F4BD8F16A}"/>
    <hyperlink ref="A11:D11" r:id="rId2" display="Worst of 10 iterations 9033_sp_online_int_reboots_19.0a6" xr:uid="{9C4AC36A-9526-4E35-AA3F-74CB5F987CF1}"/>
    <hyperlink ref="H11:I11" r:id="rId3" display="T3,T4 cases rerun" xr:uid="{C197ADD4-B4D7-4BB8-A146-A98C83B9E806}"/>
    <hyperlink ref="A32" r:id="rId4" display="9033_sp_online_int_reboots_16.0a12" xr:uid="{E83972B7-8D33-4FE4-8415-66D5525D6EA8}"/>
    <hyperlink ref="A32:D32" r:id="rId5" display="Worst of 10 iterations 9033_sp_online_int_reboots_19.0a9" xr:uid="{1C73836F-9B09-4FF5-8C4A-436FB6BBD9FA}"/>
    <hyperlink ref="A52" r:id="rId6" display="9033_sp_online_int_reboots_16.0a12" xr:uid="{21B1B69D-9507-4DCE-8B6F-129654430BE6}"/>
    <hyperlink ref="A52:D52" r:id="rId7" location="TSsummary" display="Worst of 10 iterations 9033_sp_online_int_reboots_19.0a25" xr:uid="{9ABB9C88-9263-4693-94F2-0C7C8EE861D5}"/>
    <hyperlink ref="A72" r:id="rId8" display="9033_sp_online_int_reboots_16.0a12" xr:uid="{EF89F7FE-7B42-4041-9708-2BB86FB47BD4}"/>
    <hyperlink ref="A72:D72" r:id="rId9" location="TSsummary" display="Worst of 10 iterations 9033_sp_online_int_reboots_19.0a25" xr:uid="{57D83C03-43D9-40C9-9A2A-3DE74DD80D17}"/>
    <hyperlink ref="A93" r:id="rId10" display="9033_sp_online_int_reboots_16.0a12" xr:uid="{A4A75F7C-ACC0-4436-981B-7E3A9878BF77}"/>
    <hyperlink ref="A93:D93" r:id="rId11" display="Worst of 10 iterations 9033_sp_online_int_reboots_19.0a28" xr:uid="{83C83C13-DB10-4130-8D7B-AE760A875572}"/>
    <hyperlink ref="A113" r:id="rId12" display="9033_sp_online_int_reboots_16.0a12" xr:uid="{F10C166C-0C25-4AA4-A713-8836D7598C7D}"/>
    <hyperlink ref="A113:D113" r:id="rId13" display="Worst of 10 iterations 9033_sp_online_int_reboots_19.0a28" xr:uid="{66C0C61D-8BCB-4B94-B294-793C5B72B010}"/>
    <hyperlink ref="A133" r:id="rId14" display="9033_sp_online_int_reboots_16.0a12" xr:uid="{C0A14B99-F49F-4ECB-9903-775B8B65A779}"/>
    <hyperlink ref="A133:D133" r:id="rId15" location="TSsummary" display="Worst of 10 iterations 9033_sp_online_int_reboots_19.0b27" xr:uid="{53C11D08-1947-43FA-BC94-AF9B05E8FFD0}"/>
    <hyperlink ref="A153" r:id="rId16" display="9033_sp_online_int_reboots_16.0a12" xr:uid="{971BC6FA-64DA-432D-990E-25F991AC0249}"/>
    <hyperlink ref="A153:D153" r:id="rId17" display="Worst of 10 iterations 9033_sp_online_int_reboots_19.0b33" xr:uid="{BE87594E-171A-478E-BF30-2992A7D3D2AB}"/>
    <hyperlink ref="A183" r:id="rId18" display="9033_sp_online_int_reboots_16.0a12" xr:uid="{2F33555C-EEDB-4A50-993D-38C4BE3F4BFE}"/>
    <hyperlink ref="A183:D183" r:id="rId19" display="Worst of 10 iterations 9033_sp_online_int_reboots_19.0b49" xr:uid="{180CB4D5-88DE-4315-9EEF-4DB4F50F8798}"/>
    <hyperlink ref="A213" r:id="rId20" display="9033_sp_online_int_reboots_16.0a12" xr:uid="{13D568F0-AC2B-423C-AC0D-A5D2EF721879}"/>
    <hyperlink ref="A213:D213" r:id="rId21" display="Worst of 10 iterations 9033_sp_online_int_reboots_19.0b49" xr:uid="{CD5404C6-9325-4941-86A6-1B8988199C43}"/>
    <hyperlink ref="A243" r:id="rId22" display="9033_sp_online_int_reboots_16.0a12" xr:uid="{C8BFF09B-0253-4AAB-AB47-9353D94DF1BE}"/>
    <hyperlink ref="A243:D243" r:id="rId23" display="Worst of 10 iterations 9033_sp_online_int_reboots_19.0b63" xr:uid="{C3358C71-BF51-41F5-AD40-B16823CEE329}"/>
    <hyperlink ref="A273" r:id="rId24" display="9033_sp_online_int_reboots_16.0a12" xr:uid="{28BAFB3F-971B-496A-A227-D8E591225177}"/>
    <hyperlink ref="A273:D273" r:id="rId25" display="Worst of 10 iterations 9033_sp_online_int_reboots_19.0b67" xr:uid="{F4CFE883-E352-42B0-A95D-DB7C867C5611}"/>
    <hyperlink ref="A303" r:id="rId26" display="9033_sp_online_int_reboots_16.0a12" xr:uid="{CDA5ED6D-6196-4FEC-BECE-A3B70BCCF66A}"/>
    <hyperlink ref="A303:D303" r:id="rId27" location="Test_cRIO-Benchmark.lvproj%5CRT%20Target%5CAI-AO%5CTest_cRIO_AI-AO_01_INT.vi" display="Worst of 10 iterations 9033_sp_online_int_reboots_19.0b79" xr:uid="{034CDCFB-6B44-4ECC-AAB3-9F996A1F9A50}"/>
    <hyperlink ref="A333" r:id="rId28" display="9033_sp_online_int_reboots_16.0a12" xr:uid="{2A0CCCA5-C7B0-4A2E-AFA5-19FE74519233}"/>
    <hyperlink ref="A333:D333" r:id="rId29" location="Test_cRIO-Benchmark.lvproj%5CRT%20Target%5CAI-AO%5CTest_cRIO_AI-AO_01_INT.vi" display="Worst of 10 iterations 9033_sp_online_int_reboots_19.0b83" xr:uid="{BC886AD7-2AF4-443A-B259-FA02DA5A7040}"/>
    <hyperlink ref="A363" r:id="rId30" display="9033_sp_online_int_reboots_16.0a12" xr:uid="{D9798D94-17E1-4DD6-B5AC-27E5D10B68E8}"/>
    <hyperlink ref="A363:D363" r:id="rId31" location="Test_cRIO-Benchmark.lvproj%5CRT%20Target%5CAI-AO-TCP%5CTest_cRIO_AI-AO-TCP_01_INT.vi" display="Worst of 10 iterations 9033_sp_online_int_reboots_19.0b91" xr:uid="{ADB3C63B-B032-40D0-9F3E-5E7498E309E8}"/>
    <hyperlink ref="A393" r:id="rId32" display="9033_sp_online_int_reboots_16.0a12" xr:uid="{97FA69B6-63C8-4DEA-892D-6A75D38D5B9F}"/>
    <hyperlink ref="A393:D393" r:id="rId33" display="Worst of 10 iterations 9033_sp_online_int_reboots_19.0b101" xr:uid="{0880284C-B0AE-4D9D-BB57-51AA445CF323}"/>
    <hyperlink ref="A424" r:id="rId34" display="9033_sp_online_int_reboots_16.0a12" xr:uid="{A30D3A0A-E808-4C98-945F-10CE5AEA2208}"/>
    <hyperlink ref="A424:D424" r:id="rId35" display="Worst of 10 iterations 9033_sp_online_int_reboots_19.0.0" xr:uid="{AD4D102C-EF6F-47E4-A661-0D0CE7547927}"/>
  </hyperlinks>
  <pageMargins left="0.7" right="0.7" top="0.75" bottom="0.75" header="0.3" footer="0.3"/>
  <pageSetup orientation="portrait" r:id="rId3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890E-D54C-47CB-BC37-22FECD4D206F}">
  <dimension ref="A1:O215"/>
  <sheetViews>
    <sheetView tabSelected="1" topLeftCell="A178" workbookViewId="0">
      <selection activeCell="G196" sqref="G196"/>
    </sheetView>
  </sheetViews>
  <sheetFormatPr defaultRowHeight="15" x14ac:dyDescent="0.25"/>
  <cols>
    <col min="2" max="2" width="19.5703125" bestFit="1" customWidth="1"/>
    <col min="3" max="3" width="9.85546875" bestFit="1" customWidth="1"/>
    <col min="4" max="4" width="15" customWidth="1"/>
  </cols>
  <sheetData>
    <row r="1" spans="1:15" ht="18.75" x14ac:dyDescent="0.25">
      <c r="A1" s="110" t="s">
        <v>213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40"/>
    </row>
    <row r="2" spans="1:15" ht="15.75" x14ac:dyDescent="0.25">
      <c r="A2" s="113" t="s">
        <v>232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2"/>
    </row>
    <row r="3" spans="1:15" x14ac:dyDescent="0.25">
      <c r="A3" s="134" t="s">
        <v>1</v>
      </c>
      <c r="B3" s="135"/>
      <c r="C3" s="135"/>
      <c r="D3" s="136" t="s">
        <v>2</v>
      </c>
      <c r="E3" s="136"/>
      <c r="F3" s="136"/>
      <c r="G3" s="136"/>
      <c r="H3" s="136"/>
      <c r="I3" s="136"/>
      <c r="J3" s="136" t="s">
        <v>3</v>
      </c>
      <c r="K3" s="136"/>
      <c r="L3" s="136"/>
      <c r="M3" s="136"/>
      <c r="N3" s="136"/>
      <c r="O3" s="137"/>
    </row>
    <row r="4" spans="1:15" x14ac:dyDescent="0.25">
      <c r="A4" s="47" t="s">
        <v>26</v>
      </c>
      <c r="B4" s="48" t="s">
        <v>5</v>
      </c>
      <c r="C4" s="48" t="s">
        <v>6</v>
      </c>
      <c r="D4" s="49">
        <v>1</v>
      </c>
      <c r="E4" s="49">
        <v>4</v>
      </c>
      <c r="F4" s="49">
        <v>16</v>
      </c>
      <c r="G4" s="49">
        <v>32</v>
      </c>
      <c r="H4" s="49">
        <v>64</v>
      </c>
      <c r="I4" s="49">
        <v>80</v>
      </c>
      <c r="J4" s="49">
        <v>1</v>
      </c>
      <c r="K4" s="49">
        <v>4</v>
      </c>
      <c r="L4" s="49">
        <v>16</v>
      </c>
      <c r="M4" s="49">
        <v>32</v>
      </c>
      <c r="N4" s="49">
        <v>64</v>
      </c>
      <c r="O4" s="50">
        <v>80</v>
      </c>
    </row>
    <row r="5" spans="1:15" x14ac:dyDescent="0.25">
      <c r="A5" s="51" t="s">
        <v>7</v>
      </c>
      <c r="B5" s="52" t="s">
        <v>8</v>
      </c>
      <c r="C5" s="52" t="s">
        <v>9</v>
      </c>
      <c r="D5" s="53">
        <v>41335</v>
      </c>
      <c r="E5" s="53">
        <v>18777</v>
      </c>
      <c r="F5" s="53">
        <v>5843</v>
      </c>
      <c r="G5" s="54"/>
      <c r="H5" s="54"/>
      <c r="I5" s="54"/>
      <c r="J5" s="55"/>
      <c r="K5" s="55"/>
      <c r="L5" s="55"/>
      <c r="M5" s="55" t="str">
        <f t="shared" ref="M5:O10" si="0">IF(G5="","",(1/G5)*1000000)</f>
        <v/>
      </c>
      <c r="N5" s="55" t="str">
        <f t="shared" si="0"/>
        <v/>
      </c>
      <c r="O5" s="56" t="str">
        <f t="shared" si="0"/>
        <v/>
      </c>
    </row>
    <row r="6" spans="1:15" x14ac:dyDescent="0.25">
      <c r="A6" s="51" t="s">
        <v>10</v>
      </c>
      <c r="B6" s="52" t="s">
        <v>8</v>
      </c>
      <c r="C6" s="52" t="s">
        <v>11</v>
      </c>
      <c r="D6" s="53">
        <v>15185</v>
      </c>
      <c r="E6" s="53">
        <v>10545</v>
      </c>
      <c r="F6" s="53">
        <v>4783</v>
      </c>
      <c r="G6" s="54"/>
      <c r="H6" s="54"/>
      <c r="I6" s="54"/>
      <c r="J6" s="55"/>
      <c r="K6" s="55"/>
      <c r="L6" s="55"/>
      <c r="M6" s="55" t="str">
        <f t="shared" si="0"/>
        <v/>
      </c>
      <c r="N6" s="55" t="str">
        <f t="shared" si="0"/>
        <v/>
      </c>
      <c r="O6" s="56" t="str">
        <f t="shared" si="0"/>
        <v/>
      </c>
    </row>
    <row r="7" spans="1:15" x14ac:dyDescent="0.25">
      <c r="A7" s="51" t="s">
        <v>12</v>
      </c>
      <c r="B7" s="52" t="s">
        <v>13</v>
      </c>
      <c r="C7" s="52" t="s">
        <v>9</v>
      </c>
      <c r="D7" s="53">
        <v>38041</v>
      </c>
      <c r="E7" s="53">
        <v>17773</v>
      </c>
      <c r="F7" s="53">
        <v>5656</v>
      </c>
      <c r="G7" s="54"/>
      <c r="H7" s="54"/>
      <c r="I7" s="54"/>
      <c r="J7" s="55"/>
      <c r="K7" s="55"/>
      <c r="L7" s="55"/>
      <c r="M7" s="55" t="str">
        <f t="shared" si="0"/>
        <v/>
      </c>
      <c r="N7" s="55" t="str">
        <f t="shared" si="0"/>
        <v/>
      </c>
      <c r="O7" s="56" t="str">
        <f t="shared" si="0"/>
        <v/>
      </c>
    </row>
    <row r="8" spans="1:15" x14ac:dyDescent="0.25">
      <c r="A8" s="51" t="s">
        <v>14</v>
      </c>
      <c r="B8" s="52" t="s">
        <v>13</v>
      </c>
      <c r="C8" s="52" t="s">
        <v>11</v>
      </c>
      <c r="D8" s="53">
        <v>15060</v>
      </c>
      <c r="E8" s="53">
        <v>10671</v>
      </c>
      <c r="F8" s="53">
        <v>4558</v>
      </c>
      <c r="G8" s="54"/>
      <c r="H8" s="54"/>
      <c r="I8" s="54"/>
      <c r="J8" s="55"/>
      <c r="K8" s="55"/>
      <c r="L8" s="55"/>
      <c r="M8" s="55" t="str">
        <f t="shared" si="0"/>
        <v/>
      </c>
      <c r="N8" s="55" t="str">
        <f t="shared" si="0"/>
        <v/>
      </c>
      <c r="O8" s="56" t="str">
        <f t="shared" si="0"/>
        <v/>
      </c>
    </row>
    <row r="9" spans="1:15" x14ac:dyDescent="0.25">
      <c r="A9" s="51" t="s">
        <v>15</v>
      </c>
      <c r="B9" s="52" t="s">
        <v>16</v>
      </c>
      <c r="C9" s="52" t="s">
        <v>11</v>
      </c>
      <c r="D9" s="53">
        <v>12117</v>
      </c>
      <c r="E9" s="53">
        <v>9612</v>
      </c>
      <c r="F9" s="53">
        <v>4481</v>
      </c>
      <c r="G9" s="54"/>
      <c r="H9" s="54"/>
      <c r="I9" s="54"/>
      <c r="J9" s="55"/>
      <c r="K9" s="55"/>
      <c r="L9" s="55"/>
      <c r="M9" s="55" t="str">
        <f t="shared" si="0"/>
        <v/>
      </c>
      <c r="N9" s="55" t="str">
        <f t="shared" si="0"/>
        <v/>
      </c>
      <c r="O9" s="56" t="str">
        <f t="shared" si="0"/>
        <v/>
      </c>
    </row>
    <row r="10" spans="1:15" x14ac:dyDescent="0.25">
      <c r="A10" s="28" t="s">
        <v>17</v>
      </c>
      <c r="B10" s="52" t="s">
        <v>18</v>
      </c>
      <c r="C10" s="52" t="s">
        <v>11</v>
      </c>
      <c r="D10" s="53">
        <v>11534</v>
      </c>
      <c r="E10" s="53">
        <v>9501</v>
      </c>
      <c r="F10" s="53">
        <v>4401</v>
      </c>
      <c r="G10" s="54"/>
      <c r="H10" s="54"/>
      <c r="I10" s="54"/>
      <c r="J10" s="55"/>
      <c r="K10" s="55"/>
      <c r="L10" s="55"/>
      <c r="M10" s="55" t="str">
        <f t="shared" si="0"/>
        <v/>
      </c>
      <c r="N10" s="55" t="str">
        <f t="shared" si="0"/>
        <v/>
      </c>
      <c r="O10" s="56" t="str">
        <f t="shared" si="0"/>
        <v/>
      </c>
    </row>
    <row r="11" spans="1:15" x14ac:dyDescent="0.25">
      <c r="A11" s="116" t="s">
        <v>237</v>
      </c>
      <c r="B11" s="117"/>
      <c r="C11" s="117"/>
      <c r="D11" s="117"/>
      <c r="E11" s="143"/>
      <c r="F11" s="143"/>
      <c r="G11" s="143"/>
      <c r="H11" s="102" t="s">
        <v>234</v>
      </c>
      <c r="I11" s="102"/>
      <c r="J11" s="102"/>
      <c r="K11" s="66"/>
      <c r="L11" s="66"/>
      <c r="M11" s="66"/>
      <c r="N11" s="66"/>
      <c r="O11" s="58"/>
    </row>
    <row r="12" spans="1:15" ht="18.75" x14ac:dyDescent="0.3">
      <c r="A12" s="119" t="s">
        <v>233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5"/>
    </row>
    <row r="13" spans="1:15" x14ac:dyDescent="0.25">
      <c r="A13" s="134" t="s">
        <v>1</v>
      </c>
      <c r="B13" s="135"/>
      <c r="C13" s="135"/>
      <c r="D13" s="136" t="s">
        <v>19</v>
      </c>
      <c r="E13" s="136"/>
      <c r="F13" s="136"/>
      <c r="G13" s="136"/>
      <c r="H13" s="136"/>
      <c r="I13" s="136"/>
      <c r="J13" s="136" t="s">
        <v>22</v>
      </c>
      <c r="K13" s="136"/>
      <c r="L13" s="136"/>
      <c r="M13" s="136"/>
      <c r="N13" s="136"/>
      <c r="O13" s="137"/>
    </row>
    <row r="14" spans="1:15" x14ac:dyDescent="0.25">
      <c r="A14" s="47" t="s">
        <v>4</v>
      </c>
      <c r="B14" s="48" t="s">
        <v>5</v>
      </c>
      <c r="C14" s="48" t="s">
        <v>6</v>
      </c>
      <c r="D14" s="49">
        <v>1</v>
      </c>
      <c r="E14" s="49">
        <v>4</v>
      </c>
      <c r="F14" s="49">
        <v>16</v>
      </c>
      <c r="G14" s="49">
        <v>32</v>
      </c>
      <c r="H14" s="49">
        <v>64</v>
      </c>
      <c r="I14" s="49">
        <v>80</v>
      </c>
      <c r="J14" s="49">
        <v>1</v>
      </c>
      <c r="K14" s="49">
        <v>4</v>
      </c>
      <c r="L14" s="49">
        <v>16</v>
      </c>
      <c r="M14" s="49">
        <v>32</v>
      </c>
      <c r="N14" s="49">
        <v>64</v>
      </c>
      <c r="O14" s="50">
        <v>80</v>
      </c>
    </row>
    <row r="15" spans="1:15" x14ac:dyDescent="0.25">
      <c r="A15" s="51" t="s">
        <v>7</v>
      </c>
      <c r="B15" s="52" t="s">
        <v>8</v>
      </c>
      <c r="C15" s="52" t="s">
        <v>9</v>
      </c>
      <c r="D15" s="59">
        <f>IF(D5="","",(D5-'2019'!D418)/'2019'!D418)</f>
        <v>-6.8715311981932198E-3</v>
      </c>
      <c r="E15" s="59">
        <f>IF(E5="","",(E5-'2019'!E418)/'2019'!E418)</f>
        <v>-3.4452614799197818E-2</v>
      </c>
      <c r="F15" s="59">
        <f>IF(F5="","",(F5-'2019'!F418)/'2019'!F418)</f>
        <v>1.027925304094569E-3</v>
      </c>
      <c r="G15" s="59" t="str">
        <f>IF(G5="","",(G5-'2017'!G346)/'2017'!G346)</f>
        <v/>
      </c>
      <c r="H15" s="59" t="str">
        <f>IF(H5="","",(H5-#REF!)/#REF!)</f>
        <v/>
      </c>
      <c r="I15" s="59" t="str">
        <f>IF(I5="","",(I5-#REF!)/#REF!)</f>
        <v/>
      </c>
      <c r="J15" s="55"/>
      <c r="K15" s="55"/>
      <c r="L15" s="55"/>
      <c r="M15" s="55" t="str">
        <f>IF(G15="","",M5-((1/Comparisons!#REF!)*1000000))</f>
        <v/>
      </c>
      <c r="N15" s="55" t="str">
        <f>IF(H15="","",N5-((1/Comparisons!#REF!)*1000000))</f>
        <v/>
      </c>
      <c r="O15" s="56" t="str">
        <f>IF(I15="","",O5-((1/Comparisons!#REF!)*1000000))</f>
        <v/>
      </c>
    </row>
    <row r="16" spans="1:15" x14ac:dyDescent="0.25">
      <c r="A16" s="51" t="s">
        <v>10</v>
      </c>
      <c r="B16" s="52" t="s">
        <v>8</v>
      </c>
      <c r="C16" s="52" t="s">
        <v>11</v>
      </c>
      <c r="D16" s="59">
        <f>IF(D6="","",(D6-'2019'!D419)/'2019'!D419)</f>
        <v>-0.10634416195856874</v>
      </c>
      <c r="E16" s="59">
        <f>IF(E6="","",(E6-'2019'!E419)/'2019'!E419)</f>
        <v>-6.7815767165866061E-3</v>
      </c>
      <c r="F16" s="59">
        <f>IF(F6="","",(F6-'2019'!F419)/'2019'!F419)</f>
        <v>-3.6462530217566479E-2</v>
      </c>
      <c r="G16" s="59" t="str">
        <f>IF(G6="","",(G6-#REF!)/#REF!)</f>
        <v/>
      </c>
      <c r="H16" s="59" t="str">
        <f>IF(H6="","",(H6-#REF!)/#REF!)</f>
        <v/>
      </c>
      <c r="I16" s="59" t="str">
        <f>IF(I6="","",(I6-#REF!)/#REF!)</f>
        <v/>
      </c>
      <c r="J16" s="55"/>
      <c r="K16" s="55"/>
      <c r="L16" s="55"/>
      <c r="M16" s="55" t="str">
        <f>IF(G16="","",M6-((1/Comparisons!#REF!)*1000000))</f>
        <v/>
      </c>
      <c r="N16" s="55" t="str">
        <f>IF(H16="","",N6-((1/Comparisons!#REF!)*1000000))</f>
        <v/>
      </c>
      <c r="O16" s="56" t="str">
        <f>IF(I16="","",O6-((1/Comparisons!#REF!)*1000000))</f>
        <v/>
      </c>
    </row>
    <row r="17" spans="1:15" x14ac:dyDescent="0.25">
      <c r="A17" s="51" t="s">
        <v>12</v>
      </c>
      <c r="B17" s="52" t="s">
        <v>13</v>
      </c>
      <c r="C17" s="52" t="s">
        <v>9</v>
      </c>
      <c r="D17" s="59">
        <f>IF(D7="","",(D7-'2019'!D420)/'2019'!D420)</f>
        <v>-3.987784255823932E-2</v>
      </c>
      <c r="E17" s="59">
        <f>IF(E7="","",(E7-'2019'!E420)/'2019'!E420)</f>
        <v>-2.5549646362190908E-2</v>
      </c>
      <c r="F17" s="59">
        <f>IF(F7="","",(F7-'2019'!F420)/'2019'!F420)</f>
        <v>3.3705871917686712E-3</v>
      </c>
      <c r="G17" s="59" t="str">
        <f>IF(G7="","",(G7-#REF!)/#REF!)</f>
        <v/>
      </c>
      <c r="H17" s="59" t="str">
        <f>IF(H7="","",(H7-#REF!)/#REF!)</f>
        <v/>
      </c>
      <c r="I17" s="59" t="str">
        <f>IF(I7="","",(I7-#REF!)/#REF!)</f>
        <v/>
      </c>
      <c r="J17" s="55"/>
      <c r="K17" s="55"/>
      <c r="L17" s="55"/>
      <c r="M17" s="55" t="str">
        <f>IF(G17="","",M7-((1/Comparisons!#REF!)*1000000))</f>
        <v/>
      </c>
      <c r="N17" s="55" t="str">
        <f>IF(H17="","",N7-((1/Comparisons!#REF!)*1000000))</f>
        <v/>
      </c>
      <c r="O17" s="56" t="str">
        <f>IF(I17="","",O7-((1/Comparisons!#REF!)*1000000))</f>
        <v/>
      </c>
    </row>
    <row r="18" spans="1:15" x14ac:dyDescent="0.25">
      <c r="A18" s="51" t="s">
        <v>14</v>
      </c>
      <c r="B18" s="52" t="s">
        <v>13</v>
      </c>
      <c r="C18" s="52" t="s">
        <v>11</v>
      </c>
      <c r="D18" s="59">
        <f>IF(D8="","",(D8-'2019'!D421)/'2019'!D421)</f>
        <v>-0.12492736780941313</v>
      </c>
      <c r="E18" s="59">
        <f>IF(E8="","",(E8-'2019'!E421)/'2019'!E421)</f>
        <v>-7.3215216258467955E-2</v>
      </c>
      <c r="F18" s="59">
        <f>IF(F8="","",(F8-'2019'!F421)/'2019'!F421)</f>
        <v>-5.0218795582413003E-2</v>
      </c>
      <c r="G18" s="59" t="str">
        <f>IF(G8="","",(G8-#REF!)/#REF!)</f>
        <v/>
      </c>
      <c r="H18" s="59" t="str">
        <f>IF(H8="","",(H8-#REF!)/#REF!)</f>
        <v/>
      </c>
      <c r="I18" s="59" t="str">
        <f>IF(I8="","",(I8-#REF!)/#REF!)</f>
        <v/>
      </c>
      <c r="J18" s="55"/>
      <c r="K18" s="55"/>
      <c r="L18" s="55"/>
      <c r="M18" s="55" t="str">
        <f>IF(G18="","",M8-((1/Comparisons!#REF!)*1000000))</f>
        <v/>
      </c>
      <c r="N18" s="55" t="str">
        <f>IF(H18="","",N8-((1/Comparisons!#REF!)*1000000))</f>
        <v/>
      </c>
      <c r="O18" s="56" t="str">
        <f>IF(I18="","",O8-((1/Comparisons!#REF!)*1000000))</f>
        <v/>
      </c>
    </row>
    <row r="19" spans="1:15" x14ac:dyDescent="0.25">
      <c r="A19" s="51" t="s">
        <v>15</v>
      </c>
      <c r="B19" s="8" t="s">
        <v>16</v>
      </c>
      <c r="C19" s="52" t="s">
        <v>11</v>
      </c>
      <c r="D19" s="59">
        <f>IF(D9="","",(D9-'2019'!D422)/'2019'!D422)</f>
        <v>-8.7369134593658207E-2</v>
      </c>
      <c r="E19" s="59">
        <f>IF(E9="","",(E9-'2019'!E422)/'2019'!E422)</f>
        <v>-5.291161690806976E-2</v>
      </c>
      <c r="F19" s="59">
        <f>IF(F9="","",(F9-'2019'!F422)/'2019'!F422)</f>
        <v>5.0152331849074291E-2</v>
      </c>
      <c r="G19" s="59" t="str">
        <f>IF(G9="","",(G9-#REF!)/#REF!)</f>
        <v/>
      </c>
      <c r="H19" s="59" t="str">
        <f>IF(H9="","",(H9-#REF!)/#REF!)</f>
        <v/>
      </c>
      <c r="I19" s="59" t="str">
        <f>IF(I9="","",(I9-#REF!)/#REF!)</f>
        <v/>
      </c>
      <c r="J19" s="55"/>
      <c r="K19" s="55"/>
      <c r="L19" s="55"/>
      <c r="M19" s="55" t="str">
        <f>IF(G19="","",M9-((1/Comparisons!#REF!)*1000000))</f>
        <v/>
      </c>
      <c r="N19" s="55" t="str">
        <f>IF(H19="","",N9-((1/Comparisons!#REF!)*1000000))</f>
        <v/>
      </c>
      <c r="O19" s="56" t="str">
        <f>IF(I19="","",O9-((1/Comparisons!#REF!)*1000000))</f>
        <v/>
      </c>
    </row>
    <row r="20" spans="1:15" ht="15.75" thickBot="1" x14ac:dyDescent="0.3">
      <c r="A20" s="60" t="s">
        <v>17</v>
      </c>
      <c r="B20" s="61" t="s">
        <v>18</v>
      </c>
      <c r="C20" s="61" t="s">
        <v>11</v>
      </c>
      <c r="D20" s="59">
        <f>IF(D10="","",(D10-'2019'!D423)/'2019'!D423)</f>
        <v>-4.543573615823885E-2</v>
      </c>
      <c r="E20" s="59">
        <f>IF(E10="","",(E10-'2019'!E423)/'2019'!E423)</f>
        <v>6.2513978975620665E-2</v>
      </c>
      <c r="F20" s="59">
        <f>IF(F10="","",(F10-'2019'!F423)/'2019'!F423)</f>
        <v>1.8278574733919483E-2</v>
      </c>
      <c r="G20" s="62" t="str">
        <f>IF(G10="","",(G10-#REF!)/#REF!)</f>
        <v/>
      </c>
      <c r="H20" s="62" t="str">
        <f>IF(H10="","",(H10-#REF!)/#REF!)</f>
        <v/>
      </c>
      <c r="I20" s="62" t="str">
        <f>IF(I10="","",(I10-#REF!)/#REF!)</f>
        <v/>
      </c>
      <c r="J20" s="63"/>
      <c r="K20" s="63"/>
      <c r="L20" s="63"/>
      <c r="M20" s="63" t="str">
        <f>IF(G20="","",M10-((1/Comparisons!#REF!)*1000000))</f>
        <v/>
      </c>
      <c r="N20" s="63" t="str">
        <f>IF(H20="","",N10-((1/Comparisons!#REF!)*1000000))</f>
        <v/>
      </c>
      <c r="O20" s="64" t="str">
        <f>IF(I20="","",O10-((1/Comparisons!#REF!)*1000000))</f>
        <v/>
      </c>
    </row>
    <row r="21" spans="1:15" ht="18.75" x14ac:dyDescent="0.3">
      <c r="A21" s="119" t="s">
        <v>212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5"/>
    </row>
    <row r="22" spans="1:15" x14ac:dyDescent="0.25">
      <c r="A22" s="134" t="s">
        <v>1</v>
      </c>
      <c r="B22" s="135"/>
      <c r="C22" s="135"/>
      <c r="D22" s="136" t="s">
        <v>19</v>
      </c>
      <c r="E22" s="136"/>
      <c r="F22" s="136"/>
      <c r="G22" s="136"/>
      <c r="H22" s="136"/>
      <c r="I22" s="136"/>
      <c r="J22" s="136" t="s">
        <v>22</v>
      </c>
      <c r="K22" s="136"/>
      <c r="L22" s="136"/>
      <c r="M22" s="136"/>
      <c r="N22" s="136"/>
      <c r="O22" s="137"/>
    </row>
    <row r="23" spans="1:15" x14ac:dyDescent="0.25">
      <c r="A23" s="47" t="s">
        <v>4</v>
      </c>
      <c r="B23" s="48" t="s">
        <v>5</v>
      </c>
      <c r="C23" s="48" t="s">
        <v>6</v>
      </c>
      <c r="D23" s="49">
        <v>1</v>
      </c>
      <c r="E23" s="49">
        <v>4</v>
      </c>
      <c r="F23" s="49">
        <v>16</v>
      </c>
      <c r="G23" s="49">
        <v>32</v>
      </c>
      <c r="H23" s="49">
        <v>64</v>
      </c>
      <c r="I23" s="49">
        <v>80</v>
      </c>
      <c r="J23" s="49">
        <v>1</v>
      </c>
      <c r="K23" s="49">
        <v>4</v>
      </c>
      <c r="L23" s="49">
        <v>16</v>
      </c>
      <c r="M23" s="49">
        <v>32</v>
      </c>
      <c r="N23" s="49">
        <v>64</v>
      </c>
      <c r="O23" s="50">
        <v>80</v>
      </c>
    </row>
    <row r="24" spans="1:15" x14ac:dyDescent="0.25">
      <c r="A24" s="51" t="s">
        <v>7</v>
      </c>
      <c r="B24" s="52" t="s">
        <v>8</v>
      </c>
      <c r="C24" s="52" t="s">
        <v>9</v>
      </c>
      <c r="D24" s="59">
        <f>IF(D5="","",(D5-'2018'!D370)/'2018'!D370)</f>
        <v>-4.8348106365834004E-2</v>
      </c>
      <c r="E24" s="59">
        <f>IF(E5="","",(E5-'2018'!E370)/'2018'!E370)</f>
        <v>-5.3196853569987899E-2</v>
      </c>
      <c r="F24" s="59">
        <f>IF(F5="","",(F5-'2018'!F370)/'2018'!F370)</f>
        <v>0</v>
      </c>
      <c r="G24" s="59" t="str">
        <f>IF(G5="","",(G5-'2018'!G228)/'2018'!G228)</f>
        <v/>
      </c>
      <c r="H24" s="59" t="str">
        <f>IF(H5="","",(H5-'2018'!H228)/'2018'!H228)</f>
        <v/>
      </c>
      <c r="I24" s="59" t="str">
        <f>IF(I5="","",(I5-'2018'!I228)/'2018'!I228)</f>
        <v/>
      </c>
      <c r="J24" s="55"/>
      <c r="K24" s="55"/>
      <c r="L24" s="55"/>
      <c r="M24" s="55" t="str">
        <f>IF(G24="","",M14-((1/Comparisons!#REF!)*1000000))</f>
        <v/>
      </c>
      <c r="N24" s="55" t="str">
        <f>IF(H24="","",N14-((1/Comparisons!#REF!)*1000000))</f>
        <v/>
      </c>
      <c r="O24" s="56" t="str">
        <f>IF(I24="","",O14-((1/Comparisons!#REF!)*1000000))</f>
        <v/>
      </c>
    </row>
    <row r="25" spans="1:15" x14ac:dyDescent="0.25">
      <c r="A25" s="51" t="s">
        <v>10</v>
      </c>
      <c r="B25" s="52" t="s">
        <v>8</v>
      </c>
      <c r="C25" s="52" t="s">
        <v>11</v>
      </c>
      <c r="D25" s="59">
        <f>IF(D6="","",(D6-'2018'!D371)/'2018'!D371)</f>
        <v>-0.15530956221839015</v>
      </c>
      <c r="E25" s="59">
        <f>IF(E6="","",(E6-'2018'!E371)/'2018'!E371)</f>
        <v>-0.12220094897194705</v>
      </c>
      <c r="F25" s="59">
        <f>IF(F6="","",(F6-'2018'!F371)/'2018'!F371)</f>
        <v>-4.549990021951706E-2</v>
      </c>
      <c r="G25" s="59" t="str">
        <f>IF(G15="","",(G15-#REF!)/#REF!)</f>
        <v/>
      </c>
      <c r="H25" s="59" t="str">
        <f>IF(H15="","",(H15-#REF!)/#REF!)</f>
        <v/>
      </c>
      <c r="I25" s="59" t="str">
        <f>IF(I15="","",(I15-#REF!)/#REF!)</f>
        <v/>
      </c>
      <c r="J25" s="55"/>
      <c r="K25" s="55"/>
      <c r="L25" s="55"/>
      <c r="M25" s="55" t="str">
        <f>IF(G25="","",M15-((1/Comparisons!#REF!)*1000000))</f>
        <v/>
      </c>
      <c r="N25" s="55" t="str">
        <f>IF(H25="","",N15-((1/Comparisons!#REF!)*1000000))</f>
        <v/>
      </c>
      <c r="O25" s="56" t="str">
        <f>IF(I25="","",O15-((1/Comparisons!#REF!)*1000000))</f>
        <v/>
      </c>
    </row>
    <row r="26" spans="1:15" x14ac:dyDescent="0.25">
      <c r="A26" s="51" t="s">
        <v>12</v>
      </c>
      <c r="B26" s="52" t="s">
        <v>13</v>
      </c>
      <c r="C26" s="52" t="s">
        <v>9</v>
      </c>
      <c r="D26" s="59">
        <f>IF(D7="","",(D7-'2018'!D372)/'2018'!D372)</f>
        <v>-4.7927720492541799E-2</v>
      </c>
      <c r="E26" s="59">
        <f>IF(E7="","",(E7-'2018'!E372)/'2018'!E372)</f>
        <v>0</v>
      </c>
      <c r="F26" s="59">
        <f>IF(F7="","",(F7-'2018'!F372)/'2018'!F372)</f>
        <v>3.3705871917686712E-3</v>
      </c>
      <c r="G26" s="59" t="str">
        <f>IF(G16="","",(G16-#REF!)/#REF!)</f>
        <v/>
      </c>
      <c r="H26" s="59" t="str">
        <f>IF(H16="","",(H16-#REF!)/#REF!)</f>
        <v/>
      </c>
      <c r="I26" s="59" t="str">
        <f>IF(I16="","",(I16-#REF!)/#REF!)</f>
        <v/>
      </c>
      <c r="J26" s="55"/>
      <c r="K26" s="55"/>
      <c r="L26" s="55"/>
      <c r="M26" s="55" t="str">
        <f>IF(G26="","",M16-((1/Comparisons!#REF!)*1000000))</f>
        <v/>
      </c>
      <c r="N26" s="55" t="str">
        <f>IF(H26="","",N16-((1/Comparisons!#REF!)*1000000))</f>
        <v/>
      </c>
      <c r="O26" s="56" t="str">
        <f>IF(I26="","",O16-((1/Comparisons!#REF!)*1000000))</f>
        <v/>
      </c>
    </row>
    <row r="27" spans="1:15" x14ac:dyDescent="0.25">
      <c r="A27" s="51" t="s">
        <v>14</v>
      </c>
      <c r="B27" s="52" t="s">
        <v>13</v>
      </c>
      <c r="C27" s="52" t="s">
        <v>11</v>
      </c>
      <c r="D27" s="59">
        <f>IF(D8="","",(D8-'2018'!D373)/'2018'!D373)</f>
        <v>-0.1584711667411712</v>
      </c>
      <c r="E27" s="59">
        <f>IF(E8="","",(E8-'2018'!E373)/'2018'!E373)</f>
        <v>-8.6465199897269071E-2</v>
      </c>
      <c r="F27" s="59">
        <f>IF(F8="","",(F8-'2018'!F373)/'2018'!F373)</f>
        <v>-4.5445026178010474E-2</v>
      </c>
      <c r="G27" s="59" t="str">
        <f>IF(G17="","",(G17-#REF!)/#REF!)</f>
        <v/>
      </c>
      <c r="H27" s="59" t="str">
        <f>IF(H17="","",(H17-#REF!)/#REF!)</f>
        <v/>
      </c>
      <c r="I27" s="59" t="str">
        <f>IF(I17="","",(I17-#REF!)/#REF!)</f>
        <v/>
      </c>
      <c r="J27" s="55"/>
      <c r="K27" s="55"/>
      <c r="L27" s="55"/>
      <c r="M27" s="55" t="str">
        <f>IF(G27="","",M17-((1/Comparisons!#REF!)*1000000))</f>
        <v/>
      </c>
      <c r="N27" s="55" t="str">
        <f>IF(H27="","",N17-((1/Comparisons!#REF!)*1000000))</f>
        <v/>
      </c>
      <c r="O27" s="56" t="str">
        <f>IF(I27="","",O17-((1/Comparisons!#REF!)*1000000))</f>
        <v/>
      </c>
    </row>
    <row r="28" spans="1:15" x14ac:dyDescent="0.25">
      <c r="A28" s="51" t="s">
        <v>15</v>
      </c>
      <c r="B28" s="8" t="s">
        <v>16</v>
      </c>
      <c r="C28" s="52" t="s">
        <v>11</v>
      </c>
      <c r="D28" s="59">
        <f>IF(D9="","",(D9-'2018'!D374)/'2018'!D374)</f>
        <v>-0.10608631501291037</v>
      </c>
      <c r="E28" s="59">
        <f>IF(E9="","",(E9-'2018'!E374)/'2018'!E374)</f>
        <v>0</v>
      </c>
      <c r="F28" s="59">
        <f>IF(F9="","",(F9-'2018'!F374)/'2018'!F374)</f>
        <v>-6.6652780670693607E-2</v>
      </c>
      <c r="G28" s="59" t="str">
        <f>IF(G18="","",(G18-#REF!)/#REF!)</f>
        <v/>
      </c>
      <c r="H28" s="59" t="str">
        <f>IF(H18="","",(H18-#REF!)/#REF!)</f>
        <v/>
      </c>
      <c r="I28" s="59" t="str">
        <f>IF(I18="","",(I18-#REF!)/#REF!)</f>
        <v/>
      </c>
      <c r="J28" s="55"/>
      <c r="K28" s="55"/>
      <c r="L28" s="55"/>
      <c r="M28" s="55" t="str">
        <f>IF(G28="","",M18-((1/Comparisons!#REF!)*1000000))</f>
        <v/>
      </c>
      <c r="N28" s="55" t="str">
        <f>IF(H28="","",N18-((1/Comparisons!#REF!)*1000000))</f>
        <v/>
      </c>
      <c r="O28" s="56" t="str">
        <f>IF(I28="","",O18-((1/Comparisons!#REF!)*1000000))</f>
        <v/>
      </c>
    </row>
    <row r="29" spans="1:15" ht="15.75" thickBot="1" x14ac:dyDescent="0.3">
      <c r="A29" s="60" t="s">
        <v>17</v>
      </c>
      <c r="B29" s="61" t="s">
        <v>18</v>
      </c>
      <c r="C29" s="61" t="s">
        <v>11</v>
      </c>
      <c r="D29" s="59">
        <f>IF(D10="","",(D10-'2018'!D375)/'2018'!D375)</f>
        <v>-6.5921606737933264E-2</v>
      </c>
      <c r="E29" s="59">
        <f>IF(E10="","",(E10-'2018'!E375)/'2018'!E375)</f>
        <v>8.1625683060109283E-2</v>
      </c>
      <c r="F29" s="59">
        <f>IF(F10="","",(F10-'2018'!F375)/'2018'!F375)</f>
        <v>-7.0930968967701083E-2</v>
      </c>
      <c r="G29" s="62" t="str">
        <f>IF(G19="","",(G19-#REF!)/#REF!)</f>
        <v/>
      </c>
      <c r="H29" s="62" t="str">
        <f>IF(H19="","",(H19-#REF!)/#REF!)</f>
        <v/>
      </c>
      <c r="I29" s="62" t="str">
        <f>IF(I19="","",(I19-#REF!)/#REF!)</f>
        <v/>
      </c>
      <c r="J29" s="63"/>
      <c r="K29" s="63"/>
      <c r="L29" s="63"/>
      <c r="M29" s="63" t="str">
        <f>IF(G29="","",M19-((1/Comparisons!#REF!)*1000000))</f>
        <v/>
      </c>
      <c r="N29" s="63" t="str">
        <f>IF(H29="","",N19-((1/Comparisons!#REF!)*1000000))</f>
        <v/>
      </c>
      <c r="O29" s="64" t="str">
        <f>IF(I29="","",O19-((1/Comparisons!#REF!)*1000000))</f>
        <v/>
      </c>
    </row>
    <row r="31" spans="1:15" ht="15.75" thickBot="1" x14ac:dyDescent="0.3"/>
    <row r="32" spans="1:15" ht="18.75" x14ac:dyDescent="0.25">
      <c r="A32" s="110" t="s">
        <v>213</v>
      </c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40"/>
    </row>
    <row r="33" spans="1:15" ht="15.75" x14ac:dyDescent="0.25">
      <c r="A33" s="113" t="s">
        <v>235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2"/>
    </row>
    <row r="34" spans="1:15" x14ac:dyDescent="0.25">
      <c r="A34" s="108" t="s">
        <v>1</v>
      </c>
      <c r="B34" s="135"/>
      <c r="C34" s="135"/>
      <c r="D34" s="136" t="s">
        <v>2</v>
      </c>
      <c r="E34" s="136"/>
      <c r="F34" s="136"/>
      <c r="G34" s="136"/>
      <c r="H34" s="136"/>
      <c r="I34" s="136"/>
      <c r="J34" s="136" t="s">
        <v>3</v>
      </c>
      <c r="K34" s="136"/>
      <c r="L34" s="136"/>
      <c r="M34" s="136"/>
      <c r="N34" s="136"/>
      <c r="O34" s="137"/>
    </row>
    <row r="35" spans="1:15" x14ac:dyDescent="0.25">
      <c r="A35" s="47" t="s">
        <v>26</v>
      </c>
      <c r="B35" s="48" t="s">
        <v>5</v>
      </c>
      <c r="C35" s="48" t="s">
        <v>6</v>
      </c>
      <c r="D35" s="49">
        <v>1</v>
      </c>
      <c r="E35" s="49">
        <v>4</v>
      </c>
      <c r="F35" s="49">
        <v>16</v>
      </c>
      <c r="G35" s="49">
        <v>32</v>
      </c>
      <c r="H35" s="49">
        <v>64</v>
      </c>
      <c r="I35" s="49">
        <v>80</v>
      </c>
      <c r="J35" s="49">
        <v>1</v>
      </c>
      <c r="K35" s="49">
        <v>4</v>
      </c>
      <c r="L35" s="49">
        <v>16</v>
      </c>
      <c r="M35" s="49">
        <v>32</v>
      </c>
      <c r="N35" s="49">
        <v>64</v>
      </c>
      <c r="O35" s="50">
        <v>80</v>
      </c>
    </row>
    <row r="36" spans="1:15" x14ac:dyDescent="0.25">
      <c r="A36" s="51" t="s">
        <v>7</v>
      </c>
      <c r="B36" s="52" t="s">
        <v>8</v>
      </c>
      <c r="C36" s="52" t="s">
        <v>9</v>
      </c>
      <c r="D36" s="53">
        <v>41493</v>
      </c>
      <c r="E36" s="53">
        <v>19770</v>
      </c>
      <c r="F36" s="53">
        <v>5843</v>
      </c>
      <c r="G36" s="54"/>
      <c r="H36" s="54"/>
      <c r="I36" s="54"/>
      <c r="J36" s="55"/>
      <c r="K36" s="55"/>
      <c r="L36" s="55"/>
      <c r="M36" s="55" t="str">
        <f t="shared" ref="M36:M41" si="1">IF(G36="","",(1/G36)*1000000)</f>
        <v/>
      </c>
      <c r="N36" s="55" t="str">
        <f t="shared" ref="N36:N41" si="2">IF(H36="","",(1/H36)*1000000)</f>
        <v/>
      </c>
      <c r="O36" s="56" t="str">
        <f t="shared" ref="O36:O41" si="3">IF(I36="","",(1/I36)*1000000)</f>
        <v/>
      </c>
    </row>
    <row r="37" spans="1:15" x14ac:dyDescent="0.25">
      <c r="A37" s="51" t="s">
        <v>10</v>
      </c>
      <c r="B37" s="52" t="s">
        <v>8</v>
      </c>
      <c r="C37" s="52" t="s">
        <v>11</v>
      </c>
      <c r="D37" s="53">
        <v>16609</v>
      </c>
      <c r="E37" s="53">
        <v>11151</v>
      </c>
      <c r="F37" s="53">
        <v>5004</v>
      </c>
      <c r="G37" s="54"/>
      <c r="H37" s="54"/>
      <c r="I37" s="54"/>
      <c r="J37" s="55"/>
      <c r="K37" s="55"/>
      <c r="L37" s="55"/>
      <c r="M37" s="55" t="str">
        <f t="shared" si="1"/>
        <v/>
      </c>
      <c r="N37" s="55" t="str">
        <f t="shared" si="2"/>
        <v/>
      </c>
      <c r="O37" s="56" t="str">
        <f t="shared" si="3"/>
        <v/>
      </c>
    </row>
    <row r="38" spans="1:15" x14ac:dyDescent="0.25">
      <c r="A38" s="51" t="s">
        <v>12</v>
      </c>
      <c r="B38" s="52" t="s">
        <v>13</v>
      </c>
      <c r="C38" s="52" t="s">
        <v>9</v>
      </c>
      <c r="D38" s="53">
        <v>39956</v>
      </c>
      <c r="E38" s="53">
        <v>17896</v>
      </c>
      <c r="F38" s="53">
        <v>5617</v>
      </c>
      <c r="G38" s="54"/>
      <c r="H38" s="54"/>
      <c r="I38" s="54"/>
      <c r="J38" s="55"/>
      <c r="K38" s="55"/>
      <c r="L38" s="55"/>
      <c r="M38" s="55" t="str">
        <f t="shared" si="1"/>
        <v/>
      </c>
      <c r="N38" s="55" t="str">
        <f t="shared" si="2"/>
        <v/>
      </c>
      <c r="O38" s="56" t="str">
        <f t="shared" si="3"/>
        <v/>
      </c>
    </row>
    <row r="39" spans="1:15" x14ac:dyDescent="0.25">
      <c r="A39" s="51" t="s">
        <v>14</v>
      </c>
      <c r="B39" s="52" t="s">
        <v>13</v>
      </c>
      <c r="C39" s="52" t="s">
        <v>11</v>
      </c>
      <c r="D39" s="53">
        <v>16526</v>
      </c>
      <c r="E39" s="53">
        <v>11531</v>
      </c>
      <c r="F39" s="53">
        <v>4808</v>
      </c>
      <c r="G39" s="54"/>
      <c r="H39" s="54"/>
      <c r="I39" s="54"/>
      <c r="J39" s="55"/>
      <c r="K39" s="55"/>
      <c r="L39" s="55"/>
      <c r="M39" s="55" t="str">
        <f t="shared" si="1"/>
        <v/>
      </c>
      <c r="N39" s="55" t="str">
        <f t="shared" si="2"/>
        <v/>
      </c>
      <c r="O39" s="56" t="str">
        <f t="shared" si="3"/>
        <v/>
      </c>
    </row>
    <row r="40" spans="1:15" x14ac:dyDescent="0.25">
      <c r="A40" s="51" t="s">
        <v>15</v>
      </c>
      <c r="B40" s="52" t="s">
        <v>16</v>
      </c>
      <c r="C40" s="52" t="s">
        <v>11</v>
      </c>
      <c r="D40" s="53">
        <v>14472</v>
      </c>
      <c r="E40" s="53">
        <v>9612</v>
      </c>
      <c r="F40" s="53">
        <v>4459</v>
      </c>
      <c r="G40" s="54"/>
      <c r="H40" s="54"/>
      <c r="I40" s="54"/>
      <c r="J40" s="55"/>
      <c r="K40" s="55"/>
      <c r="L40" s="55"/>
      <c r="M40" s="55" t="str">
        <f t="shared" si="1"/>
        <v/>
      </c>
      <c r="N40" s="55" t="str">
        <f t="shared" si="2"/>
        <v/>
      </c>
      <c r="O40" s="56" t="str">
        <f t="shared" si="3"/>
        <v/>
      </c>
    </row>
    <row r="41" spans="1:15" x14ac:dyDescent="0.25">
      <c r="A41" s="28" t="s">
        <v>17</v>
      </c>
      <c r="B41" s="52" t="s">
        <v>18</v>
      </c>
      <c r="C41" s="52" t="s">
        <v>11</v>
      </c>
      <c r="D41" s="53">
        <v>11945</v>
      </c>
      <c r="E41" s="53">
        <v>9293</v>
      </c>
      <c r="F41" s="53">
        <v>4481</v>
      </c>
      <c r="G41" s="54"/>
      <c r="H41" s="54"/>
      <c r="I41" s="54"/>
      <c r="J41" s="55"/>
      <c r="K41" s="55"/>
      <c r="L41" s="55"/>
      <c r="M41" s="55" t="str">
        <f t="shared" si="1"/>
        <v/>
      </c>
      <c r="N41" s="55" t="str">
        <f t="shared" si="2"/>
        <v/>
      </c>
      <c r="O41" s="56" t="str">
        <f t="shared" si="3"/>
        <v/>
      </c>
    </row>
    <row r="42" spans="1:15" x14ac:dyDescent="0.25">
      <c r="A42" s="116" t="s">
        <v>238</v>
      </c>
      <c r="B42" s="117"/>
      <c r="C42" s="117"/>
      <c r="D42" s="117"/>
      <c r="E42" s="143"/>
      <c r="F42" s="143"/>
      <c r="G42" s="143"/>
      <c r="H42" s="102"/>
      <c r="I42" s="102"/>
      <c r="J42" s="102"/>
      <c r="K42" s="67"/>
      <c r="L42" s="67"/>
      <c r="M42" s="67"/>
      <c r="N42" s="67"/>
      <c r="O42" s="58"/>
    </row>
    <row r="43" spans="1:15" ht="18.75" x14ac:dyDescent="0.3">
      <c r="A43" s="119" t="s">
        <v>233</v>
      </c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5"/>
    </row>
    <row r="44" spans="1:15" x14ac:dyDescent="0.25">
      <c r="A44" s="134" t="s">
        <v>1</v>
      </c>
      <c r="B44" s="135"/>
      <c r="C44" s="135"/>
      <c r="D44" s="136" t="s">
        <v>19</v>
      </c>
      <c r="E44" s="136"/>
      <c r="F44" s="136"/>
      <c r="G44" s="136"/>
      <c r="H44" s="136"/>
      <c r="I44" s="136"/>
      <c r="J44" s="136" t="s">
        <v>22</v>
      </c>
      <c r="K44" s="136"/>
      <c r="L44" s="136"/>
      <c r="M44" s="136"/>
      <c r="N44" s="136"/>
      <c r="O44" s="137"/>
    </row>
    <row r="45" spans="1:15" x14ac:dyDescent="0.25">
      <c r="A45" s="47" t="s">
        <v>4</v>
      </c>
      <c r="B45" s="48" t="s">
        <v>5</v>
      </c>
      <c r="C45" s="48" t="s">
        <v>6</v>
      </c>
      <c r="D45" s="49">
        <v>1</v>
      </c>
      <c r="E45" s="49">
        <v>4</v>
      </c>
      <c r="F45" s="49">
        <v>16</v>
      </c>
      <c r="G45" s="49">
        <v>32</v>
      </c>
      <c r="H45" s="49">
        <v>64</v>
      </c>
      <c r="I45" s="49">
        <v>80</v>
      </c>
      <c r="J45" s="49">
        <v>1</v>
      </c>
      <c r="K45" s="49">
        <v>4</v>
      </c>
      <c r="L45" s="49">
        <v>16</v>
      </c>
      <c r="M45" s="49">
        <v>32</v>
      </c>
      <c r="N45" s="49">
        <v>64</v>
      </c>
      <c r="O45" s="50">
        <v>80</v>
      </c>
    </row>
    <row r="46" spans="1:15" x14ac:dyDescent="0.25">
      <c r="A46" s="51" t="s">
        <v>7</v>
      </c>
      <c r="B46" s="52" t="s">
        <v>8</v>
      </c>
      <c r="C46" s="52" t="s">
        <v>9</v>
      </c>
      <c r="D46" s="59">
        <f>IF(D36="","",(D36-'2019'!D418)/'2019'!D418)</f>
        <v>-3.0753706061843779E-3</v>
      </c>
      <c r="E46" s="59">
        <f>IF(E36="","",(E36-'2019'!E418)/'2019'!E418)</f>
        <v>1.6609245642001336E-2</v>
      </c>
      <c r="F46" s="59">
        <f>IF(F36="","",(F36-'2019'!F418)/'2019'!F418)</f>
        <v>1.027925304094569E-3</v>
      </c>
      <c r="G46" s="59" t="str">
        <f>IF(G36="","",(G36-'2019'!G418)/'2019'!G418)</f>
        <v/>
      </c>
      <c r="H46" s="59" t="str">
        <f>IF(H36="","",(H36-'2019'!H418)/'2019'!H418)</f>
        <v/>
      </c>
      <c r="I46" s="59" t="str">
        <f>IF(I36="","",(I36-'2019'!I418)/'2019'!I418)</f>
        <v/>
      </c>
      <c r="J46" s="55"/>
      <c r="K46" s="55"/>
      <c r="L46" s="55"/>
      <c r="M46" s="55" t="str">
        <f>IF(G46="","",M36-((1/Comparisons!#REF!)*1000000))</f>
        <v/>
      </c>
      <c r="N46" s="55" t="str">
        <f>IF(H46="","",N36-((1/Comparisons!#REF!)*1000000))</f>
        <v/>
      </c>
      <c r="O46" s="56" t="str">
        <f>IF(I46="","",O36-((1/Comparisons!#REF!)*1000000))</f>
        <v/>
      </c>
    </row>
    <row r="47" spans="1:15" x14ac:dyDescent="0.25">
      <c r="A47" s="51" t="s">
        <v>10</v>
      </c>
      <c r="B47" s="52" t="s">
        <v>8</v>
      </c>
      <c r="C47" s="52" t="s">
        <v>11</v>
      </c>
      <c r="D47" s="59">
        <f>IF(D37="","",(D37-'2019'!D419)/'2019'!D419)</f>
        <v>-2.2540018832391713E-2</v>
      </c>
      <c r="E47" s="59">
        <f>IF(E37="","",(E37-'2019'!E419)/'2019'!E419)</f>
        <v>5.0296693981350664E-2</v>
      </c>
      <c r="F47" s="59">
        <f>IF(F37="","",(F37-'2019'!F419)/'2019'!F419)</f>
        <v>8.0580177276390001E-3</v>
      </c>
      <c r="G47" s="59" t="str">
        <f>IF(G37="","",(G37-'2019'!G419)/'2019'!G419)</f>
        <v/>
      </c>
      <c r="H47" s="59" t="str">
        <f>IF(H37="","",(H37-'2019'!H419)/'2019'!H419)</f>
        <v/>
      </c>
      <c r="I47" s="59" t="str">
        <f>IF(I37="","",(I37-'2019'!I419)/'2019'!I419)</f>
        <v/>
      </c>
      <c r="J47" s="55"/>
      <c r="K47" s="55"/>
      <c r="L47" s="55"/>
      <c r="M47" s="55" t="str">
        <f>IF(G47="","",M37-((1/Comparisons!#REF!)*1000000))</f>
        <v/>
      </c>
      <c r="N47" s="55" t="str">
        <f>IF(H47="","",N37-((1/Comparisons!#REF!)*1000000))</f>
        <v/>
      </c>
      <c r="O47" s="56" t="str">
        <f>IF(I47="","",O37-((1/Comparisons!#REF!)*1000000))</f>
        <v/>
      </c>
    </row>
    <row r="48" spans="1:15" x14ac:dyDescent="0.25">
      <c r="A48" s="51" t="s">
        <v>12</v>
      </c>
      <c r="B48" s="52" t="s">
        <v>13</v>
      </c>
      <c r="C48" s="52" t="s">
        <v>9</v>
      </c>
      <c r="D48" s="59">
        <f>IF(D38="","",(D38-'2019'!D420)/'2019'!D420)</f>
        <v>8.455112187981121E-3</v>
      </c>
      <c r="E48" s="59">
        <f>IF(E38="","",(E38-'2019'!E420)/'2019'!E420)</f>
        <v>-1.8805855584187729E-2</v>
      </c>
      <c r="F48" s="59">
        <f>IF(F38="","",(F38-'2019'!F420)/'2019'!F420)</f>
        <v>-3.547986517651233E-3</v>
      </c>
      <c r="G48" s="59" t="str">
        <f>IF(G38="","",(G38-'2019'!G420)/'2019'!G420)</f>
        <v/>
      </c>
      <c r="H48" s="59" t="str">
        <f>IF(H38="","",(H38-'2019'!H420)/'2019'!H420)</f>
        <v/>
      </c>
      <c r="I48" s="59" t="str">
        <f>IF(I38="","",(I38-'2019'!I420)/'2019'!I420)</f>
        <v/>
      </c>
      <c r="J48" s="55"/>
      <c r="K48" s="55"/>
      <c r="L48" s="55"/>
      <c r="M48" s="55" t="str">
        <f>IF(G48="","",M38-((1/Comparisons!#REF!)*1000000))</f>
        <v/>
      </c>
      <c r="N48" s="55" t="str">
        <f>IF(H48="","",N38-((1/Comparisons!#REF!)*1000000))</f>
        <v/>
      </c>
      <c r="O48" s="56" t="str">
        <f>IF(I48="","",O38-((1/Comparisons!#REF!)*1000000))</f>
        <v/>
      </c>
    </row>
    <row r="49" spans="1:15" x14ac:dyDescent="0.25">
      <c r="A49" s="51" t="s">
        <v>14</v>
      </c>
      <c r="B49" s="52" t="s">
        <v>13</v>
      </c>
      <c r="C49" s="52" t="s">
        <v>11</v>
      </c>
      <c r="D49" s="59">
        <f>IF(D39="","",(D39-'2019'!D421)/'2019'!D421)</f>
        <v>-3.9744334689134221E-2</v>
      </c>
      <c r="E49" s="59">
        <f>IF(E39="","",(E39-'2019'!E421)/'2019'!E421)</f>
        <v>1.4764634358172659E-3</v>
      </c>
      <c r="F49" s="59">
        <f>IF(F39="","",(F39-'2019'!F421)/'2019'!F421)</f>
        <v>1.875390706397166E-3</v>
      </c>
      <c r="G49" s="59" t="str">
        <f>IF(G39="","",(G39-'2019'!G421)/'2019'!G421)</f>
        <v/>
      </c>
      <c r="H49" s="59" t="str">
        <f>IF(H39="","",(H39-'2019'!H421)/'2019'!H421)</f>
        <v/>
      </c>
      <c r="I49" s="59" t="str">
        <f>IF(I39="","",(I39-'2019'!I421)/'2019'!I421)</f>
        <v/>
      </c>
      <c r="J49" s="55"/>
      <c r="K49" s="55"/>
      <c r="L49" s="55"/>
      <c r="M49" s="55" t="str">
        <f>IF(G49="","",M39-((1/Comparisons!#REF!)*1000000))</f>
        <v/>
      </c>
      <c r="N49" s="55" t="str">
        <f>IF(H49="","",N39-((1/Comparisons!#REF!)*1000000))</f>
        <v/>
      </c>
      <c r="O49" s="56" t="str">
        <f>IF(I49="","",O39-((1/Comparisons!#REF!)*1000000))</f>
        <v/>
      </c>
    </row>
    <row r="50" spans="1:15" x14ac:dyDescent="0.25">
      <c r="A50" s="51" t="s">
        <v>15</v>
      </c>
      <c r="B50" s="8" t="s">
        <v>16</v>
      </c>
      <c r="C50" s="52" t="s">
        <v>11</v>
      </c>
      <c r="D50" s="59">
        <f>IF(D40="","",(D40-'2019'!D422)/'2019'!D422)</f>
        <v>9.000527227536341E-2</v>
      </c>
      <c r="E50" s="59">
        <f>IF(E40="","",(E40-'2019'!E422)/'2019'!E422)</f>
        <v>-5.291161690806976E-2</v>
      </c>
      <c r="F50" s="59">
        <f>IF(F40="","",(F40-'2019'!F422)/'2019'!F422)</f>
        <v>4.499648464963675E-2</v>
      </c>
      <c r="G50" s="59" t="str">
        <f>IF(G40="","",(G40-'2019'!G422)/'2019'!G422)</f>
        <v/>
      </c>
      <c r="H50" s="59" t="str">
        <f>IF(H40="","",(H40-'2019'!H422)/'2019'!H422)</f>
        <v/>
      </c>
      <c r="I50" s="59" t="str">
        <f>IF(I40="","",(I40-'2019'!I422)/'2019'!I422)</f>
        <v/>
      </c>
      <c r="J50" s="55"/>
      <c r="K50" s="55"/>
      <c r="L50" s="55"/>
      <c r="M50" s="55" t="str">
        <f>IF(G50="","",M40-((1/Comparisons!#REF!)*1000000))</f>
        <v/>
      </c>
      <c r="N50" s="55" t="str">
        <f>IF(H50="","",N40-((1/Comparisons!#REF!)*1000000))</f>
        <v/>
      </c>
      <c r="O50" s="56" t="str">
        <f>IF(I50="","",O40-((1/Comparisons!#REF!)*1000000))</f>
        <v/>
      </c>
    </row>
    <row r="51" spans="1:15" ht="15.75" thickBot="1" x14ac:dyDescent="0.3">
      <c r="A51" s="60" t="s">
        <v>17</v>
      </c>
      <c r="B51" s="61" t="s">
        <v>18</v>
      </c>
      <c r="C51" s="61" t="s">
        <v>11</v>
      </c>
      <c r="D51" s="59">
        <f>IF(D41="","",(D41-'2019'!D423)/'2019'!D423)</f>
        <v>-1.1421004717371513E-2</v>
      </c>
      <c r="E51" s="59">
        <f>IF(E41="","",(E41-'2019'!E423)/'2019'!E423)</f>
        <v>3.925296354283158E-2</v>
      </c>
      <c r="F51" s="59">
        <f>IF(F41="","",(F41-'2019'!F423)/'2019'!F423)</f>
        <v>3.6788523831559464E-2</v>
      </c>
      <c r="G51" s="59" t="str">
        <f>IF(G41="","",(G41-'2019'!G423)/'2019'!G423)</f>
        <v/>
      </c>
      <c r="H51" s="59" t="str">
        <f>IF(H41="","",(H41-'2019'!H423)/'2019'!H423)</f>
        <v/>
      </c>
      <c r="I51" s="59" t="str">
        <f>IF(I41="","",(I41-'2019'!I423)/'2019'!I423)</f>
        <v/>
      </c>
      <c r="J51" s="63"/>
      <c r="K51" s="63"/>
      <c r="L51" s="63"/>
      <c r="M51" s="63" t="str">
        <f>IF(G51="","",M41-((1/Comparisons!#REF!)*1000000))</f>
        <v/>
      </c>
      <c r="N51" s="63" t="str">
        <f>IF(H51="","",N41-((1/Comparisons!#REF!)*1000000))</f>
        <v/>
      </c>
      <c r="O51" s="64" t="str">
        <f>IF(I51="","",O41-((1/Comparisons!#REF!)*1000000))</f>
        <v/>
      </c>
    </row>
    <row r="52" spans="1:15" ht="18.75" x14ac:dyDescent="0.3">
      <c r="A52" s="119" t="s">
        <v>212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5"/>
    </row>
    <row r="53" spans="1:15" x14ac:dyDescent="0.25">
      <c r="A53" s="134" t="s">
        <v>1</v>
      </c>
      <c r="B53" s="135"/>
      <c r="C53" s="135"/>
      <c r="D53" s="136" t="s">
        <v>19</v>
      </c>
      <c r="E53" s="136"/>
      <c r="F53" s="136"/>
      <c r="G53" s="136"/>
      <c r="H53" s="136"/>
      <c r="I53" s="136"/>
      <c r="J53" s="136" t="s">
        <v>22</v>
      </c>
      <c r="K53" s="136"/>
      <c r="L53" s="136"/>
      <c r="M53" s="136"/>
      <c r="N53" s="136"/>
      <c r="O53" s="137"/>
    </row>
    <row r="54" spans="1:15" x14ac:dyDescent="0.25">
      <c r="A54" s="47" t="s">
        <v>4</v>
      </c>
      <c r="B54" s="48" t="s">
        <v>5</v>
      </c>
      <c r="C54" s="48" t="s">
        <v>6</v>
      </c>
      <c r="D54" s="49">
        <v>1</v>
      </c>
      <c r="E54" s="49">
        <v>4</v>
      </c>
      <c r="F54" s="49">
        <v>16</v>
      </c>
      <c r="G54" s="49">
        <v>32</v>
      </c>
      <c r="H54" s="49">
        <v>64</v>
      </c>
      <c r="I54" s="49">
        <v>80</v>
      </c>
      <c r="J54" s="49">
        <v>1</v>
      </c>
      <c r="K54" s="49">
        <v>4</v>
      </c>
      <c r="L54" s="49">
        <v>16</v>
      </c>
      <c r="M54" s="49">
        <v>32</v>
      </c>
      <c r="N54" s="49">
        <v>64</v>
      </c>
      <c r="O54" s="50">
        <v>80</v>
      </c>
    </row>
    <row r="55" spans="1:15" x14ac:dyDescent="0.25">
      <c r="A55" s="51" t="s">
        <v>7</v>
      </c>
      <c r="B55" s="52" t="s">
        <v>8</v>
      </c>
      <c r="C55" s="52" t="s">
        <v>9</v>
      </c>
      <c r="D55" s="59">
        <f>IF(D36="","",(D36-'2018'!D370)/'2018'!D370)</f>
        <v>-4.4710486934499825E-2</v>
      </c>
      <c r="E55" s="59">
        <f>IF(E36="","",(E36-'2018'!E370)/'2018'!E370)</f>
        <v>-3.1262605889471563E-3</v>
      </c>
      <c r="F55" s="59">
        <f>IF(F36="","",(F36-'2018'!F370)/'2018'!F370)</f>
        <v>0</v>
      </c>
      <c r="G55" s="59" t="str">
        <f>IF(G36="","",(G36-'2018'!G370)/'2018'!G370)</f>
        <v/>
      </c>
      <c r="H55" s="59" t="str">
        <f>IF(H36="","",(H36-'2018'!H370)/'2018'!H370)</f>
        <v/>
      </c>
      <c r="I55" s="59" t="str">
        <f>IF(I36="","",(I36-'2018'!I370)/'2018'!I370)</f>
        <v/>
      </c>
      <c r="J55" s="55"/>
      <c r="K55" s="55"/>
      <c r="L55" s="55"/>
      <c r="M55" s="55" t="str">
        <f>IF(G55="","",M45-((1/Comparisons!#REF!)*1000000))</f>
        <v/>
      </c>
      <c r="N55" s="55" t="str">
        <f>IF(H55="","",N45-((1/Comparisons!#REF!)*1000000))</f>
        <v/>
      </c>
      <c r="O55" s="56" t="str">
        <f>IF(I55="","",O45-((1/Comparisons!#REF!)*1000000))</f>
        <v/>
      </c>
    </row>
    <row r="56" spans="1:15" x14ac:dyDescent="0.25">
      <c r="A56" s="51" t="s">
        <v>10</v>
      </c>
      <c r="B56" s="52" t="s">
        <v>8</v>
      </c>
      <c r="C56" s="52" t="s">
        <v>11</v>
      </c>
      <c r="D56" s="59">
        <f>IF(D37="","",(D37-'2018'!D371)/'2018'!D371)</f>
        <v>-7.6097235356288595E-2</v>
      </c>
      <c r="E56" s="59">
        <f>IF(E37="","",(E37-'2018'!E371)/'2018'!E371)</f>
        <v>-7.1755598102056103E-2</v>
      </c>
      <c r="F56" s="59">
        <f>IF(F37="","",(F37-'2018'!F371)/'2018'!F371)</f>
        <v>-1.3969267611255239E-3</v>
      </c>
      <c r="G56" s="59" t="str">
        <f>IF(G37="","",(G37-'2018'!G371)/'2018'!G371)</f>
        <v/>
      </c>
      <c r="H56" s="59" t="str">
        <f>IF(H37="","",(H37-'2018'!H371)/'2018'!H371)</f>
        <v/>
      </c>
      <c r="I56" s="59" t="str">
        <f>IF(I37="","",(I37-'2018'!I371)/'2018'!I371)</f>
        <v/>
      </c>
      <c r="J56" s="55"/>
      <c r="K56" s="55"/>
      <c r="L56" s="55"/>
      <c r="M56" s="55" t="str">
        <f>IF(G56="","",M46-((1/Comparisons!#REF!)*1000000))</f>
        <v/>
      </c>
      <c r="N56" s="55" t="str">
        <f>IF(H56="","",N46-((1/Comparisons!#REF!)*1000000))</f>
        <v/>
      </c>
      <c r="O56" s="56" t="str">
        <f>IF(I56="","",O46-((1/Comparisons!#REF!)*1000000))</f>
        <v/>
      </c>
    </row>
    <row r="57" spans="1:15" x14ac:dyDescent="0.25">
      <c r="A57" s="51" t="s">
        <v>12</v>
      </c>
      <c r="B57" s="52" t="s">
        <v>13</v>
      </c>
      <c r="C57" s="52" t="s">
        <v>9</v>
      </c>
      <c r="D57" s="59">
        <f>IF(D38="","",(D38-'2018'!D372)/'2018'!D372)</f>
        <v>0</v>
      </c>
      <c r="E57" s="59">
        <f>IF(E38="","",(E38-'2018'!E372)/'2018'!E372)</f>
        <v>6.9206099139143646E-3</v>
      </c>
      <c r="F57" s="59">
        <f>IF(F38="","",(F38-'2018'!F372)/'2018'!F372)</f>
        <v>-3.547986517651233E-3</v>
      </c>
      <c r="G57" s="59" t="str">
        <f>IF(G38="","",(G38-'2018'!G372)/'2018'!G372)</f>
        <v/>
      </c>
      <c r="H57" s="59" t="str">
        <f>IF(H38="","",(H38-'2018'!H372)/'2018'!H372)</f>
        <v/>
      </c>
      <c r="I57" s="59" t="str">
        <f>IF(I38="","",(I38-'2018'!I372)/'2018'!I372)</f>
        <v/>
      </c>
      <c r="J57" s="55"/>
      <c r="K57" s="55"/>
      <c r="L57" s="55"/>
      <c r="M57" s="55" t="str">
        <f>IF(G57="","",M47-((1/Comparisons!#REF!)*1000000))</f>
        <v/>
      </c>
      <c r="N57" s="55" t="str">
        <f>IF(H57="","",N47-((1/Comparisons!#REF!)*1000000))</f>
        <v/>
      </c>
      <c r="O57" s="56" t="str">
        <f>IF(I57="","",O47-((1/Comparisons!#REF!)*1000000))</f>
        <v/>
      </c>
    </row>
    <row r="58" spans="1:15" x14ac:dyDescent="0.25">
      <c r="A58" s="51" t="s">
        <v>14</v>
      </c>
      <c r="B58" s="52" t="s">
        <v>13</v>
      </c>
      <c r="C58" s="52" t="s">
        <v>11</v>
      </c>
      <c r="D58" s="59">
        <f>IF(D39="","",(D39-'2018'!D373)/'2018'!D373)</f>
        <v>-7.6553419758605273E-2</v>
      </c>
      <c r="E58" s="59">
        <f>IF(E39="","",(E39-'2018'!E373)/'2018'!E373)</f>
        <v>-1.2841366321376594E-2</v>
      </c>
      <c r="F58" s="59">
        <f>IF(F39="","",(F39-'2018'!F373)/'2018'!F373)</f>
        <v>6.9109947643979054E-3</v>
      </c>
      <c r="G58" s="59" t="str">
        <f>IF(G39="","",(G39-'2018'!G373)/'2018'!G373)</f>
        <v/>
      </c>
      <c r="H58" s="59" t="str">
        <f>IF(H39="","",(H39-'2018'!H373)/'2018'!H373)</f>
        <v/>
      </c>
      <c r="I58" s="59" t="str">
        <f>IF(I39="","",(I39-'2018'!I373)/'2018'!I373)</f>
        <v/>
      </c>
      <c r="J58" s="55"/>
      <c r="K58" s="55"/>
      <c r="L58" s="55"/>
      <c r="M58" s="55" t="str">
        <f>IF(G58="","",M48-((1/Comparisons!#REF!)*1000000))</f>
        <v/>
      </c>
      <c r="N58" s="55" t="str">
        <f>IF(H58="","",N48-((1/Comparisons!#REF!)*1000000))</f>
        <v/>
      </c>
      <c r="O58" s="56" t="str">
        <f>IF(I58="","",O48-((1/Comparisons!#REF!)*1000000))</f>
        <v/>
      </c>
    </row>
    <row r="59" spans="1:15" x14ac:dyDescent="0.25">
      <c r="A59" s="51" t="s">
        <v>15</v>
      </c>
      <c r="B59" s="8" t="s">
        <v>16</v>
      </c>
      <c r="C59" s="52" t="s">
        <v>11</v>
      </c>
      <c r="D59" s="59">
        <f>IF(D40="","",(D40-'2018'!D374)/'2018'!D374)</f>
        <v>6.7650313537440054E-2</v>
      </c>
      <c r="E59" s="59">
        <f>IF(E40="","",(E40-'2018'!E374)/'2018'!E374)</f>
        <v>0</v>
      </c>
      <c r="F59" s="59">
        <f>IF(F40="","",(F40-'2018'!F374)/'2018'!F374)</f>
        <v>-7.1235159341803786E-2</v>
      </c>
      <c r="G59" s="59" t="str">
        <f>IF(G40="","",(G40-'2018'!G374)/'2018'!G374)</f>
        <v/>
      </c>
      <c r="H59" s="59" t="str">
        <f>IF(H40="","",(H40-'2018'!H374)/'2018'!H374)</f>
        <v/>
      </c>
      <c r="I59" s="59" t="str">
        <f>IF(I40="","",(I40-'2018'!I374)/'2018'!I374)</f>
        <v/>
      </c>
      <c r="J59" s="55"/>
      <c r="K59" s="55"/>
      <c r="L59" s="55"/>
      <c r="M59" s="55" t="str">
        <f>IF(G59="","",M49-((1/Comparisons!#REF!)*1000000))</f>
        <v/>
      </c>
      <c r="N59" s="55" t="str">
        <f>IF(H59="","",N49-((1/Comparisons!#REF!)*1000000))</f>
        <v/>
      </c>
      <c r="O59" s="56" t="str">
        <f>IF(I59="","",O49-((1/Comparisons!#REF!)*1000000))</f>
        <v/>
      </c>
    </row>
    <row r="60" spans="1:15" ht="15.75" thickBot="1" x14ac:dyDescent="0.3">
      <c r="A60" s="60" t="s">
        <v>17</v>
      </c>
      <c r="B60" s="61" t="s">
        <v>18</v>
      </c>
      <c r="C60" s="61" t="s">
        <v>11</v>
      </c>
      <c r="D60" s="59">
        <f>IF(D41="","",(D41-'2018'!D375)/'2018'!D375)</f>
        <v>-3.2636864269517334E-2</v>
      </c>
      <c r="E60" s="59">
        <f>IF(E41="","",(E41-'2018'!E375)/'2018'!E375)</f>
        <v>5.7946265938069216E-2</v>
      </c>
      <c r="F60" s="59">
        <f>IF(F41="","",(F41-'2018'!F375)/'2018'!F375)</f>
        <v>-5.4042643023010345E-2</v>
      </c>
      <c r="G60" s="59" t="str">
        <f>IF(G41="","",(G41-'2018'!G375)/'2018'!G375)</f>
        <v/>
      </c>
      <c r="H60" s="59" t="str">
        <f>IF(H41="","",(H41-'2018'!H375)/'2018'!H375)</f>
        <v/>
      </c>
      <c r="I60" s="59" t="str">
        <f>IF(I41="","",(I41-'2018'!I375)/'2018'!I375)</f>
        <v/>
      </c>
      <c r="J60" s="63"/>
      <c r="K60" s="63"/>
      <c r="L60" s="63"/>
      <c r="M60" s="63" t="str">
        <f>IF(G60="","",M50-((1/Comparisons!#REF!)*1000000))</f>
        <v/>
      </c>
      <c r="N60" s="63" t="str">
        <f>IF(H60="","",N50-((1/Comparisons!#REF!)*1000000))</f>
        <v/>
      </c>
      <c r="O60" s="64" t="str">
        <f>IF(I60="","",O50-((1/Comparisons!#REF!)*1000000))</f>
        <v/>
      </c>
    </row>
    <row r="62" spans="1:15" ht="15.75" thickBot="1" x14ac:dyDescent="0.3"/>
    <row r="63" spans="1:15" ht="18.75" x14ac:dyDescent="0.25">
      <c r="A63" s="110" t="s">
        <v>213</v>
      </c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40"/>
    </row>
    <row r="64" spans="1:15" ht="15.75" x14ac:dyDescent="0.25">
      <c r="A64" s="113" t="s">
        <v>236</v>
      </c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2"/>
    </row>
    <row r="65" spans="1:15" x14ac:dyDescent="0.25">
      <c r="A65" s="108" t="s">
        <v>1</v>
      </c>
      <c r="B65" s="135"/>
      <c r="C65" s="135"/>
      <c r="D65" s="136" t="s">
        <v>2</v>
      </c>
      <c r="E65" s="136"/>
      <c r="F65" s="136"/>
      <c r="G65" s="136"/>
      <c r="H65" s="136"/>
      <c r="I65" s="136"/>
      <c r="J65" s="136" t="s">
        <v>3</v>
      </c>
      <c r="K65" s="136"/>
      <c r="L65" s="136"/>
      <c r="M65" s="136"/>
      <c r="N65" s="136"/>
      <c r="O65" s="137"/>
    </row>
    <row r="66" spans="1:15" x14ac:dyDescent="0.25">
      <c r="A66" s="47" t="s">
        <v>26</v>
      </c>
      <c r="B66" s="48" t="s">
        <v>5</v>
      </c>
      <c r="C66" s="48" t="s">
        <v>6</v>
      </c>
      <c r="D66" s="49">
        <v>1</v>
      </c>
      <c r="E66" s="49">
        <v>4</v>
      </c>
      <c r="F66" s="49">
        <v>16</v>
      </c>
      <c r="G66" s="49">
        <v>32</v>
      </c>
      <c r="H66" s="49">
        <v>64</v>
      </c>
      <c r="I66" s="49">
        <v>80</v>
      </c>
      <c r="J66" s="49">
        <v>1</v>
      </c>
      <c r="K66" s="49">
        <v>4</v>
      </c>
      <c r="L66" s="49">
        <v>16</v>
      </c>
      <c r="M66" s="49">
        <v>32</v>
      </c>
      <c r="N66" s="49">
        <v>64</v>
      </c>
      <c r="O66" s="50">
        <v>80</v>
      </c>
    </row>
    <row r="67" spans="1:15" x14ac:dyDescent="0.25">
      <c r="A67" s="51" t="s">
        <v>7</v>
      </c>
      <c r="B67" s="52" t="s">
        <v>8</v>
      </c>
      <c r="C67" s="52" t="s">
        <v>9</v>
      </c>
      <c r="D67" s="53">
        <v>40005</v>
      </c>
      <c r="E67" s="53">
        <v>20094</v>
      </c>
      <c r="F67" s="53">
        <v>5843</v>
      </c>
      <c r="G67" s="54"/>
      <c r="H67" s="54"/>
      <c r="I67" s="54"/>
      <c r="J67" s="55"/>
      <c r="K67" s="55"/>
      <c r="L67" s="55"/>
      <c r="M67" s="55" t="str">
        <f t="shared" ref="M67:M72" si="4">IF(G67="","",(1/G67)*1000000)</f>
        <v/>
      </c>
      <c r="N67" s="55" t="str">
        <f t="shared" ref="N67:N72" si="5">IF(H67="","",(1/H67)*1000000)</f>
        <v/>
      </c>
      <c r="O67" s="56" t="str">
        <f t="shared" ref="O67:O72" si="6">IF(I67="","",(1/I67)*1000000)</f>
        <v/>
      </c>
    </row>
    <row r="68" spans="1:15" x14ac:dyDescent="0.25">
      <c r="A68" s="51" t="s">
        <v>10</v>
      </c>
      <c r="B68" s="52" t="s">
        <v>8</v>
      </c>
      <c r="C68" s="52" t="s">
        <v>11</v>
      </c>
      <c r="D68" s="53">
        <v>17626</v>
      </c>
      <c r="E68" s="53">
        <v>11893</v>
      </c>
      <c r="F68" s="53">
        <v>4993</v>
      </c>
      <c r="G68" s="54"/>
      <c r="H68" s="54"/>
      <c r="I68" s="54"/>
      <c r="J68" s="55"/>
      <c r="K68" s="55"/>
      <c r="L68" s="55"/>
      <c r="M68" s="55" t="str">
        <f t="shared" si="4"/>
        <v/>
      </c>
      <c r="N68" s="55" t="str">
        <f t="shared" si="5"/>
        <v/>
      </c>
      <c r="O68" s="56" t="str">
        <f t="shared" si="6"/>
        <v/>
      </c>
    </row>
    <row r="69" spans="1:15" x14ac:dyDescent="0.25">
      <c r="A69" s="51" t="s">
        <v>12</v>
      </c>
      <c r="B69" s="52" t="s">
        <v>13</v>
      </c>
      <c r="C69" s="52" t="s">
        <v>9</v>
      </c>
      <c r="D69" s="53">
        <v>40312</v>
      </c>
      <c r="E69" s="53">
        <v>17896</v>
      </c>
      <c r="F69" s="53">
        <v>5637</v>
      </c>
      <c r="G69" s="54"/>
      <c r="H69" s="54"/>
      <c r="I69" s="54"/>
      <c r="J69" s="55"/>
      <c r="K69" s="55"/>
      <c r="L69" s="55"/>
      <c r="M69" s="55" t="str">
        <f t="shared" si="4"/>
        <v/>
      </c>
      <c r="N69" s="55" t="str">
        <f t="shared" si="5"/>
        <v/>
      </c>
      <c r="O69" s="56" t="str">
        <f t="shared" si="6"/>
        <v/>
      </c>
    </row>
    <row r="70" spans="1:15" x14ac:dyDescent="0.25">
      <c r="A70" s="51" t="s">
        <v>14</v>
      </c>
      <c r="B70" s="52" t="s">
        <v>13</v>
      </c>
      <c r="C70" s="52" t="s">
        <v>11</v>
      </c>
      <c r="D70" s="53">
        <v>16289</v>
      </c>
      <c r="E70" s="53">
        <v>10617</v>
      </c>
      <c r="F70" s="53">
        <v>4481</v>
      </c>
      <c r="G70" s="54"/>
      <c r="H70" s="54"/>
      <c r="I70" s="54"/>
      <c r="J70" s="55"/>
      <c r="K70" s="55"/>
      <c r="L70" s="55"/>
      <c r="M70" s="55" t="str">
        <f t="shared" si="4"/>
        <v/>
      </c>
      <c r="N70" s="55" t="str">
        <f t="shared" si="5"/>
        <v/>
      </c>
      <c r="O70" s="56" t="str">
        <f t="shared" si="6"/>
        <v/>
      </c>
    </row>
    <row r="71" spans="1:15" x14ac:dyDescent="0.25">
      <c r="A71" s="51" t="s">
        <v>15</v>
      </c>
      <c r="B71" s="52" t="s">
        <v>16</v>
      </c>
      <c r="C71" s="52" t="s">
        <v>11</v>
      </c>
      <c r="D71" s="53">
        <v>14419</v>
      </c>
      <c r="E71" s="53">
        <v>9612</v>
      </c>
      <c r="F71" s="53">
        <v>4689</v>
      </c>
      <c r="G71" s="54"/>
      <c r="H71" s="54"/>
      <c r="I71" s="54"/>
      <c r="J71" s="55"/>
      <c r="K71" s="55"/>
      <c r="L71" s="55"/>
      <c r="M71" s="55" t="str">
        <f t="shared" si="4"/>
        <v/>
      </c>
      <c r="N71" s="55" t="str">
        <f t="shared" si="5"/>
        <v/>
      </c>
      <c r="O71" s="56" t="str">
        <f t="shared" si="6"/>
        <v/>
      </c>
    </row>
    <row r="72" spans="1:15" x14ac:dyDescent="0.25">
      <c r="A72" s="28" t="s">
        <v>17</v>
      </c>
      <c r="B72" s="52" t="s">
        <v>18</v>
      </c>
      <c r="C72" s="52" t="s">
        <v>11</v>
      </c>
      <c r="D72" s="53">
        <v>11747</v>
      </c>
      <c r="E72" s="53">
        <v>9687</v>
      </c>
      <c r="F72" s="53">
        <v>4498</v>
      </c>
      <c r="G72" s="54"/>
      <c r="H72" s="54"/>
      <c r="I72" s="54"/>
      <c r="J72" s="55"/>
      <c r="K72" s="55"/>
      <c r="L72" s="55"/>
      <c r="M72" s="55" t="str">
        <f t="shared" si="4"/>
        <v/>
      </c>
      <c r="N72" s="55" t="str">
        <f t="shared" si="5"/>
        <v/>
      </c>
      <c r="O72" s="56" t="str">
        <f t="shared" si="6"/>
        <v/>
      </c>
    </row>
    <row r="73" spans="1:15" x14ac:dyDescent="0.25">
      <c r="A73" s="116" t="s">
        <v>239</v>
      </c>
      <c r="B73" s="117"/>
      <c r="C73" s="117"/>
      <c r="D73" s="117"/>
      <c r="E73" s="143"/>
      <c r="F73" s="143"/>
      <c r="G73" s="143"/>
      <c r="H73" s="102"/>
      <c r="I73" s="102"/>
      <c r="J73" s="102"/>
      <c r="K73" s="68"/>
      <c r="L73" s="68"/>
      <c r="M73" s="68"/>
      <c r="N73" s="68"/>
      <c r="O73" s="58"/>
    </row>
    <row r="74" spans="1:15" ht="18.75" x14ac:dyDescent="0.3">
      <c r="A74" s="119" t="s">
        <v>233</v>
      </c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5"/>
    </row>
    <row r="75" spans="1:15" x14ac:dyDescent="0.25">
      <c r="A75" s="134" t="s">
        <v>1</v>
      </c>
      <c r="B75" s="135"/>
      <c r="C75" s="135"/>
      <c r="D75" s="136" t="s">
        <v>19</v>
      </c>
      <c r="E75" s="136"/>
      <c r="F75" s="136"/>
      <c r="G75" s="136"/>
      <c r="H75" s="136"/>
      <c r="I75" s="136"/>
      <c r="J75" s="136" t="s">
        <v>22</v>
      </c>
      <c r="K75" s="136"/>
      <c r="L75" s="136"/>
      <c r="M75" s="136"/>
      <c r="N75" s="136"/>
      <c r="O75" s="137"/>
    </row>
    <row r="76" spans="1:15" x14ac:dyDescent="0.25">
      <c r="A76" s="47" t="s">
        <v>4</v>
      </c>
      <c r="B76" s="48" t="s">
        <v>5</v>
      </c>
      <c r="C76" s="48" t="s">
        <v>6</v>
      </c>
      <c r="D76" s="49">
        <v>1</v>
      </c>
      <c r="E76" s="49">
        <v>4</v>
      </c>
      <c r="F76" s="49">
        <v>16</v>
      </c>
      <c r="G76" s="49">
        <v>32</v>
      </c>
      <c r="H76" s="49">
        <v>64</v>
      </c>
      <c r="I76" s="49">
        <v>80</v>
      </c>
      <c r="J76" s="49">
        <v>1</v>
      </c>
      <c r="K76" s="49">
        <v>4</v>
      </c>
      <c r="L76" s="49">
        <v>16</v>
      </c>
      <c r="M76" s="49">
        <v>32</v>
      </c>
      <c r="N76" s="49">
        <v>64</v>
      </c>
      <c r="O76" s="50">
        <v>80</v>
      </c>
    </row>
    <row r="77" spans="1:15" x14ac:dyDescent="0.25">
      <c r="A77" s="51" t="s">
        <v>7</v>
      </c>
      <c r="B77" s="52" t="s">
        <v>8</v>
      </c>
      <c r="C77" s="52" t="s">
        <v>9</v>
      </c>
      <c r="D77" s="59">
        <f>IF(D67="","",(D67-'2019'!D418)/'2019'!D418)</f>
        <v>-3.8826553903077772E-2</v>
      </c>
      <c r="E77" s="59">
        <f>IF(E67="","",(E67-'2019'!E418)/'2019'!E418)</f>
        <v>3.3269913097135805E-2</v>
      </c>
      <c r="F77" s="59">
        <f>IF(F67="","",(F67-'2019'!F418)/'2019'!F418)</f>
        <v>1.027925304094569E-3</v>
      </c>
      <c r="G77" s="59" t="str">
        <f>IF(G67="","",(G67-'2019'!G418)/'2019'!G418)</f>
        <v/>
      </c>
      <c r="H77" s="59" t="str">
        <f>IF(H67="","",(H67-'2019'!H418)/'2019'!H418)</f>
        <v/>
      </c>
      <c r="I77" s="59" t="str">
        <f>IF(I67="","",(I67-'2019'!I418)/'2019'!I418)</f>
        <v/>
      </c>
      <c r="J77" s="55"/>
      <c r="K77" s="55"/>
      <c r="L77" s="55"/>
      <c r="M77" s="55" t="str">
        <f>IF(G77="","",M67-((1/Comparisons!#REF!)*1000000))</f>
        <v/>
      </c>
      <c r="N77" s="55" t="str">
        <f>IF(H77="","",N67-((1/Comparisons!#REF!)*1000000))</f>
        <v/>
      </c>
      <c r="O77" s="56" t="str">
        <f>IF(I77="","",O67-((1/Comparisons!#REF!)*1000000))</f>
        <v/>
      </c>
    </row>
    <row r="78" spans="1:15" x14ac:dyDescent="0.25">
      <c r="A78" s="51" t="s">
        <v>10</v>
      </c>
      <c r="B78" s="52" t="s">
        <v>8</v>
      </c>
      <c r="C78" s="52" t="s">
        <v>11</v>
      </c>
      <c r="D78" s="59">
        <f>IF(D68="","",(D68-'2019'!D419)/'2019'!D419)</f>
        <v>3.7311676082862524E-2</v>
      </c>
      <c r="E78" s="59">
        <f>IF(E68="","",(E68-'2019'!E419)/'2019'!E419)</f>
        <v>0.12018460958839597</v>
      </c>
      <c r="F78" s="59">
        <f>IF(F68="","",(F68-'2019'!F419)/'2019'!F419)</f>
        <v>5.8420628525382755E-3</v>
      </c>
      <c r="G78" s="59" t="str">
        <f>IF(G68="","",(G68-'2019'!G419)/'2019'!G419)</f>
        <v/>
      </c>
      <c r="H78" s="59" t="str">
        <f>IF(H68="","",(H68-'2019'!H419)/'2019'!H419)</f>
        <v/>
      </c>
      <c r="I78" s="59" t="str">
        <f>IF(I68="","",(I68-'2019'!I419)/'2019'!I419)</f>
        <v/>
      </c>
      <c r="J78" s="55"/>
      <c r="K78" s="55"/>
      <c r="L78" s="55"/>
      <c r="M78" s="55" t="str">
        <f>IF(G78="","",M68-((1/Comparisons!#REF!)*1000000))</f>
        <v/>
      </c>
      <c r="N78" s="55" t="str">
        <f>IF(H78="","",N68-((1/Comparisons!#REF!)*1000000))</f>
        <v/>
      </c>
      <c r="O78" s="56" t="str">
        <f>IF(I78="","",O68-((1/Comparisons!#REF!)*1000000))</f>
        <v/>
      </c>
    </row>
    <row r="79" spans="1:15" x14ac:dyDescent="0.25">
      <c r="A79" s="51" t="s">
        <v>12</v>
      </c>
      <c r="B79" s="52" t="s">
        <v>13</v>
      </c>
      <c r="C79" s="52" t="s">
        <v>9</v>
      </c>
      <c r="D79" s="59">
        <f>IF(D69="","",(D69-'2019'!D420)/'2019'!D420)</f>
        <v>1.7440246334014791E-2</v>
      </c>
      <c r="E79" s="59">
        <f>IF(E69="","",(E69-'2019'!E420)/'2019'!E420)</f>
        <v>-1.8805855584187729E-2</v>
      </c>
      <c r="F79" s="59">
        <f>IF(F69="","",(F69-'2019'!F420)/'2019'!F420)</f>
        <v>0</v>
      </c>
      <c r="G79" s="59" t="str">
        <f>IF(G69="","",(G69-'2019'!G420)/'2019'!G420)</f>
        <v/>
      </c>
      <c r="H79" s="59" t="str">
        <f>IF(H69="","",(H69-'2019'!H420)/'2019'!H420)</f>
        <v/>
      </c>
      <c r="I79" s="59" t="str">
        <f>IF(I69="","",(I69-'2019'!I420)/'2019'!I420)</f>
        <v/>
      </c>
      <c r="J79" s="55"/>
      <c r="K79" s="55"/>
      <c r="L79" s="55"/>
      <c r="M79" s="55" t="str">
        <f>IF(G79="","",M69-((1/Comparisons!#REF!)*1000000))</f>
        <v/>
      </c>
      <c r="N79" s="55" t="str">
        <f>IF(H79="","",N69-((1/Comparisons!#REF!)*1000000))</f>
        <v/>
      </c>
      <c r="O79" s="56" t="str">
        <f>IF(I79="","",O69-((1/Comparisons!#REF!)*1000000))</f>
        <v/>
      </c>
    </row>
    <row r="80" spans="1:15" x14ac:dyDescent="0.25">
      <c r="A80" s="51" t="s">
        <v>14</v>
      </c>
      <c r="B80" s="52" t="s">
        <v>13</v>
      </c>
      <c r="C80" s="52" t="s">
        <v>11</v>
      </c>
      <c r="D80" s="59">
        <f>IF(D70="","",(D70-'2019'!D421)/'2019'!D421)</f>
        <v>-5.3515398024404415E-2</v>
      </c>
      <c r="E80" s="59">
        <f>IF(E70="","",(E70-'2019'!E421)/'2019'!E421)</f>
        <v>-7.7905158936946328E-2</v>
      </c>
      <c r="F80" s="59">
        <f>IF(F70="","",(F70-'2019'!F421)/'2019'!F421)</f>
        <v>-6.626380495936654E-2</v>
      </c>
      <c r="G80" s="59" t="str">
        <f>IF(G70="","",(G70-'2019'!G421)/'2019'!G421)</f>
        <v/>
      </c>
      <c r="H80" s="59" t="str">
        <f>IF(H70="","",(H70-'2019'!H421)/'2019'!H421)</f>
        <v/>
      </c>
      <c r="I80" s="59" t="str">
        <f>IF(I70="","",(I70-'2019'!I421)/'2019'!I421)</f>
        <v/>
      </c>
      <c r="J80" s="55"/>
      <c r="K80" s="55"/>
      <c r="L80" s="55"/>
      <c r="M80" s="55" t="str">
        <f>IF(G80="","",M70-((1/Comparisons!#REF!)*1000000))</f>
        <v/>
      </c>
      <c r="N80" s="55" t="str">
        <f>IF(H80="","",N70-((1/Comparisons!#REF!)*1000000))</f>
        <v/>
      </c>
      <c r="O80" s="56" t="str">
        <f>IF(I80="","",O70-((1/Comparisons!#REF!)*1000000))</f>
        <v/>
      </c>
    </row>
    <row r="81" spans="1:15" x14ac:dyDescent="0.25">
      <c r="A81" s="51" t="s">
        <v>15</v>
      </c>
      <c r="B81" s="8" t="s">
        <v>16</v>
      </c>
      <c r="C81" s="52" t="s">
        <v>11</v>
      </c>
      <c r="D81" s="59">
        <f>IF(D71="","",(D71-'2019'!D422)/'2019'!D422)</f>
        <v>8.6013406643066961E-2</v>
      </c>
      <c r="E81" s="59">
        <f>IF(E71="","",(E71-'2019'!E422)/'2019'!E422)</f>
        <v>-5.291161690806976E-2</v>
      </c>
      <c r="F81" s="59">
        <f>IF(F71="","",(F71-'2019'!F422)/'2019'!F422)</f>
        <v>9.8898523552847437E-2</v>
      </c>
      <c r="G81" s="59" t="str">
        <f>IF(G71="","",(G71-'2019'!G422)/'2019'!G422)</f>
        <v/>
      </c>
      <c r="H81" s="59" t="str">
        <f>IF(H71="","",(H71-'2019'!H422)/'2019'!H422)</f>
        <v/>
      </c>
      <c r="I81" s="59" t="str">
        <f>IF(I71="","",(I71-'2019'!I422)/'2019'!I422)</f>
        <v/>
      </c>
      <c r="J81" s="55"/>
      <c r="K81" s="55"/>
      <c r="L81" s="55"/>
      <c r="M81" s="55" t="str">
        <f>IF(G81="","",M71-((1/Comparisons!#REF!)*1000000))</f>
        <v/>
      </c>
      <c r="N81" s="55" t="str">
        <f>IF(H81="","",N71-((1/Comparisons!#REF!)*1000000))</f>
        <v/>
      </c>
      <c r="O81" s="56" t="str">
        <f>IF(I81="","",O71-((1/Comparisons!#REF!)*1000000))</f>
        <v/>
      </c>
    </row>
    <row r="82" spans="1:15" ht="15.75" thickBot="1" x14ac:dyDescent="0.3">
      <c r="A82" s="60" t="s">
        <v>17</v>
      </c>
      <c r="B82" s="61" t="s">
        <v>18</v>
      </c>
      <c r="C82" s="61" t="s">
        <v>11</v>
      </c>
      <c r="D82" s="59">
        <f>IF(D72="","",(D72-'2019'!D423)/'2019'!D423)</f>
        <v>-2.7807663659687162E-2</v>
      </c>
      <c r="E82" s="59">
        <f>IF(E72="","",(E72-'2019'!E423)/'2019'!E423)</f>
        <v>8.3314694699172451E-2</v>
      </c>
      <c r="F82" s="59">
        <f>IF(F72="","",(F72-'2019'!F423)/'2019'!F423)</f>
        <v>4.0721888014807958E-2</v>
      </c>
      <c r="G82" s="59" t="str">
        <f>IF(G72="","",(G72-'2019'!G423)/'2019'!G423)</f>
        <v/>
      </c>
      <c r="H82" s="59" t="str">
        <f>IF(H72="","",(H72-'2019'!H423)/'2019'!H423)</f>
        <v/>
      </c>
      <c r="I82" s="59" t="str">
        <f>IF(I72="","",(I72-'2019'!I423)/'2019'!I423)</f>
        <v/>
      </c>
      <c r="J82" s="63"/>
      <c r="K82" s="63"/>
      <c r="L82" s="63"/>
      <c r="M82" s="63" t="str">
        <f>IF(G82="","",M72-((1/Comparisons!#REF!)*1000000))</f>
        <v/>
      </c>
      <c r="N82" s="63" t="str">
        <f>IF(H82="","",N72-((1/Comparisons!#REF!)*1000000))</f>
        <v/>
      </c>
      <c r="O82" s="64" t="str">
        <f>IF(I82="","",O72-((1/Comparisons!#REF!)*1000000))</f>
        <v/>
      </c>
    </row>
    <row r="83" spans="1:15" ht="18.75" x14ac:dyDescent="0.3">
      <c r="A83" s="119" t="s">
        <v>212</v>
      </c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5"/>
    </row>
    <row r="84" spans="1:15" x14ac:dyDescent="0.25">
      <c r="A84" s="134" t="s">
        <v>1</v>
      </c>
      <c r="B84" s="135"/>
      <c r="C84" s="135"/>
      <c r="D84" s="136" t="s">
        <v>19</v>
      </c>
      <c r="E84" s="136"/>
      <c r="F84" s="136"/>
      <c r="G84" s="136"/>
      <c r="H84" s="136"/>
      <c r="I84" s="136"/>
      <c r="J84" s="136" t="s">
        <v>22</v>
      </c>
      <c r="K84" s="136"/>
      <c r="L84" s="136"/>
      <c r="M84" s="136"/>
      <c r="N84" s="136"/>
      <c r="O84" s="137"/>
    </row>
    <row r="85" spans="1:15" x14ac:dyDescent="0.25">
      <c r="A85" s="47" t="s">
        <v>4</v>
      </c>
      <c r="B85" s="48" t="s">
        <v>5</v>
      </c>
      <c r="C85" s="48" t="s">
        <v>6</v>
      </c>
      <c r="D85" s="49">
        <v>1</v>
      </c>
      <c r="E85" s="49">
        <v>4</v>
      </c>
      <c r="F85" s="49">
        <v>16</v>
      </c>
      <c r="G85" s="49">
        <v>32</v>
      </c>
      <c r="H85" s="49">
        <v>64</v>
      </c>
      <c r="I85" s="49">
        <v>80</v>
      </c>
      <c r="J85" s="49">
        <v>1</v>
      </c>
      <c r="K85" s="49">
        <v>4</v>
      </c>
      <c r="L85" s="49">
        <v>16</v>
      </c>
      <c r="M85" s="49">
        <v>32</v>
      </c>
      <c r="N85" s="49">
        <v>64</v>
      </c>
      <c r="O85" s="50">
        <v>80</v>
      </c>
    </row>
    <row r="86" spans="1:15" x14ac:dyDescent="0.25">
      <c r="A86" s="51" t="s">
        <v>7</v>
      </c>
      <c r="B86" s="52" t="s">
        <v>8</v>
      </c>
      <c r="C86" s="52" t="s">
        <v>9</v>
      </c>
      <c r="D86" s="59">
        <f>IF(D67="","",(D67-'2018'!D370)/'2018'!D370)</f>
        <v>-7.8968573730862204E-2</v>
      </c>
      <c r="E86" s="59">
        <f>IF(E67="","",(E67-'2018'!E370)/'2018'!E370)</f>
        <v>1.3210972166196046E-2</v>
      </c>
      <c r="F86" s="59">
        <f>IF(F67="","",(F67-'2018'!F370)/'2018'!F370)</f>
        <v>0</v>
      </c>
      <c r="G86" s="59" t="str">
        <f>IF(G67="","",(G67-'2018'!G370)/'2018'!G370)</f>
        <v/>
      </c>
      <c r="H86" s="59" t="str">
        <f>IF(H67="","",(H67-'2018'!H370)/'2018'!H370)</f>
        <v/>
      </c>
      <c r="I86" s="59" t="str">
        <f>IF(I67="","",(I67-'2018'!I370)/'2018'!I370)</f>
        <v/>
      </c>
      <c r="J86" s="55"/>
      <c r="K86" s="55"/>
      <c r="L86" s="55"/>
      <c r="M86" s="55" t="str">
        <f>IF(G86="","",M76-((1/Comparisons!#REF!)*1000000))</f>
        <v/>
      </c>
      <c r="N86" s="55" t="str">
        <f>IF(H86="","",N76-((1/Comparisons!#REF!)*1000000))</f>
        <v/>
      </c>
      <c r="O86" s="56" t="str">
        <f>IF(I86="","",O76-((1/Comparisons!#REF!)*1000000))</f>
        <v/>
      </c>
    </row>
    <row r="87" spans="1:15" x14ac:dyDescent="0.25">
      <c r="A87" s="51" t="s">
        <v>10</v>
      </c>
      <c r="B87" s="52" t="s">
        <v>8</v>
      </c>
      <c r="C87" s="52" t="s">
        <v>11</v>
      </c>
      <c r="D87" s="59">
        <f>IF(D68="","",(D68-'2018'!D371)/'2018'!D371)</f>
        <v>-1.9524948545363519E-2</v>
      </c>
      <c r="E87" s="59">
        <f>IF(E68="","",(E68-'2018'!E371)/'2018'!E371)</f>
        <v>-9.9891783900774161E-3</v>
      </c>
      <c r="F87" s="59">
        <f>IF(F68="","",(F68-'2018'!F371)/'2018'!F371)</f>
        <v>-3.5920973857513469E-3</v>
      </c>
      <c r="G87" s="59" t="str">
        <f>IF(G68="","",(G68-'2018'!G371)/'2018'!G371)</f>
        <v/>
      </c>
      <c r="H87" s="59" t="str">
        <f>IF(H68="","",(H68-'2018'!H371)/'2018'!H371)</f>
        <v/>
      </c>
      <c r="I87" s="59" t="str">
        <f>IF(I68="","",(I68-'2018'!I371)/'2018'!I371)</f>
        <v/>
      </c>
      <c r="J87" s="55"/>
      <c r="K87" s="55"/>
      <c r="L87" s="55"/>
      <c r="M87" s="55" t="str">
        <f>IF(G87="","",M77-((1/Comparisons!#REF!)*1000000))</f>
        <v/>
      </c>
      <c r="N87" s="55" t="str">
        <f>IF(H87="","",N77-((1/Comparisons!#REF!)*1000000))</f>
        <v/>
      </c>
      <c r="O87" s="56" t="str">
        <f>IF(I87="","",O77-((1/Comparisons!#REF!)*1000000))</f>
        <v/>
      </c>
    </row>
    <row r="88" spans="1:15" x14ac:dyDescent="0.25">
      <c r="A88" s="51" t="s">
        <v>12</v>
      </c>
      <c r="B88" s="52" t="s">
        <v>13</v>
      </c>
      <c r="C88" s="52" t="s">
        <v>9</v>
      </c>
      <c r="D88" s="59">
        <f>IF(D69="","",(D69-'2018'!D372)/'2018'!D372)</f>
        <v>8.9098007808589442E-3</v>
      </c>
      <c r="E88" s="59">
        <f>IF(E69="","",(E69-'2018'!E372)/'2018'!E372)</f>
        <v>6.9206099139143646E-3</v>
      </c>
      <c r="F88" s="59">
        <f>IF(F69="","",(F69-'2018'!F372)/'2018'!F372)</f>
        <v>0</v>
      </c>
      <c r="G88" s="59" t="str">
        <f>IF(G69="","",(G69-'2018'!G372)/'2018'!G372)</f>
        <v/>
      </c>
      <c r="H88" s="59" t="str">
        <f>IF(H69="","",(H69-'2018'!H372)/'2018'!H372)</f>
        <v/>
      </c>
      <c r="I88" s="59" t="str">
        <f>IF(I69="","",(I69-'2018'!I372)/'2018'!I372)</f>
        <v/>
      </c>
      <c r="J88" s="55"/>
      <c r="K88" s="55"/>
      <c r="L88" s="55"/>
      <c r="M88" s="55" t="str">
        <f>IF(G88="","",M78-((1/Comparisons!#REF!)*1000000))</f>
        <v/>
      </c>
      <c r="N88" s="55" t="str">
        <f>IF(H88="","",N78-((1/Comparisons!#REF!)*1000000))</f>
        <v/>
      </c>
      <c r="O88" s="56" t="str">
        <f>IF(I88="","",O78-((1/Comparisons!#REF!)*1000000))</f>
        <v/>
      </c>
    </row>
    <row r="89" spans="1:15" x14ac:dyDescent="0.25">
      <c r="A89" s="51" t="s">
        <v>14</v>
      </c>
      <c r="B89" s="52" t="s">
        <v>13</v>
      </c>
      <c r="C89" s="52" t="s">
        <v>11</v>
      </c>
      <c r="D89" s="59">
        <f>IF(D70="","",(D70-'2018'!D373)/'2018'!D373)</f>
        <v>-8.9796602592758165E-2</v>
      </c>
      <c r="E89" s="59">
        <f>IF(E70="","",(E70-'2018'!E373)/'2018'!E373)</f>
        <v>-9.1088091772964647E-2</v>
      </c>
      <c r="F89" s="59">
        <f>IF(F70="","",(F70-'2018'!F373)/'2018'!F373)</f>
        <v>-6.1570680628272249E-2</v>
      </c>
      <c r="G89" s="59" t="str">
        <f>IF(G70="","",(G70-'2018'!G373)/'2018'!G373)</f>
        <v/>
      </c>
      <c r="H89" s="59" t="str">
        <f>IF(H70="","",(H70-'2018'!H373)/'2018'!H373)</f>
        <v/>
      </c>
      <c r="I89" s="59" t="str">
        <f>IF(I70="","",(I70-'2018'!I373)/'2018'!I373)</f>
        <v/>
      </c>
      <c r="J89" s="55"/>
      <c r="K89" s="55"/>
      <c r="L89" s="55"/>
      <c r="M89" s="55" t="str">
        <f>IF(G89="","",M79-((1/Comparisons!#REF!)*1000000))</f>
        <v/>
      </c>
      <c r="N89" s="55" t="str">
        <f>IF(H89="","",N79-((1/Comparisons!#REF!)*1000000))</f>
        <v/>
      </c>
      <c r="O89" s="56" t="str">
        <f>IF(I89="","",O79-((1/Comparisons!#REF!)*1000000))</f>
        <v/>
      </c>
    </row>
    <row r="90" spans="1:15" x14ac:dyDescent="0.25">
      <c r="A90" s="51" t="s">
        <v>15</v>
      </c>
      <c r="B90" s="8" t="s">
        <v>16</v>
      </c>
      <c r="C90" s="52" t="s">
        <v>11</v>
      </c>
      <c r="D90" s="59">
        <f>IF(D71="","",(D71-'2018'!D374)/'2018'!D374)</f>
        <v>6.3740317226115825E-2</v>
      </c>
      <c r="E90" s="59">
        <f>IF(E71="","",(E71-'2018'!E374)/'2018'!E374)</f>
        <v>0</v>
      </c>
      <c r="F90" s="59">
        <f>IF(F71="","",(F71-'2018'!F374)/'2018'!F374)</f>
        <v>-2.3328473234742762E-2</v>
      </c>
      <c r="G90" s="59" t="str">
        <f>IF(G71="","",(G71-'2018'!G374)/'2018'!G374)</f>
        <v/>
      </c>
      <c r="H90" s="59" t="str">
        <f>IF(H71="","",(H71-'2018'!H374)/'2018'!H374)</f>
        <v/>
      </c>
      <c r="I90" s="59" t="str">
        <f>IF(I71="","",(I71-'2018'!I374)/'2018'!I374)</f>
        <v/>
      </c>
      <c r="J90" s="55"/>
      <c r="K90" s="55"/>
      <c r="L90" s="55"/>
      <c r="M90" s="55" t="str">
        <f>IF(G90="","",M80-((1/Comparisons!#REF!)*1000000))</f>
        <v/>
      </c>
      <c r="N90" s="55" t="str">
        <f>IF(H90="","",N80-((1/Comparisons!#REF!)*1000000))</f>
        <v/>
      </c>
      <c r="O90" s="56" t="str">
        <f>IF(I90="","",O80-((1/Comparisons!#REF!)*1000000))</f>
        <v/>
      </c>
    </row>
    <row r="91" spans="1:15" ht="15.75" thickBot="1" x14ac:dyDescent="0.3">
      <c r="A91" s="60" t="s">
        <v>17</v>
      </c>
      <c r="B91" s="61" t="s">
        <v>18</v>
      </c>
      <c r="C91" s="61" t="s">
        <v>11</v>
      </c>
      <c r="D91" s="59">
        <f>IF(D72="","",(D72-'2018'!D375)/'2018'!D375)</f>
        <v>-4.8671849692257858E-2</v>
      </c>
      <c r="E91" s="59">
        <f>IF(E72="","",(E72-'2018'!E375)/'2018'!E375)</f>
        <v>0.10280054644808743</v>
      </c>
      <c r="F91" s="59">
        <f>IF(F72="","",(F72-'2018'!F375)/'2018'!F375)</f>
        <v>-5.0453873759763561E-2</v>
      </c>
      <c r="G91" s="59" t="str">
        <f>IF(G72="","",(G72-'2018'!G375)/'2018'!G375)</f>
        <v/>
      </c>
      <c r="H91" s="59" t="str">
        <f>IF(H72="","",(H72-'2018'!H375)/'2018'!H375)</f>
        <v/>
      </c>
      <c r="I91" s="59" t="str">
        <f>IF(I72="","",(I72-'2018'!I375)/'2018'!I375)</f>
        <v/>
      </c>
      <c r="J91" s="63"/>
      <c r="K91" s="63"/>
      <c r="L91" s="63"/>
      <c r="M91" s="63" t="str">
        <f>IF(G91="","",M81-((1/Comparisons!#REF!)*1000000))</f>
        <v/>
      </c>
      <c r="N91" s="63" t="str">
        <f>IF(H91="","",N81-((1/Comparisons!#REF!)*1000000))</f>
        <v/>
      </c>
      <c r="O91" s="64" t="str">
        <f>IF(I91="","",O81-((1/Comparisons!#REF!)*1000000))</f>
        <v/>
      </c>
    </row>
    <row r="93" spans="1:15" ht="15.75" thickBot="1" x14ac:dyDescent="0.3"/>
    <row r="94" spans="1:15" ht="18.75" x14ac:dyDescent="0.25">
      <c r="A94" s="110" t="s">
        <v>213</v>
      </c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40"/>
    </row>
    <row r="95" spans="1:15" ht="15.75" x14ac:dyDescent="0.25">
      <c r="A95" s="113" t="s">
        <v>241</v>
      </c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2"/>
    </row>
    <row r="96" spans="1:15" x14ac:dyDescent="0.25">
      <c r="A96" s="108" t="s">
        <v>1</v>
      </c>
      <c r="B96" s="135"/>
      <c r="C96" s="135"/>
      <c r="D96" s="136" t="s">
        <v>2</v>
      </c>
      <c r="E96" s="136"/>
      <c r="F96" s="136"/>
      <c r="G96" s="136"/>
      <c r="H96" s="136"/>
      <c r="I96" s="136"/>
      <c r="J96" s="136" t="s">
        <v>3</v>
      </c>
      <c r="K96" s="136"/>
      <c r="L96" s="136"/>
      <c r="M96" s="136"/>
      <c r="N96" s="136"/>
      <c r="O96" s="137"/>
    </row>
    <row r="97" spans="1:15" x14ac:dyDescent="0.25">
      <c r="A97" s="47" t="s">
        <v>26</v>
      </c>
      <c r="B97" s="48" t="s">
        <v>5</v>
      </c>
      <c r="C97" s="48" t="s">
        <v>6</v>
      </c>
      <c r="D97" s="49">
        <v>1</v>
      </c>
      <c r="E97" s="49">
        <v>4</v>
      </c>
      <c r="F97" s="49">
        <v>16</v>
      </c>
      <c r="G97" s="49">
        <v>32</v>
      </c>
      <c r="H97" s="49">
        <v>64</v>
      </c>
      <c r="I97" s="49">
        <v>80</v>
      </c>
      <c r="J97" s="49">
        <v>1</v>
      </c>
      <c r="K97" s="49">
        <v>4</v>
      </c>
      <c r="L97" s="49">
        <v>16</v>
      </c>
      <c r="M97" s="49">
        <v>32</v>
      </c>
      <c r="N97" s="49">
        <v>64</v>
      </c>
      <c r="O97" s="50">
        <v>80</v>
      </c>
    </row>
    <row r="98" spans="1:15" x14ac:dyDescent="0.25">
      <c r="A98" s="51" t="s">
        <v>7</v>
      </c>
      <c r="B98" s="52" t="s">
        <v>8</v>
      </c>
      <c r="C98" s="52" t="s">
        <v>9</v>
      </c>
      <c r="D98" s="53">
        <v>39673</v>
      </c>
      <c r="E98" s="53">
        <v>19573</v>
      </c>
      <c r="F98" s="53">
        <v>5843</v>
      </c>
      <c r="G98" s="54"/>
      <c r="H98" s="54"/>
      <c r="I98" s="54"/>
      <c r="J98" s="55"/>
      <c r="K98" s="55"/>
      <c r="L98" s="55"/>
      <c r="M98" s="55" t="str">
        <f t="shared" ref="M98:M103" si="7">IF(G98="","",(1/G98)*1000000)</f>
        <v/>
      </c>
      <c r="N98" s="55" t="str">
        <f t="shared" ref="N98:N103" si="8">IF(H98="","",(1/H98)*1000000)</f>
        <v/>
      </c>
      <c r="O98" s="56" t="str">
        <f t="shared" ref="O98:O103" si="9">IF(I98="","",(1/I98)*1000000)</f>
        <v/>
      </c>
    </row>
    <row r="99" spans="1:15" x14ac:dyDescent="0.25">
      <c r="A99" s="51" t="s">
        <v>10</v>
      </c>
      <c r="B99" s="52" t="s">
        <v>8</v>
      </c>
      <c r="C99" s="52" t="s">
        <v>11</v>
      </c>
      <c r="D99" s="53">
        <v>17453</v>
      </c>
      <c r="E99" s="53">
        <v>11945</v>
      </c>
      <c r="F99" s="53">
        <v>4801</v>
      </c>
      <c r="G99" s="54"/>
      <c r="H99" s="54"/>
      <c r="I99" s="54"/>
      <c r="J99" s="55"/>
      <c r="K99" s="55"/>
      <c r="L99" s="55"/>
      <c r="M99" s="55" t="str">
        <f t="shared" si="7"/>
        <v/>
      </c>
      <c r="N99" s="55" t="str">
        <f t="shared" si="8"/>
        <v/>
      </c>
      <c r="O99" s="56" t="str">
        <f t="shared" si="9"/>
        <v/>
      </c>
    </row>
    <row r="100" spans="1:15" x14ac:dyDescent="0.25">
      <c r="A100" s="51" t="s">
        <v>12</v>
      </c>
      <c r="B100" s="52" t="s">
        <v>13</v>
      </c>
      <c r="C100" s="52" t="s">
        <v>9</v>
      </c>
      <c r="D100" s="53">
        <v>38041</v>
      </c>
      <c r="E100" s="53">
        <v>18345</v>
      </c>
      <c r="F100" s="53">
        <v>5637</v>
      </c>
      <c r="G100" s="54"/>
      <c r="H100" s="54"/>
      <c r="I100" s="54"/>
      <c r="J100" s="55"/>
      <c r="K100" s="55"/>
      <c r="L100" s="55"/>
      <c r="M100" s="55" t="str">
        <f t="shared" si="7"/>
        <v/>
      </c>
      <c r="N100" s="55" t="str">
        <f t="shared" si="8"/>
        <v/>
      </c>
      <c r="O100" s="56" t="str">
        <f t="shared" si="9"/>
        <v/>
      </c>
    </row>
    <row r="101" spans="1:15" x14ac:dyDescent="0.25">
      <c r="A101" s="51" t="s">
        <v>14</v>
      </c>
      <c r="B101" s="52" t="s">
        <v>13</v>
      </c>
      <c r="C101" s="52" t="s">
        <v>11</v>
      </c>
      <c r="D101" s="53">
        <v>17599</v>
      </c>
      <c r="E101" s="53">
        <v>11151</v>
      </c>
      <c r="F101" s="53">
        <v>4801</v>
      </c>
      <c r="G101" s="54"/>
      <c r="H101" s="54"/>
      <c r="I101" s="54"/>
      <c r="J101" s="55"/>
      <c r="K101" s="55"/>
      <c r="L101" s="55"/>
      <c r="M101" s="55" t="str">
        <f t="shared" si="7"/>
        <v/>
      </c>
      <c r="N101" s="55" t="str">
        <f t="shared" si="8"/>
        <v/>
      </c>
      <c r="O101" s="56" t="str">
        <f t="shared" si="9"/>
        <v/>
      </c>
    </row>
    <row r="102" spans="1:15" x14ac:dyDescent="0.25">
      <c r="A102" s="51" t="s">
        <v>15</v>
      </c>
      <c r="B102" s="52" t="s">
        <v>16</v>
      </c>
      <c r="C102" s="52" t="s">
        <v>11</v>
      </c>
      <c r="D102" s="70">
        <v>12676</v>
      </c>
      <c r="E102" s="53">
        <v>10081</v>
      </c>
      <c r="F102" s="53">
        <v>4437</v>
      </c>
      <c r="G102" s="54"/>
      <c r="H102" s="54"/>
      <c r="I102" s="54"/>
      <c r="J102" s="55"/>
      <c r="K102" s="55"/>
      <c r="L102" s="55"/>
      <c r="M102" s="55" t="str">
        <f t="shared" si="7"/>
        <v/>
      </c>
      <c r="N102" s="55" t="str">
        <f t="shared" si="8"/>
        <v/>
      </c>
      <c r="O102" s="56" t="str">
        <f t="shared" si="9"/>
        <v/>
      </c>
    </row>
    <row r="103" spans="1:15" x14ac:dyDescent="0.25">
      <c r="A103" s="28" t="s">
        <v>17</v>
      </c>
      <c r="B103" s="52" t="s">
        <v>18</v>
      </c>
      <c r="C103" s="52" t="s">
        <v>11</v>
      </c>
      <c r="D103" s="53">
        <v>12098</v>
      </c>
      <c r="E103" s="53">
        <v>9663</v>
      </c>
      <c r="F103" s="53">
        <v>4459</v>
      </c>
      <c r="G103" s="54"/>
      <c r="H103" s="54"/>
      <c r="I103" s="54"/>
      <c r="J103" s="55"/>
      <c r="K103" s="55"/>
      <c r="L103" s="55"/>
      <c r="M103" s="55" t="str">
        <f t="shared" si="7"/>
        <v/>
      </c>
      <c r="N103" s="55" t="str">
        <f t="shared" si="8"/>
        <v/>
      </c>
      <c r="O103" s="56" t="str">
        <f t="shared" si="9"/>
        <v/>
      </c>
    </row>
    <row r="104" spans="1:15" x14ac:dyDescent="0.25">
      <c r="A104" s="116" t="s">
        <v>240</v>
      </c>
      <c r="B104" s="117"/>
      <c r="C104" s="117"/>
      <c r="D104" s="117"/>
      <c r="E104" s="143"/>
      <c r="F104" s="143"/>
      <c r="G104" s="143"/>
      <c r="H104" s="102"/>
      <c r="I104" s="102"/>
      <c r="J104" s="102"/>
      <c r="K104" s="68"/>
      <c r="L104" s="68"/>
      <c r="M104" s="68"/>
      <c r="N104" s="68"/>
      <c r="O104" s="58"/>
    </row>
    <row r="105" spans="1:15" ht="18.75" x14ac:dyDescent="0.3">
      <c r="A105" s="119" t="s">
        <v>233</v>
      </c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5"/>
    </row>
    <row r="106" spans="1:15" x14ac:dyDescent="0.25">
      <c r="A106" s="134" t="s">
        <v>1</v>
      </c>
      <c r="B106" s="135"/>
      <c r="C106" s="135"/>
      <c r="D106" s="136" t="s">
        <v>19</v>
      </c>
      <c r="E106" s="136"/>
      <c r="F106" s="136"/>
      <c r="G106" s="136"/>
      <c r="H106" s="136"/>
      <c r="I106" s="136"/>
      <c r="J106" s="136" t="s">
        <v>22</v>
      </c>
      <c r="K106" s="136"/>
      <c r="L106" s="136"/>
      <c r="M106" s="136"/>
      <c r="N106" s="136"/>
      <c r="O106" s="137"/>
    </row>
    <row r="107" spans="1:15" x14ac:dyDescent="0.25">
      <c r="A107" s="47" t="s">
        <v>4</v>
      </c>
      <c r="B107" s="48" t="s">
        <v>5</v>
      </c>
      <c r="C107" s="48" t="s">
        <v>6</v>
      </c>
      <c r="D107" s="49">
        <v>1</v>
      </c>
      <c r="E107" s="49">
        <v>4</v>
      </c>
      <c r="F107" s="49">
        <v>16</v>
      </c>
      <c r="G107" s="49">
        <v>32</v>
      </c>
      <c r="H107" s="49">
        <v>64</v>
      </c>
      <c r="I107" s="49">
        <v>80</v>
      </c>
      <c r="J107" s="49">
        <v>1</v>
      </c>
      <c r="K107" s="49">
        <v>4</v>
      </c>
      <c r="L107" s="49">
        <v>16</v>
      </c>
      <c r="M107" s="49">
        <v>32</v>
      </c>
      <c r="N107" s="49">
        <v>64</v>
      </c>
      <c r="O107" s="50">
        <v>80</v>
      </c>
    </row>
    <row r="108" spans="1:15" x14ac:dyDescent="0.25">
      <c r="A108" s="51" t="s">
        <v>7</v>
      </c>
      <c r="B108" s="52" t="s">
        <v>8</v>
      </c>
      <c r="C108" s="52" t="s">
        <v>9</v>
      </c>
      <c r="D108" s="59">
        <f>IF(D98="","",(D98-'2019'!D418)/'2019'!D418)</f>
        <v>-4.6803296412868504E-2</v>
      </c>
      <c r="E108" s="59">
        <f>IF(E98="","",(E98-'2019'!E418)/'2019'!E418)</f>
        <v>6.4791484547745155E-3</v>
      </c>
      <c r="F108" s="59">
        <f>IF(F98="","",(F98-'2019'!F418)/'2019'!F418)</f>
        <v>1.027925304094569E-3</v>
      </c>
      <c r="G108" s="59" t="str">
        <f>IF(G98="","",(G98-'2019'!G418)/'2019'!G418)</f>
        <v/>
      </c>
      <c r="H108" s="59" t="str">
        <f>IF(H98="","",(H98-'2019'!H418)/'2019'!H418)</f>
        <v/>
      </c>
      <c r="I108" s="59" t="str">
        <f>IF(I98="","",(I98-'2019'!I418)/'2019'!I418)</f>
        <v/>
      </c>
      <c r="J108" s="55"/>
      <c r="K108" s="55"/>
      <c r="L108" s="55"/>
      <c r="M108" s="55" t="str">
        <f>IF(G108="","",M98-((1/Comparisons!#REF!)*1000000))</f>
        <v/>
      </c>
      <c r="N108" s="55" t="str">
        <f>IF(H108="","",N98-((1/Comparisons!#REF!)*1000000))</f>
        <v/>
      </c>
      <c r="O108" s="56" t="str">
        <f>IF(I108="","",O98-((1/Comparisons!#REF!)*1000000))</f>
        <v/>
      </c>
    </row>
    <row r="109" spans="1:15" x14ac:dyDescent="0.25">
      <c r="A109" s="51" t="s">
        <v>10</v>
      </c>
      <c r="B109" s="52" t="s">
        <v>8</v>
      </c>
      <c r="C109" s="52" t="s">
        <v>11</v>
      </c>
      <c r="D109" s="59">
        <f>IF(D99="","",(D99-'2019'!D419)/'2019'!D419)</f>
        <v>2.7130414312617701E-2</v>
      </c>
      <c r="E109" s="59">
        <f>IF(E99="","",(E99-'2019'!E419)/'2019'!E419)</f>
        <v>0.12508241499481962</v>
      </c>
      <c r="F109" s="59">
        <f>IF(F99="","",(F99-'2019'!F419)/'2019'!F419)</f>
        <v>-3.2836422240128928E-2</v>
      </c>
      <c r="G109" s="59" t="str">
        <f>IF(G99="","",(G99-'2019'!G419)/'2019'!G419)</f>
        <v/>
      </c>
      <c r="H109" s="59" t="str">
        <f>IF(H99="","",(H99-'2019'!H419)/'2019'!H419)</f>
        <v/>
      </c>
      <c r="I109" s="59" t="str">
        <f>IF(I99="","",(I99-'2019'!I419)/'2019'!I419)</f>
        <v/>
      </c>
      <c r="J109" s="55"/>
      <c r="K109" s="55"/>
      <c r="L109" s="55"/>
      <c r="M109" s="55" t="str">
        <f>IF(G109="","",M99-((1/Comparisons!#REF!)*1000000))</f>
        <v/>
      </c>
      <c r="N109" s="55" t="str">
        <f>IF(H109="","",N99-((1/Comparisons!#REF!)*1000000))</f>
        <v/>
      </c>
      <c r="O109" s="56" t="str">
        <f>IF(I109="","",O99-((1/Comparisons!#REF!)*1000000))</f>
        <v/>
      </c>
    </row>
    <row r="110" spans="1:15" x14ac:dyDescent="0.25">
      <c r="A110" s="51" t="s">
        <v>12</v>
      </c>
      <c r="B110" s="52" t="s">
        <v>13</v>
      </c>
      <c r="C110" s="52" t="s">
        <v>9</v>
      </c>
      <c r="D110" s="59">
        <f>IF(D100="","",(D100-'2019'!D420)/'2019'!D420)</f>
        <v>-3.987784255823932E-2</v>
      </c>
      <c r="E110" s="59">
        <f>IF(E100="","",(E100-'2019'!E420)/'2019'!E420)</f>
        <v>5.8117221338889191E-3</v>
      </c>
      <c r="F110" s="59">
        <f>IF(F100="","",(F100-'2019'!F420)/'2019'!F420)</f>
        <v>0</v>
      </c>
      <c r="G110" s="59" t="str">
        <f>IF(G100="","",(G100-'2019'!G420)/'2019'!G420)</f>
        <v/>
      </c>
      <c r="H110" s="59" t="str">
        <f>IF(H100="","",(H100-'2019'!H420)/'2019'!H420)</f>
        <v/>
      </c>
      <c r="I110" s="59" t="str">
        <f>IF(I100="","",(I100-'2019'!I420)/'2019'!I420)</f>
        <v/>
      </c>
      <c r="J110" s="55"/>
      <c r="K110" s="55"/>
      <c r="L110" s="55"/>
      <c r="M110" s="55" t="str">
        <f>IF(G110="","",M100-((1/Comparisons!#REF!)*1000000))</f>
        <v/>
      </c>
      <c r="N110" s="55" t="str">
        <f>IF(H110="","",N100-((1/Comparisons!#REF!)*1000000))</f>
        <v/>
      </c>
      <c r="O110" s="56" t="str">
        <f>IF(I110="","",O100-((1/Comparisons!#REF!)*1000000))</f>
        <v/>
      </c>
    </row>
    <row r="111" spans="1:15" x14ac:dyDescent="0.25">
      <c r="A111" s="51" t="s">
        <v>14</v>
      </c>
      <c r="B111" s="52" t="s">
        <v>13</v>
      </c>
      <c r="C111" s="52" t="s">
        <v>11</v>
      </c>
      <c r="D111" s="59">
        <f>IF(D101="","",(D101-'2019'!D421)/'2019'!D421)</f>
        <v>2.2603137710633353E-2</v>
      </c>
      <c r="E111" s="59">
        <f>IF(E101="","",(E101-'2019'!E421)/'2019'!E421)</f>
        <v>-3.1526836894215739E-2</v>
      </c>
      <c r="F111" s="59">
        <f>IF(F101="","",(F101-'2019'!F421)/'2019'!F421)</f>
        <v>4.1675349031048136E-4</v>
      </c>
      <c r="G111" s="59" t="str">
        <f>IF(G101="","",(G101-'2019'!G421)/'2019'!G421)</f>
        <v/>
      </c>
      <c r="H111" s="59" t="str">
        <f>IF(H101="","",(H101-'2019'!H421)/'2019'!H421)</f>
        <v/>
      </c>
      <c r="I111" s="59" t="str">
        <f>IF(I101="","",(I101-'2019'!I421)/'2019'!I421)</f>
        <v/>
      </c>
      <c r="J111" s="55"/>
      <c r="K111" s="55"/>
      <c r="L111" s="55"/>
      <c r="M111" s="55" t="str">
        <f>IF(G111="","",M101-((1/Comparisons!#REF!)*1000000))</f>
        <v/>
      </c>
      <c r="N111" s="55" t="str">
        <f>IF(H111="","",N101-((1/Comparisons!#REF!)*1000000))</f>
        <v/>
      </c>
      <c r="O111" s="56" t="str">
        <f>IF(I111="","",O101-((1/Comparisons!#REF!)*1000000))</f>
        <v/>
      </c>
    </row>
    <row r="112" spans="1:15" x14ac:dyDescent="0.25">
      <c r="A112" s="51" t="s">
        <v>15</v>
      </c>
      <c r="B112" s="8" t="s">
        <v>16</v>
      </c>
      <c r="C112" s="52" t="s">
        <v>11</v>
      </c>
      <c r="D112" s="59">
        <f>IF(D102="","",(D102-'2019'!D422)/'2019'!D422)</f>
        <v>-4.5266249905852228E-2</v>
      </c>
      <c r="E112" s="59">
        <f>IF(E102="","",(E102-'2019'!E422)/'2019'!E422)</f>
        <v>-6.7001675041876048E-3</v>
      </c>
      <c r="F112" s="59">
        <f>IF(F102="","",(F102-'2019'!F422)/'2019'!F422)</f>
        <v>3.9840637450199202E-2</v>
      </c>
      <c r="G112" s="59" t="str">
        <f>IF(G102="","",(G102-'2019'!G422)/'2019'!G422)</f>
        <v/>
      </c>
      <c r="H112" s="59" t="str">
        <f>IF(H102="","",(H102-'2019'!H422)/'2019'!H422)</f>
        <v/>
      </c>
      <c r="I112" s="59" t="str">
        <f>IF(I102="","",(I102-'2019'!I422)/'2019'!I422)</f>
        <v/>
      </c>
      <c r="J112" s="55"/>
      <c r="K112" s="55"/>
      <c r="L112" s="55"/>
      <c r="M112" s="55" t="str">
        <f>IF(G112="","",M102-((1/Comparisons!#REF!)*1000000))</f>
        <v/>
      </c>
      <c r="N112" s="55" t="str">
        <f>IF(H112="","",N102-((1/Comparisons!#REF!)*1000000))</f>
        <v/>
      </c>
      <c r="O112" s="56" t="str">
        <f>IF(I112="","",O102-((1/Comparisons!#REF!)*1000000))</f>
        <v/>
      </c>
    </row>
    <row r="113" spans="1:15" ht="15.75" thickBot="1" x14ac:dyDescent="0.3">
      <c r="A113" s="60" t="s">
        <v>17</v>
      </c>
      <c r="B113" s="61" t="s">
        <v>18</v>
      </c>
      <c r="C113" s="61" t="s">
        <v>11</v>
      </c>
      <c r="D113" s="59">
        <f>IF(D103="","",(D103-'2019'!D423)/'2019'!D423)</f>
        <v>1.241413556236034E-3</v>
      </c>
      <c r="E113" s="59">
        <f>IF(E103="","",(E103-'2019'!E423)/'2019'!E423)</f>
        <v>8.0630731380004469E-2</v>
      </c>
      <c r="F113" s="59">
        <f>IF(F103="","",(F103-'2019'!F423)/'2019'!F423)</f>
        <v>3.1698287829708467E-2</v>
      </c>
      <c r="G113" s="59" t="str">
        <f>IF(G103="","",(G103-'2019'!G423)/'2019'!G423)</f>
        <v/>
      </c>
      <c r="H113" s="59" t="str">
        <f>IF(H103="","",(H103-'2019'!H423)/'2019'!H423)</f>
        <v/>
      </c>
      <c r="I113" s="59" t="str">
        <f>IF(I103="","",(I103-'2019'!I423)/'2019'!I423)</f>
        <v/>
      </c>
      <c r="J113" s="63"/>
      <c r="K113" s="63"/>
      <c r="L113" s="63"/>
      <c r="M113" s="63" t="str">
        <f>IF(G113="","",M103-((1/Comparisons!#REF!)*1000000))</f>
        <v/>
      </c>
      <c r="N113" s="63" t="str">
        <f>IF(H113="","",N103-((1/Comparisons!#REF!)*1000000))</f>
        <v/>
      </c>
      <c r="O113" s="64" t="str">
        <f>IF(I113="","",O103-((1/Comparisons!#REF!)*1000000))</f>
        <v/>
      </c>
    </row>
    <row r="114" spans="1:15" ht="18.75" x14ac:dyDescent="0.3">
      <c r="A114" s="119" t="s">
        <v>212</v>
      </c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5"/>
    </row>
    <row r="115" spans="1:15" x14ac:dyDescent="0.25">
      <c r="A115" s="134" t="s">
        <v>1</v>
      </c>
      <c r="B115" s="135"/>
      <c r="C115" s="135"/>
      <c r="D115" s="136" t="s">
        <v>19</v>
      </c>
      <c r="E115" s="136"/>
      <c r="F115" s="136"/>
      <c r="G115" s="136"/>
      <c r="H115" s="136"/>
      <c r="I115" s="136"/>
      <c r="J115" s="136" t="s">
        <v>22</v>
      </c>
      <c r="K115" s="136"/>
      <c r="L115" s="136"/>
      <c r="M115" s="136"/>
      <c r="N115" s="136"/>
      <c r="O115" s="137"/>
    </row>
    <row r="116" spans="1:15" x14ac:dyDescent="0.25">
      <c r="A116" s="47" t="s">
        <v>4</v>
      </c>
      <c r="B116" s="48" t="s">
        <v>5</v>
      </c>
      <c r="C116" s="48" t="s">
        <v>6</v>
      </c>
      <c r="D116" s="49">
        <v>1</v>
      </c>
      <c r="E116" s="49">
        <v>4</v>
      </c>
      <c r="F116" s="49">
        <v>16</v>
      </c>
      <c r="G116" s="49">
        <v>32</v>
      </c>
      <c r="H116" s="49">
        <v>64</v>
      </c>
      <c r="I116" s="49">
        <v>80</v>
      </c>
      <c r="J116" s="49">
        <v>1</v>
      </c>
      <c r="K116" s="49">
        <v>4</v>
      </c>
      <c r="L116" s="49">
        <v>16</v>
      </c>
      <c r="M116" s="49">
        <v>32</v>
      </c>
      <c r="N116" s="49">
        <v>64</v>
      </c>
      <c r="O116" s="50">
        <v>80</v>
      </c>
    </row>
    <row r="117" spans="1:15" x14ac:dyDescent="0.25">
      <c r="A117" s="51" t="s">
        <v>7</v>
      </c>
      <c r="B117" s="52" t="s">
        <v>8</v>
      </c>
      <c r="C117" s="52" t="s">
        <v>9</v>
      </c>
      <c r="D117" s="59">
        <f>IF(D98="","",(D98-'2018'!D370)/'2018'!D370)</f>
        <v>-8.6612179118222637E-2</v>
      </c>
      <c r="E117" s="59">
        <f>IF(E98="","",(E98-'2018'!E370)/'2018'!E370)</f>
        <v>-1.3059701492537313E-2</v>
      </c>
      <c r="F117" s="59">
        <f>IF(F98="","",(F98-'2018'!F370)/'2018'!F370)</f>
        <v>0</v>
      </c>
      <c r="G117" s="59" t="str">
        <f>IF(G98="","",(G98-'2018'!G370)/'2018'!G370)</f>
        <v/>
      </c>
      <c r="H117" s="59" t="str">
        <f>IF(H98="","",(H98-'2018'!H370)/'2018'!H370)</f>
        <v/>
      </c>
      <c r="I117" s="59" t="str">
        <f>IF(I98="","",(I98-'2018'!I370)/'2018'!I370)</f>
        <v/>
      </c>
      <c r="J117" s="55"/>
      <c r="K117" s="55"/>
      <c r="L117" s="55"/>
      <c r="M117" s="55" t="str">
        <f>IF(G117="","",M107-((1/Comparisons!#REF!)*1000000))</f>
        <v/>
      </c>
      <c r="N117" s="55" t="str">
        <f>IF(H117="","",N107-((1/Comparisons!#REF!)*1000000))</f>
        <v/>
      </c>
      <c r="O117" s="56" t="str">
        <f>IF(I117="","",O107-((1/Comparisons!#REF!)*1000000))</f>
        <v/>
      </c>
    </row>
    <row r="118" spans="1:15" x14ac:dyDescent="0.25">
      <c r="A118" s="51" t="s">
        <v>10</v>
      </c>
      <c r="B118" s="52" t="s">
        <v>8</v>
      </c>
      <c r="C118" s="52" t="s">
        <v>11</v>
      </c>
      <c r="D118" s="59">
        <f>IF(D99="","",(D99-'2018'!D371)/'2018'!D371)</f>
        <v>-2.9148356232964343E-2</v>
      </c>
      <c r="E118" s="59">
        <f>IF(E99="","",(E99-'2018'!E371)/'2018'!E371)</f>
        <v>-5.6605344210438691E-3</v>
      </c>
      <c r="F118" s="59">
        <f>IF(F99="","",(F99-'2018'!F371)/'2018'!F371)</f>
        <v>-4.1907802833765717E-2</v>
      </c>
      <c r="G118" s="59" t="str">
        <f>IF(G99="","",(G99-'2018'!G371)/'2018'!G371)</f>
        <v/>
      </c>
      <c r="H118" s="59" t="str">
        <f>IF(H99="","",(H99-'2018'!H371)/'2018'!H371)</f>
        <v/>
      </c>
      <c r="I118" s="59" t="str">
        <f>IF(I99="","",(I99-'2018'!I371)/'2018'!I371)</f>
        <v/>
      </c>
      <c r="J118" s="55"/>
      <c r="K118" s="55"/>
      <c r="L118" s="55"/>
      <c r="M118" s="55" t="str">
        <f>IF(G118="","",M108-((1/Comparisons!#REF!)*1000000))</f>
        <v/>
      </c>
      <c r="N118" s="55" t="str">
        <f>IF(H118="","",N108-((1/Comparisons!#REF!)*1000000))</f>
        <v/>
      </c>
      <c r="O118" s="56" t="str">
        <f>IF(I118="","",O108-((1/Comparisons!#REF!)*1000000))</f>
        <v/>
      </c>
    </row>
    <row r="119" spans="1:15" x14ac:dyDescent="0.25">
      <c r="A119" s="51" t="s">
        <v>12</v>
      </c>
      <c r="B119" s="52" t="s">
        <v>13</v>
      </c>
      <c r="C119" s="52" t="s">
        <v>9</v>
      </c>
      <c r="D119" s="59">
        <f>IF(D100="","",(D100-'2018'!D372)/'2018'!D372)</f>
        <v>-4.7927720492541799E-2</v>
      </c>
      <c r="E119" s="59">
        <f>IF(E100="","",(E100-'2018'!E372)/'2018'!E372)</f>
        <v>3.2183649355764364E-2</v>
      </c>
      <c r="F119" s="59">
        <f>IF(F100="","",(F100-'2018'!F372)/'2018'!F372)</f>
        <v>0</v>
      </c>
      <c r="G119" s="59" t="str">
        <f>IF(G100="","",(G100-'2018'!G372)/'2018'!G372)</f>
        <v/>
      </c>
      <c r="H119" s="59" t="str">
        <f>IF(H100="","",(H100-'2018'!H372)/'2018'!H372)</f>
        <v/>
      </c>
      <c r="I119" s="59" t="str">
        <f>IF(I100="","",(I100-'2018'!I372)/'2018'!I372)</f>
        <v/>
      </c>
      <c r="J119" s="55"/>
      <c r="K119" s="55"/>
      <c r="L119" s="55"/>
      <c r="M119" s="55" t="str">
        <f>IF(G119="","",M109-((1/Comparisons!#REF!)*1000000))</f>
        <v/>
      </c>
      <c r="N119" s="55" t="str">
        <f>IF(H119="","",N109-((1/Comparisons!#REF!)*1000000))</f>
        <v/>
      </c>
      <c r="O119" s="56" t="str">
        <f>IF(I119="","",O109-((1/Comparisons!#REF!)*1000000))</f>
        <v/>
      </c>
    </row>
    <row r="120" spans="1:15" x14ac:dyDescent="0.25">
      <c r="A120" s="51" t="s">
        <v>14</v>
      </c>
      <c r="B120" s="52" t="s">
        <v>13</v>
      </c>
      <c r="C120" s="52" t="s">
        <v>11</v>
      </c>
      <c r="D120" s="59">
        <f>IF(D101="","",(D101-'2018'!D373)/'2018'!D373)</f>
        <v>-1.6595887349128296E-2</v>
      </c>
      <c r="E120" s="59">
        <f>IF(E101="","",(E101-'2018'!E373)/'2018'!E373)</f>
        <v>-4.5372827668863969E-2</v>
      </c>
      <c r="F120" s="59">
        <f>IF(F101="","",(F101-'2018'!F373)/'2018'!F373)</f>
        <v>5.4450261780104713E-3</v>
      </c>
      <c r="G120" s="59" t="str">
        <f>IF(G101="","",(G101-'2018'!G373)/'2018'!G373)</f>
        <v/>
      </c>
      <c r="H120" s="59" t="str">
        <f>IF(H101="","",(H101-'2018'!H373)/'2018'!H373)</f>
        <v/>
      </c>
      <c r="I120" s="59" t="str">
        <f>IF(I101="","",(I101-'2018'!I373)/'2018'!I373)</f>
        <v/>
      </c>
      <c r="J120" s="55"/>
      <c r="K120" s="55"/>
      <c r="L120" s="55"/>
      <c r="M120" s="55" t="str">
        <f>IF(G120="","",M110-((1/Comparisons!#REF!)*1000000))</f>
        <v/>
      </c>
      <c r="N120" s="55" t="str">
        <f>IF(H120="","",N110-((1/Comparisons!#REF!)*1000000))</f>
        <v/>
      </c>
      <c r="O120" s="56" t="str">
        <f>IF(I120="","",O110-((1/Comparisons!#REF!)*1000000))</f>
        <v/>
      </c>
    </row>
    <row r="121" spans="1:15" x14ac:dyDescent="0.25">
      <c r="A121" s="51" t="s">
        <v>15</v>
      </c>
      <c r="B121" s="8" t="s">
        <v>16</v>
      </c>
      <c r="C121" s="52" t="s">
        <v>11</v>
      </c>
      <c r="D121" s="59">
        <f>IF(D102="","",(D102-'2018'!D374)/'2018'!D374)</f>
        <v>-6.4846919955735896E-2</v>
      </c>
      <c r="E121" s="59">
        <f>IF(E102="","",(E102-'2018'!E374)/'2018'!E374)</f>
        <v>4.8793175197669576E-2</v>
      </c>
      <c r="F121" s="59">
        <f>IF(F102="","",(F102-'2018'!F374)/'2018'!F374)</f>
        <v>-7.5817538012913979E-2</v>
      </c>
      <c r="G121" s="59" t="str">
        <f>IF(G102="","",(G102-'2018'!G374)/'2018'!G374)</f>
        <v/>
      </c>
      <c r="H121" s="59" t="str">
        <f>IF(H102="","",(H102-'2018'!H374)/'2018'!H374)</f>
        <v/>
      </c>
      <c r="I121" s="59" t="str">
        <f>IF(I102="","",(I102-'2018'!I374)/'2018'!I374)</f>
        <v/>
      </c>
      <c r="J121" s="55"/>
      <c r="K121" s="55"/>
      <c r="L121" s="55"/>
      <c r="M121" s="55" t="str">
        <f>IF(G121="","",M111-((1/Comparisons!#REF!)*1000000))</f>
        <v/>
      </c>
      <c r="N121" s="55" t="str">
        <f>IF(H121="","",N111-((1/Comparisons!#REF!)*1000000))</f>
        <v/>
      </c>
      <c r="O121" s="56" t="str">
        <f>IF(I121="","",O111-((1/Comparisons!#REF!)*1000000))</f>
        <v/>
      </c>
    </row>
    <row r="122" spans="1:15" ht="15.75" thickBot="1" x14ac:dyDescent="0.3">
      <c r="A122" s="60" t="s">
        <v>17</v>
      </c>
      <c r="B122" s="61" t="s">
        <v>18</v>
      </c>
      <c r="C122" s="61" t="s">
        <v>11</v>
      </c>
      <c r="D122" s="59">
        <f>IF(D103="","",(D103-'2018'!D375)/'2018'!D375)</f>
        <v>-2.0246193715581472E-2</v>
      </c>
      <c r="E122" s="59">
        <f>IF(E103="","",(E103-'2018'!E375)/'2018'!E375)</f>
        <v>0.10006830601092896</v>
      </c>
      <c r="F122" s="59">
        <f>IF(F103="","",(F103-'2018'!F375)/'2018'!F375)</f>
        <v>-5.8686932657800298E-2</v>
      </c>
      <c r="G122" s="59" t="str">
        <f>IF(G103="","",(G103-'2018'!G375)/'2018'!G375)</f>
        <v/>
      </c>
      <c r="H122" s="59" t="str">
        <f>IF(H103="","",(H103-'2018'!H375)/'2018'!H375)</f>
        <v/>
      </c>
      <c r="I122" s="59" t="str">
        <f>IF(I103="","",(I103-'2018'!I375)/'2018'!I375)</f>
        <v/>
      </c>
      <c r="J122" s="63"/>
      <c r="K122" s="63"/>
      <c r="L122" s="63"/>
      <c r="M122" s="63" t="str">
        <f>IF(G122="","",M112-((1/Comparisons!#REF!)*1000000))</f>
        <v/>
      </c>
      <c r="N122" s="63" t="str">
        <f>IF(H122="","",N112-((1/Comparisons!#REF!)*1000000))</f>
        <v/>
      </c>
      <c r="O122" s="64" t="str">
        <f>IF(I122="","",O112-((1/Comparisons!#REF!)*1000000))</f>
        <v/>
      </c>
    </row>
    <row r="124" spans="1:15" ht="15.75" thickBot="1" x14ac:dyDescent="0.3"/>
    <row r="125" spans="1:15" ht="18.75" x14ac:dyDescent="0.25">
      <c r="A125" s="110" t="s">
        <v>213</v>
      </c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40"/>
    </row>
    <row r="126" spans="1:15" ht="15.75" x14ac:dyDescent="0.25">
      <c r="A126" s="113" t="s">
        <v>243</v>
      </c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2"/>
    </row>
    <row r="127" spans="1:15" x14ac:dyDescent="0.25">
      <c r="A127" s="108" t="s">
        <v>1</v>
      </c>
      <c r="B127" s="135"/>
      <c r="C127" s="135"/>
      <c r="D127" s="136" t="s">
        <v>2</v>
      </c>
      <c r="E127" s="136"/>
      <c r="F127" s="136"/>
      <c r="G127" s="136"/>
      <c r="H127" s="136"/>
      <c r="I127" s="136"/>
      <c r="J127" s="136" t="s">
        <v>3</v>
      </c>
      <c r="K127" s="136"/>
      <c r="L127" s="136"/>
      <c r="M127" s="136"/>
      <c r="N127" s="136"/>
      <c r="O127" s="137"/>
    </row>
    <row r="128" spans="1:15" x14ac:dyDescent="0.25">
      <c r="A128" s="47" t="s">
        <v>26</v>
      </c>
      <c r="B128" s="48" t="s">
        <v>5</v>
      </c>
      <c r="C128" s="48" t="s">
        <v>6</v>
      </c>
      <c r="D128" s="49">
        <v>1</v>
      </c>
      <c r="E128" s="49">
        <v>4</v>
      </c>
      <c r="F128" s="49">
        <v>16</v>
      </c>
      <c r="G128" s="49">
        <v>32</v>
      </c>
      <c r="H128" s="49">
        <v>64</v>
      </c>
      <c r="I128" s="49">
        <v>80</v>
      </c>
      <c r="J128" s="49">
        <v>1</v>
      </c>
      <c r="K128" s="49">
        <v>4</v>
      </c>
      <c r="L128" s="49">
        <v>16</v>
      </c>
      <c r="M128" s="49">
        <v>32</v>
      </c>
      <c r="N128" s="49">
        <v>64</v>
      </c>
      <c r="O128" s="50">
        <v>80</v>
      </c>
    </row>
    <row r="129" spans="1:15" x14ac:dyDescent="0.25">
      <c r="A129" s="51" t="s">
        <v>7</v>
      </c>
      <c r="B129" s="52" t="s">
        <v>8</v>
      </c>
      <c r="C129" s="52" t="s">
        <v>9</v>
      </c>
      <c r="D129" s="53">
        <v>41493</v>
      </c>
      <c r="E129" s="53">
        <v>19844</v>
      </c>
      <c r="F129" s="53">
        <v>5843</v>
      </c>
      <c r="G129" s="54"/>
      <c r="H129" s="54"/>
      <c r="I129" s="54"/>
      <c r="J129" s="55"/>
      <c r="K129" s="55"/>
      <c r="L129" s="55"/>
      <c r="M129" s="55" t="str">
        <f t="shared" ref="M129:M134" si="10">IF(G129="","",(1/G129)*1000000)</f>
        <v/>
      </c>
      <c r="N129" s="55" t="str">
        <f t="shared" ref="N129:N134" si="11">IF(H129="","",(1/H129)*1000000)</f>
        <v/>
      </c>
      <c r="O129" s="56" t="str">
        <f t="shared" ref="O129:O134" si="12">IF(I129="","",(1/I129)*1000000)</f>
        <v/>
      </c>
    </row>
    <row r="130" spans="1:15" x14ac:dyDescent="0.25">
      <c r="A130" s="51" t="s">
        <v>10</v>
      </c>
      <c r="B130" s="52" t="s">
        <v>8</v>
      </c>
      <c r="C130" s="52" t="s">
        <v>11</v>
      </c>
      <c r="D130" s="53">
        <v>16950</v>
      </c>
      <c r="E130" s="53">
        <v>11858</v>
      </c>
      <c r="F130" s="53">
        <v>5040</v>
      </c>
      <c r="G130" s="54"/>
      <c r="H130" s="54"/>
      <c r="I130" s="54"/>
      <c r="J130" s="55"/>
      <c r="K130" s="55"/>
      <c r="L130" s="55"/>
      <c r="M130" s="55" t="str">
        <f t="shared" si="10"/>
        <v/>
      </c>
      <c r="N130" s="55" t="str">
        <f t="shared" si="11"/>
        <v/>
      </c>
      <c r="O130" s="56" t="str">
        <f t="shared" si="12"/>
        <v/>
      </c>
    </row>
    <row r="131" spans="1:15" x14ac:dyDescent="0.25">
      <c r="A131" s="51" t="s">
        <v>12</v>
      </c>
      <c r="B131" s="52" t="s">
        <v>13</v>
      </c>
      <c r="C131" s="52" t="s">
        <v>9</v>
      </c>
      <c r="D131" s="53">
        <v>40819</v>
      </c>
      <c r="E131" s="53">
        <v>17896</v>
      </c>
      <c r="F131" s="53">
        <v>5637</v>
      </c>
      <c r="G131" s="54"/>
      <c r="H131" s="54"/>
      <c r="I131" s="54"/>
      <c r="J131" s="55"/>
      <c r="K131" s="55"/>
      <c r="L131" s="55"/>
      <c r="M131" s="55" t="str">
        <f t="shared" si="10"/>
        <v/>
      </c>
      <c r="N131" s="55" t="str">
        <f t="shared" si="11"/>
        <v/>
      </c>
      <c r="O131" s="56" t="str">
        <f t="shared" si="12"/>
        <v/>
      </c>
    </row>
    <row r="132" spans="1:15" x14ac:dyDescent="0.25">
      <c r="A132" s="51" t="s">
        <v>14</v>
      </c>
      <c r="B132" s="52" t="s">
        <v>13</v>
      </c>
      <c r="C132" s="52" t="s">
        <v>11</v>
      </c>
      <c r="D132" s="53">
        <v>17201</v>
      </c>
      <c r="E132" s="53">
        <v>11416</v>
      </c>
      <c r="F132" s="53">
        <v>4801</v>
      </c>
      <c r="G132" s="54"/>
      <c r="H132" s="54"/>
      <c r="I132" s="54"/>
      <c r="J132" s="55"/>
      <c r="K132" s="55"/>
      <c r="L132" s="55"/>
      <c r="M132" s="55" t="str">
        <f t="shared" si="10"/>
        <v/>
      </c>
      <c r="N132" s="55" t="str">
        <f t="shared" si="11"/>
        <v/>
      </c>
      <c r="O132" s="56" t="str">
        <f t="shared" si="12"/>
        <v/>
      </c>
    </row>
    <row r="133" spans="1:15" x14ac:dyDescent="0.25">
      <c r="A133" s="51" t="s">
        <v>15</v>
      </c>
      <c r="B133" s="52" t="s">
        <v>16</v>
      </c>
      <c r="C133" s="52" t="s">
        <v>11</v>
      </c>
      <c r="D133" s="70">
        <v>14335</v>
      </c>
      <c r="E133" s="53">
        <v>9246</v>
      </c>
      <c r="F133" s="53">
        <v>4459</v>
      </c>
      <c r="G133" s="54"/>
      <c r="H133" s="54"/>
      <c r="I133" s="54"/>
      <c r="J133" s="55"/>
      <c r="K133" s="55"/>
      <c r="L133" s="55"/>
      <c r="M133" s="55" t="str">
        <f t="shared" si="10"/>
        <v/>
      </c>
      <c r="N133" s="55" t="str">
        <f t="shared" si="11"/>
        <v/>
      </c>
      <c r="O133" s="56" t="str">
        <f t="shared" si="12"/>
        <v/>
      </c>
    </row>
    <row r="134" spans="1:15" x14ac:dyDescent="0.25">
      <c r="A134" s="28" t="s">
        <v>17</v>
      </c>
      <c r="B134" s="52" t="s">
        <v>18</v>
      </c>
      <c r="C134" s="52" t="s">
        <v>11</v>
      </c>
      <c r="D134" s="53">
        <v>12019</v>
      </c>
      <c r="E134" s="53">
        <v>9610</v>
      </c>
      <c r="F134" s="53">
        <v>4490</v>
      </c>
      <c r="G134" s="54"/>
      <c r="H134" s="54"/>
      <c r="I134" s="54"/>
      <c r="J134" s="55"/>
      <c r="K134" s="55"/>
      <c r="L134" s="55"/>
      <c r="M134" s="55" t="str">
        <f t="shared" si="10"/>
        <v/>
      </c>
      <c r="N134" s="55" t="str">
        <f t="shared" si="11"/>
        <v/>
      </c>
      <c r="O134" s="56" t="str">
        <f t="shared" si="12"/>
        <v/>
      </c>
    </row>
    <row r="135" spans="1:15" x14ac:dyDescent="0.25">
      <c r="A135" s="116" t="s">
        <v>242</v>
      </c>
      <c r="B135" s="117"/>
      <c r="C135" s="117"/>
      <c r="D135" s="117"/>
      <c r="E135" s="143"/>
      <c r="F135" s="143"/>
      <c r="G135" s="143"/>
      <c r="H135" s="102"/>
      <c r="I135" s="102"/>
      <c r="J135" s="102"/>
      <c r="K135" s="69"/>
      <c r="L135" s="69"/>
      <c r="M135" s="69"/>
      <c r="N135" s="69"/>
      <c r="O135" s="58"/>
    </row>
    <row r="136" spans="1:15" ht="18.75" x14ac:dyDescent="0.3">
      <c r="A136" s="119" t="s">
        <v>233</v>
      </c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5"/>
    </row>
    <row r="137" spans="1:15" x14ac:dyDescent="0.25">
      <c r="A137" s="134" t="s">
        <v>1</v>
      </c>
      <c r="B137" s="135"/>
      <c r="C137" s="135"/>
      <c r="D137" s="136" t="s">
        <v>19</v>
      </c>
      <c r="E137" s="136"/>
      <c r="F137" s="136"/>
      <c r="G137" s="136"/>
      <c r="H137" s="136"/>
      <c r="I137" s="136"/>
      <c r="J137" s="136" t="s">
        <v>22</v>
      </c>
      <c r="K137" s="136"/>
      <c r="L137" s="136"/>
      <c r="M137" s="136"/>
      <c r="N137" s="136"/>
      <c r="O137" s="137"/>
    </row>
    <row r="138" spans="1:15" x14ac:dyDescent="0.25">
      <c r="A138" s="47" t="s">
        <v>4</v>
      </c>
      <c r="B138" s="48" t="s">
        <v>5</v>
      </c>
      <c r="C138" s="48" t="s">
        <v>6</v>
      </c>
      <c r="D138" s="49">
        <v>1</v>
      </c>
      <c r="E138" s="49">
        <v>4</v>
      </c>
      <c r="F138" s="49">
        <v>16</v>
      </c>
      <c r="G138" s="49">
        <v>32</v>
      </c>
      <c r="H138" s="49">
        <v>64</v>
      </c>
      <c r="I138" s="49">
        <v>80</v>
      </c>
      <c r="J138" s="49">
        <v>1</v>
      </c>
      <c r="K138" s="49">
        <v>4</v>
      </c>
      <c r="L138" s="49">
        <v>16</v>
      </c>
      <c r="M138" s="49">
        <v>32</v>
      </c>
      <c r="N138" s="49">
        <v>64</v>
      </c>
      <c r="O138" s="50">
        <v>80</v>
      </c>
    </row>
    <row r="139" spans="1:15" x14ac:dyDescent="0.25">
      <c r="A139" s="51" t="s">
        <v>7</v>
      </c>
      <c r="B139" s="52" t="s">
        <v>8</v>
      </c>
      <c r="C139" s="52" t="s">
        <v>9</v>
      </c>
      <c r="D139" s="59">
        <f>IF(D129="","",(D129-'2019'!D418)/'2019'!D418)</f>
        <v>-3.0753706061843779E-3</v>
      </c>
      <c r="E139" s="59">
        <f>IF(E129="","",(E129-'2019'!E418)/'2019'!E418)</f>
        <v>2.0414459813853036E-2</v>
      </c>
      <c r="F139" s="59">
        <f>IF(F129="","",(F129-'2019'!F418)/'2019'!F418)</f>
        <v>1.027925304094569E-3</v>
      </c>
      <c r="G139" s="59" t="str">
        <f>IF(G129="","",(G129-'2019'!G418)/'2019'!G418)</f>
        <v/>
      </c>
      <c r="H139" s="59" t="str">
        <f>IF(H129="","",(H129-'2019'!H418)/'2019'!H418)</f>
        <v/>
      </c>
      <c r="I139" s="59" t="str">
        <f>IF(I129="","",(I129-'2019'!I418)/'2019'!I418)</f>
        <v/>
      </c>
      <c r="J139" s="55"/>
      <c r="K139" s="55"/>
      <c r="L139" s="55"/>
      <c r="M139" s="55" t="str">
        <f>IF(G139="","",M129-((1/Comparisons!#REF!)*1000000))</f>
        <v/>
      </c>
      <c r="N139" s="55" t="str">
        <f>IF(H139="","",N129-((1/Comparisons!#REF!)*1000000))</f>
        <v/>
      </c>
      <c r="O139" s="56" t="str">
        <f>IF(I139="","",O129-((1/Comparisons!#REF!)*1000000))</f>
        <v/>
      </c>
    </row>
    <row r="140" spans="1:15" x14ac:dyDescent="0.25">
      <c r="A140" s="51" t="s">
        <v>10</v>
      </c>
      <c r="B140" s="52" t="s">
        <v>8</v>
      </c>
      <c r="C140" s="52" t="s">
        <v>11</v>
      </c>
      <c r="D140" s="59">
        <f>IF(D130="","",(D130-'2019'!D419)/'2019'!D419)</f>
        <v>-2.4717514124293787E-3</v>
      </c>
      <c r="E140" s="59">
        <f>IF(E130="","",(E130-'2019'!E419)/'2019'!E419)</f>
        <v>0.11688800979561081</v>
      </c>
      <c r="F140" s="59">
        <f>IF(F130="","",(F130-'2019'!F419)/'2019'!F419)</f>
        <v>1.5310233682514102E-2</v>
      </c>
      <c r="G140" s="59" t="str">
        <f>IF(G130="","",(G130-'2019'!G419)/'2019'!G419)</f>
        <v/>
      </c>
      <c r="H140" s="59" t="str">
        <f>IF(H130="","",(H130-'2019'!H419)/'2019'!H419)</f>
        <v/>
      </c>
      <c r="I140" s="59" t="str">
        <f>IF(I130="","",(I130-'2019'!I419)/'2019'!I419)</f>
        <v/>
      </c>
      <c r="J140" s="55"/>
      <c r="K140" s="55"/>
      <c r="L140" s="55"/>
      <c r="M140" s="55" t="str">
        <f>IF(G140="","",M130-((1/Comparisons!#REF!)*1000000))</f>
        <v/>
      </c>
      <c r="N140" s="55" t="str">
        <f>IF(H140="","",N130-((1/Comparisons!#REF!)*1000000))</f>
        <v/>
      </c>
      <c r="O140" s="56" t="str">
        <f>IF(I140="","",O130-((1/Comparisons!#REF!)*1000000))</f>
        <v/>
      </c>
    </row>
    <row r="141" spans="1:15" x14ac:dyDescent="0.25">
      <c r="A141" s="51" t="s">
        <v>12</v>
      </c>
      <c r="B141" s="52" t="s">
        <v>13</v>
      </c>
      <c r="C141" s="52" t="s">
        <v>9</v>
      </c>
      <c r="D141" s="59">
        <f>IF(D131="","",(D131-'2019'!D420)/'2019'!D420)</f>
        <v>3.0236490749854874E-2</v>
      </c>
      <c r="E141" s="59">
        <f>IF(E131="","",(E131-'2019'!E420)/'2019'!E420)</f>
        <v>-1.8805855584187729E-2</v>
      </c>
      <c r="F141" s="59">
        <f>IF(F131="","",(F131-'2019'!F420)/'2019'!F420)</f>
        <v>0</v>
      </c>
      <c r="G141" s="59" t="str">
        <f>IF(G131="","",(G131-'2019'!G420)/'2019'!G420)</f>
        <v/>
      </c>
      <c r="H141" s="59" t="str">
        <f>IF(H131="","",(H131-'2019'!H420)/'2019'!H420)</f>
        <v/>
      </c>
      <c r="I141" s="59" t="str">
        <f>IF(I131="","",(I131-'2019'!I420)/'2019'!I420)</f>
        <v/>
      </c>
      <c r="J141" s="55"/>
      <c r="K141" s="55"/>
      <c r="L141" s="55"/>
      <c r="M141" s="55" t="str">
        <f>IF(G141="","",M131-((1/Comparisons!#REF!)*1000000))</f>
        <v/>
      </c>
      <c r="N141" s="55" t="str">
        <f>IF(H141="","",N131-((1/Comparisons!#REF!)*1000000))</f>
        <v/>
      </c>
      <c r="O141" s="56" t="str">
        <f>IF(I141="","",O131-((1/Comparisons!#REF!)*1000000))</f>
        <v/>
      </c>
    </row>
    <row r="142" spans="1:15" x14ac:dyDescent="0.25">
      <c r="A142" s="51" t="s">
        <v>14</v>
      </c>
      <c r="B142" s="52" t="s">
        <v>13</v>
      </c>
      <c r="C142" s="52" t="s">
        <v>11</v>
      </c>
      <c r="D142" s="59">
        <f>IF(D132="","",(D132-'2019'!D421)/'2019'!D421)</f>
        <v>-5.2295177222545027E-4</v>
      </c>
      <c r="E142" s="59">
        <f>IF(E132="","",(E132-'2019'!E421)/'2019'!E421)</f>
        <v>-8.5113774535348265E-3</v>
      </c>
      <c r="F142" s="59">
        <f>IF(F132="","",(F132-'2019'!F421)/'2019'!F421)</f>
        <v>4.1675349031048136E-4</v>
      </c>
      <c r="G142" s="59" t="str">
        <f>IF(G132="","",(G132-'2019'!G421)/'2019'!G421)</f>
        <v/>
      </c>
      <c r="H142" s="59" t="str">
        <f>IF(H132="","",(H132-'2019'!H421)/'2019'!H421)</f>
        <v/>
      </c>
      <c r="I142" s="59" t="str">
        <f>IF(I132="","",(I132-'2019'!I421)/'2019'!I421)</f>
        <v/>
      </c>
      <c r="J142" s="55"/>
      <c r="K142" s="55"/>
      <c r="L142" s="55"/>
      <c r="M142" s="55" t="str">
        <f>IF(G142="","",M132-((1/Comparisons!#REF!)*1000000))</f>
        <v/>
      </c>
      <c r="N142" s="55" t="str">
        <f>IF(H142="","",N132-((1/Comparisons!#REF!)*1000000))</f>
        <v/>
      </c>
      <c r="O142" s="56" t="str">
        <f>IF(I142="","",O132-((1/Comparisons!#REF!)*1000000))</f>
        <v/>
      </c>
    </row>
    <row r="143" spans="1:15" x14ac:dyDescent="0.25">
      <c r="A143" s="51" t="s">
        <v>15</v>
      </c>
      <c r="B143" s="8" t="s">
        <v>16</v>
      </c>
      <c r="C143" s="52" t="s">
        <v>11</v>
      </c>
      <c r="D143" s="59">
        <f>IF(D133="","",(D133-'2019'!D422)/'2019'!D422)</f>
        <v>7.9686676206974463E-2</v>
      </c>
      <c r="E143" s="59">
        <f>IF(E133="","",(E133-'2019'!E422)/'2019'!E422)</f>
        <v>-8.8974283180608932E-2</v>
      </c>
      <c r="F143" s="59">
        <f>IF(F133="","",(F133-'2019'!F422)/'2019'!F422)</f>
        <v>4.499648464963675E-2</v>
      </c>
      <c r="G143" s="59" t="str">
        <f>IF(G133="","",(G133-'2019'!G422)/'2019'!G422)</f>
        <v/>
      </c>
      <c r="H143" s="59" t="str">
        <f>IF(H133="","",(H133-'2019'!H422)/'2019'!H422)</f>
        <v/>
      </c>
      <c r="I143" s="59" t="str">
        <f>IF(I133="","",(I133-'2019'!I422)/'2019'!I422)</f>
        <v/>
      </c>
      <c r="J143" s="55"/>
      <c r="K143" s="55"/>
      <c r="L143" s="55"/>
      <c r="M143" s="55" t="str">
        <f>IF(G143="","",M133-((1/Comparisons!#REF!)*1000000))</f>
        <v/>
      </c>
      <c r="N143" s="55" t="str">
        <f>IF(H143="","",N133-((1/Comparisons!#REF!)*1000000))</f>
        <v/>
      </c>
      <c r="O143" s="56" t="str">
        <f>IF(I143="","",O133-((1/Comparisons!#REF!)*1000000))</f>
        <v/>
      </c>
    </row>
    <row r="144" spans="1:15" ht="15.75" thickBot="1" x14ac:dyDescent="0.3">
      <c r="A144" s="60" t="s">
        <v>17</v>
      </c>
      <c r="B144" s="61" t="s">
        <v>18</v>
      </c>
      <c r="C144" s="61" t="s">
        <v>11</v>
      </c>
      <c r="D144" s="59">
        <f>IF(D134="","",(D134-'2019'!D423)/'2019'!D423)</f>
        <v>-5.2966978399404119E-3</v>
      </c>
      <c r="E144" s="59">
        <f>IF(E134="","",(E134-'2019'!E423)/'2019'!E423)</f>
        <v>7.4703645716841877E-2</v>
      </c>
      <c r="F144" s="59">
        <f>IF(F134="","",(F134-'2019'!F423)/'2019'!F423)</f>
        <v>3.8870893105043963E-2</v>
      </c>
      <c r="G144" s="59" t="str">
        <f>IF(G134="","",(G134-'2019'!G423)/'2019'!G423)</f>
        <v/>
      </c>
      <c r="H144" s="59" t="str">
        <f>IF(H134="","",(H134-'2019'!H423)/'2019'!H423)</f>
        <v/>
      </c>
      <c r="I144" s="59" t="str">
        <f>IF(I134="","",(I134-'2019'!I423)/'2019'!I423)</f>
        <v/>
      </c>
      <c r="J144" s="63"/>
      <c r="K144" s="63"/>
      <c r="L144" s="63"/>
      <c r="M144" s="63" t="str">
        <f>IF(G144="","",M134-((1/Comparisons!#REF!)*1000000))</f>
        <v/>
      </c>
      <c r="N144" s="63" t="str">
        <f>IF(H144="","",N134-((1/Comparisons!#REF!)*1000000))</f>
        <v/>
      </c>
      <c r="O144" s="64" t="str">
        <f>IF(I144="","",O134-((1/Comparisons!#REF!)*1000000))</f>
        <v/>
      </c>
    </row>
    <row r="145" spans="1:15" ht="18.75" x14ac:dyDescent="0.3">
      <c r="A145" s="119" t="s">
        <v>212</v>
      </c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5"/>
    </row>
    <row r="146" spans="1:15" x14ac:dyDescent="0.25">
      <c r="A146" s="134" t="s">
        <v>1</v>
      </c>
      <c r="B146" s="135"/>
      <c r="C146" s="135"/>
      <c r="D146" s="136" t="s">
        <v>19</v>
      </c>
      <c r="E146" s="136"/>
      <c r="F146" s="136"/>
      <c r="G146" s="136"/>
      <c r="H146" s="136"/>
      <c r="I146" s="136"/>
      <c r="J146" s="136" t="s">
        <v>22</v>
      </c>
      <c r="K146" s="136"/>
      <c r="L146" s="136"/>
      <c r="M146" s="136"/>
      <c r="N146" s="136"/>
      <c r="O146" s="137"/>
    </row>
    <row r="147" spans="1:15" x14ac:dyDescent="0.25">
      <c r="A147" s="47" t="s">
        <v>4</v>
      </c>
      <c r="B147" s="48" t="s">
        <v>5</v>
      </c>
      <c r="C147" s="48" t="s">
        <v>6</v>
      </c>
      <c r="D147" s="49">
        <v>1</v>
      </c>
      <c r="E147" s="49">
        <v>4</v>
      </c>
      <c r="F147" s="49">
        <v>16</v>
      </c>
      <c r="G147" s="49">
        <v>32</v>
      </c>
      <c r="H147" s="49">
        <v>64</v>
      </c>
      <c r="I147" s="49">
        <v>80</v>
      </c>
      <c r="J147" s="49">
        <v>1</v>
      </c>
      <c r="K147" s="49">
        <v>4</v>
      </c>
      <c r="L147" s="49">
        <v>16</v>
      </c>
      <c r="M147" s="49">
        <v>32</v>
      </c>
      <c r="N147" s="49">
        <v>64</v>
      </c>
      <c r="O147" s="50">
        <v>80</v>
      </c>
    </row>
    <row r="148" spans="1:15" x14ac:dyDescent="0.25">
      <c r="A148" s="51" t="s">
        <v>7</v>
      </c>
      <c r="B148" s="52" t="s">
        <v>8</v>
      </c>
      <c r="C148" s="52" t="s">
        <v>9</v>
      </c>
      <c r="D148" s="59">
        <f>IF(D129="","",(D129-'2018'!D370)/'2018'!D370)</f>
        <v>-4.4710486934499825E-2</v>
      </c>
      <c r="E148" s="59">
        <f>IF(E129="","",(E129-'2018'!E370)/'2018'!E370)</f>
        <v>6.050826946349334E-4</v>
      </c>
      <c r="F148" s="59">
        <f>IF(F129="","",(F129-'2018'!F370)/'2018'!F370)</f>
        <v>0</v>
      </c>
      <c r="G148" s="59" t="str">
        <f>IF(G129="","",(G129-'2018'!G370)/'2018'!G370)</f>
        <v/>
      </c>
      <c r="H148" s="59" t="str">
        <f>IF(H129="","",(H129-'2018'!H370)/'2018'!H370)</f>
        <v/>
      </c>
      <c r="I148" s="59" t="str">
        <f>IF(I129="","",(I129-'2018'!I370)/'2018'!I370)</f>
        <v/>
      </c>
      <c r="J148" s="55"/>
      <c r="K148" s="55"/>
      <c r="L148" s="55"/>
      <c r="M148" s="55" t="str">
        <f>IF(G148="","",M138-((1/Comparisons!#REF!)*1000000))</f>
        <v/>
      </c>
      <c r="N148" s="55" t="str">
        <f>IF(H148="","",N138-((1/Comparisons!#REF!)*1000000))</f>
        <v/>
      </c>
      <c r="O148" s="56" t="str">
        <f>IF(I148="","",O138-((1/Comparisons!#REF!)*1000000))</f>
        <v/>
      </c>
    </row>
    <row r="149" spans="1:15" x14ac:dyDescent="0.25">
      <c r="A149" s="51" t="s">
        <v>10</v>
      </c>
      <c r="B149" s="52" t="s">
        <v>8</v>
      </c>
      <c r="C149" s="52" t="s">
        <v>11</v>
      </c>
      <c r="D149" s="59">
        <f>IF(D130="","",(D130-'2018'!D371)/'2018'!D371)</f>
        <v>-5.7128553151248818E-2</v>
      </c>
      <c r="E149" s="59">
        <f>IF(E130="","",(E130-'2018'!E371)/'2018'!E371)</f>
        <v>-1.2902688753849995E-2</v>
      </c>
      <c r="F149" s="59">
        <f>IF(F130="","",(F130-'2018'!F371)/'2018'!F371)</f>
        <v>5.7872680103771704E-3</v>
      </c>
      <c r="G149" s="59" t="str">
        <f>IF(G130="","",(G130-'2018'!G371)/'2018'!G371)</f>
        <v/>
      </c>
      <c r="H149" s="59" t="str">
        <f>IF(H130="","",(H130-'2018'!H371)/'2018'!H371)</f>
        <v/>
      </c>
      <c r="I149" s="59" t="str">
        <f>IF(I130="","",(I130-'2018'!I371)/'2018'!I371)</f>
        <v/>
      </c>
      <c r="J149" s="55"/>
      <c r="K149" s="55"/>
      <c r="L149" s="55"/>
      <c r="M149" s="55" t="str">
        <f>IF(G149="","",M139-((1/Comparisons!#REF!)*1000000))</f>
        <v/>
      </c>
      <c r="N149" s="55" t="str">
        <f>IF(H149="","",N139-((1/Comparisons!#REF!)*1000000))</f>
        <v/>
      </c>
      <c r="O149" s="56" t="str">
        <f>IF(I149="","",O139-((1/Comparisons!#REF!)*1000000))</f>
        <v/>
      </c>
    </row>
    <row r="150" spans="1:15" x14ac:dyDescent="0.25">
      <c r="A150" s="51" t="s">
        <v>12</v>
      </c>
      <c r="B150" s="52" t="s">
        <v>13</v>
      </c>
      <c r="C150" s="52" t="s">
        <v>9</v>
      </c>
      <c r="D150" s="59">
        <f>IF(D131="","",(D131-'2018'!D372)/'2018'!D372)</f>
        <v>2.1598758634497946E-2</v>
      </c>
      <c r="E150" s="59">
        <f>IF(E131="","",(E131-'2018'!E372)/'2018'!E372)</f>
        <v>6.9206099139143646E-3</v>
      </c>
      <c r="F150" s="59">
        <f>IF(F131="","",(F131-'2018'!F372)/'2018'!F372)</f>
        <v>0</v>
      </c>
      <c r="G150" s="59" t="str">
        <f>IF(G131="","",(G131-'2018'!G372)/'2018'!G372)</f>
        <v/>
      </c>
      <c r="H150" s="59" t="str">
        <f>IF(H131="","",(H131-'2018'!H372)/'2018'!H372)</f>
        <v/>
      </c>
      <c r="I150" s="59" t="str">
        <f>IF(I131="","",(I131-'2018'!I372)/'2018'!I372)</f>
        <v/>
      </c>
      <c r="J150" s="55"/>
      <c r="K150" s="55"/>
      <c r="L150" s="55"/>
      <c r="M150" s="55" t="str">
        <f>IF(G150="","",M140-((1/Comparisons!#REF!)*1000000))</f>
        <v/>
      </c>
      <c r="N150" s="55" t="str">
        <f>IF(H150="","",N140-((1/Comparisons!#REF!)*1000000))</f>
        <v/>
      </c>
      <c r="O150" s="56" t="str">
        <f>IF(I150="","",O140-((1/Comparisons!#REF!)*1000000))</f>
        <v/>
      </c>
    </row>
    <row r="151" spans="1:15" x14ac:dyDescent="0.25">
      <c r="A151" s="51" t="s">
        <v>14</v>
      </c>
      <c r="B151" s="52" t="s">
        <v>13</v>
      </c>
      <c r="C151" s="52" t="s">
        <v>11</v>
      </c>
      <c r="D151" s="59">
        <f>IF(D132="","",(D132-'2018'!D373)/'2018'!D373)</f>
        <v>-3.8835493965131876E-2</v>
      </c>
      <c r="E151" s="59">
        <f>IF(E132="","",(E132-'2018'!E373)/'2018'!E373)</f>
        <v>-2.2686413834431984E-2</v>
      </c>
      <c r="F151" s="59">
        <f>IF(F132="","",(F132-'2018'!F373)/'2018'!F373)</f>
        <v>5.4450261780104713E-3</v>
      </c>
      <c r="G151" s="59" t="str">
        <f>IF(G132="","",(G132-'2018'!G373)/'2018'!G373)</f>
        <v/>
      </c>
      <c r="H151" s="59" t="str">
        <f>IF(H132="","",(H132-'2018'!H373)/'2018'!H373)</f>
        <v/>
      </c>
      <c r="I151" s="59" t="str">
        <f>IF(I132="","",(I132-'2018'!I373)/'2018'!I373)</f>
        <v/>
      </c>
      <c r="J151" s="55"/>
      <c r="K151" s="55"/>
      <c r="L151" s="55"/>
      <c r="M151" s="55" t="str">
        <f>IF(G151="","",M141-((1/Comparisons!#REF!)*1000000))</f>
        <v/>
      </c>
      <c r="N151" s="55" t="str">
        <f>IF(H151="","",N141-((1/Comparisons!#REF!)*1000000))</f>
        <v/>
      </c>
      <c r="O151" s="56" t="str">
        <f>IF(I151="","",O141-((1/Comparisons!#REF!)*1000000))</f>
        <v/>
      </c>
    </row>
    <row r="152" spans="1:15" x14ac:dyDescent="0.25">
      <c r="A152" s="51" t="s">
        <v>15</v>
      </c>
      <c r="B152" s="8" t="s">
        <v>16</v>
      </c>
      <c r="C152" s="52" t="s">
        <v>11</v>
      </c>
      <c r="D152" s="59">
        <f>IF(D133="","",(D133-'2018'!D374)/'2018'!D374)</f>
        <v>5.754334194024345E-2</v>
      </c>
      <c r="E152" s="59">
        <f>IF(E133="","",(E133-'2018'!E374)/'2018'!E374)</f>
        <v>-3.8077403245942575E-2</v>
      </c>
      <c r="F152" s="59">
        <f>IF(F133="","",(F133-'2018'!F374)/'2018'!F374)</f>
        <v>-7.1235159341803786E-2</v>
      </c>
      <c r="G152" s="59" t="str">
        <f>IF(G133="","",(G133-'2018'!G374)/'2018'!G374)</f>
        <v/>
      </c>
      <c r="H152" s="59" t="str">
        <f>IF(H133="","",(H133-'2018'!H374)/'2018'!H374)</f>
        <v/>
      </c>
      <c r="I152" s="59" t="str">
        <f>IF(I133="","",(I133-'2018'!I374)/'2018'!I374)</f>
        <v/>
      </c>
      <c r="J152" s="55"/>
      <c r="K152" s="55"/>
      <c r="L152" s="55"/>
      <c r="M152" s="55" t="str">
        <f>IF(G152="","",M142-((1/Comparisons!#REF!)*1000000))</f>
        <v/>
      </c>
      <c r="N152" s="55" t="str">
        <f>IF(H152="","",N142-((1/Comparisons!#REF!)*1000000))</f>
        <v/>
      </c>
      <c r="O152" s="56" t="str">
        <f>IF(I152="","",O142-((1/Comparisons!#REF!)*1000000))</f>
        <v/>
      </c>
    </row>
    <row r="153" spans="1:15" ht="15.75" thickBot="1" x14ac:dyDescent="0.3">
      <c r="A153" s="60" t="s">
        <v>17</v>
      </c>
      <c r="B153" s="61" t="s">
        <v>18</v>
      </c>
      <c r="C153" s="61" t="s">
        <v>11</v>
      </c>
      <c r="D153" s="59">
        <f>IF(D134="","",(D134-'2018'!D375)/'2018'!D375)</f>
        <v>-2.6643990929705215E-2</v>
      </c>
      <c r="E153" s="59">
        <f>IF(E134="","",(E134-'2018'!E375)/'2018'!E375)</f>
        <v>9.4034608378870677E-2</v>
      </c>
      <c r="F153" s="59">
        <f>IF(F134="","",(F134-'2018'!F375)/'2018'!F375)</f>
        <v>-5.2142706354232633E-2</v>
      </c>
      <c r="G153" s="59" t="str">
        <f>IF(G134="","",(G134-'2018'!G375)/'2018'!G375)</f>
        <v/>
      </c>
      <c r="H153" s="59" t="str">
        <f>IF(H134="","",(H134-'2018'!H375)/'2018'!H375)</f>
        <v/>
      </c>
      <c r="I153" s="59" t="str">
        <f>IF(I134="","",(I134-'2018'!I375)/'2018'!I375)</f>
        <v/>
      </c>
      <c r="J153" s="63"/>
      <c r="K153" s="63"/>
      <c r="L153" s="63"/>
      <c r="M153" s="63" t="str">
        <f>IF(G153="","",M143-((1/Comparisons!#REF!)*1000000))</f>
        <v/>
      </c>
      <c r="N153" s="63" t="str">
        <f>IF(H153="","",N143-((1/Comparisons!#REF!)*1000000))</f>
        <v/>
      </c>
      <c r="O153" s="64" t="str">
        <f>IF(I153="","",O143-((1/Comparisons!#REF!)*1000000))</f>
        <v/>
      </c>
    </row>
    <row r="155" spans="1:15" ht="15.75" thickBot="1" x14ac:dyDescent="0.3"/>
    <row r="156" spans="1:15" ht="18.75" x14ac:dyDescent="0.25">
      <c r="A156" s="110" t="s">
        <v>213</v>
      </c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40"/>
    </row>
    <row r="157" spans="1:15" ht="15.75" x14ac:dyDescent="0.25">
      <c r="A157" s="113" t="s">
        <v>245</v>
      </c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2"/>
    </row>
    <row r="158" spans="1:15" x14ac:dyDescent="0.25">
      <c r="A158" s="108" t="s">
        <v>1</v>
      </c>
      <c r="B158" s="135"/>
      <c r="C158" s="135"/>
      <c r="D158" s="136" t="s">
        <v>2</v>
      </c>
      <c r="E158" s="136"/>
      <c r="F158" s="136"/>
      <c r="G158" s="136"/>
      <c r="H158" s="136"/>
      <c r="I158" s="136"/>
      <c r="J158" s="136" t="s">
        <v>3</v>
      </c>
      <c r="K158" s="136"/>
      <c r="L158" s="136"/>
      <c r="M158" s="136"/>
      <c r="N158" s="136"/>
      <c r="O158" s="137"/>
    </row>
    <row r="159" spans="1:15" x14ac:dyDescent="0.25">
      <c r="A159" s="47" t="s">
        <v>26</v>
      </c>
      <c r="B159" s="48" t="s">
        <v>5</v>
      </c>
      <c r="C159" s="48" t="s">
        <v>6</v>
      </c>
      <c r="D159" s="49">
        <v>1</v>
      </c>
      <c r="E159" s="49">
        <v>4</v>
      </c>
      <c r="F159" s="49">
        <v>16</v>
      </c>
      <c r="G159" s="49">
        <v>32</v>
      </c>
      <c r="H159" s="49">
        <v>64</v>
      </c>
      <c r="I159" s="49">
        <v>80</v>
      </c>
      <c r="J159" s="49">
        <v>1</v>
      </c>
      <c r="K159" s="49">
        <v>4</v>
      </c>
      <c r="L159" s="49">
        <v>16</v>
      </c>
      <c r="M159" s="49">
        <v>32</v>
      </c>
      <c r="N159" s="49">
        <v>64</v>
      </c>
      <c r="O159" s="50">
        <v>80</v>
      </c>
    </row>
    <row r="160" spans="1:15" x14ac:dyDescent="0.25">
      <c r="A160" s="51" t="s">
        <v>7</v>
      </c>
      <c r="B160" s="52" t="s">
        <v>8</v>
      </c>
      <c r="C160" s="52" t="s">
        <v>9</v>
      </c>
      <c r="D160" s="53">
        <v>41335</v>
      </c>
      <c r="E160" s="53">
        <v>19447</v>
      </c>
      <c r="F160" s="53">
        <v>5861</v>
      </c>
      <c r="G160" s="54"/>
      <c r="H160" s="54"/>
      <c r="I160" s="54"/>
      <c r="J160" s="55"/>
      <c r="K160" s="55"/>
      <c r="L160" s="55"/>
      <c r="M160" s="55" t="str">
        <f t="shared" ref="M160:M165" si="13">IF(G160="","",(1/G160)*1000000)</f>
        <v/>
      </c>
      <c r="N160" s="55" t="str">
        <f t="shared" ref="N160:N165" si="14">IF(H160="","",(1/H160)*1000000)</f>
        <v/>
      </c>
      <c r="O160" s="56" t="str">
        <f t="shared" ref="O160:O165" si="15">IF(I160="","",(1/I160)*1000000)</f>
        <v/>
      </c>
    </row>
    <row r="161" spans="1:15" x14ac:dyDescent="0.25">
      <c r="A161" s="51" t="s">
        <v>10</v>
      </c>
      <c r="B161" s="52" t="s">
        <v>8</v>
      </c>
      <c r="C161" s="52" t="s">
        <v>11</v>
      </c>
      <c r="D161" s="53">
        <v>16280</v>
      </c>
      <c r="E161" s="53">
        <v>11052</v>
      </c>
      <c r="F161" s="53">
        <v>4905</v>
      </c>
      <c r="G161" s="54"/>
      <c r="H161" s="54"/>
      <c r="I161" s="54"/>
      <c r="J161" s="55"/>
      <c r="K161" s="55"/>
      <c r="L161" s="55"/>
      <c r="M161" s="55" t="str">
        <f t="shared" si="13"/>
        <v/>
      </c>
      <c r="N161" s="55" t="str">
        <f t="shared" si="14"/>
        <v/>
      </c>
      <c r="O161" s="56" t="str">
        <f t="shared" si="15"/>
        <v/>
      </c>
    </row>
    <row r="162" spans="1:15" x14ac:dyDescent="0.25">
      <c r="A162" s="51" t="s">
        <v>12</v>
      </c>
      <c r="B162" s="52" t="s">
        <v>13</v>
      </c>
      <c r="C162" s="52" t="s">
        <v>9</v>
      </c>
      <c r="D162" s="53">
        <v>40698</v>
      </c>
      <c r="E162" s="53">
        <v>17773</v>
      </c>
      <c r="F162" s="53">
        <v>5656</v>
      </c>
      <c r="G162" s="54"/>
      <c r="H162" s="54"/>
      <c r="I162" s="54"/>
      <c r="J162" s="55"/>
      <c r="K162" s="55"/>
      <c r="L162" s="55"/>
      <c r="M162" s="55" t="str">
        <f t="shared" si="13"/>
        <v/>
      </c>
      <c r="N162" s="55" t="str">
        <f t="shared" si="14"/>
        <v/>
      </c>
      <c r="O162" s="56" t="str">
        <f t="shared" si="15"/>
        <v/>
      </c>
    </row>
    <row r="163" spans="1:15" x14ac:dyDescent="0.25">
      <c r="A163" s="51" t="s">
        <v>14</v>
      </c>
      <c r="B163" s="52" t="s">
        <v>13</v>
      </c>
      <c r="C163" s="52" t="s">
        <v>11</v>
      </c>
      <c r="D163" s="53">
        <v>15721</v>
      </c>
      <c r="E163" s="53">
        <v>10879</v>
      </c>
      <c r="F163" s="53">
        <v>4721</v>
      </c>
      <c r="G163" s="54"/>
      <c r="H163" s="54"/>
      <c r="I163" s="54"/>
      <c r="J163" s="55"/>
      <c r="K163" s="55"/>
      <c r="L163" s="55"/>
      <c r="M163" s="55" t="str">
        <f t="shared" si="13"/>
        <v/>
      </c>
      <c r="N163" s="55" t="str">
        <f t="shared" si="14"/>
        <v/>
      </c>
      <c r="O163" s="56" t="str">
        <f t="shared" si="15"/>
        <v/>
      </c>
    </row>
    <row r="164" spans="1:15" x14ac:dyDescent="0.25">
      <c r="A164" s="51" t="s">
        <v>15</v>
      </c>
      <c r="B164" s="52" t="s">
        <v>16</v>
      </c>
      <c r="C164" s="52" t="s">
        <v>11</v>
      </c>
      <c r="D164" s="70">
        <v>13182</v>
      </c>
      <c r="E164" s="53">
        <v>8847</v>
      </c>
      <c r="F164" s="53">
        <v>4481</v>
      </c>
      <c r="G164" s="54"/>
      <c r="H164" s="54"/>
      <c r="I164" s="54"/>
      <c r="J164" s="55"/>
      <c r="K164" s="55"/>
      <c r="L164" s="55"/>
      <c r="M164" s="55" t="str">
        <f t="shared" si="13"/>
        <v/>
      </c>
      <c r="N164" s="55" t="str">
        <f t="shared" si="14"/>
        <v/>
      </c>
      <c r="O164" s="56" t="str">
        <f t="shared" si="15"/>
        <v/>
      </c>
    </row>
    <row r="165" spans="1:15" x14ac:dyDescent="0.25">
      <c r="A165" s="28" t="s">
        <v>17</v>
      </c>
      <c r="B165" s="52" t="s">
        <v>18</v>
      </c>
      <c r="C165" s="52" t="s">
        <v>11</v>
      </c>
      <c r="D165" s="53">
        <v>11953</v>
      </c>
      <c r="E165" s="53">
        <v>9753</v>
      </c>
      <c r="F165" s="53">
        <v>4481</v>
      </c>
      <c r="G165" s="54"/>
      <c r="H165" s="54"/>
      <c r="I165" s="54"/>
      <c r="J165" s="55"/>
      <c r="K165" s="55"/>
      <c r="L165" s="55"/>
      <c r="M165" s="55" t="str">
        <f t="shared" si="13"/>
        <v/>
      </c>
      <c r="N165" s="55" t="str">
        <f t="shared" si="14"/>
        <v/>
      </c>
      <c r="O165" s="56" t="str">
        <f t="shared" si="15"/>
        <v/>
      </c>
    </row>
    <row r="166" spans="1:15" x14ac:dyDescent="0.25">
      <c r="A166" s="116" t="s">
        <v>244</v>
      </c>
      <c r="B166" s="117"/>
      <c r="C166" s="117"/>
      <c r="D166" s="117"/>
      <c r="E166" s="143"/>
      <c r="F166" s="143"/>
      <c r="G166" s="143"/>
      <c r="H166" s="102"/>
      <c r="I166" s="102"/>
      <c r="J166" s="102"/>
      <c r="K166" s="71"/>
      <c r="L166" s="71"/>
      <c r="M166" s="71"/>
      <c r="N166" s="71"/>
      <c r="O166" s="58"/>
    </row>
    <row r="167" spans="1:15" ht="18.75" x14ac:dyDescent="0.3">
      <c r="A167" s="119" t="s">
        <v>233</v>
      </c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5"/>
    </row>
    <row r="168" spans="1:15" x14ac:dyDescent="0.25">
      <c r="A168" s="134" t="s">
        <v>1</v>
      </c>
      <c r="B168" s="135"/>
      <c r="C168" s="135"/>
      <c r="D168" s="136" t="s">
        <v>19</v>
      </c>
      <c r="E168" s="136"/>
      <c r="F168" s="136"/>
      <c r="G168" s="136"/>
      <c r="H168" s="136"/>
      <c r="I168" s="136"/>
      <c r="J168" s="136" t="s">
        <v>22</v>
      </c>
      <c r="K168" s="136"/>
      <c r="L168" s="136"/>
      <c r="M168" s="136"/>
      <c r="N168" s="136"/>
      <c r="O168" s="137"/>
    </row>
    <row r="169" spans="1:15" x14ac:dyDescent="0.25">
      <c r="A169" s="47" t="s">
        <v>4</v>
      </c>
      <c r="B169" s="48" t="s">
        <v>5</v>
      </c>
      <c r="C169" s="48" t="s">
        <v>6</v>
      </c>
      <c r="D169" s="49">
        <v>1</v>
      </c>
      <c r="E169" s="49">
        <v>4</v>
      </c>
      <c r="F169" s="49">
        <v>16</v>
      </c>
      <c r="G169" s="49">
        <v>32</v>
      </c>
      <c r="H169" s="49">
        <v>64</v>
      </c>
      <c r="I169" s="49">
        <v>80</v>
      </c>
      <c r="J169" s="49">
        <v>1</v>
      </c>
      <c r="K169" s="49">
        <v>4</v>
      </c>
      <c r="L169" s="49">
        <v>16</v>
      </c>
      <c r="M169" s="49">
        <v>32</v>
      </c>
      <c r="N169" s="49">
        <v>64</v>
      </c>
      <c r="O169" s="50">
        <v>80</v>
      </c>
    </row>
    <row r="170" spans="1:15" x14ac:dyDescent="0.25">
      <c r="A170" s="51" t="s">
        <v>7</v>
      </c>
      <c r="B170" s="52" t="s">
        <v>8</v>
      </c>
      <c r="C170" s="52" t="s">
        <v>9</v>
      </c>
      <c r="D170" s="59">
        <f>IF(D160="","",(D160-'2019'!D418)/'2019'!D418)</f>
        <v>-6.8715311981932198E-3</v>
      </c>
      <c r="E170" s="59">
        <f>IF(E160="","",(E160-'2019'!E418)/'2019'!E418)</f>
        <v>0</v>
      </c>
      <c r="F170" s="59">
        <f>IF(F160="","",(F160-'2019'!F418)/'2019'!F418)</f>
        <v>4.1117012163782761E-3</v>
      </c>
      <c r="G170" s="59" t="str">
        <f>IF(G160="","",(G160-'2019'!G418)/'2019'!G418)</f>
        <v/>
      </c>
      <c r="H170" s="59" t="str">
        <f>IF(H160="","",(H160-'2019'!H418)/'2019'!H418)</f>
        <v/>
      </c>
      <c r="I170" s="59" t="str">
        <f>IF(I160="","",(I160-'2019'!I418)/'2019'!I418)</f>
        <v/>
      </c>
      <c r="J170" s="55"/>
      <c r="K170" s="55"/>
      <c r="L170" s="55"/>
      <c r="M170" s="55" t="str">
        <f>IF(G170="","",M160-((1/Comparisons!#REF!)*1000000))</f>
        <v/>
      </c>
      <c r="N170" s="55" t="str">
        <f>IF(H170="","",N160-((1/Comparisons!#REF!)*1000000))</f>
        <v/>
      </c>
      <c r="O170" s="56" t="str">
        <f>IF(I170="","",O160-((1/Comparisons!#REF!)*1000000))</f>
        <v/>
      </c>
    </row>
    <row r="171" spans="1:15" x14ac:dyDescent="0.25">
      <c r="A171" s="51" t="s">
        <v>10</v>
      </c>
      <c r="B171" s="52" t="s">
        <v>8</v>
      </c>
      <c r="C171" s="52" t="s">
        <v>11</v>
      </c>
      <c r="D171" s="59">
        <f>IF(D161="","",(D161-'2019'!D419)/'2019'!D419)</f>
        <v>-4.1902071563088512E-2</v>
      </c>
      <c r="E171" s="59">
        <f>IF(E161="","",(E161-'2019'!E419)/'2019'!E419)</f>
        <v>4.0972025996044083E-2</v>
      </c>
      <c r="F171" s="59">
        <f>IF(F161="","",(F161-'2019'!F419)/'2019'!F419)</f>
        <v>-1.1885576148267527E-2</v>
      </c>
      <c r="G171" s="59" t="str">
        <f>IF(G161="","",(G161-'2019'!G419)/'2019'!G419)</f>
        <v/>
      </c>
      <c r="H171" s="59" t="str">
        <f>IF(H161="","",(H161-'2019'!H419)/'2019'!H419)</f>
        <v/>
      </c>
      <c r="I171" s="59" t="str">
        <f>IF(I161="","",(I161-'2019'!I419)/'2019'!I419)</f>
        <v/>
      </c>
      <c r="J171" s="55"/>
      <c r="K171" s="55"/>
      <c r="L171" s="55"/>
      <c r="M171" s="55" t="str">
        <f>IF(G171="","",M161-((1/Comparisons!#REF!)*1000000))</f>
        <v/>
      </c>
      <c r="N171" s="55" t="str">
        <f>IF(H171="","",N161-((1/Comparisons!#REF!)*1000000))</f>
        <v/>
      </c>
      <c r="O171" s="56" t="str">
        <f>IF(I171="","",O161-((1/Comparisons!#REF!)*1000000))</f>
        <v/>
      </c>
    </row>
    <row r="172" spans="1:15" x14ac:dyDescent="0.25">
      <c r="A172" s="51" t="s">
        <v>12</v>
      </c>
      <c r="B172" s="52" t="s">
        <v>13</v>
      </c>
      <c r="C172" s="52" t="s">
        <v>9</v>
      </c>
      <c r="D172" s="59">
        <f>IF(D162="","",(D162-'2019'!D420)/'2019'!D420)</f>
        <v>2.7182554705837813E-2</v>
      </c>
      <c r="E172" s="59">
        <f>IF(E162="","",(E162-'2019'!E420)/'2019'!E420)</f>
        <v>-2.5549646362190908E-2</v>
      </c>
      <c r="F172" s="59">
        <f>IF(F162="","",(F162-'2019'!F420)/'2019'!F420)</f>
        <v>3.3705871917686712E-3</v>
      </c>
      <c r="G172" s="59" t="str">
        <f>IF(G162="","",(G162-'2019'!G420)/'2019'!G420)</f>
        <v/>
      </c>
      <c r="H172" s="59" t="str">
        <f>IF(H162="","",(H162-'2019'!H420)/'2019'!H420)</f>
        <v/>
      </c>
      <c r="I172" s="59" t="str">
        <f>IF(I162="","",(I162-'2019'!I420)/'2019'!I420)</f>
        <v/>
      </c>
      <c r="J172" s="55"/>
      <c r="K172" s="55"/>
      <c r="L172" s="55"/>
      <c r="M172" s="55" t="str">
        <f>IF(G172="","",M162-((1/Comparisons!#REF!)*1000000))</f>
        <v/>
      </c>
      <c r="N172" s="55" t="str">
        <f>IF(H172="","",N162-((1/Comparisons!#REF!)*1000000))</f>
        <v/>
      </c>
      <c r="O172" s="56" t="str">
        <f>IF(I172="","",O162-((1/Comparisons!#REF!)*1000000))</f>
        <v/>
      </c>
    </row>
    <row r="173" spans="1:15" x14ac:dyDescent="0.25">
      <c r="A173" s="51" t="s">
        <v>14</v>
      </c>
      <c r="B173" s="52" t="s">
        <v>13</v>
      </c>
      <c r="C173" s="52" t="s">
        <v>11</v>
      </c>
      <c r="D173" s="59">
        <f>IF(D163="","",(D163-'2019'!D421)/'2019'!D421)</f>
        <v>-8.651946542707728E-2</v>
      </c>
      <c r="E173" s="59">
        <f>IF(E163="","",(E163-'2019'!E421)/'2019'!E421)</f>
        <v>-5.5150251867291993E-2</v>
      </c>
      <c r="F173" s="59">
        <f>IF(F163="","",(F163-'2019'!F421)/'2019'!F421)</f>
        <v>-1.6253386122108773E-2</v>
      </c>
      <c r="G173" s="59" t="str">
        <f>IF(G163="","",(G163-'2019'!G421)/'2019'!G421)</f>
        <v/>
      </c>
      <c r="H173" s="59" t="str">
        <f>IF(H163="","",(H163-'2019'!H421)/'2019'!H421)</f>
        <v/>
      </c>
      <c r="I173" s="59" t="str">
        <f>IF(I163="","",(I163-'2019'!I421)/'2019'!I421)</f>
        <v/>
      </c>
      <c r="J173" s="55"/>
      <c r="K173" s="55"/>
      <c r="L173" s="55"/>
      <c r="M173" s="55" t="str">
        <f>IF(G173="","",M163-((1/Comparisons!#REF!)*1000000))</f>
        <v/>
      </c>
      <c r="N173" s="55" t="str">
        <f>IF(H173="","",N163-((1/Comparisons!#REF!)*1000000))</f>
        <v/>
      </c>
      <c r="O173" s="56" t="str">
        <f>IF(I173="","",O163-((1/Comparisons!#REF!)*1000000))</f>
        <v/>
      </c>
    </row>
    <row r="174" spans="1:15" x14ac:dyDescent="0.25">
      <c r="A174" s="51" t="s">
        <v>15</v>
      </c>
      <c r="B174" s="8" t="s">
        <v>16</v>
      </c>
      <c r="C174" s="52" t="s">
        <v>11</v>
      </c>
      <c r="D174" s="59">
        <f>IF(D164="","",(D164-'2019'!D422)/'2019'!D422)</f>
        <v>-7.1552308503426976E-3</v>
      </c>
      <c r="E174" s="59">
        <f>IF(E164="","",(E164-'2019'!E422)/'2019'!E422)</f>
        <v>-0.12828850133018033</v>
      </c>
      <c r="F174" s="59">
        <f>IF(F164="","",(F164-'2019'!F422)/'2019'!F422)</f>
        <v>5.0152331849074291E-2</v>
      </c>
      <c r="G174" s="59" t="str">
        <f>IF(G164="","",(G164-'2019'!G422)/'2019'!G422)</f>
        <v/>
      </c>
      <c r="H174" s="59" t="str">
        <f>IF(H164="","",(H164-'2019'!H422)/'2019'!H422)</f>
        <v/>
      </c>
      <c r="I174" s="59" t="str">
        <f>IF(I164="","",(I164-'2019'!I422)/'2019'!I422)</f>
        <v/>
      </c>
      <c r="J174" s="55"/>
      <c r="K174" s="55"/>
      <c r="L174" s="55"/>
      <c r="M174" s="55" t="str">
        <f>IF(G174="","",M164-((1/Comparisons!#REF!)*1000000))</f>
        <v/>
      </c>
      <c r="N174" s="55" t="str">
        <f>IF(H174="","",N164-((1/Comparisons!#REF!)*1000000))</f>
        <v/>
      </c>
      <c r="O174" s="56" t="str">
        <f>IF(I174="","",O164-((1/Comparisons!#REF!)*1000000))</f>
        <v/>
      </c>
    </row>
    <row r="175" spans="1:15" ht="15.75" thickBot="1" x14ac:dyDescent="0.3">
      <c r="A175" s="60" t="s">
        <v>17</v>
      </c>
      <c r="B175" s="61" t="s">
        <v>18</v>
      </c>
      <c r="C175" s="61" t="s">
        <v>11</v>
      </c>
      <c r="D175" s="59">
        <f>IF(D165="","",(D165-'2019'!D423)/'2019'!D423)</f>
        <v>-1.0758917487378962E-2</v>
      </c>
      <c r="E175" s="59">
        <f>IF(E165="","",(E165-'2019'!E423)/'2019'!E423)</f>
        <v>9.0695593826884371E-2</v>
      </c>
      <c r="F175" s="59">
        <f>IF(F165="","",(F165-'2019'!F423)/'2019'!F423)</f>
        <v>3.6788523831559464E-2</v>
      </c>
      <c r="G175" s="59" t="str">
        <f>IF(G165="","",(G165-'2019'!G423)/'2019'!G423)</f>
        <v/>
      </c>
      <c r="H175" s="59" t="str">
        <f>IF(H165="","",(H165-'2019'!H423)/'2019'!H423)</f>
        <v/>
      </c>
      <c r="I175" s="59" t="str">
        <f>IF(I165="","",(I165-'2019'!I423)/'2019'!I423)</f>
        <v/>
      </c>
      <c r="J175" s="63"/>
      <c r="K175" s="63"/>
      <c r="L175" s="63"/>
      <c r="M175" s="63" t="str">
        <f>IF(G175="","",M165-((1/Comparisons!#REF!)*1000000))</f>
        <v/>
      </c>
      <c r="N175" s="63" t="str">
        <f>IF(H175="","",N165-((1/Comparisons!#REF!)*1000000))</f>
        <v/>
      </c>
      <c r="O175" s="64" t="str">
        <f>IF(I175="","",O165-((1/Comparisons!#REF!)*1000000))</f>
        <v/>
      </c>
    </row>
    <row r="176" spans="1:15" ht="18.75" x14ac:dyDescent="0.3">
      <c r="A176" s="119" t="s">
        <v>212</v>
      </c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5"/>
    </row>
    <row r="177" spans="1:15" x14ac:dyDescent="0.25">
      <c r="A177" s="134" t="s">
        <v>1</v>
      </c>
      <c r="B177" s="135"/>
      <c r="C177" s="135"/>
      <c r="D177" s="136" t="s">
        <v>19</v>
      </c>
      <c r="E177" s="136"/>
      <c r="F177" s="136"/>
      <c r="G177" s="136"/>
      <c r="H177" s="136"/>
      <c r="I177" s="136"/>
      <c r="J177" s="136" t="s">
        <v>22</v>
      </c>
      <c r="K177" s="136"/>
      <c r="L177" s="136"/>
      <c r="M177" s="136"/>
      <c r="N177" s="136"/>
      <c r="O177" s="137"/>
    </row>
    <row r="178" spans="1:15" x14ac:dyDescent="0.25">
      <c r="A178" s="47" t="s">
        <v>4</v>
      </c>
      <c r="B178" s="48" t="s">
        <v>5</v>
      </c>
      <c r="C178" s="48" t="s">
        <v>6</v>
      </c>
      <c r="D178" s="49">
        <v>1</v>
      </c>
      <c r="E178" s="49">
        <v>4</v>
      </c>
      <c r="F178" s="49">
        <v>16</v>
      </c>
      <c r="G178" s="49">
        <v>32</v>
      </c>
      <c r="H178" s="49">
        <v>64</v>
      </c>
      <c r="I178" s="49">
        <v>80</v>
      </c>
      <c r="J178" s="49">
        <v>1</v>
      </c>
      <c r="K178" s="49">
        <v>4</v>
      </c>
      <c r="L178" s="49">
        <v>16</v>
      </c>
      <c r="M178" s="49">
        <v>32</v>
      </c>
      <c r="N178" s="49">
        <v>64</v>
      </c>
      <c r="O178" s="50">
        <v>80</v>
      </c>
    </row>
    <row r="179" spans="1:15" x14ac:dyDescent="0.25">
      <c r="A179" s="51" t="s">
        <v>7</v>
      </c>
      <c r="B179" s="52" t="s">
        <v>8</v>
      </c>
      <c r="C179" s="52" t="s">
        <v>9</v>
      </c>
      <c r="D179" s="59">
        <f>IF(D160="","",(D160-'2018'!D370)/'2018'!D370)</f>
        <v>-4.8348106365834004E-2</v>
      </c>
      <c r="E179" s="59">
        <f>IF(E160="","",(E160-'2018'!E370)/'2018'!E370)</f>
        <v>-1.9413069786204114E-2</v>
      </c>
      <c r="F179" s="59">
        <f>IF(F160="","",(F160-'2018'!F370)/'2018'!F370)</f>
        <v>3.08060927605682E-3</v>
      </c>
      <c r="G179" s="59" t="str">
        <f>IF(G160="","",(G160-'2018'!G370)/'2018'!G370)</f>
        <v/>
      </c>
      <c r="H179" s="59" t="str">
        <f>IF(H160="","",(H160-'2018'!H370)/'2018'!H370)</f>
        <v/>
      </c>
      <c r="I179" s="59" t="str">
        <f>IF(I160="","",(I160-'2018'!I370)/'2018'!I370)</f>
        <v/>
      </c>
      <c r="J179" s="55"/>
      <c r="K179" s="55"/>
      <c r="L179" s="55"/>
      <c r="M179" s="55" t="str">
        <f>IF(G179="","",M169-((1/Comparisons!#REF!)*1000000))</f>
        <v/>
      </c>
      <c r="N179" s="55" t="str">
        <f>IF(H179="","",N169-((1/Comparisons!#REF!)*1000000))</f>
        <v/>
      </c>
      <c r="O179" s="56" t="str">
        <f>IF(I179="","",O169-((1/Comparisons!#REF!)*1000000))</f>
        <v/>
      </c>
    </row>
    <row r="180" spans="1:15" x14ac:dyDescent="0.25">
      <c r="A180" s="51" t="s">
        <v>10</v>
      </c>
      <c r="B180" s="52" t="s">
        <v>8</v>
      </c>
      <c r="C180" s="52" t="s">
        <v>11</v>
      </c>
      <c r="D180" s="59">
        <f>IF(D161="","",(D161-'2018'!D371)/'2018'!D371)</f>
        <v>-9.4398397952939861E-2</v>
      </c>
      <c r="E180" s="59">
        <f>IF(E161="","",(E161-'2018'!E371)/'2018'!E371)</f>
        <v>-7.9996670273869974E-2</v>
      </c>
      <c r="F180" s="59">
        <f>IF(F161="","",(F161-'2018'!F371)/'2018'!F371)</f>
        <v>-2.1153462382757931E-2</v>
      </c>
      <c r="G180" s="59" t="str">
        <f>IF(G161="","",(G161-'2018'!G371)/'2018'!G371)</f>
        <v/>
      </c>
      <c r="H180" s="59" t="str">
        <f>IF(H161="","",(H161-'2018'!H371)/'2018'!H371)</f>
        <v/>
      </c>
      <c r="I180" s="59" t="str">
        <f>IF(I161="","",(I161-'2018'!I371)/'2018'!I371)</f>
        <v/>
      </c>
      <c r="J180" s="55"/>
      <c r="K180" s="55"/>
      <c r="L180" s="55"/>
      <c r="M180" s="55" t="str">
        <f>IF(G180="","",M170-((1/Comparisons!#REF!)*1000000))</f>
        <v/>
      </c>
      <c r="N180" s="55" t="str">
        <f>IF(H180="","",N170-((1/Comparisons!#REF!)*1000000))</f>
        <v/>
      </c>
      <c r="O180" s="56" t="str">
        <f>IF(I180="","",O170-((1/Comparisons!#REF!)*1000000))</f>
        <v/>
      </c>
    </row>
    <row r="181" spans="1:15" x14ac:dyDescent="0.25">
      <c r="A181" s="51" t="s">
        <v>12</v>
      </c>
      <c r="B181" s="52" t="s">
        <v>13</v>
      </c>
      <c r="C181" s="52" t="s">
        <v>9</v>
      </c>
      <c r="D181" s="59">
        <f>IF(D162="","",(D162-'2018'!D372)/'2018'!D372)</f>
        <v>1.8570427470217241E-2</v>
      </c>
      <c r="E181" s="59">
        <f>IF(E162="","",(E162-'2018'!E372)/'2018'!E372)</f>
        <v>0</v>
      </c>
      <c r="F181" s="59">
        <f>IF(F162="","",(F162-'2018'!F372)/'2018'!F372)</f>
        <v>3.3705871917686712E-3</v>
      </c>
      <c r="G181" s="59" t="str">
        <f>IF(G162="","",(G162-'2018'!G372)/'2018'!G372)</f>
        <v/>
      </c>
      <c r="H181" s="59" t="str">
        <f>IF(H162="","",(H162-'2018'!H372)/'2018'!H372)</f>
        <v/>
      </c>
      <c r="I181" s="59" t="str">
        <f>IF(I162="","",(I162-'2018'!I372)/'2018'!I372)</f>
        <v/>
      </c>
      <c r="J181" s="55"/>
      <c r="K181" s="55"/>
      <c r="L181" s="55"/>
      <c r="M181" s="55" t="str">
        <f>IF(G181="","",M171-((1/Comparisons!#REF!)*1000000))</f>
        <v/>
      </c>
      <c r="N181" s="55" t="str">
        <f>IF(H181="","",N171-((1/Comparisons!#REF!)*1000000))</f>
        <v/>
      </c>
      <c r="O181" s="56" t="str">
        <f>IF(I181="","",O171-((1/Comparisons!#REF!)*1000000))</f>
        <v/>
      </c>
    </row>
    <row r="182" spans="1:15" x14ac:dyDescent="0.25">
      <c r="A182" s="51" t="s">
        <v>14</v>
      </c>
      <c r="B182" s="52" t="s">
        <v>13</v>
      </c>
      <c r="C182" s="52" t="s">
        <v>11</v>
      </c>
      <c r="D182" s="59">
        <f>IF(D163="","",(D163-'2018'!D373)/'2018'!D373)</f>
        <v>-0.12153553866785874</v>
      </c>
      <c r="E182" s="59">
        <f>IF(E163="","",(E163-'2018'!E373)/'2018'!E373)</f>
        <v>-6.8658505264960187E-2</v>
      </c>
      <c r="F182" s="59">
        <f>IF(F163="","",(F163-'2018'!F373)/'2018'!F373)</f>
        <v>-1.1308900523560209E-2</v>
      </c>
      <c r="G182" s="59" t="str">
        <f>IF(G163="","",(G163-'2018'!G373)/'2018'!G373)</f>
        <v/>
      </c>
      <c r="H182" s="59" t="str">
        <f>IF(H163="","",(H163-'2018'!H373)/'2018'!H373)</f>
        <v/>
      </c>
      <c r="I182" s="59" t="str">
        <f>IF(I163="","",(I163-'2018'!I373)/'2018'!I373)</f>
        <v/>
      </c>
      <c r="J182" s="55"/>
      <c r="K182" s="55"/>
      <c r="L182" s="55"/>
      <c r="M182" s="55" t="str">
        <f>IF(G182="","",M172-((1/Comparisons!#REF!)*1000000))</f>
        <v/>
      </c>
      <c r="N182" s="55" t="str">
        <f>IF(H182="","",N172-((1/Comparisons!#REF!)*1000000))</f>
        <v/>
      </c>
      <c r="O182" s="56" t="str">
        <f>IF(I182="","",O172-((1/Comparisons!#REF!)*1000000))</f>
        <v/>
      </c>
    </row>
    <row r="183" spans="1:15" x14ac:dyDescent="0.25">
      <c r="A183" s="51" t="s">
        <v>15</v>
      </c>
      <c r="B183" s="8" t="s">
        <v>16</v>
      </c>
      <c r="C183" s="52" t="s">
        <v>11</v>
      </c>
      <c r="D183" s="59">
        <f>IF(D164="","",(D164-'2018'!D374)/'2018'!D374)</f>
        <v>-2.751752120988565E-2</v>
      </c>
      <c r="E183" s="59">
        <f>IF(E164="","",(E164-'2018'!E374)/'2018'!E374)</f>
        <v>-7.9588014981273408E-2</v>
      </c>
      <c r="F183" s="59">
        <f>IF(F164="","",(F164-'2018'!F374)/'2018'!F374)</f>
        <v>-6.6652780670693607E-2</v>
      </c>
      <c r="G183" s="59" t="str">
        <f>IF(G164="","",(G164-'2018'!G374)/'2018'!G374)</f>
        <v/>
      </c>
      <c r="H183" s="59" t="str">
        <f>IF(H164="","",(H164-'2018'!H374)/'2018'!H374)</f>
        <v/>
      </c>
      <c r="I183" s="59" t="str">
        <f>IF(I164="","",(I164-'2018'!I374)/'2018'!I374)</f>
        <v/>
      </c>
      <c r="J183" s="55"/>
      <c r="K183" s="55"/>
      <c r="L183" s="55"/>
      <c r="M183" s="55" t="str">
        <f>IF(G183="","",M173-((1/Comparisons!#REF!)*1000000))</f>
        <v/>
      </c>
      <c r="N183" s="55" t="str">
        <f>IF(H183="","",N173-((1/Comparisons!#REF!)*1000000))</f>
        <v/>
      </c>
      <c r="O183" s="56" t="str">
        <f>IF(I183="","",O173-((1/Comparisons!#REF!)*1000000))</f>
        <v/>
      </c>
    </row>
    <row r="184" spans="1:15" ht="15.75" thickBot="1" x14ac:dyDescent="0.3">
      <c r="A184" s="60" t="s">
        <v>17</v>
      </c>
      <c r="B184" s="61" t="s">
        <v>18</v>
      </c>
      <c r="C184" s="61" t="s">
        <v>11</v>
      </c>
      <c r="D184" s="59">
        <f>IF(D165="","",(D165-'2018'!D375)/'2018'!D375)</f>
        <v>-3.1988986070618723E-2</v>
      </c>
      <c r="E184" s="59">
        <f>IF(E165="","",(E165-'2018'!E375)/'2018'!E375)</f>
        <v>0.11031420765027322</v>
      </c>
      <c r="F184" s="59">
        <f>IF(F165="","",(F165-'2018'!F375)/'2018'!F375)</f>
        <v>-5.4042643023010345E-2</v>
      </c>
      <c r="G184" s="59" t="str">
        <f>IF(G165="","",(G165-'2018'!G375)/'2018'!G375)</f>
        <v/>
      </c>
      <c r="H184" s="59" t="str">
        <f>IF(H165="","",(H165-'2018'!H375)/'2018'!H375)</f>
        <v/>
      </c>
      <c r="I184" s="59" t="str">
        <f>IF(I165="","",(I165-'2018'!I375)/'2018'!I375)</f>
        <v/>
      </c>
      <c r="J184" s="63"/>
      <c r="K184" s="63"/>
      <c r="L184" s="63"/>
      <c r="M184" s="63" t="str">
        <f>IF(G184="","",M174-((1/Comparisons!#REF!)*1000000))</f>
        <v/>
      </c>
      <c r="N184" s="63" t="str">
        <f>IF(H184="","",N174-((1/Comparisons!#REF!)*1000000))</f>
        <v/>
      </c>
      <c r="O184" s="64" t="str">
        <f>IF(I184="","",O174-((1/Comparisons!#REF!)*1000000))</f>
        <v/>
      </c>
    </row>
    <row r="186" spans="1:15" ht="15.75" thickBot="1" x14ac:dyDescent="0.3"/>
    <row r="187" spans="1:15" ht="18.75" x14ac:dyDescent="0.25">
      <c r="A187" s="110" t="s">
        <v>213</v>
      </c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40"/>
    </row>
    <row r="188" spans="1:15" ht="15.75" x14ac:dyDescent="0.25">
      <c r="A188" s="113" t="s">
        <v>246</v>
      </c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2"/>
    </row>
    <row r="189" spans="1:15" x14ac:dyDescent="0.25">
      <c r="A189" s="108" t="s">
        <v>1</v>
      </c>
      <c r="B189" s="135"/>
      <c r="C189" s="135"/>
      <c r="D189" s="136" t="s">
        <v>2</v>
      </c>
      <c r="E189" s="136"/>
      <c r="F189" s="136"/>
      <c r="G189" s="136"/>
      <c r="H189" s="136"/>
      <c r="I189" s="136"/>
      <c r="J189" s="136" t="s">
        <v>3</v>
      </c>
      <c r="K189" s="136"/>
      <c r="L189" s="136"/>
      <c r="M189" s="136"/>
      <c r="N189" s="136"/>
      <c r="O189" s="137"/>
    </row>
    <row r="190" spans="1:15" x14ac:dyDescent="0.25">
      <c r="A190" s="47" t="s">
        <v>26</v>
      </c>
      <c r="B190" s="48" t="s">
        <v>5</v>
      </c>
      <c r="C190" s="48" t="s">
        <v>6</v>
      </c>
      <c r="D190" s="49">
        <v>1</v>
      </c>
      <c r="E190" s="49">
        <v>4</v>
      </c>
      <c r="F190" s="49">
        <v>16</v>
      </c>
      <c r="G190" s="49">
        <v>32</v>
      </c>
      <c r="H190" s="49">
        <v>64</v>
      </c>
      <c r="I190" s="49">
        <v>80</v>
      </c>
      <c r="J190" s="49">
        <v>1</v>
      </c>
      <c r="K190" s="49">
        <v>4</v>
      </c>
      <c r="L190" s="49">
        <v>16</v>
      </c>
      <c r="M190" s="49">
        <v>32</v>
      </c>
      <c r="N190" s="49">
        <v>64</v>
      </c>
      <c r="O190" s="50">
        <v>80</v>
      </c>
    </row>
    <row r="191" spans="1:15" x14ac:dyDescent="0.25">
      <c r="A191" s="51" t="s">
        <v>7</v>
      </c>
      <c r="B191" s="52" t="s">
        <v>8</v>
      </c>
      <c r="C191" s="52" t="s">
        <v>9</v>
      </c>
      <c r="D191" s="53">
        <v>39805</v>
      </c>
      <c r="E191" s="53">
        <v>19844</v>
      </c>
      <c r="F191" s="53">
        <v>5843</v>
      </c>
      <c r="G191" s="54"/>
      <c r="H191" s="54"/>
      <c r="I191" s="54"/>
      <c r="J191" s="55"/>
      <c r="K191" s="55"/>
      <c r="L191" s="55"/>
      <c r="M191" s="55" t="str">
        <f t="shared" ref="M191:M196" si="16">IF(G191="","",(1/G191)*1000000)</f>
        <v/>
      </c>
      <c r="N191" s="55" t="str">
        <f t="shared" ref="N191:N196" si="17">IF(H191="","",(1/H191)*1000000)</f>
        <v/>
      </c>
      <c r="O191" s="56" t="str">
        <f t="shared" ref="O191:O196" si="18">IF(I191="","",(1/I191)*1000000)</f>
        <v/>
      </c>
    </row>
    <row r="192" spans="1:15" x14ac:dyDescent="0.25">
      <c r="A192" s="51" t="s">
        <v>10</v>
      </c>
      <c r="B192" s="52" t="s">
        <v>8</v>
      </c>
      <c r="C192" s="52" t="s">
        <v>11</v>
      </c>
      <c r="D192" s="53">
        <v>17449</v>
      </c>
      <c r="E192" s="53">
        <v>11151</v>
      </c>
      <c r="F192" s="53">
        <v>4979</v>
      </c>
      <c r="G192" s="54"/>
      <c r="H192" s="54"/>
      <c r="I192" s="54"/>
      <c r="J192" s="55"/>
      <c r="K192" s="55"/>
      <c r="L192" s="55"/>
      <c r="M192" s="55" t="str">
        <f t="shared" si="16"/>
        <v/>
      </c>
      <c r="N192" s="55" t="str">
        <f t="shared" si="17"/>
        <v/>
      </c>
      <c r="O192" s="56" t="str">
        <f t="shared" si="18"/>
        <v/>
      </c>
    </row>
    <row r="193" spans="1:15" x14ac:dyDescent="0.25">
      <c r="A193" s="51" t="s">
        <v>12</v>
      </c>
      <c r="B193" s="52" t="s">
        <v>13</v>
      </c>
      <c r="C193" s="52" t="s">
        <v>9</v>
      </c>
      <c r="D193" s="53">
        <v>38041</v>
      </c>
      <c r="E193" s="53">
        <v>18239</v>
      </c>
      <c r="F193" s="53">
        <v>5646</v>
      </c>
      <c r="G193" s="54"/>
      <c r="H193" s="54"/>
      <c r="I193" s="54"/>
      <c r="J193" s="55"/>
      <c r="K193" s="55"/>
      <c r="L193" s="55"/>
      <c r="M193" s="55" t="str">
        <f t="shared" si="16"/>
        <v/>
      </c>
      <c r="N193" s="55" t="str">
        <f t="shared" si="17"/>
        <v/>
      </c>
      <c r="O193" s="56" t="str">
        <f t="shared" si="18"/>
        <v/>
      </c>
    </row>
    <row r="194" spans="1:15" x14ac:dyDescent="0.25">
      <c r="A194" s="51" t="s">
        <v>14</v>
      </c>
      <c r="B194" s="52" t="s">
        <v>13</v>
      </c>
      <c r="C194" s="52" t="s">
        <v>11</v>
      </c>
      <c r="D194" s="53">
        <v>16969</v>
      </c>
      <c r="E194" s="53">
        <v>11361</v>
      </c>
      <c r="F194" s="53">
        <v>4736</v>
      </c>
      <c r="G194" s="54"/>
      <c r="H194" s="54"/>
      <c r="I194" s="54"/>
      <c r="J194" s="55"/>
      <c r="K194" s="55"/>
      <c r="L194" s="55"/>
      <c r="M194" s="55" t="str">
        <f t="shared" si="16"/>
        <v/>
      </c>
      <c r="N194" s="55" t="str">
        <f t="shared" si="17"/>
        <v/>
      </c>
      <c r="O194" s="56" t="str">
        <f t="shared" si="18"/>
        <v/>
      </c>
    </row>
    <row r="195" spans="1:15" x14ac:dyDescent="0.25">
      <c r="A195" s="51" t="s">
        <v>15</v>
      </c>
      <c r="B195" s="52" t="s">
        <v>16</v>
      </c>
      <c r="C195" s="52" t="s">
        <v>11</v>
      </c>
      <c r="D195" s="70">
        <v>13841</v>
      </c>
      <c r="E195" s="53">
        <v>10081</v>
      </c>
      <c r="F195" s="53">
        <v>4481</v>
      </c>
      <c r="G195" s="54"/>
      <c r="H195" s="54"/>
      <c r="I195" s="54"/>
      <c r="J195" s="55"/>
      <c r="K195" s="55"/>
      <c r="L195" s="55"/>
      <c r="M195" s="55" t="str">
        <f t="shared" si="16"/>
        <v/>
      </c>
      <c r="N195" s="55" t="str">
        <f t="shared" si="17"/>
        <v/>
      </c>
      <c r="O195" s="56" t="str">
        <f t="shared" si="18"/>
        <v/>
      </c>
    </row>
    <row r="196" spans="1:15" x14ac:dyDescent="0.25">
      <c r="A196" s="28" t="s">
        <v>17</v>
      </c>
      <c r="B196" s="52" t="s">
        <v>18</v>
      </c>
      <c r="C196" s="52" t="s">
        <v>11</v>
      </c>
      <c r="D196" s="53">
        <v>11907</v>
      </c>
      <c r="E196" s="53">
        <v>9612</v>
      </c>
      <c r="F196" s="53">
        <v>4436</v>
      </c>
      <c r="G196" s="54"/>
      <c r="H196" s="54"/>
      <c r="I196" s="54"/>
      <c r="J196" s="55"/>
      <c r="K196" s="55"/>
      <c r="L196" s="55"/>
      <c r="M196" s="55" t="str">
        <f t="shared" si="16"/>
        <v/>
      </c>
      <c r="N196" s="55" t="str">
        <f t="shared" si="17"/>
        <v/>
      </c>
      <c r="O196" s="56" t="str">
        <f t="shared" si="18"/>
        <v/>
      </c>
    </row>
    <row r="197" spans="1:15" x14ac:dyDescent="0.25">
      <c r="A197" s="116" t="s">
        <v>247</v>
      </c>
      <c r="B197" s="117"/>
      <c r="C197" s="117"/>
      <c r="D197" s="117"/>
      <c r="E197" s="143"/>
      <c r="F197" s="143"/>
      <c r="G197" s="143"/>
      <c r="H197" s="102"/>
      <c r="I197" s="102"/>
      <c r="J197" s="102"/>
      <c r="K197" s="71"/>
      <c r="L197" s="71"/>
      <c r="M197" s="71"/>
      <c r="N197" s="71"/>
      <c r="O197" s="58"/>
    </row>
    <row r="198" spans="1:15" ht="18.75" x14ac:dyDescent="0.3">
      <c r="A198" s="119" t="s">
        <v>233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5"/>
    </row>
    <row r="199" spans="1:15" x14ac:dyDescent="0.25">
      <c r="A199" s="134" t="s">
        <v>1</v>
      </c>
      <c r="B199" s="135"/>
      <c r="C199" s="135"/>
      <c r="D199" s="136" t="s">
        <v>19</v>
      </c>
      <c r="E199" s="136"/>
      <c r="F199" s="136"/>
      <c r="G199" s="136"/>
      <c r="H199" s="136"/>
      <c r="I199" s="136"/>
      <c r="J199" s="136" t="s">
        <v>22</v>
      </c>
      <c r="K199" s="136"/>
      <c r="L199" s="136"/>
      <c r="M199" s="136"/>
      <c r="N199" s="136"/>
      <c r="O199" s="137"/>
    </row>
    <row r="200" spans="1:15" x14ac:dyDescent="0.25">
      <c r="A200" s="47" t="s">
        <v>4</v>
      </c>
      <c r="B200" s="48" t="s">
        <v>5</v>
      </c>
      <c r="C200" s="48" t="s">
        <v>6</v>
      </c>
      <c r="D200" s="49">
        <v>1</v>
      </c>
      <c r="E200" s="49">
        <v>4</v>
      </c>
      <c r="F200" s="49">
        <v>16</v>
      </c>
      <c r="G200" s="49">
        <v>32</v>
      </c>
      <c r="H200" s="49">
        <v>64</v>
      </c>
      <c r="I200" s="49">
        <v>80</v>
      </c>
      <c r="J200" s="49">
        <v>1</v>
      </c>
      <c r="K200" s="49">
        <v>4</v>
      </c>
      <c r="L200" s="49">
        <v>16</v>
      </c>
      <c r="M200" s="49">
        <v>32</v>
      </c>
      <c r="N200" s="49">
        <v>64</v>
      </c>
      <c r="O200" s="50">
        <v>80</v>
      </c>
    </row>
    <row r="201" spans="1:15" x14ac:dyDescent="0.25">
      <c r="A201" s="51" t="s">
        <v>7</v>
      </c>
      <c r="B201" s="52" t="s">
        <v>8</v>
      </c>
      <c r="C201" s="52" t="s">
        <v>9</v>
      </c>
      <c r="D201" s="59">
        <f>IF(D191="","",(D191-'2019'!D418)/'2019'!D418)</f>
        <v>-4.3631820475240862E-2</v>
      </c>
      <c r="E201" s="59">
        <f>IF(E191="","",(E191-'2019'!E418)/'2019'!E418)</f>
        <v>2.0414459813853036E-2</v>
      </c>
      <c r="F201" s="59">
        <f>IF(F191="","",(F191-'2019'!F418)/'2019'!F418)</f>
        <v>1.027925304094569E-3</v>
      </c>
      <c r="G201" s="59" t="str">
        <f>IF(G191="","",(G191-'2019'!G418)/'2019'!G418)</f>
        <v/>
      </c>
      <c r="H201" s="59" t="str">
        <f>IF(H191="","",(H191-'2019'!H418)/'2019'!H418)</f>
        <v/>
      </c>
      <c r="I201" s="59" t="str">
        <f>IF(I191="","",(I191-'2019'!I449)/'2019'!I449)</f>
        <v/>
      </c>
      <c r="J201" s="55"/>
      <c r="K201" s="55"/>
      <c r="L201" s="55"/>
      <c r="M201" s="55" t="str">
        <f>IF(G201="","",M191-((1/Comparisons!#REF!)*1000000))</f>
        <v/>
      </c>
      <c r="N201" s="55" t="str">
        <f>IF(H201="","",N191-((1/Comparisons!#REF!)*1000000))</f>
        <v/>
      </c>
      <c r="O201" s="56" t="str">
        <f>IF(I201="","",O191-((1/Comparisons!#REF!)*1000000))</f>
        <v/>
      </c>
    </row>
    <row r="202" spans="1:15" x14ac:dyDescent="0.25">
      <c r="A202" s="51" t="s">
        <v>10</v>
      </c>
      <c r="B202" s="52" t="s">
        <v>8</v>
      </c>
      <c r="C202" s="52" t="s">
        <v>11</v>
      </c>
      <c r="D202" s="59">
        <f>IF(D192="","",(D192-'2019'!D419)/'2019'!D419)</f>
        <v>2.6895009416195857E-2</v>
      </c>
      <c r="E202" s="59">
        <f>IF(E192="","",(E192-'2019'!E419)/'2019'!E419)</f>
        <v>5.0296693981350664E-2</v>
      </c>
      <c r="F202" s="59">
        <f>IF(F192="","",(F192-'2019'!F419)/'2019'!F419)</f>
        <v>3.0217566478646252E-3</v>
      </c>
      <c r="G202" s="59" t="str">
        <f>IF(G192="","",(G192-'2019'!G419)/'2019'!G419)</f>
        <v/>
      </c>
      <c r="H202" s="59" t="str">
        <f>IF(H192="","",(H192-'2019'!H419)/'2019'!H419)</f>
        <v/>
      </c>
      <c r="I202" s="59" t="str">
        <f>IF(I192="","",(I192-'2019'!I450)/'2019'!I450)</f>
        <v/>
      </c>
      <c r="J202" s="55"/>
      <c r="K202" s="55"/>
      <c r="L202" s="55"/>
      <c r="M202" s="55" t="str">
        <f>IF(G202="","",M192-((1/Comparisons!#REF!)*1000000))</f>
        <v/>
      </c>
      <c r="N202" s="55" t="str">
        <f>IF(H202="","",N192-((1/Comparisons!#REF!)*1000000))</f>
        <v/>
      </c>
      <c r="O202" s="56" t="str">
        <f>IF(I202="","",O192-((1/Comparisons!#REF!)*1000000))</f>
        <v/>
      </c>
    </row>
    <row r="203" spans="1:15" x14ac:dyDescent="0.25">
      <c r="A203" s="51" t="s">
        <v>12</v>
      </c>
      <c r="B203" s="52" t="s">
        <v>13</v>
      </c>
      <c r="C203" s="52" t="s">
        <v>9</v>
      </c>
      <c r="D203" s="59">
        <f>IF(D193="","",(D193-'2019'!D420)/'2019'!D420)</f>
        <v>-3.987784255823932E-2</v>
      </c>
      <c r="E203" s="59">
        <f>IF(E193="","",(E193-'2019'!E420)/'2019'!E420)</f>
        <v>0</v>
      </c>
      <c r="F203" s="59">
        <f>IF(F193="","",(F193-'2019'!F420)/'2019'!F420)</f>
        <v>1.5965939329430547E-3</v>
      </c>
      <c r="G203" s="59" t="str">
        <f>IF(G193="","",(G193-'2019'!G420)/'2019'!G420)</f>
        <v/>
      </c>
      <c r="H203" s="59" t="str">
        <f>IF(H193="","",(H193-'2019'!H420)/'2019'!H420)</f>
        <v/>
      </c>
      <c r="I203" s="59" t="str">
        <f>IF(I193="","",(I193-'2019'!I451)/'2019'!I451)</f>
        <v/>
      </c>
      <c r="J203" s="55"/>
      <c r="K203" s="55"/>
      <c r="L203" s="55"/>
      <c r="M203" s="55" t="str">
        <f>IF(G203="","",M193-((1/Comparisons!#REF!)*1000000))</f>
        <v/>
      </c>
      <c r="N203" s="55" t="str">
        <f>IF(H203="","",N193-((1/Comparisons!#REF!)*1000000))</f>
        <v/>
      </c>
      <c r="O203" s="56" t="str">
        <f>IF(I203="","",O193-((1/Comparisons!#REF!)*1000000))</f>
        <v/>
      </c>
    </row>
    <row r="204" spans="1:15" x14ac:dyDescent="0.25">
      <c r="A204" s="51" t="s">
        <v>14</v>
      </c>
      <c r="B204" s="52" t="s">
        <v>13</v>
      </c>
      <c r="C204" s="52" t="s">
        <v>11</v>
      </c>
      <c r="D204" s="59">
        <f>IF(D194="","",(D194-'2019'!D421)/'2019'!D421)</f>
        <v>-1.4003486345148169E-2</v>
      </c>
      <c r="E204" s="59">
        <f>IF(E194="","",(E194-'2019'!E421)/'2019'!E421)</f>
        <v>-1.3288170922355394E-2</v>
      </c>
      <c r="F204" s="59">
        <f>IF(F194="","",(F194-'2019'!F421)/'2019'!F421)</f>
        <v>-1.3127734944780162E-2</v>
      </c>
      <c r="G204" s="59" t="str">
        <f>IF(G194="","",(G194-'2019'!G421)/'2019'!G421)</f>
        <v/>
      </c>
      <c r="H204" s="59" t="str">
        <f>IF(H194="","",(H194-'2019'!H421)/'2019'!H421)</f>
        <v/>
      </c>
      <c r="I204" s="59" t="str">
        <f>IF(I194="","",(I194-'2019'!I452)/'2019'!I452)</f>
        <v/>
      </c>
      <c r="J204" s="55"/>
      <c r="K204" s="55"/>
      <c r="L204" s="55"/>
      <c r="M204" s="55" t="str">
        <f>IF(G204="","",M194-((1/Comparisons!#REF!)*1000000))</f>
        <v/>
      </c>
      <c r="N204" s="55" t="str">
        <f>IF(H204="","",N194-((1/Comparisons!#REF!)*1000000))</f>
        <v/>
      </c>
      <c r="O204" s="56" t="str">
        <f>IF(I204="","",O194-((1/Comparisons!#REF!)*1000000))</f>
        <v/>
      </c>
    </row>
    <row r="205" spans="1:15" x14ac:dyDescent="0.25">
      <c r="A205" s="51" t="s">
        <v>15</v>
      </c>
      <c r="B205" s="8" t="s">
        <v>16</v>
      </c>
      <c r="C205" s="52" t="s">
        <v>11</v>
      </c>
      <c r="D205" s="59">
        <f>IF(D195="","",(D195-'2019'!D422)/'2019'!D422)</f>
        <v>4.2479475785192441E-2</v>
      </c>
      <c r="E205" s="59">
        <f>IF(E195="","",(E195-'2019'!E422)/'2019'!E422)</f>
        <v>-6.7001675041876048E-3</v>
      </c>
      <c r="F205" s="59">
        <f>IF(F195="","",(F195-'2019'!F422)/'2019'!F422)</f>
        <v>5.0152331849074291E-2</v>
      </c>
      <c r="G205" s="59" t="str">
        <f>IF(G195="","",(G195-'2019'!G422)/'2019'!G422)</f>
        <v/>
      </c>
      <c r="H205" s="59" t="str">
        <f>IF(H195="","",(H195-'2019'!H422)/'2019'!H422)</f>
        <v/>
      </c>
      <c r="I205" s="59" t="str">
        <f>IF(I195="","",(I195-'2019'!I453)/'2019'!I453)</f>
        <v/>
      </c>
      <c r="J205" s="55"/>
      <c r="K205" s="55"/>
      <c r="L205" s="55"/>
      <c r="M205" s="55" t="str">
        <f>IF(G205="","",M195-((1/Comparisons!#REF!)*1000000))</f>
        <v/>
      </c>
      <c r="N205" s="55" t="str">
        <f>IF(H205="","",N195-((1/Comparisons!#REF!)*1000000))</f>
        <v/>
      </c>
      <c r="O205" s="56" t="str">
        <f>IF(I205="","",O195-((1/Comparisons!#REF!)*1000000))</f>
        <v/>
      </c>
    </row>
    <row r="206" spans="1:15" ht="15.75" thickBot="1" x14ac:dyDescent="0.3">
      <c r="A206" s="60" t="s">
        <v>17</v>
      </c>
      <c r="B206" s="61" t="s">
        <v>18</v>
      </c>
      <c r="C206" s="61" t="s">
        <v>11</v>
      </c>
      <c r="D206" s="59">
        <f>IF(D196="","",(D196-'2019'!D423)/'2019'!D423)</f>
        <v>-1.4565919059836133E-2</v>
      </c>
      <c r="E206" s="59">
        <f>IF(E196="","",(E196-'2019'!E423)/'2019'!E423)</f>
        <v>7.4927309326772537E-2</v>
      </c>
      <c r="F206" s="59">
        <f>IF(F196="","",(F196-'2019'!F423)/'2019'!F423)</f>
        <v>2.6376677464136973E-2</v>
      </c>
      <c r="G206" s="59" t="str">
        <f>IF(G196="","",(G196-'2019'!G423)/'2019'!G423)</f>
        <v/>
      </c>
      <c r="H206" s="59" t="str">
        <f>IF(H196="","",(H196-'2019'!H423)/'2019'!H423)</f>
        <v/>
      </c>
      <c r="I206" s="59" t="str">
        <f>IF(I196="","",(I196-'2019'!I454)/'2019'!I454)</f>
        <v/>
      </c>
      <c r="J206" s="63"/>
      <c r="K206" s="63"/>
      <c r="L206" s="63"/>
      <c r="M206" s="63" t="str">
        <f>IF(G206="","",M196-((1/Comparisons!#REF!)*1000000))</f>
        <v/>
      </c>
      <c r="N206" s="63" t="str">
        <f>IF(H206="","",N196-((1/Comparisons!#REF!)*1000000))</f>
        <v/>
      </c>
      <c r="O206" s="64" t="str">
        <f>IF(I206="","",O196-((1/Comparisons!#REF!)*1000000))</f>
        <v/>
      </c>
    </row>
    <row r="207" spans="1:15" ht="18.75" x14ac:dyDescent="0.3">
      <c r="A207" s="119" t="s">
        <v>212</v>
      </c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5"/>
    </row>
    <row r="208" spans="1:15" x14ac:dyDescent="0.25">
      <c r="A208" s="134" t="s">
        <v>1</v>
      </c>
      <c r="B208" s="135"/>
      <c r="C208" s="135"/>
      <c r="D208" s="136" t="s">
        <v>19</v>
      </c>
      <c r="E208" s="136"/>
      <c r="F208" s="136"/>
      <c r="G208" s="136"/>
      <c r="H208" s="136"/>
      <c r="I208" s="136"/>
      <c r="J208" s="136" t="s">
        <v>22</v>
      </c>
      <c r="K208" s="136"/>
      <c r="L208" s="136"/>
      <c r="M208" s="136"/>
      <c r="N208" s="136"/>
      <c r="O208" s="137"/>
    </row>
    <row r="209" spans="1:15" x14ac:dyDescent="0.25">
      <c r="A209" s="47" t="s">
        <v>4</v>
      </c>
      <c r="B209" s="48" t="s">
        <v>5</v>
      </c>
      <c r="C209" s="48" t="s">
        <v>6</v>
      </c>
      <c r="D209" s="49">
        <v>1</v>
      </c>
      <c r="E209" s="49">
        <v>4</v>
      </c>
      <c r="F209" s="49">
        <v>16</v>
      </c>
      <c r="G209" s="49">
        <v>32</v>
      </c>
      <c r="H209" s="49">
        <v>64</v>
      </c>
      <c r="I209" s="49">
        <v>80</v>
      </c>
      <c r="J209" s="49">
        <v>1</v>
      </c>
      <c r="K209" s="49">
        <v>4</v>
      </c>
      <c r="L209" s="49">
        <v>16</v>
      </c>
      <c r="M209" s="49">
        <v>32</v>
      </c>
      <c r="N209" s="49">
        <v>64</v>
      </c>
      <c r="O209" s="50">
        <v>80</v>
      </c>
    </row>
    <row r="210" spans="1:15" x14ac:dyDescent="0.25">
      <c r="A210" s="51" t="s">
        <v>7</v>
      </c>
      <c r="B210" s="52" t="s">
        <v>8</v>
      </c>
      <c r="C210" s="52" t="s">
        <v>9</v>
      </c>
      <c r="D210" s="59">
        <f>IF(D191="","",(D191-'2018'!D370)/'2018'!D370)</f>
        <v>-8.3573155289513062E-2</v>
      </c>
      <c r="E210" s="59">
        <f>IF(E191="","",(E191-'2018'!E370)/'2018'!E370)</f>
        <v>6.050826946349334E-4</v>
      </c>
      <c r="F210" s="59">
        <f>IF(F191="","",(F191-'2018'!F370)/'2018'!F370)</f>
        <v>0</v>
      </c>
      <c r="G210" s="59" t="str">
        <f>IF(G191="","",(G191-'2018'!G370)/'2018'!G370)</f>
        <v/>
      </c>
      <c r="H210" s="59" t="str">
        <f>IF(H191="","",(H191-'2018'!H370)/'2018'!H370)</f>
        <v/>
      </c>
      <c r="I210" s="59" t="str">
        <f>IF(I191="","",(I191-'2018'!I401)/'2018'!I401)</f>
        <v/>
      </c>
      <c r="J210" s="55"/>
      <c r="K210" s="55"/>
      <c r="L210" s="55"/>
      <c r="M210" s="55" t="str">
        <f>IF(G210="","",M200-((1/Comparisons!#REF!)*1000000))</f>
        <v/>
      </c>
      <c r="N210" s="55" t="str">
        <f>IF(H210="","",N200-((1/Comparisons!#REF!)*1000000))</f>
        <v/>
      </c>
      <c r="O210" s="56" t="str">
        <f>IF(I210="","",O200-((1/Comparisons!#REF!)*1000000))</f>
        <v/>
      </c>
    </row>
    <row r="211" spans="1:15" x14ac:dyDescent="0.25">
      <c r="A211" s="51" t="s">
        <v>10</v>
      </c>
      <c r="B211" s="52" t="s">
        <v>8</v>
      </c>
      <c r="C211" s="52" t="s">
        <v>11</v>
      </c>
      <c r="D211" s="59">
        <f>IF(D192="","",(D192-'2018'!D371)/'2018'!D371)</f>
        <v>-2.9370862769093842E-2</v>
      </c>
      <c r="E211" s="59">
        <f>IF(E192="","",(E192-'2018'!E371)/'2018'!E371)</f>
        <v>-7.1755598102056103E-2</v>
      </c>
      <c r="F211" s="59">
        <f>IF(F192="","",(F192-'2018'!F371)/'2018'!F371)</f>
        <v>-6.3859509080023951E-3</v>
      </c>
      <c r="G211" s="59" t="str">
        <f>IF(G192="","",(G192-'2018'!G371)/'2018'!G371)</f>
        <v/>
      </c>
      <c r="H211" s="59" t="str">
        <f>IF(H192="","",(H192-'2018'!H371)/'2018'!H371)</f>
        <v/>
      </c>
      <c r="I211" s="59" t="str">
        <f>IF(I192="","",(I192-'2018'!I402)/'2018'!I402)</f>
        <v/>
      </c>
      <c r="J211" s="55"/>
      <c r="K211" s="55"/>
      <c r="L211" s="55"/>
      <c r="M211" s="55" t="str">
        <f>IF(G211="","",M201-((1/Comparisons!#REF!)*1000000))</f>
        <v/>
      </c>
      <c r="N211" s="55" t="str">
        <f>IF(H211="","",N201-((1/Comparisons!#REF!)*1000000))</f>
        <v/>
      </c>
      <c r="O211" s="56" t="str">
        <f>IF(I211="","",O201-((1/Comparisons!#REF!)*1000000))</f>
        <v/>
      </c>
    </row>
    <row r="212" spans="1:15" x14ac:dyDescent="0.25">
      <c r="A212" s="51" t="s">
        <v>12</v>
      </c>
      <c r="B212" s="52" t="s">
        <v>13</v>
      </c>
      <c r="C212" s="52" t="s">
        <v>9</v>
      </c>
      <c r="D212" s="59">
        <f>IF(D193="","",(D193-'2018'!D372)/'2018'!D372)</f>
        <v>-4.7927720492541799E-2</v>
      </c>
      <c r="E212" s="59">
        <f>IF(E193="","",(E193-'2018'!E372)/'2018'!E372)</f>
        <v>2.6219546503122713E-2</v>
      </c>
      <c r="F212" s="59">
        <f>IF(F193="","",(F193-'2018'!F372)/'2018'!F372)</f>
        <v>1.5965939329430547E-3</v>
      </c>
      <c r="G212" s="59" t="str">
        <f>IF(G193="","",(G193-'2018'!G372)/'2018'!G372)</f>
        <v/>
      </c>
      <c r="H212" s="59" t="str">
        <f>IF(H193="","",(H193-'2018'!H372)/'2018'!H372)</f>
        <v/>
      </c>
      <c r="I212" s="59" t="str">
        <f>IF(I193="","",(I193-'2018'!I403)/'2018'!I403)</f>
        <v/>
      </c>
      <c r="J212" s="55"/>
      <c r="K212" s="55"/>
      <c r="L212" s="55"/>
      <c r="M212" s="55" t="str">
        <f>IF(G212="","",M202-((1/Comparisons!#REF!)*1000000))</f>
        <v/>
      </c>
      <c r="N212" s="55" t="str">
        <f>IF(H212="","",N202-((1/Comparisons!#REF!)*1000000))</f>
        <v/>
      </c>
      <c r="O212" s="56" t="str">
        <f>IF(I212="","",O202-((1/Comparisons!#REF!)*1000000))</f>
        <v/>
      </c>
    </row>
    <row r="213" spans="1:15" x14ac:dyDescent="0.25">
      <c r="A213" s="51" t="s">
        <v>14</v>
      </c>
      <c r="B213" s="52" t="s">
        <v>13</v>
      </c>
      <c r="C213" s="52" t="s">
        <v>11</v>
      </c>
      <c r="D213" s="59">
        <f>IF(D194="","",(D194-'2018'!D373)/'2018'!D373)</f>
        <v>-5.1799284756370141E-2</v>
      </c>
      <c r="E213" s="59">
        <f>IF(E194="","",(E194-'2018'!E373)/'2018'!E373)</f>
        <v>-2.7394914818936734E-2</v>
      </c>
      <c r="F213" s="59">
        <f>IF(F194="","",(F194-'2018'!F373)/'2018'!F373)</f>
        <v>-8.1675392670157061E-3</v>
      </c>
      <c r="G213" s="59" t="str">
        <f>IF(G194="","",(G194-'2018'!G373)/'2018'!G373)</f>
        <v/>
      </c>
      <c r="H213" s="59" t="str">
        <f>IF(H194="","",(H194-'2018'!H373)/'2018'!H373)</f>
        <v/>
      </c>
      <c r="I213" s="59" t="str">
        <f>IF(I194="","",(I194-'2018'!I404)/'2018'!I404)</f>
        <v/>
      </c>
      <c r="J213" s="55"/>
      <c r="K213" s="55"/>
      <c r="L213" s="55"/>
      <c r="M213" s="55" t="str">
        <f>IF(G213="","",M203-((1/Comparisons!#REF!)*1000000))</f>
        <v/>
      </c>
      <c r="N213" s="55" t="str">
        <f>IF(H213="","",N203-((1/Comparisons!#REF!)*1000000))</f>
        <v/>
      </c>
      <c r="O213" s="56" t="str">
        <f>IF(I213="","",O203-((1/Comparisons!#REF!)*1000000))</f>
        <v/>
      </c>
    </row>
    <row r="214" spans="1:15" x14ac:dyDescent="0.25">
      <c r="A214" s="51" t="s">
        <v>15</v>
      </c>
      <c r="B214" s="8" t="s">
        <v>16</v>
      </c>
      <c r="C214" s="52" t="s">
        <v>11</v>
      </c>
      <c r="D214" s="59">
        <f>IF(D195="","",(D195-'2018'!D374)/'2018'!D374)</f>
        <v>2.1099225378089267E-2</v>
      </c>
      <c r="E214" s="59">
        <f>IF(E195="","",(E195-'2018'!E374)/'2018'!E374)</f>
        <v>4.8793175197669576E-2</v>
      </c>
      <c r="F214" s="59">
        <f>IF(F195="","",(F195-'2018'!F374)/'2018'!F374)</f>
        <v>-6.6652780670693607E-2</v>
      </c>
      <c r="G214" s="59" t="str">
        <f>IF(G195="","",(G195-'2018'!G374)/'2018'!G374)</f>
        <v/>
      </c>
      <c r="H214" s="59" t="str">
        <f>IF(H195="","",(H195-'2018'!H374)/'2018'!H374)</f>
        <v/>
      </c>
      <c r="I214" s="59" t="str">
        <f>IF(I195="","",(I195-'2018'!I405)/'2018'!I405)</f>
        <v/>
      </c>
      <c r="J214" s="55"/>
      <c r="K214" s="55"/>
      <c r="L214" s="55"/>
      <c r="M214" s="55" t="str">
        <f>IF(G214="","",M204-((1/Comparisons!#REF!)*1000000))</f>
        <v/>
      </c>
      <c r="N214" s="55" t="str">
        <f>IF(H214="","",N204-((1/Comparisons!#REF!)*1000000))</f>
        <v/>
      </c>
      <c r="O214" s="56" t="str">
        <f>IF(I214="","",O204-((1/Comparisons!#REF!)*1000000))</f>
        <v/>
      </c>
    </row>
    <row r="215" spans="1:15" ht="15.75" thickBot="1" x14ac:dyDescent="0.3">
      <c r="A215" s="60" t="s">
        <v>17</v>
      </c>
      <c r="B215" s="61" t="s">
        <v>18</v>
      </c>
      <c r="C215" s="61" t="s">
        <v>11</v>
      </c>
      <c r="D215" s="59">
        <f>IF(D196="","",(D196-'2018'!D375)/'2018'!D375)</f>
        <v>-3.5714285714285712E-2</v>
      </c>
      <c r="E215" s="59">
        <f>IF(E196="","",(E196-'2018'!E375)/'2018'!E375)</f>
        <v>9.4262295081967207E-2</v>
      </c>
      <c r="F215" s="59">
        <f>IF(F196="","",(F196-'2018'!F375)/'2018'!F375)</f>
        <v>-6.3542326366898882E-2</v>
      </c>
      <c r="G215" s="59" t="str">
        <f>IF(G196="","",(G196-'2018'!G375)/'2018'!G375)</f>
        <v/>
      </c>
      <c r="H215" s="59" t="str">
        <f>IF(H196="","",(H196-'2018'!H375)/'2018'!H375)</f>
        <v/>
      </c>
      <c r="I215" s="59" t="str">
        <f>IF(I196="","",(I196-'2018'!I406)/'2018'!I406)</f>
        <v/>
      </c>
      <c r="J215" s="63"/>
      <c r="K215" s="63"/>
      <c r="L215" s="63"/>
      <c r="M215" s="63" t="str">
        <f>IF(G215="","",M205-((1/Comparisons!#REF!)*1000000))</f>
        <v/>
      </c>
      <c r="N215" s="63" t="str">
        <f>IF(H215="","",N205-((1/Comparisons!#REF!)*1000000))</f>
        <v/>
      </c>
      <c r="O215" s="64" t="str">
        <f>IF(I215="","",O205-((1/Comparisons!#REF!)*1000000))</f>
        <v/>
      </c>
    </row>
  </sheetData>
  <mergeCells count="112">
    <mergeCell ref="A208:C208"/>
    <mergeCell ref="D208:I208"/>
    <mergeCell ref="J208:O208"/>
    <mergeCell ref="A198:O198"/>
    <mergeCell ref="A199:C199"/>
    <mergeCell ref="D199:I199"/>
    <mergeCell ref="J199:O199"/>
    <mergeCell ref="A207:O207"/>
    <mergeCell ref="A188:O188"/>
    <mergeCell ref="A189:C189"/>
    <mergeCell ref="D189:I189"/>
    <mergeCell ref="J189:O189"/>
    <mergeCell ref="A197:D197"/>
    <mergeCell ref="E197:G197"/>
    <mergeCell ref="H197:J197"/>
    <mergeCell ref="A176:O176"/>
    <mergeCell ref="A177:C177"/>
    <mergeCell ref="D177:I177"/>
    <mergeCell ref="J177:O177"/>
    <mergeCell ref="A187:O187"/>
    <mergeCell ref="A166:D166"/>
    <mergeCell ref="E166:G166"/>
    <mergeCell ref="H166:J166"/>
    <mergeCell ref="A167:O167"/>
    <mergeCell ref="A168:C168"/>
    <mergeCell ref="D168:I168"/>
    <mergeCell ref="J168:O168"/>
    <mergeCell ref="A156:O156"/>
    <mergeCell ref="A157:O157"/>
    <mergeCell ref="A158:C158"/>
    <mergeCell ref="D158:I158"/>
    <mergeCell ref="J158:O158"/>
    <mergeCell ref="A52:O52"/>
    <mergeCell ref="A53:C53"/>
    <mergeCell ref="D53:I53"/>
    <mergeCell ref="J53:O53"/>
    <mergeCell ref="A42:D42"/>
    <mergeCell ref="E42:G42"/>
    <mergeCell ref="H42:J42"/>
    <mergeCell ref="A43:O43"/>
    <mergeCell ref="A44:C44"/>
    <mergeCell ref="D44:I44"/>
    <mergeCell ref="J44:O44"/>
    <mergeCell ref="A32:O32"/>
    <mergeCell ref="A33:O33"/>
    <mergeCell ref="A34:C34"/>
    <mergeCell ref="D34:I34"/>
    <mergeCell ref="J34:O34"/>
    <mergeCell ref="A22:C22"/>
    <mergeCell ref="D22:I22"/>
    <mergeCell ref="J22:O22"/>
    <mergeCell ref="A1:O1"/>
    <mergeCell ref="A2:O2"/>
    <mergeCell ref="A3:C3"/>
    <mergeCell ref="D3:I3"/>
    <mergeCell ref="J3:O3"/>
    <mergeCell ref="A11:D11"/>
    <mergeCell ref="E11:G11"/>
    <mergeCell ref="H11:J11"/>
    <mergeCell ref="A12:O12"/>
    <mergeCell ref="A13:C13"/>
    <mergeCell ref="D13:I13"/>
    <mergeCell ref="J13:O13"/>
    <mergeCell ref="A21:O21"/>
    <mergeCell ref="A63:O63"/>
    <mergeCell ref="A64:O64"/>
    <mergeCell ref="A65:C65"/>
    <mergeCell ref="D65:I65"/>
    <mergeCell ref="J65:O65"/>
    <mergeCell ref="A73:D73"/>
    <mergeCell ref="E73:G73"/>
    <mergeCell ref="H73:J73"/>
    <mergeCell ref="A74:O74"/>
    <mergeCell ref="A75:C75"/>
    <mergeCell ref="D75:I75"/>
    <mergeCell ref="J75:O75"/>
    <mergeCell ref="A83:O83"/>
    <mergeCell ref="A84:C84"/>
    <mergeCell ref="D84:I84"/>
    <mergeCell ref="J84:O84"/>
    <mergeCell ref="A94:O94"/>
    <mergeCell ref="A95:O95"/>
    <mergeCell ref="A96:C96"/>
    <mergeCell ref="D96:I96"/>
    <mergeCell ref="J96:O96"/>
    <mergeCell ref="A104:D104"/>
    <mergeCell ref="E104:G104"/>
    <mergeCell ref="H104:J104"/>
    <mergeCell ref="A115:C115"/>
    <mergeCell ref="D115:I115"/>
    <mergeCell ref="J115:O115"/>
    <mergeCell ref="A105:O105"/>
    <mergeCell ref="A106:C106"/>
    <mergeCell ref="D106:I106"/>
    <mergeCell ref="J106:O106"/>
    <mergeCell ref="A114:O114"/>
    <mergeCell ref="A125:O125"/>
    <mergeCell ref="A126:O126"/>
    <mergeCell ref="A127:C127"/>
    <mergeCell ref="D127:I127"/>
    <mergeCell ref="J127:O127"/>
    <mergeCell ref="A145:O145"/>
    <mergeCell ref="A146:C146"/>
    <mergeCell ref="D146:I146"/>
    <mergeCell ref="J146:O146"/>
    <mergeCell ref="A135:D135"/>
    <mergeCell ref="E135:G135"/>
    <mergeCell ref="H135:J135"/>
    <mergeCell ref="A136:O136"/>
    <mergeCell ref="A137:C137"/>
    <mergeCell ref="D137:I137"/>
    <mergeCell ref="J137:O137"/>
  </mergeCells>
  <conditionalFormatting sqref="G16:I20 H15:I15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5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5:I29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:I24 D25:F29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F20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:I60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6:I51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6:I91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7:I82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7:I122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8:I113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8:I153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9:I144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9:I184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0:I175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0:I215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1:I206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display="9033_sp_online_int_reboots_16.0a12" xr:uid="{ACA7D47C-36A5-4AC9-B0CD-DB2E254D9F0C}"/>
    <hyperlink ref="A11:D11" r:id="rId2" location="TSsummary" display="Worst of 10 iterations 9033_sp_online_int_reboots_20.0d14" xr:uid="{CBB44122-857C-4BC3-AA18-04401867A30C}"/>
    <hyperlink ref="H11:J11" r:id="rId3" display="T3 &amp; T4 Cases were run again  " xr:uid="{E6230AE3-0186-4A42-A76A-403979662387}"/>
    <hyperlink ref="A42" r:id="rId4" display="9033_sp_online_int_reboots_16.0a12" xr:uid="{B3388DFA-8BD9-40E1-91A5-5FF550319CA2}"/>
    <hyperlink ref="A42:D42" r:id="rId5" display="Worst of 10 iterations 9033_sp_online_int_reboots_20.0d19" xr:uid="{797EF9A6-1A49-44AE-B942-47F60BD01C96}"/>
    <hyperlink ref="A73" r:id="rId6" display="9033_sp_online_int_reboots_16.0a12" xr:uid="{6B4035C4-8FFB-42A7-91A1-B83C112D696B}"/>
    <hyperlink ref="A73:D73" r:id="rId7" location="TSsummary" display="Worst of 10 iterations 9033_sp_online_int_reboots_20.0d21" xr:uid="{D707624C-B9C8-4AD6-87A6-E509E49C66E3}"/>
    <hyperlink ref="A104" r:id="rId8" display="9033_sp_online_int_reboots_16.0a12" xr:uid="{BDBBD6E4-515D-4CF3-A8F5-8D05D42FD163}"/>
    <hyperlink ref="A104:D104" r:id="rId9" display="Worst of 10 iterations 9033_sp_online_int_reboots_20.0b27" xr:uid="{C84F7AB2-8F11-4C7E-9224-B54F07D5F348}"/>
    <hyperlink ref="A135" r:id="rId10" display="9033_sp_online_int_reboots_16.0a12" xr:uid="{08B0A2FF-F801-41AA-8BD3-75D9F96F345D}"/>
    <hyperlink ref="A135:D135" r:id="rId11" display="Worst of 10 iterations 9033_sp_online_int_reboots_20.0b33" xr:uid="{6D491D1F-623E-40AA-B976-CAADF86DAEA4}"/>
    <hyperlink ref="A166" r:id="rId12" display="9033_sp_online_int_reboots_16.0a12" xr:uid="{B507A4DC-C00A-42B1-A00F-116520410BA4}"/>
    <hyperlink ref="A166:D166" r:id="rId13" display="Worst of 10 iterations 9033_sp_online_int_reboots_20.0b38" xr:uid="{6BFA1E34-DEEE-4C27-BAB7-393E8FD16486}"/>
    <hyperlink ref="A197" r:id="rId14" display="9033_sp_online_int_reboots_16.0a12" xr:uid="{A97DD833-7C95-4D2F-BEEA-BD0A1D713305}"/>
    <hyperlink ref="A197:D197" r:id="rId15" display="Worst of 10 iterations 9033_sp_online_int_reboots_20.0b42" xr:uid="{0C6BA77C-6BD1-49A8-9014-9888C554BA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Comparisons</vt:lpstr>
      <vt:lpstr>Proto 2014</vt:lpstr>
      <vt:lpstr>2015</vt:lpstr>
      <vt:lpstr>2016</vt:lpstr>
      <vt:lpstr>2017</vt:lpstr>
      <vt:lpstr>NIB 2017</vt:lpstr>
      <vt:lpstr>2018</vt:lpstr>
      <vt:lpstr>2019</vt:lpstr>
      <vt:lpstr>2020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Frantz</dc:creator>
  <cp:lastModifiedBy>Hemanth Kumar Kothari</cp:lastModifiedBy>
  <dcterms:created xsi:type="dcterms:W3CDTF">2013-03-07T22:33:07Z</dcterms:created>
  <dcterms:modified xsi:type="dcterms:W3CDTF">2020-01-07T05:57:54Z</dcterms:modified>
</cp:coreProperties>
</file>