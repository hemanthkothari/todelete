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hared\RT\NIC\Reports\SinglePointBenchmarks\PharLap\"/>
    </mc:Choice>
  </mc:AlternateContent>
  <xr:revisionPtr revIDLastSave="0" documentId="13_ncr:1_{72B14207-9E56-4C36-AEDB-D35AE381B170}" xr6:coauthVersionLast="45" xr6:coauthVersionMax="45" xr10:uidLastSave="{00000000-0000-0000-0000-000000000000}"/>
  <bookViews>
    <workbookView xWindow="28680" yWindow="-120" windowWidth="29040" windowHeight="15840" activeTab="13" xr2:uid="{00000000-000D-0000-FFFF-FFFF00000000}"/>
  </bookViews>
  <sheets>
    <sheet name="8.2" sheetId="1" r:id="rId1"/>
    <sheet name="8.6" sheetId="2" r:id="rId2"/>
    <sheet name="2009" sheetId="3" r:id="rId3"/>
    <sheet name="2010" sheetId="4" r:id="rId4"/>
    <sheet name="2011" sheetId="5" r:id="rId5"/>
    <sheet name="2012" sheetId="6" r:id="rId6"/>
    <sheet name="2013" sheetId="7" r:id="rId7"/>
    <sheet name="2014" sheetId="8" r:id="rId8"/>
    <sheet name="2015" sheetId="9" r:id="rId9"/>
    <sheet name="2016" sheetId="10" r:id="rId10"/>
    <sheet name="2017" sheetId="12" r:id="rId11"/>
    <sheet name="2018" sheetId="14" r:id="rId12"/>
    <sheet name="2019" sheetId="15" r:id="rId13"/>
    <sheet name="2020" sheetId="16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26" i="16" l="1"/>
  <c r="K127" i="16"/>
  <c r="K128" i="16"/>
  <c r="K129" i="16"/>
  <c r="K125" i="16"/>
  <c r="H126" i="16"/>
  <c r="H127" i="16"/>
  <c r="H128" i="16"/>
  <c r="H129" i="16"/>
  <c r="H125" i="16"/>
  <c r="E126" i="16"/>
  <c r="E127" i="16"/>
  <c r="E128" i="16"/>
  <c r="E129" i="16"/>
  <c r="E125" i="16"/>
  <c r="K117" i="16"/>
  <c r="K118" i="16"/>
  <c r="K119" i="16"/>
  <c r="K120" i="16"/>
  <c r="K116" i="16"/>
  <c r="H117" i="16"/>
  <c r="H118" i="16"/>
  <c r="H119" i="16"/>
  <c r="H120" i="16"/>
  <c r="H116" i="16"/>
  <c r="E117" i="16"/>
  <c r="E118" i="16"/>
  <c r="E119" i="16"/>
  <c r="E120" i="16"/>
  <c r="E116" i="16"/>
  <c r="K107" i="16" l="1"/>
  <c r="K108" i="16"/>
  <c r="K109" i="16"/>
  <c r="K110" i="16"/>
  <c r="K106" i="16"/>
  <c r="H107" i="16"/>
  <c r="H108" i="16"/>
  <c r="H109" i="16"/>
  <c r="H110" i="16"/>
  <c r="H106" i="16"/>
  <c r="E107" i="16"/>
  <c r="E108" i="16"/>
  <c r="E109" i="16"/>
  <c r="E110" i="16"/>
  <c r="E106" i="16"/>
  <c r="K98" i="16"/>
  <c r="K99" i="16"/>
  <c r="K100" i="16"/>
  <c r="K101" i="16"/>
  <c r="K97" i="16"/>
  <c r="H98" i="16"/>
  <c r="H99" i="16"/>
  <c r="H100" i="16"/>
  <c r="H101" i="16"/>
  <c r="H97" i="16"/>
  <c r="E98" i="16"/>
  <c r="E99" i="16"/>
  <c r="E100" i="16"/>
  <c r="E101" i="16"/>
  <c r="E97" i="16"/>
  <c r="K88" i="16" l="1"/>
  <c r="K89" i="16"/>
  <c r="K90" i="16"/>
  <c r="K91" i="16"/>
  <c r="K87" i="16"/>
  <c r="H88" i="16"/>
  <c r="H89" i="16"/>
  <c r="H90" i="16"/>
  <c r="H91" i="16"/>
  <c r="H87" i="16"/>
  <c r="K79" i="16"/>
  <c r="K80" i="16"/>
  <c r="K81" i="16"/>
  <c r="K82" i="16"/>
  <c r="K78" i="16"/>
  <c r="H79" i="16"/>
  <c r="H80" i="16"/>
  <c r="H81" i="16"/>
  <c r="H82" i="16"/>
  <c r="H78" i="16"/>
  <c r="E88" i="16"/>
  <c r="E89" i="16"/>
  <c r="E90" i="16"/>
  <c r="E91" i="16"/>
  <c r="E87" i="16"/>
  <c r="E79" i="16"/>
  <c r="E80" i="16"/>
  <c r="E81" i="16"/>
  <c r="E82" i="16"/>
  <c r="E78" i="16"/>
  <c r="E69" i="16" l="1"/>
  <c r="E70" i="16"/>
  <c r="E71" i="16"/>
  <c r="E72" i="16"/>
  <c r="E68" i="16"/>
  <c r="H69" i="16"/>
  <c r="H70" i="16"/>
  <c r="H71" i="16"/>
  <c r="H72" i="16"/>
  <c r="H68" i="16"/>
  <c r="K69" i="16"/>
  <c r="K70" i="16"/>
  <c r="K71" i="16"/>
  <c r="K72" i="16"/>
  <c r="K68" i="16"/>
  <c r="K60" i="16"/>
  <c r="K61" i="16"/>
  <c r="K62" i="16"/>
  <c r="K63" i="16"/>
  <c r="K59" i="16"/>
  <c r="H60" i="16"/>
  <c r="H61" i="16"/>
  <c r="H62" i="16"/>
  <c r="H63" i="16"/>
  <c r="H59" i="16"/>
  <c r="E60" i="16"/>
  <c r="E61" i="16"/>
  <c r="E62" i="16"/>
  <c r="E63" i="16"/>
  <c r="E59" i="16"/>
  <c r="E40" i="16" l="1"/>
  <c r="E50" i="16"/>
  <c r="E51" i="16"/>
  <c r="E52" i="16"/>
  <c r="E53" i="16"/>
  <c r="K50" i="16"/>
  <c r="K51" i="16"/>
  <c r="K52" i="16"/>
  <c r="K53" i="16"/>
  <c r="K49" i="16"/>
  <c r="H50" i="16"/>
  <c r="H51" i="16"/>
  <c r="H52" i="16"/>
  <c r="H53" i="16"/>
  <c r="H49" i="16"/>
  <c r="E49" i="16"/>
  <c r="K41" i="16"/>
  <c r="K42" i="16"/>
  <c r="K43" i="16"/>
  <c r="K44" i="16"/>
  <c r="K40" i="16"/>
  <c r="H41" i="16"/>
  <c r="H42" i="16"/>
  <c r="H43" i="16"/>
  <c r="H44" i="16"/>
  <c r="H40" i="16"/>
  <c r="E41" i="16"/>
  <c r="E42" i="16"/>
  <c r="E43" i="16"/>
  <c r="E44" i="16"/>
  <c r="K31" i="16" l="1"/>
  <c r="K32" i="16"/>
  <c r="K33" i="16"/>
  <c r="K34" i="16"/>
  <c r="K30" i="16"/>
  <c r="H31" i="16"/>
  <c r="H32" i="16"/>
  <c r="H33" i="16"/>
  <c r="H34" i="16"/>
  <c r="H30" i="16"/>
  <c r="E31" i="16"/>
  <c r="E32" i="16"/>
  <c r="E33" i="16"/>
  <c r="E34" i="16"/>
  <c r="E30" i="16"/>
  <c r="K22" i="16"/>
  <c r="K23" i="16"/>
  <c r="K24" i="16"/>
  <c r="K25" i="16"/>
  <c r="K21" i="16"/>
  <c r="H22" i="16"/>
  <c r="H23" i="16"/>
  <c r="H24" i="16"/>
  <c r="H25" i="16"/>
  <c r="H21" i="16"/>
  <c r="E25" i="16"/>
  <c r="E22" i="16"/>
  <c r="E23" i="16"/>
  <c r="E24" i="16"/>
  <c r="E21" i="16"/>
  <c r="E4" i="16" l="1"/>
  <c r="E5" i="16"/>
  <c r="E6" i="16"/>
  <c r="E7" i="16"/>
  <c r="E3" i="16"/>
  <c r="K13" i="16" l="1"/>
  <c r="K14" i="16"/>
  <c r="K15" i="16"/>
  <c r="K16" i="16"/>
  <c r="K12" i="16"/>
  <c r="H13" i="16"/>
  <c r="H14" i="16"/>
  <c r="H15" i="16"/>
  <c r="H16" i="16"/>
  <c r="H12" i="16"/>
  <c r="E13" i="16"/>
  <c r="E14" i="16"/>
  <c r="E15" i="16"/>
  <c r="E16" i="16"/>
  <c r="E12" i="16"/>
  <c r="K4" i="16"/>
  <c r="K5" i="16"/>
  <c r="K6" i="16"/>
  <c r="K7" i="16"/>
  <c r="K3" i="16"/>
  <c r="H4" i="16"/>
  <c r="H5" i="16"/>
  <c r="H6" i="16"/>
  <c r="H7" i="16"/>
  <c r="H3" i="16"/>
  <c r="K265" i="15" l="1"/>
  <c r="K266" i="15"/>
  <c r="K267" i="15"/>
  <c r="K268" i="15"/>
  <c r="K264" i="15"/>
  <c r="H265" i="15"/>
  <c r="H266" i="15"/>
  <c r="H267" i="15"/>
  <c r="H268" i="15"/>
  <c r="H264" i="15"/>
  <c r="E265" i="15"/>
  <c r="E266" i="15"/>
  <c r="E267" i="15"/>
  <c r="E268" i="15"/>
  <c r="E264" i="15"/>
  <c r="K256" i="15"/>
  <c r="K257" i="15"/>
  <c r="K258" i="15"/>
  <c r="K259" i="15"/>
  <c r="K255" i="15"/>
  <c r="H256" i="15"/>
  <c r="H257" i="15"/>
  <c r="H258" i="15"/>
  <c r="H259" i="15"/>
  <c r="H255" i="15"/>
  <c r="E256" i="15"/>
  <c r="E257" i="15"/>
  <c r="E258" i="15"/>
  <c r="E259" i="15"/>
  <c r="E255" i="15"/>
  <c r="K247" i="15" l="1"/>
  <c r="K248" i="15"/>
  <c r="K249" i="15"/>
  <c r="K250" i="15"/>
  <c r="K246" i="15"/>
  <c r="H247" i="15"/>
  <c r="H248" i="15"/>
  <c r="H249" i="15"/>
  <c r="H250" i="15"/>
  <c r="H246" i="15"/>
  <c r="E247" i="15"/>
  <c r="E248" i="15"/>
  <c r="E249" i="15"/>
  <c r="E250" i="15"/>
  <c r="E246" i="15"/>
  <c r="K238" i="15"/>
  <c r="K239" i="15"/>
  <c r="K240" i="15"/>
  <c r="K241" i="15"/>
  <c r="K237" i="15"/>
  <c r="H238" i="15"/>
  <c r="H239" i="15"/>
  <c r="H240" i="15"/>
  <c r="H241" i="15"/>
  <c r="H237" i="15"/>
  <c r="E238" i="15"/>
  <c r="E239" i="15"/>
  <c r="E240" i="15"/>
  <c r="E241" i="15"/>
  <c r="E237" i="15"/>
  <c r="K229" i="15"/>
  <c r="K230" i="15"/>
  <c r="K231" i="15"/>
  <c r="K232" i="15"/>
  <c r="K228" i="15"/>
  <c r="H229" i="15"/>
  <c r="H230" i="15"/>
  <c r="H231" i="15"/>
  <c r="H232" i="15"/>
  <c r="H228" i="15"/>
  <c r="E229" i="15"/>
  <c r="E230" i="15"/>
  <c r="E231" i="15"/>
  <c r="E232" i="15"/>
  <c r="E228" i="15"/>
  <c r="K220" i="15"/>
  <c r="K221" i="15"/>
  <c r="K222" i="15"/>
  <c r="K223" i="15"/>
  <c r="K219" i="15"/>
  <c r="H220" i="15"/>
  <c r="H221" i="15"/>
  <c r="H222" i="15"/>
  <c r="H223" i="15"/>
  <c r="H219" i="15"/>
  <c r="E220" i="15"/>
  <c r="E221" i="15"/>
  <c r="E222" i="15"/>
  <c r="E223" i="15"/>
  <c r="E219" i="15"/>
  <c r="K211" i="15" l="1"/>
  <c r="K212" i="15"/>
  <c r="K213" i="15"/>
  <c r="K214" i="15"/>
  <c r="K210" i="15"/>
  <c r="H211" i="15"/>
  <c r="H212" i="15"/>
  <c r="H213" i="15"/>
  <c r="H214" i="15"/>
  <c r="H210" i="15"/>
  <c r="E211" i="15"/>
  <c r="E212" i="15"/>
  <c r="E213" i="15"/>
  <c r="E214" i="15"/>
  <c r="E210" i="15"/>
  <c r="K202" i="15"/>
  <c r="K203" i="15"/>
  <c r="K204" i="15"/>
  <c r="K205" i="15"/>
  <c r="K201" i="15"/>
  <c r="H202" i="15"/>
  <c r="H203" i="15"/>
  <c r="H204" i="15"/>
  <c r="H205" i="15"/>
  <c r="H201" i="15"/>
  <c r="E202" i="15"/>
  <c r="E203" i="15"/>
  <c r="E204" i="15"/>
  <c r="E205" i="15"/>
  <c r="E201" i="15"/>
  <c r="K193" i="15" l="1"/>
  <c r="K194" i="15"/>
  <c r="K195" i="15"/>
  <c r="K196" i="15"/>
  <c r="K192" i="15"/>
  <c r="H193" i="15"/>
  <c r="H194" i="15"/>
  <c r="H195" i="15"/>
  <c r="H196" i="15"/>
  <c r="H192" i="15"/>
  <c r="E193" i="15"/>
  <c r="E194" i="15"/>
  <c r="E195" i="15"/>
  <c r="E196" i="15"/>
  <c r="E192" i="15"/>
  <c r="K184" i="15"/>
  <c r="K185" i="15"/>
  <c r="K186" i="15"/>
  <c r="K187" i="15"/>
  <c r="K183" i="15"/>
  <c r="H184" i="15"/>
  <c r="H185" i="15"/>
  <c r="H186" i="15"/>
  <c r="H187" i="15"/>
  <c r="H183" i="15"/>
  <c r="E184" i="15"/>
  <c r="E185" i="15"/>
  <c r="E186" i="15"/>
  <c r="E187" i="15"/>
  <c r="E183" i="15"/>
  <c r="K166" i="15" l="1"/>
  <c r="K167" i="15"/>
  <c r="K168" i="15"/>
  <c r="K169" i="15"/>
  <c r="K165" i="15"/>
  <c r="H166" i="15"/>
  <c r="H167" i="15"/>
  <c r="H168" i="15"/>
  <c r="H169" i="15"/>
  <c r="H165" i="15"/>
  <c r="E166" i="15"/>
  <c r="E167" i="15"/>
  <c r="E168" i="15"/>
  <c r="E169" i="15"/>
  <c r="E165" i="15"/>
  <c r="K175" i="15"/>
  <c r="K176" i="15"/>
  <c r="K177" i="15"/>
  <c r="K178" i="15"/>
  <c r="K174" i="15"/>
  <c r="H175" i="15"/>
  <c r="H176" i="15"/>
  <c r="H177" i="15"/>
  <c r="H178" i="15"/>
  <c r="H174" i="15"/>
  <c r="E175" i="15"/>
  <c r="E176" i="15"/>
  <c r="E177" i="15"/>
  <c r="E178" i="15"/>
  <c r="E174" i="15"/>
  <c r="K157" i="15" l="1"/>
  <c r="K158" i="15"/>
  <c r="K159" i="15"/>
  <c r="K160" i="15"/>
  <c r="K156" i="15"/>
  <c r="H157" i="15"/>
  <c r="H158" i="15"/>
  <c r="H159" i="15"/>
  <c r="H160" i="15"/>
  <c r="H156" i="15"/>
  <c r="E157" i="15"/>
  <c r="E158" i="15"/>
  <c r="E159" i="15"/>
  <c r="E160" i="15"/>
  <c r="E156" i="15"/>
  <c r="K148" i="15"/>
  <c r="K149" i="15"/>
  <c r="K150" i="15"/>
  <c r="K151" i="15"/>
  <c r="K147" i="15"/>
  <c r="H148" i="15"/>
  <c r="H149" i="15"/>
  <c r="H150" i="15"/>
  <c r="H151" i="15"/>
  <c r="H147" i="15"/>
  <c r="E148" i="15"/>
  <c r="E149" i="15"/>
  <c r="E150" i="15"/>
  <c r="E151" i="15"/>
  <c r="E147" i="15"/>
  <c r="K139" i="15" l="1"/>
  <c r="K140" i="15"/>
  <c r="K141" i="15"/>
  <c r="K142" i="15"/>
  <c r="K138" i="15"/>
  <c r="H139" i="15"/>
  <c r="H140" i="15"/>
  <c r="H141" i="15"/>
  <c r="H142" i="15"/>
  <c r="H138" i="15"/>
  <c r="E139" i="15"/>
  <c r="E140" i="15"/>
  <c r="E141" i="15"/>
  <c r="E142" i="15"/>
  <c r="E138" i="15"/>
  <c r="K130" i="15"/>
  <c r="K131" i="15"/>
  <c r="K132" i="15"/>
  <c r="K133" i="15"/>
  <c r="K129" i="15"/>
  <c r="H130" i="15"/>
  <c r="H131" i="15"/>
  <c r="H132" i="15"/>
  <c r="H133" i="15"/>
  <c r="H129" i="15"/>
  <c r="E130" i="15"/>
  <c r="E131" i="15"/>
  <c r="E132" i="15"/>
  <c r="E133" i="15"/>
  <c r="E129" i="15"/>
  <c r="K121" i="15"/>
  <c r="K122" i="15"/>
  <c r="K123" i="15"/>
  <c r="K124" i="15"/>
  <c r="K120" i="15"/>
  <c r="H121" i="15"/>
  <c r="H122" i="15"/>
  <c r="H123" i="15"/>
  <c r="H124" i="15"/>
  <c r="H120" i="15"/>
  <c r="E121" i="15"/>
  <c r="E122" i="15"/>
  <c r="E123" i="15"/>
  <c r="E124" i="15"/>
  <c r="E120" i="15"/>
  <c r="K113" i="15"/>
  <c r="K114" i="15"/>
  <c r="K115" i="15"/>
  <c r="K112" i="15"/>
  <c r="H113" i="15"/>
  <c r="H114" i="15"/>
  <c r="H115" i="15"/>
  <c r="H112" i="15"/>
  <c r="E113" i="15"/>
  <c r="E114" i="15"/>
  <c r="E115" i="15"/>
  <c r="E112" i="15"/>
  <c r="K111" i="15"/>
  <c r="H111" i="15"/>
  <c r="E111" i="15"/>
  <c r="K104" i="15" l="1"/>
  <c r="K105" i="15"/>
  <c r="K106" i="15"/>
  <c r="K107" i="15"/>
  <c r="K103" i="15"/>
  <c r="H104" i="15"/>
  <c r="H105" i="15"/>
  <c r="H106" i="15"/>
  <c r="H107" i="15"/>
  <c r="H103" i="15"/>
  <c r="E104" i="15"/>
  <c r="E105" i="15"/>
  <c r="E106" i="15"/>
  <c r="E107" i="15"/>
  <c r="E103" i="15"/>
  <c r="K95" i="15"/>
  <c r="K96" i="15"/>
  <c r="K97" i="15"/>
  <c r="K98" i="15"/>
  <c r="K94" i="15"/>
  <c r="H95" i="15"/>
  <c r="H96" i="15"/>
  <c r="H97" i="15"/>
  <c r="H98" i="15"/>
  <c r="H94" i="15"/>
  <c r="E95" i="15"/>
  <c r="E96" i="15"/>
  <c r="E97" i="15"/>
  <c r="E98" i="15"/>
  <c r="E94" i="15"/>
  <c r="K85" i="15" l="1"/>
  <c r="K86" i="15"/>
  <c r="K87" i="15"/>
  <c r="K88" i="15"/>
  <c r="K84" i="15"/>
  <c r="H85" i="15"/>
  <c r="H86" i="15"/>
  <c r="H87" i="15"/>
  <c r="H88" i="15"/>
  <c r="H84" i="15"/>
  <c r="E85" i="15"/>
  <c r="E86" i="15"/>
  <c r="E87" i="15"/>
  <c r="E88" i="15"/>
  <c r="E84" i="15"/>
  <c r="K76" i="15"/>
  <c r="K77" i="15"/>
  <c r="K78" i="15"/>
  <c r="K79" i="15"/>
  <c r="K75" i="15"/>
  <c r="H76" i="15"/>
  <c r="H77" i="15"/>
  <c r="H78" i="15"/>
  <c r="H79" i="15"/>
  <c r="H75" i="15"/>
  <c r="E39" i="15"/>
  <c r="E76" i="15"/>
  <c r="E77" i="15"/>
  <c r="E78" i="15"/>
  <c r="E79" i="15"/>
  <c r="E75" i="15"/>
  <c r="K67" i="15" l="1"/>
  <c r="K68" i="15"/>
  <c r="K69" i="15"/>
  <c r="K70" i="15"/>
  <c r="K66" i="15"/>
  <c r="H67" i="15"/>
  <c r="H68" i="15"/>
  <c r="H69" i="15"/>
  <c r="H70" i="15"/>
  <c r="H66" i="15"/>
  <c r="E67" i="15"/>
  <c r="E68" i="15"/>
  <c r="E69" i="15"/>
  <c r="E70" i="15"/>
  <c r="E66" i="15"/>
  <c r="K58" i="15"/>
  <c r="K59" i="15"/>
  <c r="K60" i="15"/>
  <c r="K61" i="15"/>
  <c r="K57" i="15"/>
  <c r="H58" i="15"/>
  <c r="H59" i="15"/>
  <c r="H60" i="15"/>
  <c r="H61" i="15"/>
  <c r="H57" i="15"/>
  <c r="E58" i="15"/>
  <c r="E59" i="15"/>
  <c r="E60" i="15"/>
  <c r="E61" i="15"/>
  <c r="E57" i="15"/>
  <c r="E49" i="15" l="1"/>
  <c r="E50" i="15"/>
  <c r="E51" i="15"/>
  <c r="E52" i="15"/>
  <c r="H49" i="15"/>
  <c r="H50" i="15"/>
  <c r="H51" i="15"/>
  <c r="H52" i="15"/>
  <c r="K49" i="15"/>
  <c r="K50" i="15"/>
  <c r="K51" i="15"/>
  <c r="K52" i="15"/>
  <c r="E40" i="15"/>
  <c r="E41" i="15"/>
  <c r="E42" i="15"/>
  <c r="E43" i="15"/>
  <c r="K40" i="15"/>
  <c r="K41" i="15"/>
  <c r="K42" i="15"/>
  <c r="K43" i="15"/>
  <c r="H40" i="15"/>
  <c r="H41" i="15"/>
  <c r="H42" i="15"/>
  <c r="H43" i="15"/>
  <c r="K48" i="15"/>
  <c r="H48" i="15"/>
  <c r="E48" i="15"/>
  <c r="K39" i="15"/>
  <c r="H39" i="15"/>
  <c r="K31" i="15" l="1"/>
  <c r="K32" i="15"/>
  <c r="K33" i="15"/>
  <c r="K34" i="15"/>
  <c r="K30" i="15"/>
  <c r="H31" i="15"/>
  <c r="H32" i="15"/>
  <c r="H33" i="15"/>
  <c r="H34" i="15"/>
  <c r="H30" i="15"/>
  <c r="E31" i="15"/>
  <c r="E32" i="15"/>
  <c r="E33" i="15"/>
  <c r="E34" i="15"/>
  <c r="E30" i="15"/>
  <c r="K22" i="15"/>
  <c r="K23" i="15"/>
  <c r="K24" i="15"/>
  <c r="K25" i="15"/>
  <c r="K21" i="15"/>
  <c r="H22" i="15"/>
  <c r="H23" i="15"/>
  <c r="H24" i="15"/>
  <c r="H25" i="15"/>
  <c r="H21" i="15"/>
  <c r="E22" i="15"/>
  <c r="E23" i="15"/>
  <c r="E24" i="15"/>
  <c r="E25" i="15"/>
  <c r="E21" i="15"/>
  <c r="K13" i="15" l="1"/>
  <c r="K14" i="15"/>
  <c r="K15" i="15"/>
  <c r="K16" i="15"/>
  <c r="K12" i="15"/>
  <c r="H13" i="15"/>
  <c r="H14" i="15"/>
  <c r="H15" i="15"/>
  <c r="H16" i="15"/>
  <c r="H12" i="15"/>
  <c r="E13" i="15"/>
  <c r="E14" i="15"/>
  <c r="E15" i="15"/>
  <c r="E16" i="15"/>
  <c r="E12" i="15"/>
  <c r="H4" i="15"/>
  <c r="H5" i="15"/>
  <c r="H6" i="15"/>
  <c r="H7" i="15"/>
  <c r="H3" i="15"/>
  <c r="K4" i="15"/>
  <c r="K5" i="15"/>
  <c r="K6" i="15"/>
  <c r="K7" i="15"/>
  <c r="K3" i="15"/>
  <c r="E4" i="15"/>
  <c r="E5" i="15"/>
  <c r="E6" i="15"/>
  <c r="E7" i="15"/>
  <c r="E3" i="15"/>
  <c r="E262" i="14" l="1"/>
  <c r="K272" i="14" l="1"/>
  <c r="K273" i="14"/>
  <c r="K274" i="14"/>
  <c r="K275" i="14"/>
  <c r="K271" i="14"/>
  <c r="H272" i="14"/>
  <c r="H273" i="14"/>
  <c r="H274" i="14"/>
  <c r="H275" i="14"/>
  <c r="H271" i="14"/>
  <c r="E271" i="14"/>
  <c r="H262" i="14"/>
  <c r="K262" i="14"/>
  <c r="E263" i="14"/>
  <c r="H263" i="14"/>
  <c r="K263" i="14"/>
  <c r="E264" i="14"/>
  <c r="H264" i="14"/>
  <c r="K264" i="14"/>
  <c r="E265" i="14"/>
  <c r="H265" i="14"/>
  <c r="K265" i="14"/>
  <c r="E266" i="14"/>
  <c r="H266" i="14"/>
  <c r="K266" i="14"/>
  <c r="E272" i="14"/>
  <c r="E273" i="14"/>
  <c r="E274" i="14"/>
  <c r="E275" i="14"/>
  <c r="K253" i="14"/>
  <c r="K254" i="14"/>
  <c r="K255" i="14"/>
  <c r="K256" i="14"/>
  <c r="K252" i="14"/>
  <c r="H256" i="14"/>
  <c r="H253" i="14"/>
  <c r="H254" i="14"/>
  <c r="H255" i="14"/>
  <c r="H252" i="14"/>
  <c r="E256" i="14"/>
  <c r="E253" i="14"/>
  <c r="E254" i="14"/>
  <c r="E255" i="14"/>
  <c r="E252" i="14"/>
  <c r="K244" i="14"/>
  <c r="K245" i="14"/>
  <c r="K246" i="14"/>
  <c r="K247" i="14"/>
  <c r="K243" i="14"/>
  <c r="E244" i="14"/>
  <c r="E245" i="14"/>
  <c r="E246" i="14"/>
  <c r="E247" i="14"/>
  <c r="H244" i="14"/>
  <c r="H245" i="14"/>
  <c r="H246" i="14"/>
  <c r="H247" i="14"/>
  <c r="H243" i="14"/>
  <c r="E243" i="14"/>
  <c r="K234" i="14"/>
  <c r="K235" i="14"/>
  <c r="K236" i="14"/>
  <c r="K237" i="14"/>
  <c r="K233" i="14"/>
  <c r="H234" i="14"/>
  <c r="H235" i="14"/>
  <c r="H236" i="14"/>
  <c r="H237" i="14"/>
  <c r="H233" i="14"/>
  <c r="E234" i="14"/>
  <c r="E235" i="14"/>
  <c r="E236" i="14"/>
  <c r="E237" i="14"/>
  <c r="E233" i="14"/>
  <c r="K225" i="14"/>
  <c r="K226" i="14"/>
  <c r="K227" i="14"/>
  <c r="K228" i="14"/>
  <c r="K224" i="14"/>
  <c r="H225" i="14"/>
  <c r="H226" i="14"/>
  <c r="H227" i="14"/>
  <c r="H228" i="14"/>
  <c r="H224" i="14"/>
  <c r="E225" i="14"/>
  <c r="E226" i="14"/>
  <c r="E227" i="14"/>
  <c r="E228" i="14"/>
  <c r="E224" i="14"/>
  <c r="K217" i="14"/>
  <c r="K218" i="14"/>
  <c r="K219" i="14"/>
  <c r="K220" i="14"/>
  <c r="K216" i="14"/>
  <c r="H217" i="14"/>
  <c r="H218" i="14"/>
  <c r="H219" i="14"/>
  <c r="H220" i="14"/>
  <c r="H216" i="14"/>
  <c r="E217" i="14"/>
  <c r="E218" i="14"/>
  <c r="E219" i="14"/>
  <c r="E220" i="14"/>
  <c r="E216" i="14"/>
  <c r="K208" i="14"/>
  <c r="K209" i="14"/>
  <c r="K210" i="14"/>
  <c r="K211" i="14"/>
  <c r="K207" i="14"/>
  <c r="H208" i="14"/>
  <c r="H209" i="14"/>
  <c r="H210" i="14"/>
  <c r="H211" i="14"/>
  <c r="H207" i="14"/>
  <c r="E208" i="14"/>
  <c r="E209" i="14"/>
  <c r="E210" i="14"/>
  <c r="E211" i="14"/>
  <c r="E207" i="14"/>
  <c r="K200" i="14"/>
  <c r="K201" i="14"/>
  <c r="K202" i="14"/>
  <c r="K203" i="14"/>
  <c r="K199" i="14"/>
  <c r="H200" i="14"/>
  <c r="H201" i="14"/>
  <c r="H202" i="14"/>
  <c r="H203" i="14"/>
  <c r="H199" i="14"/>
  <c r="E200" i="14"/>
  <c r="E201" i="14"/>
  <c r="E202" i="14"/>
  <c r="E203" i="14"/>
  <c r="E199" i="14"/>
  <c r="K191" i="14"/>
  <c r="K192" i="14"/>
  <c r="K193" i="14"/>
  <c r="K194" i="14"/>
  <c r="K190" i="14"/>
  <c r="H194" i="14"/>
  <c r="H191" i="14"/>
  <c r="H192" i="14"/>
  <c r="H193" i="14"/>
  <c r="H190" i="14"/>
  <c r="E191" i="14"/>
  <c r="E192" i="14"/>
  <c r="E193" i="14"/>
  <c r="E194" i="14"/>
  <c r="E190" i="14"/>
  <c r="K183" i="14"/>
  <c r="K184" i="14"/>
  <c r="K185" i="14"/>
  <c r="K186" i="14"/>
  <c r="K182" i="14"/>
  <c r="H183" i="14"/>
  <c r="H184" i="14"/>
  <c r="H185" i="14"/>
  <c r="H186" i="14"/>
  <c r="H182" i="14"/>
  <c r="E183" i="14"/>
  <c r="E184" i="14"/>
  <c r="E185" i="14"/>
  <c r="E186" i="14"/>
  <c r="E182" i="14"/>
  <c r="K174" i="14"/>
  <c r="K175" i="14"/>
  <c r="K176" i="14"/>
  <c r="K177" i="14"/>
  <c r="K173" i="14"/>
  <c r="H174" i="14"/>
  <c r="H175" i="14"/>
  <c r="H176" i="14"/>
  <c r="H177" i="14"/>
  <c r="H173" i="14"/>
  <c r="E174" i="14"/>
  <c r="E175" i="14"/>
  <c r="E176" i="14"/>
  <c r="E177" i="14"/>
  <c r="E173" i="14"/>
  <c r="K166" i="14"/>
  <c r="K167" i="14"/>
  <c r="K168" i="14"/>
  <c r="K169" i="14"/>
  <c r="K165" i="14"/>
  <c r="H166" i="14"/>
  <c r="H167" i="14"/>
  <c r="H168" i="14"/>
  <c r="H169" i="14"/>
  <c r="H165" i="14"/>
  <c r="E166" i="14"/>
  <c r="E167" i="14"/>
  <c r="E168" i="14"/>
  <c r="E169" i="14"/>
  <c r="E165" i="14"/>
  <c r="K157" i="14"/>
  <c r="K158" i="14"/>
  <c r="K159" i="14"/>
  <c r="K160" i="14"/>
  <c r="K156" i="14"/>
  <c r="H157" i="14"/>
  <c r="H158" i="14"/>
  <c r="H159" i="14"/>
  <c r="H160" i="14"/>
  <c r="H156" i="14"/>
  <c r="E157" i="14"/>
  <c r="E158" i="14"/>
  <c r="E159" i="14"/>
  <c r="E160" i="14"/>
  <c r="E156" i="14"/>
  <c r="K149" i="14"/>
  <c r="K150" i="14"/>
  <c r="K151" i="14"/>
  <c r="K152" i="14"/>
  <c r="K148" i="14"/>
  <c r="H150" i="14"/>
  <c r="H151" i="14"/>
  <c r="H152" i="14"/>
  <c r="H149" i="14"/>
  <c r="H148" i="14"/>
  <c r="E149" i="14"/>
  <c r="E150" i="14"/>
  <c r="E151" i="14"/>
  <c r="E152" i="14"/>
  <c r="E148" i="14"/>
  <c r="K140" i="14"/>
  <c r="K141" i="14"/>
  <c r="K142" i="14"/>
  <c r="K143" i="14"/>
  <c r="K139" i="14"/>
  <c r="H140" i="14"/>
  <c r="H141" i="14"/>
  <c r="H142" i="14"/>
  <c r="H143" i="14"/>
  <c r="H139" i="14"/>
  <c r="E140" i="14"/>
  <c r="E141" i="14"/>
  <c r="E142" i="14"/>
  <c r="E143" i="14"/>
  <c r="E139" i="14"/>
  <c r="K132" i="14"/>
  <c r="K133" i="14"/>
  <c r="K134" i="14"/>
  <c r="K135" i="14"/>
  <c r="K131" i="14"/>
  <c r="H132" i="14"/>
  <c r="H133" i="14"/>
  <c r="H134" i="14"/>
  <c r="H135" i="14"/>
  <c r="H131" i="14"/>
  <c r="E132" i="14"/>
  <c r="E133" i="14"/>
  <c r="E134" i="14"/>
  <c r="E135" i="14"/>
  <c r="E131" i="14"/>
  <c r="K123" i="14"/>
  <c r="K124" i="14"/>
  <c r="K125" i="14"/>
  <c r="K126" i="14"/>
  <c r="K122" i="14"/>
  <c r="H123" i="14"/>
  <c r="H124" i="14"/>
  <c r="H125" i="14"/>
  <c r="H126" i="14"/>
  <c r="H122" i="14"/>
  <c r="E123" i="14"/>
  <c r="E124" i="14"/>
  <c r="E125" i="14"/>
  <c r="E126" i="14"/>
  <c r="E122" i="14"/>
  <c r="K116" i="14"/>
  <c r="K117" i="14"/>
  <c r="K118" i="14"/>
  <c r="H116" i="14"/>
  <c r="H117" i="14"/>
  <c r="H118" i="14"/>
  <c r="E116" i="14"/>
  <c r="E117" i="14"/>
  <c r="E118" i="14"/>
  <c r="K115" i="14"/>
  <c r="H115" i="14"/>
  <c r="E115" i="14"/>
  <c r="K114" i="14"/>
  <c r="K106" i="14"/>
  <c r="K107" i="14"/>
  <c r="K108" i="14"/>
  <c r="K109" i="14"/>
  <c r="K105" i="14"/>
  <c r="H106" i="14"/>
  <c r="H107" i="14"/>
  <c r="H108" i="14"/>
  <c r="H109" i="14"/>
  <c r="H105" i="14"/>
  <c r="E106" i="14"/>
  <c r="E107" i="14"/>
  <c r="E108" i="14"/>
  <c r="E109" i="14"/>
  <c r="E105" i="14"/>
  <c r="H114" i="14"/>
  <c r="E114" i="14"/>
  <c r="K98" i="14"/>
  <c r="K99" i="14"/>
  <c r="K100" i="14"/>
  <c r="K101" i="14"/>
  <c r="K97" i="14"/>
  <c r="H98" i="14"/>
  <c r="H99" i="14"/>
  <c r="H100" i="14"/>
  <c r="H101" i="14"/>
  <c r="H97" i="14"/>
  <c r="E98" i="14"/>
  <c r="E99" i="14"/>
  <c r="E100" i="14"/>
  <c r="E101" i="14"/>
  <c r="E97" i="14"/>
  <c r="K89" i="14"/>
  <c r="K90" i="14"/>
  <c r="K91" i="14"/>
  <c r="K92" i="14"/>
  <c r="K88" i="14"/>
  <c r="H89" i="14"/>
  <c r="H90" i="14"/>
  <c r="H91" i="14"/>
  <c r="H92" i="14"/>
  <c r="H88" i="14"/>
  <c r="E89" i="14"/>
  <c r="E90" i="14"/>
  <c r="E91" i="14"/>
  <c r="E92" i="14"/>
  <c r="E88" i="14"/>
  <c r="K81" i="14"/>
  <c r="K82" i="14"/>
  <c r="K83" i="14"/>
  <c r="K84" i="14"/>
  <c r="K80" i="14"/>
  <c r="H81" i="14"/>
  <c r="H82" i="14"/>
  <c r="H83" i="14"/>
  <c r="H84" i="14"/>
  <c r="H80" i="14"/>
  <c r="E81" i="14"/>
  <c r="E82" i="14"/>
  <c r="E83" i="14"/>
  <c r="E84" i="14"/>
  <c r="E80" i="14"/>
  <c r="K72" i="14"/>
  <c r="K73" i="14"/>
  <c r="K74" i="14"/>
  <c r="K75" i="14"/>
  <c r="K71" i="14"/>
  <c r="H72" i="14"/>
  <c r="H73" i="14"/>
  <c r="H74" i="14"/>
  <c r="H75" i="14"/>
  <c r="H71" i="14"/>
  <c r="E72" i="14"/>
  <c r="E73" i="14"/>
  <c r="E74" i="14"/>
  <c r="E75" i="14"/>
  <c r="E71" i="14"/>
  <c r="K64" i="14"/>
  <c r="K65" i="14"/>
  <c r="K66" i="14"/>
  <c r="K67" i="14"/>
  <c r="K63" i="14"/>
  <c r="H64" i="14"/>
  <c r="H65" i="14"/>
  <c r="H66" i="14"/>
  <c r="H67" i="14"/>
  <c r="H63" i="14"/>
  <c r="E64" i="14"/>
  <c r="E65" i="14"/>
  <c r="E66" i="14"/>
  <c r="E67" i="14"/>
  <c r="E63" i="14"/>
  <c r="K55" i="14"/>
  <c r="K56" i="14"/>
  <c r="K57" i="14"/>
  <c r="K58" i="14"/>
  <c r="K54" i="14"/>
  <c r="H55" i="14"/>
  <c r="H56" i="14"/>
  <c r="H57" i="14"/>
  <c r="H58" i="14"/>
  <c r="H54" i="14"/>
  <c r="E55" i="14"/>
  <c r="E56" i="14"/>
  <c r="E57" i="14"/>
  <c r="E58" i="14"/>
  <c r="E54" i="14"/>
  <c r="K47" i="14"/>
  <c r="K48" i="14"/>
  <c r="K49" i="14"/>
  <c r="K50" i="14"/>
  <c r="K46" i="14"/>
  <c r="H47" i="14"/>
  <c r="H48" i="14"/>
  <c r="H49" i="14"/>
  <c r="H50" i="14"/>
  <c r="H46" i="14"/>
  <c r="E47" i="14"/>
  <c r="E48" i="14"/>
  <c r="E49" i="14"/>
  <c r="E50" i="14"/>
  <c r="E46" i="14"/>
  <c r="E37" i="14"/>
  <c r="K38" i="14"/>
  <c r="K39" i="14"/>
  <c r="K40" i="14"/>
  <c r="K41" i="14"/>
  <c r="K37" i="14"/>
  <c r="H38" i="14"/>
  <c r="H39" i="14"/>
  <c r="H40" i="14"/>
  <c r="H41" i="14"/>
  <c r="H37" i="14"/>
  <c r="E38" i="14"/>
  <c r="E39" i="14"/>
  <c r="E40" i="14"/>
  <c r="E41" i="14"/>
  <c r="K30" i="14"/>
  <c r="K31" i="14"/>
  <c r="K32" i="14"/>
  <c r="K33" i="14"/>
  <c r="K29" i="14"/>
  <c r="H30" i="14"/>
  <c r="H31" i="14"/>
  <c r="H32" i="14"/>
  <c r="H33" i="14"/>
  <c r="H29" i="14"/>
  <c r="E30" i="14"/>
  <c r="E31" i="14"/>
  <c r="E32" i="14"/>
  <c r="E33" i="14"/>
  <c r="E29" i="14"/>
  <c r="K21" i="14"/>
  <c r="K22" i="14"/>
  <c r="K23" i="14"/>
  <c r="K24" i="14"/>
  <c r="K20" i="14"/>
  <c r="H21" i="14"/>
  <c r="H22" i="14"/>
  <c r="H23" i="14"/>
  <c r="H24" i="14"/>
  <c r="H20" i="14"/>
  <c r="E21" i="14"/>
  <c r="E22" i="14"/>
  <c r="E23" i="14"/>
  <c r="E24" i="14"/>
  <c r="E20" i="14"/>
  <c r="K13" i="14"/>
  <c r="K14" i="14"/>
  <c r="K15" i="14"/>
  <c r="K16" i="14"/>
  <c r="K12" i="14"/>
  <c r="H13" i="14"/>
  <c r="H14" i="14"/>
  <c r="H15" i="14"/>
  <c r="H16" i="14"/>
  <c r="H12" i="14"/>
  <c r="E13" i="14"/>
  <c r="E14" i="14"/>
  <c r="E15" i="14"/>
  <c r="E16" i="14"/>
  <c r="E12" i="14"/>
  <c r="K4" i="14"/>
  <c r="K5" i="14"/>
  <c r="K6" i="14"/>
  <c r="K7" i="14"/>
  <c r="K3" i="14"/>
  <c r="H4" i="14"/>
  <c r="H5" i="14"/>
  <c r="H6" i="14"/>
  <c r="H7" i="14"/>
  <c r="H3" i="14"/>
  <c r="E4" i="14"/>
  <c r="E5" i="14"/>
  <c r="E6" i="14"/>
  <c r="E7" i="14"/>
  <c r="E3" i="14"/>
  <c r="K391" i="12"/>
  <c r="K392" i="12"/>
  <c r="K393" i="12"/>
  <c r="K394" i="12"/>
  <c r="K390" i="12"/>
  <c r="H391" i="12"/>
  <c r="H392" i="12"/>
  <c r="H393" i="12"/>
  <c r="H394" i="12"/>
  <c r="H390" i="12"/>
  <c r="E391" i="12"/>
  <c r="E392" i="12"/>
  <c r="E393" i="12"/>
  <c r="E394" i="12"/>
  <c r="E390" i="12"/>
  <c r="K382" i="12"/>
  <c r="K383" i="12"/>
  <c r="K384" i="12"/>
  <c r="K385" i="12"/>
  <c r="K381" i="12"/>
  <c r="H382" i="12"/>
  <c r="H383" i="12"/>
  <c r="H384" i="12"/>
  <c r="H385" i="12"/>
  <c r="H381" i="12"/>
  <c r="E382" i="12"/>
  <c r="E383" i="12"/>
  <c r="E384" i="12"/>
  <c r="E385" i="12"/>
  <c r="E381" i="12"/>
  <c r="K365" i="12"/>
  <c r="K366" i="12"/>
  <c r="K367" i="12"/>
  <c r="K368" i="12"/>
  <c r="K364" i="12"/>
  <c r="H365" i="12"/>
  <c r="H366" i="12"/>
  <c r="H367" i="12"/>
  <c r="H368" i="12"/>
  <c r="H364" i="12"/>
  <c r="E365" i="12"/>
  <c r="E366" i="12"/>
  <c r="E367" i="12"/>
  <c r="E368" i="12"/>
  <c r="E364" i="12"/>
  <c r="K374" i="12"/>
  <c r="K375" i="12"/>
  <c r="K376" i="12"/>
  <c r="K377" i="12"/>
  <c r="K373" i="12"/>
  <c r="H374" i="12"/>
  <c r="H375" i="12"/>
  <c r="H376" i="12"/>
  <c r="H377" i="12"/>
  <c r="H373" i="12"/>
  <c r="E374" i="12"/>
  <c r="E375" i="12"/>
  <c r="E376" i="12"/>
  <c r="E377" i="12"/>
  <c r="E373" i="12"/>
  <c r="K348" i="12"/>
  <c r="K349" i="12"/>
  <c r="K350" i="12"/>
  <c r="K351" i="12"/>
  <c r="K347" i="12"/>
  <c r="H348" i="12"/>
  <c r="H349" i="12"/>
  <c r="H350" i="12"/>
  <c r="H351" i="12"/>
  <c r="H347" i="12"/>
  <c r="E348" i="12"/>
  <c r="E349" i="12"/>
  <c r="E350" i="12"/>
  <c r="E351" i="12"/>
  <c r="E347" i="12"/>
  <c r="E358" i="12"/>
  <c r="K357" i="12"/>
  <c r="K358" i="12"/>
  <c r="K359" i="12"/>
  <c r="K360" i="12"/>
  <c r="K356" i="12"/>
  <c r="H357" i="12"/>
  <c r="H358" i="12"/>
  <c r="H359" i="12"/>
  <c r="H360" i="12"/>
  <c r="H356" i="12"/>
  <c r="E357" i="12"/>
  <c r="E359" i="12"/>
  <c r="E360" i="12"/>
  <c r="E356" i="12"/>
  <c r="K340" i="12"/>
  <c r="K341" i="12"/>
  <c r="K342" i="12"/>
  <c r="K343" i="12"/>
  <c r="K339" i="12"/>
  <c r="H340" i="12"/>
  <c r="H341" i="12"/>
  <c r="H342" i="12"/>
  <c r="H343" i="12"/>
  <c r="H339" i="12"/>
  <c r="E340" i="12"/>
  <c r="E341" i="12"/>
  <c r="E342" i="12"/>
  <c r="E343" i="12"/>
  <c r="E339" i="12"/>
  <c r="K331" i="12"/>
  <c r="K332" i="12"/>
  <c r="K333" i="12"/>
  <c r="K334" i="12"/>
  <c r="K330" i="12"/>
  <c r="H331" i="12"/>
  <c r="H332" i="12"/>
  <c r="H333" i="12"/>
  <c r="H334" i="12"/>
  <c r="H330" i="12"/>
  <c r="E331" i="12"/>
  <c r="E332" i="12"/>
  <c r="E333" i="12"/>
  <c r="E334" i="12"/>
  <c r="E330" i="12"/>
  <c r="K323" i="12"/>
  <c r="K324" i="12"/>
  <c r="K325" i="12"/>
  <c r="K326" i="12"/>
  <c r="K322" i="12"/>
  <c r="H323" i="12"/>
  <c r="H324" i="12"/>
  <c r="H325" i="12"/>
  <c r="H326" i="12"/>
  <c r="H322" i="12"/>
  <c r="E323" i="12"/>
  <c r="E324" i="12"/>
  <c r="E325" i="12"/>
  <c r="E326" i="12"/>
  <c r="E322" i="12"/>
  <c r="K314" i="12"/>
  <c r="K315" i="12"/>
  <c r="K316" i="12"/>
  <c r="K317" i="12"/>
  <c r="K313" i="12"/>
  <c r="H314" i="12"/>
  <c r="H315" i="12"/>
  <c r="H316" i="12"/>
  <c r="H317" i="12"/>
  <c r="H313" i="12"/>
  <c r="E314" i="12"/>
  <c r="E315" i="12"/>
  <c r="E316" i="12"/>
  <c r="E317" i="12"/>
  <c r="E313" i="12"/>
  <c r="E307" i="12"/>
  <c r="E308" i="12"/>
  <c r="E309" i="12"/>
  <c r="E306" i="12"/>
  <c r="K306" i="12"/>
  <c r="K307" i="12"/>
  <c r="K308" i="12"/>
  <c r="K309" i="12"/>
  <c r="K305" i="12"/>
  <c r="H306" i="12"/>
  <c r="H307" i="12"/>
  <c r="H308" i="12"/>
  <c r="H309" i="12"/>
  <c r="H305" i="12"/>
  <c r="K297" i="12"/>
  <c r="K298" i="12"/>
  <c r="K299" i="12"/>
  <c r="K300" i="12"/>
  <c r="K296" i="12"/>
  <c r="H297" i="12"/>
  <c r="H298" i="12"/>
  <c r="H299" i="12"/>
  <c r="H300" i="12"/>
  <c r="H296" i="12"/>
  <c r="E297" i="12"/>
  <c r="E298" i="12"/>
  <c r="E299" i="12"/>
  <c r="E300" i="12"/>
  <c r="E296" i="12"/>
  <c r="E305" i="12"/>
  <c r="K289" i="12"/>
  <c r="K290" i="12"/>
  <c r="K291" i="12"/>
  <c r="K292" i="12"/>
  <c r="K288" i="12"/>
  <c r="H289" i="12"/>
  <c r="H290" i="12"/>
  <c r="H291" i="12"/>
  <c r="H292" i="12"/>
  <c r="H288" i="12"/>
  <c r="E289" i="12"/>
  <c r="E290" i="12"/>
  <c r="E291" i="12"/>
  <c r="E292" i="12"/>
  <c r="E288" i="12"/>
  <c r="K280" i="12"/>
  <c r="K281" i="12"/>
  <c r="K282" i="12"/>
  <c r="K283" i="12"/>
  <c r="K279" i="12"/>
  <c r="H280" i="12"/>
  <c r="H281" i="12"/>
  <c r="H282" i="12"/>
  <c r="H283" i="12"/>
  <c r="H279" i="12"/>
  <c r="E280" i="12"/>
  <c r="E281" i="12"/>
  <c r="E282" i="12"/>
  <c r="E283" i="12"/>
  <c r="E279" i="12"/>
  <c r="K272" i="12"/>
  <c r="K273" i="12"/>
  <c r="K274" i="12"/>
  <c r="K275" i="12"/>
  <c r="K271" i="12"/>
  <c r="H272" i="12"/>
  <c r="H273" i="12"/>
  <c r="H274" i="12"/>
  <c r="H275" i="12"/>
  <c r="H271" i="12"/>
  <c r="E272" i="12"/>
  <c r="E273" i="12"/>
  <c r="E274" i="12"/>
  <c r="E275" i="12"/>
  <c r="E271" i="12"/>
  <c r="K263" i="12"/>
  <c r="K264" i="12"/>
  <c r="K265" i="12"/>
  <c r="K266" i="12"/>
  <c r="K262" i="12"/>
  <c r="H263" i="12"/>
  <c r="H264" i="12"/>
  <c r="H265" i="12"/>
  <c r="H266" i="12"/>
  <c r="H262" i="12"/>
  <c r="E263" i="12"/>
  <c r="E264" i="12"/>
  <c r="E265" i="12"/>
  <c r="E266" i="12"/>
  <c r="E262" i="12"/>
  <c r="K255" i="12"/>
  <c r="K256" i="12"/>
  <c r="K257" i="12"/>
  <c r="K258" i="12"/>
  <c r="K254" i="12"/>
  <c r="H255" i="12"/>
  <c r="H256" i="12"/>
  <c r="H257" i="12"/>
  <c r="H258" i="12"/>
  <c r="H254" i="12"/>
  <c r="E255" i="12"/>
  <c r="E256" i="12"/>
  <c r="E257" i="12"/>
  <c r="E258" i="12"/>
  <c r="E254" i="12"/>
  <c r="K246" i="12"/>
  <c r="K247" i="12"/>
  <c r="K248" i="12"/>
  <c r="K249" i="12"/>
  <c r="K245" i="12"/>
  <c r="H246" i="12"/>
  <c r="H247" i="12"/>
  <c r="H248" i="12"/>
  <c r="H249" i="12"/>
  <c r="H245" i="12"/>
  <c r="E246" i="12"/>
  <c r="E247" i="12"/>
  <c r="E248" i="12"/>
  <c r="E249" i="12"/>
  <c r="E245" i="12"/>
  <c r="K238" i="12"/>
  <c r="K239" i="12"/>
  <c r="K240" i="12"/>
  <c r="K241" i="12"/>
  <c r="K237" i="12"/>
  <c r="H238" i="12"/>
  <c r="H239" i="12"/>
  <c r="H240" i="12"/>
  <c r="H241" i="12"/>
  <c r="H237" i="12"/>
  <c r="E238" i="12"/>
  <c r="E239" i="12"/>
  <c r="E240" i="12"/>
  <c r="E241" i="12"/>
  <c r="E237" i="12"/>
  <c r="K229" i="12"/>
  <c r="K230" i="12"/>
  <c r="K231" i="12"/>
  <c r="K232" i="12"/>
  <c r="K228" i="12"/>
  <c r="H229" i="12"/>
  <c r="H230" i="12"/>
  <c r="H231" i="12"/>
  <c r="H232" i="12"/>
  <c r="H228" i="12"/>
  <c r="E229" i="12"/>
  <c r="E230" i="12"/>
  <c r="E231" i="12"/>
  <c r="E232" i="12"/>
  <c r="E228" i="12"/>
  <c r="K221" i="12"/>
  <c r="K222" i="12"/>
  <c r="K223" i="12"/>
  <c r="K224" i="12"/>
  <c r="K220" i="12"/>
  <c r="H221" i="12"/>
  <c r="H222" i="12"/>
  <c r="H223" i="12"/>
  <c r="H224" i="12"/>
  <c r="H220" i="12"/>
  <c r="E221" i="12"/>
  <c r="E222" i="12"/>
  <c r="E223" i="12"/>
  <c r="E224" i="12"/>
  <c r="E220" i="12"/>
  <c r="K212" i="12"/>
  <c r="K213" i="12"/>
  <c r="K214" i="12"/>
  <c r="K215" i="12"/>
  <c r="K211" i="12"/>
  <c r="H212" i="12"/>
  <c r="H213" i="12"/>
  <c r="H214" i="12"/>
  <c r="H215" i="12"/>
  <c r="H211" i="12"/>
  <c r="E212" i="12"/>
  <c r="E213" i="12"/>
  <c r="E214" i="12"/>
  <c r="E215" i="12"/>
  <c r="E211" i="12"/>
  <c r="K204" i="12"/>
  <c r="K205" i="12"/>
  <c r="K206" i="12"/>
  <c r="K207" i="12"/>
  <c r="K203" i="12"/>
  <c r="H204" i="12"/>
  <c r="H205" i="12"/>
  <c r="H206" i="12"/>
  <c r="H207" i="12"/>
  <c r="H203" i="12"/>
  <c r="E204" i="12"/>
  <c r="E205" i="12"/>
  <c r="E206" i="12"/>
  <c r="E207" i="12"/>
  <c r="E203" i="12"/>
  <c r="K195" i="12"/>
  <c r="K196" i="12"/>
  <c r="K197" i="12"/>
  <c r="K198" i="12"/>
  <c r="K194" i="12"/>
  <c r="H195" i="12"/>
  <c r="H196" i="12"/>
  <c r="H197" i="12"/>
  <c r="H198" i="12"/>
  <c r="H194" i="12"/>
  <c r="E195" i="12"/>
  <c r="E196" i="12"/>
  <c r="E197" i="12"/>
  <c r="E198" i="12"/>
  <c r="E194" i="12"/>
  <c r="K187" i="12"/>
  <c r="K188" i="12"/>
  <c r="K189" i="12"/>
  <c r="K190" i="12"/>
  <c r="K186" i="12"/>
  <c r="H187" i="12"/>
  <c r="H188" i="12"/>
  <c r="H189" i="12"/>
  <c r="H190" i="12"/>
  <c r="H186" i="12"/>
  <c r="E187" i="12"/>
  <c r="E188" i="12"/>
  <c r="E189" i="12"/>
  <c r="E190" i="12"/>
  <c r="E186" i="12"/>
  <c r="K178" i="12"/>
  <c r="K179" i="12"/>
  <c r="K180" i="12"/>
  <c r="K181" i="12"/>
  <c r="K177" i="12"/>
  <c r="H178" i="12"/>
  <c r="H179" i="12"/>
  <c r="H180" i="12"/>
  <c r="H181" i="12"/>
  <c r="H177" i="12"/>
  <c r="E178" i="12"/>
  <c r="E179" i="12"/>
  <c r="E180" i="12"/>
  <c r="E181" i="12"/>
  <c r="E177" i="12"/>
  <c r="K170" i="12"/>
  <c r="K171" i="12"/>
  <c r="K172" i="12"/>
  <c r="K173" i="12"/>
  <c r="H170" i="12"/>
  <c r="H171" i="12"/>
  <c r="H172" i="12"/>
  <c r="H173" i="12"/>
  <c r="E170" i="12"/>
  <c r="E171" i="12"/>
  <c r="E172" i="12"/>
  <c r="E173" i="12"/>
  <c r="K169" i="12"/>
  <c r="H169" i="12"/>
  <c r="E169" i="12"/>
  <c r="K161" i="12"/>
  <c r="K162" i="12"/>
  <c r="K163" i="12"/>
  <c r="K164" i="12"/>
  <c r="H161" i="12"/>
  <c r="H162" i="12"/>
  <c r="H163" i="12"/>
  <c r="H164" i="12"/>
  <c r="E161" i="12"/>
  <c r="E162" i="12"/>
  <c r="E163" i="12"/>
  <c r="E164" i="12"/>
  <c r="K160" i="12"/>
  <c r="H160" i="12"/>
  <c r="E160" i="12"/>
  <c r="K144" i="12"/>
  <c r="K145" i="12"/>
  <c r="K146" i="12"/>
  <c r="K147" i="12"/>
  <c r="K143" i="12"/>
  <c r="H144" i="12"/>
  <c r="H145" i="12"/>
  <c r="H146" i="12"/>
  <c r="H147" i="12"/>
  <c r="H143" i="12"/>
  <c r="E144" i="12"/>
  <c r="E145" i="12"/>
  <c r="E146" i="12"/>
  <c r="E147" i="12"/>
  <c r="E143" i="12"/>
  <c r="K153" i="12"/>
  <c r="K154" i="12"/>
  <c r="K155" i="12"/>
  <c r="K156" i="12"/>
  <c r="K152" i="12"/>
  <c r="H153" i="12"/>
  <c r="H154" i="12"/>
  <c r="H155" i="12"/>
  <c r="H156" i="12"/>
  <c r="H152" i="12"/>
  <c r="E153" i="12"/>
  <c r="E154" i="12"/>
  <c r="E155" i="12"/>
  <c r="E156" i="12"/>
  <c r="E152" i="12"/>
  <c r="K136" i="12"/>
  <c r="K137" i="12"/>
  <c r="K138" i="12"/>
  <c r="K139" i="12"/>
  <c r="K135" i="12"/>
  <c r="H136" i="12"/>
  <c r="H137" i="12"/>
  <c r="H138" i="12"/>
  <c r="H139" i="12"/>
  <c r="H135" i="12"/>
  <c r="E136" i="12"/>
  <c r="E137" i="12"/>
  <c r="E138" i="12"/>
  <c r="E139" i="12"/>
  <c r="E135" i="12"/>
  <c r="K127" i="12"/>
  <c r="K128" i="12"/>
  <c r="K129" i="12"/>
  <c r="K130" i="12"/>
  <c r="K126" i="12"/>
  <c r="H127" i="12"/>
  <c r="H128" i="12"/>
  <c r="H129" i="12"/>
  <c r="H130" i="12"/>
  <c r="H126" i="12"/>
  <c r="E127" i="12"/>
  <c r="E128" i="12"/>
  <c r="E129" i="12"/>
  <c r="E130" i="12"/>
  <c r="E126" i="12"/>
  <c r="K119" i="12"/>
  <c r="K120" i="12"/>
  <c r="K121" i="12"/>
  <c r="K122" i="12"/>
  <c r="K118" i="12"/>
  <c r="H119" i="12"/>
  <c r="H120" i="12"/>
  <c r="H121" i="12"/>
  <c r="H122" i="12"/>
  <c r="H118" i="12"/>
  <c r="E119" i="12"/>
  <c r="E120" i="12"/>
  <c r="E121" i="12"/>
  <c r="E122" i="12"/>
  <c r="E118" i="12"/>
  <c r="K110" i="12"/>
  <c r="K111" i="12"/>
  <c r="K112" i="12"/>
  <c r="K113" i="12"/>
  <c r="K109" i="12"/>
  <c r="H110" i="12"/>
  <c r="H111" i="12"/>
  <c r="H112" i="12"/>
  <c r="H113" i="12"/>
  <c r="H109" i="12"/>
  <c r="E110" i="12"/>
  <c r="E111" i="12"/>
  <c r="E112" i="12"/>
  <c r="E113" i="12"/>
  <c r="E109" i="12"/>
  <c r="E101" i="12"/>
  <c r="E102" i="12"/>
  <c r="E103" i="12"/>
  <c r="E104" i="12"/>
  <c r="E105" i="12"/>
  <c r="H101" i="12"/>
  <c r="H102" i="12"/>
  <c r="H103" i="12"/>
  <c r="H104" i="12"/>
  <c r="H105" i="12"/>
  <c r="K101" i="12"/>
  <c r="K102" i="12"/>
  <c r="K103" i="12"/>
  <c r="K104" i="12"/>
  <c r="K105" i="12"/>
  <c r="K58" i="12"/>
  <c r="K59" i="12"/>
  <c r="K60" i="12"/>
  <c r="K61" i="12"/>
  <c r="H58" i="12"/>
  <c r="H59" i="12"/>
  <c r="H60" i="12"/>
  <c r="H61" i="12"/>
  <c r="E58" i="12"/>
  <c r="E59" i="12"/>
  <c r="E60" i="12"/>
  <c r="E61" i="12"/>
  <c r="K57" i="12"/>
  <c r="H57" i="12"/>
  <c r="E57" i="12"/>
  <c r="K40" i="12"/>
  <c r="K41" i="12"/>
  <c r="K42" i="12"/>
  <c r="K43" i="12"/>
  <c r="H40" i="12"/>
  <c r="H41" i="12"/>
  <c r="H42" i="12"/>
  <c r="H43" i="12"/>
  <c r="E40" i="12"/>
  <c r="E41" i="12"/>
  <c r="E42" i="12"/>
  <c r="E43" i="12"/>
  <c r="K39" i="12"/>
  <c r="H39" i="12"/>
  <c r="E39" i="12"/>
  <c r="K75" i="12"/>
  <c r="K76" i="12"/>
  <c r="K77" i="12"/>
  <c r="K78" i="12"/>
  <c r="H75" i="12"/>
  <c r="H76" i="12"/>
  <c r="H77" i="12"/>
  <c r="H78" i="12"/>
  <c r="E75" i="12"/>
  <c r="E76" i="12"/>
  <c r="E77" i="12"/>
  <c r="E78" i="12"/>
  <c r="K74" i="12"/>
  <c r="H74" i="12"/>
  <c r="E74" i="12"/>
  <c r="K93" i="12"/>
  <c r="K94" i="12"/>
  <c r="K95" i="12"/>
  <c r="K96" i="12"/>
  <c r="K92" i="12"/>
  <c r="H93" i="12"/>
  <c r="H94" i="12"/>
  <c r="H95" i="12"/>
  <c r="H96" i="12"/>
  <c r="H92" i="12"/>
  <c r="E93" i="12"/>
  <c r="E94" i="12"/>
  <c r="E95" i="12"/>
  <c r="E96" i="12"/>
  <c r="E92" i="12"/>
  <c r="K84" i="12"/>
  <c r="K85" i="12"/>
  <c r="K86" i="12"/>
  <c r="K87" i="12"/>
  <c r="K83" i="12"/>
  <c r="H84" i="12"/>
  <c r="H85" i="12"/>
  <c r="H86" i="12"/>
  <c r="H87" i="12"/>
  <c r="H83" i="12"/>
  <c r="E84" i="12"/>
  <c r="E85" i="12"/>
  <c r="E86" i="12"/>
  <c r="E87" i="12"/>
  <c r="E83" i="12"/>
  <c r="K67" i="12"/>
  <c r="K68" i="12"/>
  <c r="K69" i="12"/>
  <c r="K70" i="12"/>
  <c r="K66" i="12"/>
  <c r="H67" i="12"/>
  <c r="H68" i="12"/>
  <c r="H69" i="12"/>
  <c r="H70" i="12"/>
  <c r="H66" i="12"/>
  <c r="E67" i="12"/>
  <c r="E68" i="12"/>
  <c r="E69" i="12"/>
  <c r="E70" i="12"/>
  <c r="E66" i="12"/>
  <c r="K49" i="12"/>
  <c r="K50" i="12"/>
  <c r="K51" i="12"/>
  <c r="K52" i="12"/>
  <c r="K48" i="12"/>
  <c r="H49" i="12"/>
  <c r="H50" i="12"/>
  <c r="H51" i="12"/>
  <c r="H52" i="12"/>
  <c r="H48" i="12"/>
  <c r="E49" i="12"/>
  <c r="E50" i="12"/>
  <c r="E51" i="12"/>
  <c r="E52" i="12"/>
  <c r="E48" i="12"/>
  <c r="E30" i="12"/>
  <c r="E31" i="12"/>
  <c r="K31" i="12"/>
  <c r="K32" i="12"/>
  <c r="K33" i="12"/>
  <c r="K34" i="12"/>
  <c r="K30" i="12"/>
  <c r="H31" i="12"/>
  <c r="H32" i="12"/>
  <c r="H33" i="12"/>
  <c r="H34" i="12"/>
  <c r="H30" i="12"/>
  <c r="E32" i="12"/>
  <c r="E33" i="12"/>
  <c r="E34" i="12"/>
  <c r="K22" i="12"/>
  <c r="K23" i="12"/>
  <c r="K24" i="12"/>
  <c r="K25" i="12"/>
  <c r="K21" i="12"/>
  <c r="H22" i="12"/>
  <c r="H23" i="12"/>
  <c r="H24" i="12"/>
  <c r="H25" i="12"/>
  <c r="H21" i="12"/>
  <c r="E22" i="12"/>
  <c r="E23" i="12"/>
  <c r="E24" i="12"/>
  <c r="E25" i="12"/>
  <c r="E21" i="12"/>
  <c r="K13" i="12"/>
  <c r="K14" i="12"/>
  <c r="K15" i="12"/>
  <c r="K16" i="12"/>
  <c r="K12" i="12"/>
  <c r="H13" i="12"/>
  <c r="H14" i="12"/>
  <c r="H15" i="12"/>
  <c r="H16" i="12"/>
  <c r="H12" i="12"/>
  <c r="E13" i="12"/>
  <c r="E14" i="12"/>
  <c r="E15" i="12"/>
  <c r="E16" i="12"/>
  <c r="E12" i="12"/>
  <c r="K4" i="12"/>
  <c r="K5" i="12"/>
  <c r="K6" i="12"/>
  <c r="K7" i="12"/>
  <c r="K3" i="12"/>
  <c r="H4" i="12"/>
  <c r="H5" i="12"/>
  <c r="H6" i="12"/>
  <c r="H7" i="12"/>
  <c r="H3" i="12"/>
  <c r="E4" i="12"/>
  <c r="E5" i="12"/>
  <c r="E6" i="12"/>
  <c r="E7" i="12"/>
  <c r="E220" i="10"/>
  <c r="E3" i="12"/>
  <c r="H232" i="10"/>
  <c r="K230" i="10"/>
  <c r="K231" i="10"/>
  <c r="K232" i="10"/>
  <c r="K233" i="10"/>
  <c r="K229" i="10"/>
  <c r="H230" i="10"/>
  <c r="H231" i="10"/>
  <c r="H233" i="10"/>
  <c r="H229" i="10"/>
  <c r="E230" i="10"/>
  <c r="E231" i="10"/>
  <c r="E232" i="10"/>
  <c r="E233" i="10"/>
  <c r="E229" i="10"/>
  <c r="K206" i="10"/>
  <c r="K203" i="10"/>
  <c r="K204" i="10"/>
  <c r="K205" i="10"/>
  <c r="K202" i="10"/>
  <c r="H203" i="10"/>
  <c r="H204" i="10"/>
  <c r="H205" i="10"/>
  <c r="H206" i="10"/>
  <c r="H202" i="10"/>
  <c r="E203" i="10"/>
  <c r="E204" i="10"/>
  <c r="E205" i="10"/>
  <c r="E206" i="10"/>
  <c r="E202" i="10"/>
  <c r="K212" i="10"/>
  <c r="K213" i="10"/>
  <c r="K214" i="10"/>
  <c r="K215" i="10"/>
  <c r="K211" i="10"/>
  <c r="H212" i="10"/>
  <c r="H213" i="10"/>
  <c r="H214" i="10"/>
  <c r="H215" i="10"/>
  <c r="H211" i="10"/>
  <c r="E212" i="10"/>
  <c r="E213" i="10"/>
  <c r="E214" i="10"/>
  <c r="E215" i="10"/>
  <c r="E211" i="10"/>
  <c r="K221" i="10"/>
  <c r="K222" i="10"/>
  <c r="K223" i="10"/>
  <c r="K224" i="10"/>
  <c r="K220" i="10"/>
  <c r="H221" i="10"/>
  <c r="H222" i="10"/>
  <c r="H223" i="10"/>
  <c r="H224" i="10"/>
  <c r="H220" i="10"/>
  <c r="E221" i="10"/>
  <c r="E222" i="10"/>
  <c r="E223" i="10"/>
  <c r="E224" i="10"/>
  <c r="K185" i="10"/>
  <c r="K186" i="10"/>
  <c r="K187" i="10"/>
  <c r="K188" i="10"/>
  <c r="K184" i="10"/>
  <c r="H185" i="10"/>
  <c r="H186" i="10"/>
  <c r="H187" i="10"/>
  <c r="H188" i="10"/>
  <c r="H184" i="10"/>
  <c r="E185" i="10"/>
  <c r="E186" i="10"/>
  <c r="E187" i="10"/>
  <c r="E188" i="10"/>
  <c r="E184" i="10"/>
  <c r="K167" i="10"/>
  <c r="K168" i="10"/>
  <c r="K169" i="10"/>
  <c r="K170" i="10"/>
  <c r="K166" i="10"/>
  <c r="H167" i="10"/>
  <c r="H168" i="10"/>
  <c r="H169" i="10"/>
  <c r="H170" i="10"/>
  <c r="H166" i="10"/>
  <c r="E167" i="10"/>
  <c r="E168" i="10"/>
  <c r="E169" i="10"/>
  <c r="E170" i="10"/>
  <c r="E166" i="10"/>
  <c r="K194" i="10"/>
  <c r="K195" i="10"/>
  <c r="K196" i="10"/>
  <c r="K197" i="10"/>
  <c r="K193" i="10"/>
  <c r="H194" i="10"/>
  <c r="H195" i="10"/>
  <c r="H196" i="10"/>
  <c r="H197" i="10"/>
  <c r="H193" i="10"/>
  <c r="K176" i="10"/>
  <c r="K177" i="10"/>
  <c r="K178" i="10"/>
  <c r="K179" i="10"/>
  <c r="K175" i="10"/>
  <c r="H176" i="10"/>
  <c r="H177" i="10"/>
  <c r="H178" i="10"/>
  <c r="H179" i="10"/>
  <c r="H175" i="10"/>
  <c r="E176" i="10"/>
  <c r="E177" i="10"/>
  <c r="E178" i="10"/>
  <c r="E179" i="10"/>
  <c r="E175" i="10"/>
  <c r="E194" i="10"/>
  <c r="E195" i="10"/>
  <c r="E196" i="10"/>
  <c r="E197" i="10"/>
  <c r="E193" i="10"/>
  <c r="K161" i="10"/>
  <c r="H161" i="10"/>
  <c r="E161" i="10"/>
  <c r="K160" i="10"/>
  <c r="H160" i="10"/>
  <c r="E160" i="10"/>
  <c r="K159" i="10"/>
  <c r="H159" i="10"/>
  <c r="E159" i="10"/>
  <c r="K158" i="10"/>
  <c r="H158" i="10"/>
  <c r="E158" i="10"/>
  <c r="K157" i="10"/>
  <c r="H157" i="10"/>
  <c r="E157" i="10"/>
  <c r="K149" i="10"/>
  <c r="K150" i="10"/>
  <c r="K151" i="10"/>
  <c r="K152" i="10"/>
  <c r="K148" i="10"/>
  <c r="H149" i="10"/>
  <c r="H150" i="10"/>
  <c r="H151" i="10"/>
  <c r="H152" i="10"/>
  <c r="H148" i="10"/>
  <c r="E149" i="10"/>
  <c r="E150" i="10"/>
  <c r="E151" i="10"/>
  <c r="E152" i="10"/>
  <c r="E148" i="10"/>
  <c r="K140" i="10"/>
  <c r="K141" i="10"/>
  <c r="K142" i="10"/>
  <c r="K143" i="10"/>
  <c r="K139" i="10"/>
  <c r="H140" i="10"/>
  <c r="H141" i="10"/>
  <c r="H142" i="10"/>
  <c r="H143" i="10"/>
  <c r="H139" i="10"/>
  <c r="E140" i="10"/>
  <c r="E141" i="10"/>
  <c r="E142" i="10"/>
  <c r="E143" i="10"/>
  <c r="E139" i="10"/>
  <c r="K131" i="10"/>
  <c r="K132" i="10"/>
  <c r="K133" i="10"/>
  <c r="K134" i="10"/>
  <c r="K130" i="10"/>
  <c r="H131" i="10"/>
  <c r="H132" i="10"/>
  <c r="H133" i="10"/>
  <c r="H134" i="10"/>
  <c r="H130" i="10"/>
  <c r="E131" i="10"/>
  <c r="E132" i="10"/>
  <c r="E133" i="10"/>
  <c r="E134" i="10"/>
  <c r="E130" i="10"/>
  <c r="K122" i="10"/>
  <c r="K123" i="10"/>
  <c r="K124" i="10"/>
  <c r="K125" i="10"/>
  <c r="K121" i="10"/>
  <c r="H122" i="10"/>
  <c r="H123" i="10"/>
  <c r="H124" i="10"/>
  <c r="H125" i="10"/>
  <c r="H121" i="10"/>
  <c r="E122" i="10"/>
  <c r="E123" i="10"/>
  <c r="E124" i="10"/>
  <c r="E125" i="10"/>
  <c r="E121" i="10"/>
  <c r="K112" i="10"/>
  <c r="K113" i="10"/>
  <c r="K114" i="10"/>
  <c r="K115" i="10"/>
  <c r="K111" i="10"/>
  <c r="H112" i="10"/>
  <c r="H113" i="10"/>
  <c r="H114" i="10"/>
  <c r="H115" i="10"/>
  <c r="H111" i="10"/>
  <c r="E112" i="10"/>
  <c r="E113" i="10"/>
  <c r="E114" i="10"/>
  <c r="E115" i="10"/>
  <c r="E111" i="10"/>
  <c r="K85" i="10"/>
  <c r="K86" i="10"/>
  <c r="K87" i="10"/>
  <c r="K88" i="10"/>
  <c r="K84" i="10"/>
  <c r="H85" i="10"/>
  <c r="H86" i="10"/>
  <c r="H87" i="10"/>
  <c r="H88" i="10"/>
  <c r="H84" i="10"/>
  <c r="E85" i="10"/>
  <c r="E86" i="10"/>
  <c r="E87" i="10"/>
  <c r="E88" i="10"/>
  <c r="E84" i="10"/>
  <c r="K76" i="10"/>
  <c r="K77" i="10"/>
  <c r="K78" i="10"/>
  <c r="K79" i="10"/>
  <c r="K75" i="10"/>
  <c r="H76" i="10"/>
  <c r="H77" i="10"/>
  <c r="H78" i="10"/>
  <c r="H79" i="10"/>
  <c r="H75" i="10"/>
  <c r="E76" i="10"/>
  <c r="E77" i="10"/>
  <c r="E78" i="10"/>
  <c r="E79" i="10"/>
  <c r="E75" i="10"/>
  <c r="K67" i="10"/>
  <c r="K68" i="10"/>
  <c r="K69" i="10"/>
  <c r="K70" i="10"/>
  <c r="K66" i="10"/>
  <c r="H67" i="10"/>
  <c r="H68" i="10"/>
  <c r="H69" i="10"/>
  <c r="H70" i="10"/>
  <c r="H66" i="10"/>
  <c r="E67" i="10"/>
  <c r="E68" i="10"/>
  <c r="E69" i="10"/>
  <c r="E70" i="10"/>
  <c r="E66" i="10"/>
  <c r="K60" i="10"/>
  <c r="K58" i="10"/>
  <c r="K59" i="10"/>
  <c r="K61" i="10"/>
  <c r="K57" i="10"/>
  <c r="H58" i="10"/>
  <c r="H59" i="10"/>
  <c r="H60" i="10"/>
  <c r="H61" i="10"/>
  <c r="H57" i="10"/>
  <c r="E58" i="10"/>
  <c r="E59" i="10"/>
  <c r="E60" i="10"/>
  <c r="E61" i="10"/>
  <c r="E57" i="10"/>
  <c r="K49" i="10"/>
  <c r="K50" i="10"/>
  <c r="K51" i="10"/>
  <c r="K52" i="10"/>
  <c r="K48" i="10"/>
  <c r="H49" i="10"/>
  <c r="H50" i="10"/>
  <c r="H51" i="10"/>
  <c r="H52" i="10"/>
  <c r="H48" i="10"/>
  <c r="E49" i="10"/>
  <c r="E50" i="10"/>
  <c r="E51" i="10"/>
  <c r="E52" i="10"/>
  <c r="E48" i="10"/>
  <c r="K40" i="10"/>
  <c r="K41" i="10"/>
  <c r="K42" i="10"/>
  <c r="K43" i="10"/>
  <c r="K39" i="10"/>
  <c r="H40" i="10"/>
  <c r="H41" i="10"/>
  <c r="H42" i="10"/>
  <c r="H43" i="10"/>
  <c r="H39" i="10"/>
  <c r="E40" i="10"/>
  <c r="E41" i="10"/>
  <c r="E42" i="10"/>
  <c r="E43" i="10"/>
  <c r="E39" i="10"/>
  <c r="K31" i="10"/>
  <c r="K32" i="10"/>
  <c r="K33" i="10"/>
  <c r="K34" i="10"/>
  <c r="K30" i="10"/>
  <c r="H31" i="10"/>
  <c r="H32" i="10"/>
  <c r="H33" i="10"/>
  <c r="H34" i="10"/>
  <c r="H30" i="10"/>
  <c r="E31" i="10"/>
  <c r="E32" i="10"/>
  <c r="E33" i="10"/>
  <c r="E34" i="10"/>
  <c r="E30" i="10"/>
  <c r="H21" i="10"/>
  <c r="K22" i="10"/>
  <c r="K23" i="10"/>
  <c r="K24" i="10"/>
  <c r="K25" i="10"/>
  <c r="K21" i="10"/>
  <c r="H22" i="10"/>
  <c r="H23" i="10"/>
  <c r="H24" i="10"/>
  <c r="H25" i="10"/>
  <c r="E22" i="10"/>
  <c r="E23" i="10"/>
  <c r="E24" i="10"/>
  <c r="E25" i="10"/>
  <c r="E21" i="10"/>
  <c r="K13" i="10"/>
  <c r="K14" i="10"/>
  <c r="K15" i="10"/>
  <c r="K16" i="10"/>
  <c r="K12" i="10"/>
  <c r="H13" i="10"/>
  <c r="H14" i="10"/>
  <c r="H15" i="10"/>
  <c r="H16" i="10"/>
  <c r="H12" i="10"/>
  <c r="E13" i="10"/>
  <c r="E14" i="10"/>
  <c r="E15" i="10"/>
  <c r="E16" i="10"/>
  <c r="E12" i="10"/>
  <c r="K4" i="10"/>
  <c r="K5" i="10"/>
  <c r="K6" i="10"/>
  <c r="K7" i="10"/>
  <c r="K3" i="10"/>
  <c r="H4" i="10"/>
  <c r="H5" i="10"/>
  <c r="H6" i="10"/>
  <c r="H7" i="10"/>
  <c r="H3" i="10"/>
  <c r="E4" i="10"/>
  <c r="E5" i="10"/>
  <c r="E6" i="10"/>
  <c r="E7" i="10"/>
  <c r="E3" i="10"/>
  <c r="N58" i="9"/>
  <c r="N59" i="9"/>
  <c r="N60" i="9"/>
  <c r="N61" i="9"/>
  <c r="N57" i="9"/>
  <c r="M58" i="9"/>
  <c r="M59" i="9"/>
  <c r="M60" i="9"/>
  <c r="M61" i="9"/>
  <c r="M57" i="9"/>
  <c r="J58" i="9"/>
  <c r="J59" i="9"/>
  <c r="J60" i="9"/>
  <c r="J61" i="9"/>
  <c r="J57" i="9"/>
  <c r="I58" i="9"/>
  <c r="I59" i="9"/>
  <c r="I60" i="9"/>
  <c r="I61" i="9"/>
  <c r="I57" i="9"/>
  <c r="F58" i="9"/>
  <c r="F59" i="9"/>
  <c r="F60" i="9"/>
  <c r="F61" i="9"/>
  <c r="F57" i="9"/>
  <c r="E58" i="9"/>
  <c r="E59" i="9"/>
  <c r="E60" i="9"/>
  <c r="E61" i="9"/>
  <c r="E57" i="9"/>
  <c r="N49" i="9"/>
  <c r="N50" i="9"/>
  <c r="N51" i="9"/>
  <c r="N52" i="9"/>
  <c r="N48" i="9"/>
  <c r="M49" i="9"/>
  <c r="M50" i="9"/>
  <c r="M51" i="9"/>
  <c r="M52" i="9"/>
  <c r="M48" i="9"/>
  <c r="J49" i="9"/>
  <c r="J50" i="9"/>
  <c r="J51" i="9"/>
  <c r="J52" i="9"/>
  <c r="J48" i="9"/>
  <c r="I49" i="9"/>
  <c r="I50" i="9"/>
  <c r="I51" i="9"/>
  <c r="I52" i="9"/>
  <c r="I48" i="9"/>
  <c r="E49" i="9"/>
  <c r="E50" i="9"/>
  <c r="E51" i="9"/>
  <c r="E52" i="9"/>
  <c r="E48" i="9"/>
  <c r="F49" i="9"/>
  <c r="F50" i="9"/>
  <c r="F51" i="9"/>
  <c r="F52" i="9"/>
  <c r="F48" i="9"/>
  <c r="I39" i="9"/>
  <c r="F40" i="9"/>
  <c r="F41" i="9"/>
  <c r="F42" i="9"/>
  <c r="F43" i="9"/>
  <c r="E40" i="9"/>
  <c r="E41" i="9"/>
  <c r="E42" i="9"/>
  <c r="E43" i="9"/>
  <c r="N40" i="9"/>
  <c r="N41" i="9"/>
  <c r="N42" i="9"/>
  <c r="N43" i="9"/>
  <c r="M40" i="9"/>
  <c r="M41" i="9"/>
  <c r="M42" i="9"/>
  <c r="M43" i="9"/>
  <c r="J40" i="9"/>
  <c r="J41" i="9"/>
  <c r="J42" i="9"/>
  <c r="J43" i="9"/>
  <c r="I40" i="9"/>
  <c r="I41" i="9"/>
  <c r="I42" i="9"/>
  <c r="I43" i="9"/>
  <c r="N39" i="9"/>
  <c r="M39" i="9"/>
  <c r="J39" i="9"/>
  <c r="F39" i="9"/>
  <c r="E39" i="9"/>
  <c r="E30" i="9"/>
  <c r="N31" i="9"/>
  <c r="N32" i="9"/>
  <c r="N33" i="9"/>
  <c r="N34" i="9"/>
  <c r="N30" i="9"/>
  <c r="J31" i="9"/>
  <c r="J32" i="9"/>
  <c r="J33" i="9"/>
  <c r="J34" i="9"/>
  <c r="J30" i="9"/>
  <c r="F31" i="9"/>
  <c r="F32" i="9"/>
  <c r="F33" i="9"/>
  <c r="F34" i="9"/>
  <c r="F30" i="9"/>
  <c r="N13" i="9"/>
  <c r="N14" i="9"/>
  <c r="N15" i="9"/>
  <c r="N16" i="9"/>
  <c r="N12" i="9"/>
  <c r="J13" i="9"/>
  <c r="J14" i="9"/>
  <c r="J15" i="9"/>
  <c r="J16" i="9"/>
  <c r="J12" i="9"/>
  <c r="F13" i="9"/>
  <c r="F14" i="9"/>
  <c r="F15" i="9"/>
  <c r="F16" i="9"/>
  <c r="F12" i="9"/>
  <c r="F3" i="9"/>
  <c r="F4" i="9"/>
  <c r="F5" i="9"/>
  <c r="F6" i="9"/>
  <c r="F7" i="9"/>
  <c r="F22" i="9"/>
  <c r="F23" i="9"/>
  <c r="F24" i="9"/>
  <c r="F25" i="9"/>
  <c r="N22" i="9"/>
  <c r="N23" i="9"/>
  <c r="N24" i="9"/>
  <c r="N25" i="9"/>
  <c r="J22" i="9"/>
  <c r="J23" i="9"/>
  <c r="J24" i="9"/>
  <c r="J25" i="9"/>
  <c r="N4" i="9"/>
  <c r="N5" i="9"/>
  <c r="N6" i="9"/>
  <c r="N7" i="9"/>
  <c r="J4" i="9"/>
  <c r="J5" i="9"/>
  <c r="J6" i="9"/>
  <c r="J7" i="9"/>
  <c r="N21" i="9"/>
  <c r="N3" i="9"/>
  <c r="J21" i="9"/>
  <c r="J3" i="9"/>
  <c r="F21" i="9"/>
  <c r="E3" i="9"/>
  <c r="E4" i="9"/>
  <c r="E5" i="9"/>
  <c r="E6" i="9"/>
  <c r="E7" i="9"/>
  <c r="E21" i="9"/>
  <c r="M34" i="9"/>
  <c r="I34" i="9"/>
  <c r="E34" i="9"/>
  <c r="M33" i="9"/>
  <c r="I33" i="9"/>
  <c r="E33" i="9"/>
  <c r="M32" i="9"/>
  <c r="I32" i="9"/>
  <c r="E32" i="9"/>
  <c r="M31" i="9"/>
  <c r="I31" i="9"/>
  <c r="E31" i="9"/>
  <c r="M30" i="9"/>
  <c r="I30" i="9"/>
  <c r="M25" i="9"/>
  <c r="I25" i="9"/>
  <c r="E25" i="9"/>
  <c r="M24" i="9"/>
  <c r="I24" i="9"/>
  <c r="E24" i="9"/>
  <c r="M23" i="9"/>
  <c r="I23" i="9"/>
  <c r="E23" i="9"/>
  <c r="M22" i="9"/>
  <c r="I22" i="9"/>
  <c r="E22" i="9"/>
  <c r="M21" i="9"/>
  <c r="I21" i="9"/>
  <c r="M16" i="9"/>
  <c r="I16" i="9"/>
  <c r="E16" i="9"/>
  <c r="M15" i="9"/>
  <c r="I15" i="9"/>
  <c r="E15" i="9"/>
  <c r="M14" i="9"/>
  <c r="I14" i="9"/>
  <c r="E14" i="9"/>
  <c r="M13" i="9"/>
  <c r="I13" i="9"/>
  <c r="E13" i="9"/>
  <c r="M12" i="9"/>
  <c r="I12" i="9"/>
  <c r="E12" i="9"/>
  <c r="M7" i="9"/>
  <c r="I7" i="9"/>
  <c r="M6" i="9"/>
  <c r="I6" i="9"/>
  <c r="M5" i="9"/>
  <c r="I5" i="9"/>
  <c r="M4" i="9"/>
  <c r="I4" i="9"/>
  <c r="M3" i="9"/>
  <c r="I3" i="9"/>
  <c r="M79" i="8"/>
  <c r="M78" i="8"/>
  <c r="M77" i="8"/>
  <c r="M76" i="8"/>
  <c r="M75" i="8"/>
  <c r="I79" i="8"/>
  <c r="I78" i="8"/>
  <c r="I77" i="8"/>
  <c r="I76" i="8"/>
  <c r="I75" i="8"/>
  <c r="E79" i="8"/>
  <c r="E78" i="8"/>
  <c r="E77" i="8"/>
  <c r="E76" i="8"/>
  <c r="E75" i="8"/>
  <c r="M71" i="8"/>
  <c r="M70" i="8"/>
  <c r="M69" i="8"/>
  <c r="M68" i="8"/>
  <c r="M67" i="8"/>
  <c r="I71" i="8"/>
  <c r="I70" i="8"/>
  <c r="I69" i="8"/>
  <c r="I68" i="8"/>
  <c r="I67" i="8"/>
  <c r="E71" i="8"/>
  <c r="E70" i="8"/>
  <c r="E69" i="8"/>
  <c r="E68" i="8"/>
  <c r="E67" i="8"/>
  <c r="M62" i="8"/>
  <c r="M61" i="8"/>
  <c r="M60" i="8"/>
  <c r="M59" i="8"/>
  <c r="M58" i="8"/>
  <c r="I62" i="8"/>
  <c r="I61" i="8"/>
  <c r="I60" i="8"/>
  <c r="I59" i="8"/>
  <c r="I58" i="8"/>
  <c r="E62" i="8"/>
  <c r="E61" i="8"/>
  <c r="E60" i="8"/>
  <c r="E59" i="8"/>
  <c r="E58" i="8"/>
  <c r="M54" i="8"/>
  <c r="M53" i="8"/>
  <c r="M52" i="8"/>
  <c r="M51" i="8"/>
  <c r="M50" i="8"/>
  <c r="I54" i="8"/>
  <c r="I53" i="8"/>
  <c r="I52" i="8"/>
  <c r="I51" i="8"/>
  <c r="I50" i="8"/>
  <c r="E54" i="8"/>
  <c r="E53" i="8"/>
  <c r="E52" i="8"/>
  <c r="E51" i="8"/>
  <c r="E50" i="8"/>
  <c r="E3" i="8"/>
  <c r="M44" i="8"/>
  <c r="M43" i="8"/>
  <c r="M42" i="8"/>
  <c r="M41" i="8"/>
  <c r="M40" i="8"/>
  <c r="I44" i="8"/>
  <c r="I43" i="8"/>
  <c r="I42" i="8"/>
  <c r="I41" i="8"/>
  <c r="I40" i="8"/>
  <c r="E44" i="8"/>
  <c r="E43" i="8"/>
  <c r="E42" i="8"/>
  <c r="E41" i="8"/>
  <c r="E40" i="8"/>
  <c r="M34" i="8"/>
  <c r="M33" i="8"/>
  <c r="M32" i="8"/>
  <c r="M31" i="8"/>
  <c r="M30" i="8"/>
  <c r="I34" i="8"/>
  <c r="I33" i="8"/>
  <c r="I32" i="8"/>
  <c r="I31" i="8"/>
  <c r="I30" i="8"/>
  <c r="E34" i="8"/>
  <c r="E33" i="8"/>
  <c r="E32" i="8"/>
  <c r="E31" i="8"/>
  <c r="E30" i="8"/>
  <c r="M25" i="8"/>
  <c r="M24" i="8"/>
  <c r="M23" i="8"/>
  <c r="M22" i="8"/>
  <c r="M21" i="8"/>
  <c r="I25" i="8"/>
  <c r="I24" i="8"/>
  <c r="I23" i="8"/>
  <c r="I22" i="8"/>
  <c r="I21" i="8"/>
  <c r="E25" i="8"/>
  <c r="E24" i="8"/>
  <c r="E23" i="8"/>
  <c r="E22" i="8"/>
  <c r="E21" i="8"/>
  <c r="M16" i="8"/>
  <c r="M15" i="8"/>
  <c r="M14" i="8"/>
  <c r="M13" i="8"/>
  <c r="M12" i="8"/>
  <c r="I16" i="8"/>
  <c r="I15" i="8"/>
  <c r="I14" i="8"/>
  <c r="I13" i="8"/>
  <c r="I12" i="8"/>
  <c r="E16" i="8"/>
  <c r="E15" i="8"/>
  <c r="E14" i="8"/>
  <c r="E13" i="8"/>
  <c r="E12" i="8"/>
  <c r="M7" i="8"/>
  <c r="M6" i="8"/>
  <c r="M5" i="8"/>
  <c r="M4" i="8"/>
  <c r="M3" i="8"/>
  <c r="I7" i="8"/>
  <c r="I6" i="8"/>
  <c r="I5" i="8"/>
  <c r="I4" i="8"/>
  <c r="I3" i="8"/>
  <c r="E7" i="8"/>
  <c r="E6" i="8"/>
  <c r="E5" i="8"/>
  <c r="E4" i="8"/>
  <c r="N79" i="8"/>
  <c r="J79" i="8"/>
  <c r="F79" i="8"/>
  <c r="N78" i="8"/>
  <c r="J78" i="8"/>
  <c r="F78" i="8"/>
  <c r="N77" i="8"/>
  <c r="J77" i="8"/>
  <c r="F77" i="8"/>
  <c r="N76" i="8"/>
  <c r="J76" i="8"/>
  <c r="F76" i="8"/>
  <c r="N75" i="8"/>
  <c r="J75" i="8"/>
  <c r="F75" i="8"/>
  <c r="N71" i="8"/>
  <c r="J71" i="8"/>
  <c r="F71" i="8"/>
  <c r="N70" i="8"/>
  <c r="J70" i="8"/>
  <c r="F70" i="8"/>
  <c r="N69" i="8"/>
  <c r="J69" i="8"/>
  <c r="F69" i="8"/>
  <c r="N68" i="8"/>
  <c r="J68" i="8"/>
  <c r="F68" i="8"/>
  <c r="N67" i="8"/>
  <c r="J67" i="8"/>
  <c r="F67" i="8"/>
  <c r="N62" i="8"/>
  <c r="J62" i="8"/>
  <c r="F62" i="8"/>
  <c r="N61" i="8"/>
  <c r="J61" i="8"/>
  <c r="F61" i="8"/>
  <c r="N60" i="8"/>
  <c r="J60" i="8"/>
  <c r="F60" i="8"/>
  <c r="N59" i="8"/>
  <c r="J59" i="8"/>
  <c r="F59" i="8"/>
  <c r="N58" i="8"/>
  <c r="J58" i="8"/>
  <c r="F58" i="8"/>
  <c r="N54" i="8"/>
  <c r="J54" i="8"/>
  <c r="F54" i="8"/>
  <c r="N53" i="8"/>
  <c r="J53" i="8"/>
  <c r="F53" i="8"/>
  <c r="N52" i="8"/>
  <c r="J52" i="8"/>
  <c r="F52" i="8"/>
  <c r="N51" i="8"/>
  <c r="J51" i="8"/>
  <c r="F51" i="8"/>
  <c r="N50" i="8"/>
  <c r="J50" i="8"/>
  <c r="F50" i="8"/>
  <c r="N44" i="8"/>
  <c r="J44" i="8"/>
  <c r="F44" i="8"/>
  <c r="N43" i="8"/>
  <c r="J43" i="8"/>
  <c r="F43" i="8"/>
  <c r="N42" i="8"/>
  <c r="J42" i="8"/>
  <c r="F42" i="8"/>
  <c r="N41" i="8"/>
  <c r="J41" i="8"/>
  <c r="F41" i="8"/>
  <c r="N40" i="8"/>
  <c r="J40" i="8"/>
  <c r="F40" i="8"/>
  <c r="N34" i="8"/>
  <c r="J34" i="8"/>
  <c r="F34" i="8"/>
  <c r="N33" i="8"/>
  <c r="J33" i="8"/>
  <c r="F33" i="8"/>
  <c r="N32" i="8"/>
  <c r="J32" i="8"/>
  <c r="F32" i="8"/>
  <c r="N31" i="8"/>
  <c r="J31" i="8"/>
  <c r="F31" i="8"/>
  <c r="N30" i="8"/>
  <c r="J30" i="8"/>
  <c r="F30" i="8"/>
  <c r="N25" i="8"/>
  <c r="J25" i="8"/>
  <c r="F25" i="8"/>
  <c r="N24" i="8"/>
  <c r="J24" i="8"/>
  <c r="F24" i="8"/>
  <c r="N23" i="8"/>
  <c r="J23" i="8"/>
  <c r="F23" i="8"/>
  <c r="N22" i="8"/>
  <c r="J22" i="8"/>
  <c r="F22" i="8"/>
  <c r="N21" i="8"/>
  <c r="J21" i="8"/>
  <c r="F21" i="8"/>
  <c r="N16" i="8"/>
  <c r="J16" i="8"/>
  <c r="F16" i="8"/>
  <c r="N15" i="8"/>
  <c r="J15" i="8"/>
  <c r="F15" i="8"/>
  <c r="N14" i="8"/>
  <c r="J14" i="8"/>
  <c r="F14" i="8"/>
  <c r="N13" i="8"/>
  <c r="J13" i="8"/>
  <c r="F13" i="8"/>
  <c r="N12" i="8"/>
  <c r="J12" i="8"/>
  <c r="F12" i="8"/>
  <c r="N7" i="8"/>
  <c r="J7" i="8"/>
  <c r="F7" i="8"/>
  <c r="N6" i="8"/>
  <c r="J6" i="8"/>
  <c r="F6" i="8"/>
  <c r="N5" i="8"/>
  <c r="J5" i="8"/>
  <c r="F5" i="8"/>
  <c r="N4" i="8"/>
  <c r="J4" i="8"/>
  <c r="F4" i="8"/>
  <c r="N3" i="8"/>
  <c r="J3" i="8"/>
  <c r="F3" i="8"/>
  <c r="N94" i="7"/>
  <c r="N93" i="7"/>
  <c r="N92" i="7"/>
  <c r="N91" i="7"/>
  <c r="N90" i="7"/>
  <c r="J94" i="7"/>
  <c r="J93" i="7"/>
  <c r="J92" i="7"/>
  <c r="J91" i="7"/>
  <c r="J90" i="7"/>
  <c r="F94" i="7"/>
  <c r="F93" i="7"/>
  <c r="F92" i="7"/>
  <c r="F91" i="7"/>
  <c r="F90" i="7"/>
  <c r="N86" i="7"/>
  <c r="N85" i="7"/>
  <c r="N84" i="7"/>
  <c r="N83" i="7"/>
  <c r="N82" i="7"/>
  <c r="J86" i="7"/>
  <c r="J85" i="7"/>
  <c r="J84" i="7"/>
  <c r="J83" i="7"/>
  <c r="J82" i="7"/>
  <c r="F86" i="7"/>
  <c r="F85" i="7"/>
  <c r="F84" i="7"/>
  <c r="F83" i="7"/>
  <c r="F82" i="7"/>
  <c r="M94" i="7"/>
  <c r="M93" i="7"/>
  <c r="M92" i="7"/>
  <c r="M91" i="7"/>
  <c r="M90" i="7"/>
  <c r="I94" i="7"/>
  <c r="I93" i="7"/>
  <c r="I92" i="7"/>
  <c r="I91" i="7"/>
  <c r="I90" i="7"/>
  <c r="E94" i="7"/>
  <c r="E93" i="7"/>
  <c r="E92" i="7"/>
  <c r="E91" i="7"/>
  <c r="E90" i="7"/>
  <c r="M86" i="7"/>
  <c r="M85" i="7"/>
  <c r="M84" i="7"/>
  <c r="M83" i="7"/>
  <c r="M82" i="7"/>
  <c r="I86" i="7"/>
  <c r="I85" i="7"/>
  <c r="I84" i="7"/>
  <c r="I83" i="7"/>
  <c r="I82" i="7"/>
  <c r="E86" i="7"/>
  <c r="E85" i="7"/>
  <c r="E84" i="7"/>
  <c r="E83" i="7"/>
  <c r="E82" i="7"/>
  <c r="N77" i="7"/>
  <c r="M77" i="7"/>
  <c r="N76" i="7"/>
  <c r="M76" i="7"/>
  <c r="N75" i="7"/>
  <c r="M75" i="7"/>
  <c r="N74" i="7"/>
  <c r="M74" i="7"/>
  <c r="N73" i="7"/>
  <c r="M73" i="7"/>
  <c r="J77" i="7"/>
  <c r="I77" i="7"/>
  <c r="J76" i="7"/>
  <c r="I76" i="7"/>
  <c r="J75" i="7"/>
  <c r="I75" i="7"/>
  <c r="J74" i="7"/>
  <c r="I74" i="7"/>
  <c r="J73" i="7"/>
  <c r="I73" i="7"/>
  <c r="F77" i="7"/>
  <c r="E77" i="7"/>
  <c r="F76" i="7"/>
  <c r="E76" i="7"/>
  <c r="F75" i="7"/>
  <c r="E75" i="7"/>
  <c r="F74" i="7"/>
  <c r="E74" i="7"/>
  <c r="F73" i="7"/>
  <c r="E73" i="7"/>
  <c r="N69" i="7"/>
  <c r="M69" i="7"/>
  <c r="N68" i="7"/>
  <c r="M68" i="7"/>
  <c r="N67" i="7"/>
  <c r="M67" i="7"/>
  <c r="N66" i="7"/>
  <c r="M66" i="7"/>
  <c r="N65" i="7"/>
  <c r="M65" i="7"/>
  <c r="J69" i="7"/>
  <c r="I69" i="7"/>
  <c r="J68" i="7"/>
  <c r="I68" i="7"/>
  <c r="J67" i="7"/>
  <c r="I67" i="7"/>
  <c r="J66" i="7"/>
  <c r="I66" i="7"/>
  <c r="J65" i="7"/>
  <c r="I65" i="7"/>
  <c r="F69" i="7"/>
  <c r="E69" i="7"/>
  <c r="F68" i="7"/>
  <c r="E68" i="7"/>
  <c r="F67" i="7"/>
  <c r="E67" i="7"/>
  <c r="F66" i="7"/>
  <c r="E66" i="7"/>
  <c r="F65" i="7"/>
  <c r="E65" i="7"/>
  <c r="E50" i="7"/>
  <c r="F50" i="7"/>
  <c r="I50" i="7"/>
  <c r="J50" i="7"/>
  <c r="M50" i="7"/>
  <c r="N50" i="7"/>
  <c r="E51" i="7"/>
  <c r="F51" i="7"/>
  <c r="I51" i="7"/>
  <c r="J51" i="7"/>
  <c r="M51" i="7"/>
  <c r="N51" i="7"/>
  <c r="N59" i="7"/>
  <c r="M59" i="7"/>
  <c r="N58" i="7"/>
  <c r="M58" i="7"/>
  <c r="N57" i="7"/>
  <c r="M57" i="7"/>
  <c r="N56" i="7"/>
  <c r="M56" i="7"/>
  <c r="N55" i="7"/>
  <c r="M55" i="7"/>
  <c r="J59" i="7"/>
  <c r="I59" i="7"/>
  <c r="J58" i="7"/>
  <c r="I58" i="7"/>
  <c r="J57" i="7"/>
  <c r="I57" i="7"/>
  <c r="J56" i="7"/>
  <c r="I56" i="7"/>
  <c r="J55" i="7"/>
  <c r="I55" i="7"/>
  <c r="F59" i="7"/>
  <c r="E59" i="7"/>
  <c r="F58" i="7"/>
  <c r="E58" i="7"/>
  <c r="F57" i="7"/>
  <c r="E57" i="7"/>
  <c r="F56" i="7"/>
  <c r="E56" i="7"/>
  <c r="F55" i="7"/>
  <c r="E55" i="7"/>
  <c r="N49" i="7"/>
  <c r="M49" i="7"/>
  <c r="N48" i="7"/>
  <c r="M48" i="7"/>
  <c r="N47" i="7"/>
  <c r="M47" i="7"/>
  <c r="J49" i="7"/>
  <c r="I49" i="7"/>
  <c r="J48" i="7"/>
  <c r="I48" i="7"/>
  <c r="J47" i="7"/>
  <c r="I47" i="7"/>
  <c r="F49" i="7"/>
  <c r="E49" i="7"/>
  <c r="F48" i="7"/>
  <c r="E48" i="7"/>
  <c r="F47" i="7"/>
  <c r="E47" i="7"/>
  <c r="E37" i="7"/>
  <c r="E38" i="7"/>
  <c r="E39" i="7"/>
  <c r="E40" i="7"/>
  <c r="E41" i="7"/>
  <c r="F37" i="7"/>
  <c r="F38" i="7"/>
  <c r="F39" i="7"/>
  <c r="F40" i="7"/>
  <c r="F41" i="7"/>
  <c r="I37" i="7"/>
  <c r="J37" i="7"/>
  <c r="N41" i="7"/>
  <c r="M41" i="7"/>
  <c r="N40" i="7"/>
  <c r="M40" i="7"/>
  <c r="N39" i="7"/>
  <c r="M39" i="7"/>
  <c r="N38" i="7"/>
  <c r="M38" i="7"/>
  <c r="N37" i="7"/>
  <c r="M37" i="7"/>
  <c r="J41" i="7"/>
  <c r="I41" i="7"/>
  <c r="J40" i="7"/>
  <c r="I40" i="7"/>
  <c r="J39" i="7"/>
  <c r="I39" i="7"/>
  <c r="J38" i="7"/>
  <c r="I38" i="7"/>
  <c r="N32" i="7"/>
  <c r="N31" i="7"/>
  <c r="N30" i="7"/>
  <c r="N29" i="7"/>
  <c r="N28" i="7"/>
  <c r="J32" i="7"/>
  <c r="J31" i="7"/>
  <c r="J30" i="7"/>
  <c r="J29" i="7"/>
  <c r="J28" i="7"/>
  <c r="F32" i="7"/>
  <c r="F31" i="7"/>
  <c r="F30" i="7"/>
  <c r="F29" i="7"/>
  <c r="F28" i="7"/>
  <c r="B34" i="7" s="1"/>
  <c r="M32" i="7"/>
  <c r="M31" i="7"/>
  <c r="M30" i="7"/>
  <c r="M29" i="7"/>
  <c r="M28" i="7"/>
  <c r="I32" i="7"/>
  <c r="I31" i="7"/>
  <c r="I30" i="7"/>
  <c r="I29" i="7"/>
  <c r="I28" i="7"/>
  <c r="E32" i="7"/>
  <c r="E31" i="7"/>
  <c r="E30" i="7"/>
  <c r="E29" i="7"/>
  <c r="E28" i="7"/>
  <c r="N16" i="7"/>
  <c r="N15" i="7"/>
  <c r="N14" i="7"/>
  <c r="N13" i="7"/>
  <c r="N12" i="7"/>
  <c r="J16" i="7"/>
  <c r="J15" i="7"/>
  <c r="J14" i="7"/>
  <c r="J13" i="7"/>
  <c r="J12" i="7"/>
  <c r="F16" i="7"/>
  <c r="F15" i="7"/>
  <c r="F14" i="7"/>
  <c r="F13" i="7"/>
  <c r="F12" i="7"/>
  <c r="M16" i="7"/>
  <c r="M15" i="7"/>
  <c r="M14" i="7"/>
  <c r="M13" i="7"/>
  <c r="M12" i="7"/>
  <c r="I16" i="7"/>
  <c r="I15" i="7"/>
  <c r="I14" i="7"/>
  <c r="I13" i="7"/>
  <c r="I12" i="7"/>
  <c r="E16" i="7"/>
  <c r="E15" i="7"/>
  <c r="E14" i="7"/>
  <c r="E13" i="7"/>
  <c r="E12" i="7"/>
  <c r="N7" i="7"/>
  <c r="N6" i="7"/>
  <c r="N5" i="7"/>
  <c r="N4" i="7"/>
  <c r="N3" i="7"/>
  <c r="J7" i="7"/>
  <c r="J6" i="7"/>
  <c r="F3" i="7"/>
  <c r="F4" i="7"/>
  <c r="F5" i="7"/>
  <c r="F6" i="7"/>
  <c r="F7" i="7"/>
  <c r="J3" i="7"/>
  <c r="J4" i="7"/>
  <c r="J5" i="7"/>
  <c r="M7" i="7"/>
  <c r="M6" i="7"/>
  <c r="M5" i="7"/>
  <c r="M4" i="7"/>
  <c r="M3" i="7"/>
  <c r="I7" i="7"/>
  <c r="I6" i="7"/>
  <c r="I5" i="7"/>
  <c r="I4" i="7"/>
  <c r="I3" i="7"/>
  <c r="E7" i="7"/>
  <c r="E6" i="7"/>
  <c r="E5" i="7"/>
  <c r="E4" i="7"/>
  <c r="E3" i="7"/>
  <c r="N90" i="6"/>
  <c r="N89" i="6"/>
  <c r="N88" i="6"/>
  <c r="N87" i="6"/>
  <c r="N86" i="6"/>
  <c r="M90" i="6"/>
  <c r="M89" i="6"/>
  <c r="M88" i="6"/>
  <c r="M87" i="6"/>
  <c r="M86" i="6"/>
  <c r="J90" i="6"/>
  <c r="J89" i="6"/>
  <c r="J88" i="6"/>
  <c r="J87" i="6"/>
  <c r="J86" i="6"/>
  <c r="I90" i="6"/>
  <c r="I89" i="6"/>
  <c r="I88" i="6"/>
  <c r="I87" i="6"/>
  <c r="I86" i="6"/>
  <c r="F90" i="6"/>
  <c r="F89" i="6"/>
  <c r="F88" i="6"/>
  <c r="F87" i="6"/>
  <c r="F86" i="6"/>
  <c r="E90" i="6"/>
  <c r="E89" i="6"/>
  <c r="E88" i="6"/>
  <c r="E87" i="6"/>
  <c r="E86" i="6"/>
  <c r="N82" i="6"/>
  <c r="N81" i="6"/>
  <c r="N80" i="6"/>
  <c r="N79" i="6"/>
  <c r="N78" i="6"/>
  <c r="M82" i="6"/>
  <c r="M81" i="6"/>
  <c r="M80" i="6"/>
  <c r="M79" i="6"/>
  <c r="M78" i="6"/>
  <c r="J82" i="6"/>
  <c r="J81" i="6"/>
  <c r="J80" i="6"/>
  <c r="J79" i="6"/>
  <c r="J78" i="6"/>
  <c r="I82" i="6"/>
  <c r="I81" i="6"/>
  <c r="I80" i="6"/>
  <c r="I79" i="6"/>
  <c r="I78" i="6"/>
  <c r="F82" i="6"/>
  <c r="F81" i="6"/>
  <c r="F80" i="6"/>
  <c r="F79" i="6"/>
  <c r="F78" i="6"/>
  <c r="E82" i="6"/>
  <c r="E81" i="6"/>
  <c r="E80" i="6"/>
  <c r="E79" i="6"/>
  <c r="E78" i="6"/>
  <c r="N73" i="6"/>
  <c r="N72" i="6"/>
  <c r="N71" i="6"/>
  <c r="N70" i="6"/>
  <c r="N69" i="6"/>
  <c r="J73" i="6"/>
  <c r="J72" i="6"/>
  <c r="J71" i="6"/>
  <c r="J70" i="6"/>
  <c r="J69" i="6"/>
  <c r="F73" i="6"/>
  <c r="F72" i="6"/>
  <c r="F71" i="6"/>
  <c r="F70" i="6"/>
  <c r="F69" i="6"/>
  <c r="M73" i="6"/>
  <c r="M72" i="6"/>
  <c r="M71" i="6"/>
  <c r="M70" i="6"/>
  <c r="M69" i="6"/>
  <c r="I73" i="6"/>
  <c r="I72" i="6"/>
  <c r="I71" i="6"/>
  <c r="I70" i="6"/>
  <c r="I69" i="6"/>
  <c r="E73" i="6"/>
  <c r="E72" i="6"/>
  <c r="E71" i="6"/>
  <c r="E70" i="6"/>
  <c r="E69" i="6"/>
  <c r="N65" i="6"/>
  <c r="N64" i="6"/>
  <c r="N63" i="6"/>
  <c r="N62" i="6"/>
  <c r="N61" i="6"/>
  <c r="J65" i="6"/>
  <c r="J64" i="6"/>
  <c r="J63" i="6"/>
  <c r="J62" i="6"/>
  <c r="J61" i="6"/>
  <c r="F65" i="6"/>
  <c r="F64" i="6"/>
  <c r="F63" i="6"/>
  <c r="F62" i="6"/>
  <c r="F61" i="6"/>
  <c r="M65" i="6"/>
  <c r="M64" i="6"/>
  <c r="M63" i="6"/>
  <c r="M62" i="6"/>
  <c r="M61" i="6"/>
  <c r="I65" i="6"/>
  <c r="I64" i="6"/>
  <c r="I63" i="6"/>
  <c r="I62" i="6"/>
  <c r="I61" i="6"/>
  <c r="E65" i="6"/>
  <c r="E64" i="6"/>
  <c r="E63" i="6"/>
  <c r="E62" i="6"/>
  <c r="E61" i="6"/>
  <c r="N47" i="6"/>
  <c r="N46" i="6"/>
  <c r="N45" i="6"/>
  <c r="N44" i="6"/>
  <c r="N43" i="6"/>
  <c r="J47" i="6"/>
  <c r="J46" i="6"/>
  <c r="J45" i="6"/>
  <c r="J44" i="6"/>
  <c r="J43" i="6"/>
  <c r="F47" i="6"/>
  <c r="F46" i="6"/>
  <c r="F45" i="6"/>
  <c r="F44" i="6"/>
  <c r="F43" i="6"/>
  <c r="M47" i="6"/>
  <c r="M46" i="6"/>
  <c r="M45" i="6"/>
  <c r="M44" i="6"/>
  <c r="M43" i="6"/>
  <c r="I47" i="6"/>
  <c r="I46" i="6"/>
  <c r="I45" i="6"/>
  <c r="I44" i="6"/>
  <c r="I43" i="6"/>
  <c r="E47" i="6"/>
  <c r="E46" i="6"/>
  <c r="E45" i="6"/>
  <c r="E44" i="6"/>
  <c r="E43" i="6"/>
  <c r="N39" i="6"/>
  <c r="M35" i="6"/>
  <c r="M36" i="6"/>
  <c r="M37" i="6"/>
  <c r="M38" i="6"/>
  <c r="N35" i="6"/>
  <c r="N36" i="6"/>
  <c r="N37" i="6"/>
  <c r="N38" i="6"/>
  <c r="M39" i="6"/>
  <c r="N56" i="6"/>
  <c r="N55" i="6"/>
  <c r="N54" i="6"/>
  <c r="N53" i="6"/>
  <c r="N52" i="6"/>
  <c r="J56" i="6"/>
  <c r="J55" i="6"/>
  <c r="J54" i="6"/>
  <c r="J53" i="6"/>
  <c r="J52" i="6"/>
  <c r="F56" i="6"/>
  <c r="F55" i="6"/>
  <c r="F54" i="6"/>
  <c r="F53" i="6"/>
  <c r="F52" i="6"/>
  <c r="M56" i="6"/>
  <c r="M55" i="6"/>
  <c r="M54" i="6"/>
  <c r="M53" i="6"/>
  <c r="M52" i="6"/>
  <c r="I56" i="6"/>
  <c r="I55" i="6"/>
  <c r="I54" i="6"/>
  <c r="I53" i="6"/>
  <c r="I52" i="6"/>
  <c r="E56" i="6"/>
  <c r="E55" i="6"/>
  <c r="E54" i="6"/>
  <c r="E53" i="6"/>
  <c r="E52" i="6"/>
  <c r="J39" i="6"/>
  <c r="J38" i="6"/>
  <c r="J37" i="6"/>
  <c r="J36" i="6"/>
  <c r="J35" i="6"/>
  <c r="F39" i="6"/>
  <c r="E39" i="6"/>
  <c r="P39" i="6" s="1"/>
  <c r="I39" i="6"/>
  <c r="F38" i="6"/>
  <c r="F37" i="6"/>
  <c r="F36" i="6"/>
  <c r="F35" i="6"/>
  <c r="I38" i="6"/>
  <c r="I37" i="6"/>
  <c r="I36" i="6"/>
  <c r="I35" i="6"/>
  <c r="E35" i="6"/>
  <c r="P35" i="6" s="1"/>
  <c r="E38" i="6"/>
  <c r="E37" i="6"/>
  <c r="E36" i="6"/>
  <c r="P36" i="6" s="1"/>
  <c r="N31" i="6"/>
  <c r="N30" i="6"/>
  <c r="N29" i="6"/>
  <c r="N28" i="6"/>
  <c r="N23" i="6"/>
  <c r="N22" i="6"/>
  <c r="N21" i="6"/>
  <c r="N20" i="6"/>
  <c r="N27" i="6"/>
  <c r="N19" i="6"/>
  <c r="M31" i="6"/>
  <c r="M30" i="6"/>
  <c r="M29" i="6"/>
  <c r="M28" i="6"/>
  <c r="M23" i="6"/>
  <c r="M22" i="6"/>
  <c r="M21" i="6"/>
  <c r="M20" i="6"/>
  <c r="M27" i="6"/>
  <c r="M19" i="6"/>
  <c r="J31" i="6"/>
  <c r="J30" i="6"/>
  <c r="J29" i="6"/>
  <c r="J28" i="6"/>
  <c r="J23" i="6"/>
  <c r="J22" i="6"/>
  <c r="J21" i="6"/>
  <c r="J20" i="6"/>
  <c r="J27" i="6"/>
  <c r="J19" i="6"/>
  <c r="I31" i="6"/>
  <c r="I30" i="6"/>
  <c r="I29" i="6"/>
  <c r="I28" i="6"/>
  <c r="I23" i="6"/>
  <c r="I22" i="6"/>
  <c r="I21" i="6"/>
  <c r="I20" i="6"/>
  <c r="I27" i="6"/>
  <c r="I19" i="6"/>
  <c r="F31" i="6"/>
  <c r="F30" i="6"/>
  <c r="F29" i="6"/>
  <c r="F28" i="6"/>
  <c r="F27" i="6"/>
  <c r="E31" i="6"/>
  <c r="E30" i="6"/>
  <c r="E29" i="6"/>
  <c r="E28" i="6"/>
  <c r="E27" i="6"/>
  <c r="F23" i="6"/>
  <c r="F22" i="6"/>
  <c r="F21" i="6"/>
  <c r="F20" i="6"/>
  <c r="E23" i="6"/>
  <c r="E22" i="6"/>
  <c r="E21" i="6"/>
  <c r="E20" i="6"/>
  <c r="F19" i="6"/>
  <c r="E19" i="6"/>
  <c r="L36" i="5"/>
  <c r="L35" i="5"/>
  <c r="L34" i="5"/>
  <c r="L33" i="5"/>
  <c r="L32" i="5"/>
  <c r="L27" i="5"/>
  <c r="L26" i="5"/>
  <c r="L25" i="5"/>
  <c r="L24" i="5"/>
  <c r="L23" i="5"/>
  <c r="I36" i="5"/>
  <c r="I35" i="5"/>
  <c r="I34" i="5"/>
  <c r="I33" i="5"/>
  <c r="I32" i="5"/>
  <c r="I27" i="5"/>
  <c r="I26" i="5"/>
  <c r="I25" i="5"/>
  <c r="I24" i="5"/>
  <c r="I23" i="5"/>
  <c r="F36" i="5"/>
  <c r="F35" i="5"/>
  <c r="F34" i="5"/>
  <c r="F33" i="5"/>
  <c r="F32" i="5"/>
  <c r="F27" i="5"/>
  <c r="F26" i="5"/>
  <c r="F25" i="5"/>
  <c r="F24" i="5"/>
  <c r="F23" i="5"/>
  <c r="N14" i="6"/>
  <c r="N13" i="6"/>
  <c r="N12" i="6"/>
  <c r="N11" i="6"/>
  <c r="J15" i="6"/>
  <c r="J14" i="6"/>
  <c r="J13" i="6"/>
  <c r="J12" i="6"/>
  <c r="J11" i="6"/>
  <c r="F15" i="6"/>
  <c r="F14" i="6"/>
  <c r="F13" i="6"/>
  <c r="F12" i="6"/>
  <c r="F11" i="6"/>
  <c r="N7" i="6"/>
  <c r="N6" i="6"/>
  <c r="N5" i="6"/>
  <c r="N4" i="6"/>
  <c r="N3" i="6"/>
  <c r="J7" i="6"/>
  <c r="J6" i="6"/>
  <c r="J5" i="6"/>
  <c r="J4" i="6"/>
  <c r="J3" i="6"/>
  <c r="F7" i="6"/>
  <c r="F6" i="6"/>
  <c r="F5" i="6"/>
  <c r="F4" i="6"/>
  <c r="F3" i="6"/>
  <c r="M14" i="6"/>
  <c r="M13" i="6"/>
  <c r="M12" i="6"/>
  <c r="M11" i="6"/>
  <c r="I15" i="6"/>
  <c r="I14" i="6"/>
  <c r="I13" i="6"/>
  <c r="I12" i="6"/>
  <c r="I11" i="6"/>
  <c r="E15" i="6"/>
  <c r="E14" i="6"/>
  <c r="E13" i="6"/>
  <c r="E12" i="6"/>
  <c r="E11" i="6"/>
  <c r="M7" i="6"/>
  <c r="M6" i="6"/>
  <c r="M5" i="6"/>
  <c r="M4" i="6"/>
  <c r="M3" i="6"/>
  <c r="I7" i="6"/>
  <c r="I6" i="6"/>
  <c r="I5" i="6"/>
  <c r="I4" i="6"/>
  <c r="I3" i="6"/>
  <c r="E7" i="6"/>
  <c r="E6" i="6"/>
  <c r="E5" i="6"/>
  <c r="E4" i="6"/>
  <c r="E3" i="6"/>
  <c r="K36" i="5"/>
  <c r="K35" i="5"/>
  <c r="K34" i="5"/>
  <c r="K33" i="5"/>
  <c r="K32" i="5"/>
  <c r="H36" i="5"/>
  <c r="H35" i="5"/>
  <c r="H34" i="5"/>
  <c r="H33" i="5"/>
  <c r="H32" i="5"/>
  <c r="E36" i="5"/>
  <c r="E35" i="5"/>
  <c r="E34" i="5"/>
  <c r="E33" i="5"/>
  <c r="E32" i="5"/>
  <c r="K27" i="5"/>
  <c r="K26" i="5"/>
  <c r="K25" i="5"/>
  <c r="K24" i="5"/>
  <c r="K23" i="5"/>
  <c r="H27" i="5"/>
  <c r="H26" i="5"/>
  <c r="H25" i="5"/>
  <c r="H24" i="5"/>
  <c r="H23" i="5"/>
  <c r="E27" i="5"/>
  <c r="E26" i="5"/>
  <c r="E25" i="5"/>
  <c r="E24" i="5"/>
  <c r="E23" i="5"/>
  <c r="K17" i="5"/>
  <c r="K16" i="5"/>
  <c r="K15" i="5"/>
  <c r="K14" i="5"/>
  <c r="K13" i="5"/>
  <c r="H17" i="5"/>
  <c r="H16" i="5"/>
  <c r="H15" i="5"/>
  <c r="H14" i="5"/>
  <c r="H13" i="5"/>
  <c r="E17" i="5"/>
  <c r="E16" i="5"/>
  <c r="E15" i="5"/>
  <c r="E14" i="5"/>
  <c r="E13" i="5"/>
  <c r="K8" i="5"/>
  <c r="K7" i="5"/>
  <c r="K6" i="5"/>
  <c r="K5" i="5"/>
  <c r="K4" i="5"/>
  <c r="H8" i="5"/>
  <c r="H7" i="5"/>
  <c r="H6" i="5"/>
  <c r="H5" i="5"/>
  <c r="H4" i="5"/>
  <c r="E8" i="5"/>
  <c r="E7" i="5"/>
  <c r="E6" i="5"/>
  <c r="E5" i="5"/>
  <c r="E4" i="5"/>
  <c r="H81" i="4"/>
  <c r="H82" i="4"/>
  <c r="H80" i="4"/>
  <c r="H79" i="4"/>
  <c r="H78" i="4"/>
  <c r="E82" i="4"/>
  <c r="E81" i="4"/>
  <c r="E80" i="4"/>
  <c r="E79" i="4"/>
  <c r="E78" i="4"/>
  <c r="H72" i="4"/>
  <c r="H71" i="4"/>
  <c r="H70" i="4"/>
  <c r="H69" i="4"/>
  <c r="H68" i="4"/>
  <c r="E72" i="4"/>
  <c r="E71" i="4"/>
  <c r="E70" i="4"/>
  <c r="E69" i="4"/>
  <c r="E68" i="4"/>
  <c r="K53" i="4"/>
  <c r="K52" i="4"/>
  <c r="K51" i="4"/>
  <c r="K50" i="4"/>
  <c r="K49" i="4"/>
  <c r="H53" i="4"/>
  <c r="H52" i="4"/>
  <c r="H51" i="4"/>
  <c r="H50" i="4"/>
  <c r="H49" i="4"/>
  <c r="E53" i="4"/>
  <c r="E52" i="4"/>
  <c r="E51" i="4"/>
  <c r="E50" i="4"/>
  <c r="E49" i="4"/>
  <c r="K62" i="4"/>
  <c r="K61" i="4"/>
  <c r="K60" i="4"/>
  <c r="K59" i="4"/>
  <c r="K58" i="4"/>
  <c r="H62" i="4"/>
  <c r="H61" i="4"/>
  <c r="H60" i="4"/>
  <c r="H59" i="4"/>
  <c r="H58" i="4"/>
  <c r="E62" i="4"/>
  <c r="E61" i="4"/>
  <c r="E60" i="4"/>
  <c r="E59" i="4"/>
  <c r="E58" i="4"/>
  <c r="E40" i="4"/>
  <c r="K44" i="4"/>
  <c r="K43" i="4"/>
  <c r="K42" i="4"/>
  <c r="K41" i="4"/>
  <c r="K40" i="4"/>
  <c r="H44" i="4"/>
  <c r="H43" i="4"/>
  <c r="H42" i="4"/>
  <c r="H41" i="4"/>
  <c r="H40" i="4"/>
  <c r="E44" i="4"/>
  <c r="E43" i="4"/>
  <c r="E42" i="4"/>
  <c r="E41" i="4"/>
  <c r="H35" i="4"/>
  <c r="H34" i="4"/>
  <c r="H33" i="4"/>
  <c r="H32" i="4"/>
  <c r="H31" i="4"/>
  <c r="E35" i="4"/>
  <c r="E34" i="4"/>
  <c r="E33" i="4"/>
  <c r="E32" i="4"/>
  <c r="E31" i="4"/>
  <c r="H26" i="4"/>
  <c r="H25" i="4"/>
  <c r="H24" i="4"/>
  <c r="H23" i="4"/>
  <c r="H22" i="4"/>
  <c r="E26" i="4"/>
  <c r="E25" i="4"/>
  <c r="E24" i="4"/>
  <c r="E23" i="4"/>
  <c r="E22" i="4"/>
  <c r="K17" i="4"/>
  <c r="K16" i="4"/>
  <c r="K15" i="4"/>
  <c r="K14" i="4"/>
  <c r="K13" i="4"/>
  <c r="H17" i="4"/>
  <c r="H16" i="4"/>
  <c r="H15" i="4"/>
  <c r="H14" i="4"/>
  <c r="H13" i="4"/>
  <c r="E17" i="4"/>
  <c r="E16" i="4"/>
  <c r="E15" i="4"/>
  <c r="E14" i="4"/>
  <c r="E13" i="4"/>
  <c r="K8" i="4"/>
  <c r="K7" i="4"/>
  <c r="K6" i="4"/>
  <c r="K5" i="4"/>
  <c r="K4" i="4"/>
  <c r="H8" i="4"/>
  <c r="H7" i="4"/>
  <c r="H6" i="4"/>
  <c r="H5" i="4"/>
  <c r="H4" i="4"/>
  <c r="E8" i="4"/>
  <c r="E7" i="4"/>
  <c r="E6" i="4"/>
  <c r="E5" i="4"/>
  <c r="E4" i="4"/>
  <c r="L94" i="3"/>
  <c r="K94" i="3"/>
  <c r="I94" i="3"/>
  <c r="H94" i="3"/>
  <c r="F94" i="3"/>
  <c r="E94" i="3"/>
  <c r="L93" i="3"/>
  <c r="K93" i="3"/>
  <c r="I93" i="3"/>
  <c r="H93" i="3"/>
  <c r="F93" i="3"/>
  <c r="E93" i="3"/>
  <c r="L92" i="3"/>
  <c r="K92" i="3"/>
  <c r="I92" i="3"/>
  <c r="H92" i="3"/>
  <c r="F92" i="3"/>
  <c r="E92" i="3"/>
  <c r="L91" i="3"/>
  <c r="K91" i="3"/>
  <c r="I91" i="3"/>
  <c r="H91" i="3"/>
  <c r="F91" i="3"/>
  <c r="E91" i="3"/>
  <c r="L90" i="3"/>
  <c r="K90" i="3"/>
  <c r="I90" i="3"/>
  <c r="H90" i="3"/>
  <c r="F90" i="3"/>
  <c r="E90" i="3"/>
  <c r="L85" i="3"/>
  <c r="K85" i="3"/>
  <c r="I85" i="3"/>
  <c r="H85" i="3"/>
  <c r="F85" i="3"/>
  <c r="E85" i="3"/>
  <c r="L84" i="3"/>
  <c r="K84" i="3"/>
  <c r="I84" i="3"/>
  <c r="H84" i="3"/>
  <c r="F84" i="3"/>
  <c r="E84" i="3"/>
  <c r="L83" i="3"/>
  <c r="K83" i="3"/>
  <c r="I83" i="3"/>
  <c r="H83" i="3"/>
  <c r="F83" i="3"/>
  <c r="E83" i="3"/>
  <c r="L82" i="3"/>
  <c r="K82" i="3"/>
  <c r="I82" i="3"/>
  <c r="H82" i="3"/>
  <c r="F82" i="3"/>
  <c r="E82" i="3"/>
  <c r="L81" i="3"/>
  <c r="K81" i="3"/>
  <c r="I81" i="3"/>
  <c r="H81" i="3"/>
  <c r="F81" i="3"/>
  <c r="E81" i="3"/>
  <c r="K75" i="3"/>
  <c r="K74" i="3"/>
  <c r="K73" i="3"/>
  <c r="K72" i="3"/>
  <c r="K71" i="3"/>
  <c r="H75" i="3"/>
  <c r="H74" i="3"/>
  <c r="H73" i="3"/>
  <c r="H72" i="3"/>
  <c r="H71" i="3"/>
  <c r="L75" i="3"/>
  <c r="L74" i="3"/>
  <c r="L73" i="3"/>
  <c r="L72" i="3"/>
  <c r="L71" i="3"/>
  <c r="I75" i="3"/>
  <c r="I74" i="3"/>
  <c r="I73" i="3"/>
  <c r="I72" i="3"/>
  <c r="I71" i="3"/>
  <c r="F75" i="3"/>
  <c r="F74" i="3"/>
  <c r="F73" i="3"/>
  <c r="F72" i="3"/>
  <c r="F71" i="3"/>
  <c r="E75" i="3"/>
  <c r="E74" i="3"/>
  <c r="E73" i="3"/>
  <c r="E72" i="3"/>
  <c r="E71" i="3"/>
  <c r="L66" i="3"/>
  <c r="K66" i="3"/>
  <c r="I66" i="3"/>
  <c r="H66" i="3"/>
  <c r="F66" i="3"/>
  <c r="E66" i="3"/>
  <c r="L65" i="3"/>
  <c r="K65" i="3"/>
  <c r="I65" i="3"/>
  <c r="H65" i="3"/>
  <c r="F65" i="3"/>
  <c r="E65" i="3"/>
  <c r="L64" i="3"/>
  <c r="K64" i="3"/>
  <c r="I64" i="3"/>
  <c r="H64" i="3"/>
  <c r="F64" i="3"/>
  <c r="E64" i="3"/>
  <c r="L63" i="3"/>
  <c r="K63" i="3"/>
  <c r="I63" i="3"/>
  <c r="H63" i="3"/>
  <c r="F63" i="3"/>
  <c r="E63" i="3"/>
  <c r="L62" i="3"/>
  <c r="K62" i="3"/>
  <c r="I62" i="3"/>
  <c r="H62" i="3"/>
  <c r="F62" i="3"/>
  <c r="E62" i="3"/>
  <c r="K56" i="3"/>
  <c r="K55" i="3"/>
  <c r="K54" i="3"/>
  <c r="K53" i="3"/>
  <c r="K52" i="3"/>
  <c r="H56" i="3"/>
  <c r="H55" i="3"/>
  <c r="H54" i="3"/>
  <c r="H53" i="3"/>
  <c r="H52" i="3"/>
  <c r="E56" i="3"/>
  <c r="E55" i="3"/>
  <c r="E54" i="3"/>
  <c r="E53" i="3"/>
  <c r="E52" i="3"/>
  <c r="L56" i="3"/>
  <c r="L55" i="3"/>
  <c r="L54" i="3"/>
  <c r="L53" i="3"/>
  <c r="L52" i="3"/>
  <c r="I56" i="3"/>
  <c r="I55" i="3"/>
  <c r="I54" i="3"/>
  <c r="I53" i="3"/>
  <c r="I52" i="3"/>
  <c r="F56" i="3"/>
  <c r="F55" i="3"/>
  <c r="F54" i="3"/>
  <c r="F53" i="3"/>
  <c r="F52" i="3"/>
  <c r="K46" i="3"/>
  <c r="K45" i="3"/>
  <c r="K44" i="3"/>
  <c r="K43" i="3"/>
  <c r="K42" i="3"/>
  <c r="H46" i="3"/>
  <c r="H45" i="3"/>
  <c r="H44" i="3"/>
  <c r="H43" i="3"/>
  <c r="H42" i="3"/>
  <c r="L46" i="3"/>
  <c r="L45" i="3"/>
  <c r="L44" i="3"/>
  <c r="L43" i="3"/>
  <c r="L42" i="3"/>
  <c r="I46" i="3"/>
  <c r="I45" i="3"/>
  <c r="I44" i="3"/>
  <c r="I43" i="3"/>
  <c r="I42" i="3"/>
  <c r="F46" i="3"/>
  <c r="F45" i="3"/>
  <c r="F44" i="3"/>
  <c r="F43" i="3"/>
  <c r="F42" i="3"/>
  <c r="E46" i="3"/>
  <c r="E45" i="3"/>
  <c r="E44" i="3"/>
  <c r="E43" i="3"/>
  <c r="E42" i="3"/>
  <c r="F36" i="3"/>
  <c r="F35" i="3"/>
  <c r="F34" i="3"/>
  <c r="F33" i="3"/>
  <c r="F32" i="3"/>
  <c r="I36" i="3"/>
  <c r="I35" i="3"/>
  <c r="I34" i="3"/>
  <c r="I33" i="3"/>
  <c r="I32" i="3"/>
  <c r="L36" i="3"/>
  <c r="L35" i="3"/>
  <c r="L34" i="3"/>
  <c r="L33" i="3"/>
  <c r="L32" i="3"/>
  <c r="L27" i="3"/>
  <c r="L26" i="3"/>
  <c r="L25" i="3"/>
  <c r="L24" i="3"/>
  <c r="L23" i="3"/>
  <c r="I27" i="3"/>
  <c r="I26" i="3"/>
  <c r="I25" i="3"/>
  <c r="I24" i="3"/>
  <c r="I23" i="3"/>
  <c r="F27" i="3"/>
  <c r="F26" i="3"/>
  <c r="F25" i="3"/>
  <c r="F24" i="3"/>
  <c r="F23" i="3"/>
  <c r="K36" i="3"/>
  <c r="K35" i="3"/>
  <c r="K34" i="3"/>
  <c r="K33" i="3"/>
  <c r="K32" i="3"/>
  <c r="H36" i="3"/>
  <c r="H35" i="3"/>
  <c r="H34" i="3"/>
  <c r="H33" i="3"/>
  <c r="H32" i="3"/>
  <c r="E36" i="3"/>
  <c r="E35" i="3"/>
  <c r="E34" i="3"/>
  <c r="E33" i="3"/>
  <c r="E32" i="3"/>
  <c r="K27" i="3"/>
  <c r="K26" i="3"/>
  <c r="K25" i="3"/>
  <c r="K24" i="3"/>
  <c r="K23" i="3"/>
  <c r="H27" i="3"/>
  <c r="H26" i="3"/>
  <c r="H25" i="3"/>
  <c r="H24" i="3"/>
  <c r="H23" i="3"/>
  <c r="E27" i="3"/>
  <c r="E26" i="3"/>
  <c r="E25" i="3"/>
  <c r="E24" i="3"/>
  <c r="E23" i="3"/>
  <c r="L18" i="3"/>
  <c r="L17" i="3"/>
  <c r="L16" i="3"/>
  <c r="L15" i="3"/>
  <c r="L14" i="3"/>
  <c r="I18" i="3"/>
  <c r="I17" i="3"/>
  <c r="I16" i="3"/>
  <c r="I15" i="3"/>
  <c r="I14" i="3"/>
  <c r="F18" i="3"/>
  <c r="F17" i="3"/>
  <c r="F16" i="3"/>
  <c r="F15" i="3"/>
  <c r="F14" i="3"/>
  <c r="L9" i="3"/>
  <c r="L8" i="3"/>
  <c r="L7" i="3"/>
  <c r="L6" i="3"/>
  <c r="L5" i="3"/>
  <c r="I9" i="3"/>
  <c r="I8" i="3"/>
  <c r="I7" i="3"/>
  <c r="I6" i="3"/>
  <c r="I5" i="3"/>
  <c r="F9" i="3"/>
  <c r="F8" i="3"/>
  <c r="F7" i="3"/>
  <c r="F6" i="3"/>
  <c r="F5" i="3"/>
  <c r="K18" i="3"/>
  <c r="K17" i="3"/>
  <c r="K16" i="3"/>
  <c r="K15" i="3"/>
  <c r="K14" i="3"/>
  <c r="H18" i="3"/>
  <c r="H17" i="3"/>
  <c r="H16" i="3"/>
  <c r="H15" i="3"/>
  <c r="H14" i="3"/>
  <c r="E18" i="3"/>
  <c r="E17" i="3"/>
  <c r="E16" i="3"/>
  <c r="E15" i="3"/>
  <c r="E14" i="3"/>
  <c r="K9" i="3"/>
  <c r="K8" i="3"/>
  <c r="K7" i="3"/>
  <c r="K6" i="3"/>
  <c r="K5" i="3"/>
  <c r="H9" i="3"/>
  <c r="H8" i="3"/>
  <c r="H7" i="3"/>
  <c r="H6" i="3"/>
  <c r="H5" i="3"/>
  <c r="E9" i="3"/>
  <c r="E8" i="3"/>
  <c r="E7" i="3"/>
  <c r="E6" i="3"/>
  <c r="E5" i="3"/>
  <c r="E5" i="2"/>
  <c r="L9" i="2"/>
  <c r="L8" i="2"/>
  <c r="L7" i="2"/>
  <c r="L6" i="2"/>
  <c r="L5" i="2"/>
  <c r="I9" i="2"/>
  <c r="I8" i="2"/>
  <c r="I7" i="2"/>
  <c r="I6" i="2"/>
  <c r="I5" i="2"/>
  <c r="F9" i="2"/>
  <c r="F8" i="2"/>
  <c r="F7" i="2"/>
  <c r="F6" i="2"/>
  <c r="F5" i="2"/>
  <c r="K9" i="2"/>
  <c r="K8" i="2"/>
  <c r="K7" i="2"/>
  <c r="K6" i="2"/>
  <c r="K5" i="2"/>
  <c r="H9" i="2"/>
  <c r="H8" i="2"/>
  <c r="H7" i="2"/>
  <c r="H6" i="2"/>
  <c r="H5" i="2"/>
  <c r="E9" i="2"/>
  <c r="E8" i="2"/>
  <c r="E7" i="2"/>
  <c r="E6" i="2"/>
  <c r="P37" i="6"/>
  <c r="P38" i="6" l="1"/>
  <c r="B9" i="7"/>
  <c r="B18" i="7"/>
  <c r="B43" i="7"/>
  <c r="P40" i="6"/>
</calcChain>
</file>

<file path=xl/sharedStrings.xml><?xml version="1.0" encoding="utf-8"?>
<sst xmlns="http://schemas.openxmlformats.org/spreadsheetml/2006/main" count="6403" uniqueCount="479">
  <si>
    <t>LV 8.2 Results</t>
  </si>
  <si>
    <t>PXI-8196, LV RT 8.2, NI-DAQmx 8.3 (These results are from the archive ftp://ftp.ni.com/pub/devzone/tut/archives2007.pdf)</t>
  </si>
  <si>
    <t>Test</t>
  </si>
  <si>
    <t>Description</t>
  </si>
  <si>
    <t>I/O Mode</t>
  </si>
  <si>
    <t xml:space="preserve">T1 </t>
  </si>
  <si>
    <t>AI / AO</t>
  </si>
  <si>
    <t>Polling</t>
  </si>
  <si>
    <t xml:space="preserve">T2a </t>
  </si>
  <si>
    <t xml:space="preserve">AI/PID/AO </t>
  </si>
  <si>
    <t xml:space="preserve">T2b </t>
  </si>
  <si>
    <t>Interrupts</t>
  </si>
  <si>
    <t>T3</t>
  </si>
  <si>
    <t xml:space="preserve">AI/AO/Local Logging </t>
  </si>
  <si>
    <t>T4</t>
  </si>
  <si>
    <t>AI/AO/Host communication</t>
  </si>
  <si>
    <t>1ch</t>
  </si>
  <si>
    <t>4ch</t>
  </si>
  <si>
    <t>16ch</t>
  </si>
  <si>
    <t>LV RT 8.6.0 Single-Point Benchmark Results</t>
  </si>
  <si>
    <t>PXI-8196, LV RT 8.6.0 rc1, NI-DAQmx 8.7.2,</t>
  </si>
  <si>
    <t>Rate              1 Channel</t>
  </si>
  <si>
    <t>Additonal Jitter (us)</t>
  </si>
  <si>
    <t>Rate               4 Channel</t>
  </si>
  <si>
    <t>Rate                16 Channel</t>
  </si>
  <si>
    <t>Compare 8.2</t>
  </si>
  <si>
    <t>LV RT 2009 Single-Point Benchmark Results</t>
  </si>
  <si>
    <r>
      <t xml:space="preserve">PXI-8110, LV RT 2009, NI-DAQmx 8.9.5 (PXI-6259 and PXI-6723) </t>
    </r>
    <r>
      <rPr>
        <sz val="14"/>
        <color theme="1"/>
        <rFont val="Calibri"/>
        <family val="2"/>
        <scheme val="minor"/>
      </rPr>
      <t>No SMP support</t>
    </r>
  </si>
  <si>
    <t>Compared to LV 8.6 8196</t>
  </si>
  <si>
    <t>Std Dev &gt; 5000</t>
  </si>
  <si>
    <t>Std Dev &gt; 3000</t>
  </si>
  <si>
    <r>
      <t xml:space="preserve">PXI-8110, LV RT 2009, NI-DAQmx 8.9.5 (PXI-6259 and PXI-6723) </t>
    </r>
    <r>
      <rPr>
        <sz val="14"/>
        <color theme="1"/>
        <rFont val="Calibri"/>
        <family val="2"/>
        <scheme val="minor"/>
      </rPr>
      <t>With SMP support (and CPU0 loaded)</t>
    </r>
  </si>
  <si>
    <r>
      <t xml:space="preserve">PXI-8110, LV RT 2009, NI-DAQmx 9.0 (PXI-6259 and PXI-6723) </t>
    </r>
    <r>
      <rPr>
        <sz val="14"/>
        <color theme="1"/>
        <rFont val="Calibri"/>
        <family val="2"/>
        <scheme val="minor"/>
      </rPr>
      <t>No SMP support</t>
    </r>
  </si>
  <si>
    <t>Compared to DAQ 8.95</t>
  </si>
  <si>
    <r>
      <t xml:space="preserve">PXI-8110, LV RT 2009, NI-DAQmx 9.0 (PXI-6259 and PXI-6723) </t>
    </r>
    <r>
      <rPr>
        <sz val="14"/>
        <color theme="1"/>
        <rFont val="Calibri"/>
        <family val="2"/>
        <scheme val="minor"/>
      </rPr>
      <t>With SMP support (and CPU0 loaded)</t>
    </r>
  </si>
  <si>
    <t>T4: Omitted single outlier (69930)</t>
  </si>
  <si>
    <t>Omitted single outlier (2843)</t>
  </si>
  <si>
    <r>
      <t xml:space="preserve">PXIe-8108, LV RT 2009, NI-DAQmx 9.0 (PXIe-6361 and PXI-6723) </t>
    </r>
    <r>
      <rPr>
        <sz val="14"/>
        <color theme="1"/>
        <rFont val="Calibri"/>
        <family val="2"/>
        <scheme val="minor"/>
      </rPr>
      <t>No SMP support</t>
    </r>
  </si>
  <si>
    <t>Compared to 8110</t>
  </si>
  <si>
    <t>T4: Omitted single outlier (18457)</t>
  </si>
  <si>
    <r>
      <t xml:space="preserve">PXIe-8108, LV RT 2009, NI-DAQmx 9.0 (PXIe-6361 and PXI-6723) </t>
    </r>
    <r>
      <rPr>
        <sz val="14"/>
        <color theme="1"/>
        <rFont val="Calibri"/>
        <family val="2"/>
        <scheme val="minor"/>
      </rPr>
      <t>With SMP support</t>
    </r>
  </si>
  <si>
    <t>Additional Jitter (us)</t>
  </si>
  <si>
    <t>LV RT 2009 SP1 Single-Point Benchmark Results</t>
  </si>
  <si>
    <r>
      <t xml:space="preserve">PXIe-8108, LV RT 2009 SP1, NI-DAQmx 9.0.2 (PXIe-6361 and PXIe-6363) </t>
    </r>
    <r>
      <rPr>
        <sz val="14"/>
        <color theme="1"/>
        <rFont val="Calibri"/>
        <family val="2"/>
        <scheme val="minor"/>
      </rPr>
      <t>No SMP support</t>
    </r>
  </si>
  <si>
    <t>Compared to 2009 w/o 6363</t>
  </si>
  <si>
    <r>
      <t xml:space="preserve">PXIe-8108, LV RT 2009 SP1, NI-DAQmx 9.0.2 (PXIe-6361 and PXIe-6363) </t>
    </r>
    <r>
      <rPr>
        <sz val="14"/>
        <color theme="1"/>
        <rFont val="Calibri"/>
        <family val="2"/>
        <scheme val="minor"/>
      </rPr>
      <t>With SMP support</t>
    </r>
  </si>
  <si>
    <t>T4 4ch: This number is about 20% higher about 2/3 of the time.</t>
  </si>
  <si>
    <t>LV RT 2010b29 Single-Point Benchmark Results</t>
  </si>
  <si>
    <r>
      <t xml:space="preserve">PXI-8110, LV RT 2010, NI-DAQmx 9.1.0 (PXI-6071E and PXI-6723) </t>
    </r>
    <r>
      <rPr>
        <sz val="14"/>
        <color theme="1"/>
        <rFont val="Calibri"/>
        <family val="2"/>
        <scheme val="minor"/>
      </rPr>
      <t>No SMP support</t>
    </r>
  </si>
  <si>
    <r>
      <t xml:space="preserve">PXI-8110, LV RT 2009 SP1, NI-DAQmx 9.1.0 (PXI-6071E and PXI-6723) </t>
    </r>
    <r>
      <rPr>
        <sz val="14"/>
        <color theme="1"/>
        <rFont val="Calibri"/>
        <family val="2"/>
        <scheme val="minor"/>
      </rPr>
      <t>No SMP support</t>
    </r>
  </si>
  <si>
    <r>
      <t xml:space="preserve">PXI-8110, LV RT 2010, NI-DAQmx 9.1.0 (PXI-6071E and PXI-6723) </t>
    </r>
    <r>
      <rPr>
        <sz val="14"/>
        <color theme="1"/>
        <rFont val="Calibri"/>
        <family val="2"/>
        <scheme val="minor"/>
      </rPr>
      <t>With SMP support (CPU0 loaded)</t>
    </r>
  </si>
  <si>
    <t>Compared to LV 2009 SP1</t>
  </si>
  <si>
    <r>
      <t xml:space="preserve">PXI-8110, LV RT 2009 SP1, NI-DAQmx 9.1.0 (PXI-6071E and PXI-6723) </t>
    </r>
    <r>
      <rPr>
        <sz val="14"/>
        <color theme="1"/>
        <rFont val="Calibri"/>
        <family val="2"/>
        <scheme val="minor"/>
      </rPr>
      <t>With SMP support (CPU0 not loaded CAR 207623)</t>
    </r>
  </si>
  <si>
    <t>LV RT 2010rc2 Single-Point Benchmark Results</t>
  </si>
  <si>
    <r>
      <t xml:space="preserve">PXIe-8108, LV RT 2010, NI-DAQmx 9.1.5 (PXIe-6361 and PXIe-6363) </t>
    </r>
    <r>
      <rPr>
        <sz val="14"/>
        <color theme="1"/>
        <rFont val="Calibri"/>
        <family val="2"/>
        <scheme val="minor"/>
      </rPr>
      <t>With SMP support</t>
    </r>
  </si>
  <si>
    <t>LV RT 2010rc8 Single-Point Benchmark Results</t>
  </si>
  <si>
    <r>
      <t xml:space="preserve">PXIe-8108, LV RT 2010, NI-DAQmx 9.1.5 (PXIe-6361 and PXIe-6363) </t>
    </r>
    <r>
      <rPr>
        <sz val="14"/>
        <color theme="1"/>
        <rFont val="Calibri"/>
        <family val="2"/>
        <scheme val="minor"/>
      </rPr>
      <t>No SMP support</t>
    </r>
  </si>
  <si>
    <r>
      <t xml:space="preserve">PXI-8110, LV RT 2010, NI-DAQmx 9.1.5  (PXI-6071E and PXI-6723) </t>
    </r>
    <r>
      <rPr>
        <sz val="14"/>
        <color theme="1"/>
        <rFont val="Calibri"/>
        <family val="2"/>
        <scheme val="minor"/>
      </rPr>
      <t>No SMP support</t>
    </r>
  </si>
  <si>
    <t>Vs. LV09SP1, Dmx9.02</t>
  </si>
  <si>
    <t>Vs. LV09, Dmx9.0</t>
  </si>
  <si>
    <r>
      <t xml:space="preserve">PXI-8110, LV RT 2010, NI-DAQmx 9.1.5  (PXI-6071E and PXI-6723) </t>
    </r>
    <r>
      <rPr>
        <sz val="14"/>
        <color theme="1"/>
        <rFont val="Calibri"/>
        <family val="2"/>
        <scheme val="minor"/>
      </rPr>
      <t>With</t>
    </r>
    <r>
      <rPr>
        <b/>
        <sz val="14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>SMP support</t>
    </r>
  </si>
  <si>
    <r>
      <t xml:space="preserve">PXI-8110, LV RT 2010, NI-DAQmx 9.1.5  (PXI-6071E and PXI-6723) </t>
    </r>
    <r>
      <rPr>
        <sz val="14"/>
        <color theme="1"/>
        <rFont val="Calibri"/>
        <family val="2"/>
        <scheme val="minor"/>
      </rPr>
      <t>With</t>
    </r>
    <r>
      <rPr>
        <b/>
        <sz val="14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>SMP support (CPU0 loaded)</t>
    </r>
  </si>
  <si>
    <t>Note: compared against 2009 with PXI-6259 and PXI-6723.</t>
  </si>
  <si>
    <t>LV RT 2010 SP1  Single-Point Benchmark Results</t>
  </si>
  <si>
    <r>
      <t xml:space="preserve">PXIe-8108, LV RT 2010 SP1, NI-DAQmx 9.2.3.31  (PXIe-6361 and PXIe-6363) </t>
    </r>
    <r>
      <rPr>
        <sz val="14"/>
        <color theme="1"/>
        <rFont val="Calibri"/>
        <family val="2"/>
        <scheme val="minor"/>
      </rPr>
      <t>With SMP support</t>
    </r>
  </si>
  <si>
    <t>Vs. LV10, Dmx9.02</t>
  </si>
  <si>
    <t>LV RT 2010 SP1 Single-Point Benchmark Results</t>
  </si>
  <si>
    <t>DAQmx Rate   16 Channel</t>
  </si>
  <si>
    <t>LV RT 2011  Single-Point Benchmark Results</t>
  </si>
  <si>
    <t>LV RT 2011 Single-Point Benchmark Results</t>
  </si>
  <si>
    <r>
      <t xml:space="preserve">PXIe-8108, LV RT 2011b103, NI-DAQmx 9.3.5b16  (PXIe-6361 and 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</si>
  <si>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PXIe-8108, LV RT 2011b103, NI-DAQmx 9.3.5b16 (PXIe-6361 and PXIe-6363) </t>
    </r>
    <r>
      <rPr>
        <sz val="14"/>
        <color theme="1"/>
        <rFont val="Calibri"/>
        <family val="2"/>
        <scheme val="minor"/>
      </rPr>
      <t>No SMP support</t>
    </r>
  </si>
  <si>
    <t>Vs. LV10.1, Dmx9.1.5</t>
  </si>
  <si>
    <t>LV RT 2011 SP1  Single-Point Benchmark Results</t>
  </si>
  <si>
    <r>
      <t xml:space="preserve">PXIe-8108, LV RT 2011.1a1, NI-DAQmx 9.4.0  (PXIe-6361 and PXIe-6363) </t>
    </r>
    <r>
      <rPr>
        <sz val="14"/>
        <color theme="1"/>
        <rFont val="Calibri"/>
        <family val="2"/>
        <scheme val="minor"/>
      </rPr>
      <t>With SMP support</t>
    </r>
  </si>
  <si>
    <t>Vs. LV11, Dmx9.3.5</t>
  </si>
  <si>
    <t>LV RT 2011 SP1 Single-Point Benchmark Results</t>
  </si>
  <si>
    <r>
      <t xml:space="preserve">PXIe-8108, LV RT 2011.1a1, NI-DAQmx 9.4.0 (PXIe-6361 and PXIe-6363) </t>
    </r>
    <r>
      <rPr>
        <sz val="14"/>
        <color theme="1"/>
        <rFont val="Calibri"/>
        <family val="2"/>
        <scheme val="minor"/>
      </rPr>
      <t>No SMP support</t>
    </r>
  </si>
  <si>
    <t>Rate              1ch Min</t>
  </si>
  <si>
    <t>Rate              4ch Min</t>
  </si>
  <si>
    <t>Rate              16ch Min</t>
  </si>
  <si>
    <t>Rate              16ch Max</t>
  </si>
  <si>
    <t>Rate              4ch Max</t>
  </si>
  <si>
    <t>vs. LV11.1, Dmx9.4</t>
  </si>
  <si>
    <t>vs. LV11, Dmx9.3.5</t>
  </si>
  <si>
    <t>Rate 1ch Max</t>
  </si>
  <si>
    <r>
      <t xml:space="preserve">PXIe-8108, LV RT 2012a11, NI-DAQmx 9.4.0  (PXIe-6361 and 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</si>
  <si>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PXIe-8108, LV RT 2012a11, NI-DAQmx 9.4.0 (PXIe-6361 and PXIe-6363) </t>
    </r>
    <r>
      <rPr>
        <sz val="14"/>
        <color theme="1"/>
        <rFont val="Calibri"/>
        <family val="2"/>
        <scheme val="minor"/>
      </rPr>
      <t>No SMP support</t>
    </r>
  </si>
  <si>
    <r>
      <t xml:space="preserve">PXIe-8108, LV RT 2012a40, NI-DAQmx 9.4.0  (PXIe-6361 and 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</si>
  <si>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PXIe-8108, LV RT 2012a40, NI-DAQmx 9.4.0 (PXIe-6361 and PXIe-6363) </t>
    </r>
    <r>
      <rPr>
        <sz val="14"/>
        <color theme="1"/>
        <rFont val="Calibri"/>
        <family val="2"/>
        <scheme val="minor"/>
      </rPr>
      <t>No SMP support</t>
    </r>
  </si>
  <si>
    <t>CAR 333189</t>
  </si>
  <si>
    <r>
      <t xml:space="preserve">PXIe-8108, LV RT 2012b82, NI-DAQmx 9.5.5  (PXIe-6361 and 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</si>
  <si>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PXIe-8108, LV RT 2012b82, NI-DAQmx 9.5.5  (PXIe-6361 and PXIe-6363) </t>
    </r>
    <r>
      <rPr>
        <sz val="14"/>
        <color theme="1"/>
        <rFont val="Calibri"/>
        <family val="2"/>
        <scheme val="minor"/>
      </rPr>
      <t>No SMP support</t>
    </r>
  </si>
  <si>
    <t>Avg:</t>
  </si>
  <si>
    <t>1 Channel</t>
  </si>
  <si>
    <t>4 Channel</t>
  </si>
  <si>
    <t>16 Channel</t>
  </si>
  <si>
    <t>LV 2012, Dmx 9.5.5</t>
  </si>
  <si>
    <t>LV 2011.1 Dmx 9.4</t>
  </si>
  <si>
    <t>LV 2011, Dmx 9.3.5</t>
  </si>
  <si>
    <t>2012 Max</t>
  </si>
  <si>
    <r>
      <t xml:space="preserve">PXIe-8108, LV RT 2012.1d53, NI-DAQmx 9.5.5  (PXIe-6361 and 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</si>
  <si>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PXIe-8108, LV RT 2012.1d53, NI-DAQmx 9.5.5  (PXIe-6361 and PXIe-6363) </t>
    </r>
    <r>
      <rPr>
        <sz val="14"/>
        <color theme="1"/>
        <rFont val="Calibri"/>
        <family val="2"/>
        <scheme val="minor"/>
      </rPr>
      <t>No SMP support</t>
    </r>
  </si>
  <si>
    <t>vs. LV12, Dmx9.5.5</t>
  </si>
  <si>
    <t>Worst of 3</t>
  </si>
  <si>
    <t>16ch crashed when run from ATS, but not manually</t>
  </si>
  <si>
    <r>
      <t xml:space="preserve">PXIe-8108, LV RT 2013, NI-DAQmx 9.5.5  (PXIe-6361 and PXIe-6363) </t>
    </r>
    <r>
      <rPr>
        <sz val="14"/>
        <color theme="1"/>
        <rFont val="Calibri"/>
        <family val="2"/>
        <scheme val="minor"/>
      </rPr>
      <t>With SMP support</t>
    </r>
  </si>
  <si>
    <t>vs. LV12.1, Dmx9.5.5</t>
  </si>
  <si>
    <r>
      <t xml:space="preserve">PXIe-8108, LV RT 2013, NI-DAQmx 9.5.5  (PXIe-6361 and PXIe-6363) </t>
    </r>
    <r>
      <rPr>
        <sz val="14"/>
        <color theme="1"/>
        <rFont val="Calibri"/>
        <family val="2"/>
        <scheme val="minor"/>
      </rPr>
      <t>No SMP support</t>
    </r>
  </si>
  <si>
    <t>http://us-aus-rtweb1/Reports/RT/2013/performance/pharlap/rtperf-8108/sp_online_poll_smp/2012-12-18_20-28-52/HTML/2012-12-18_20-36-14_SinglePointBenchmarks_ATS.html</t>
  </si>
  <si>
    <t>http://us-aus-rtweb1/Reports/RT/2013/performance/pharlap/rtperf-8108/sp_online_poll_nosmp/2012-12-18_10-13-27/HTML/2012-12-18_10-18-37_SinglePointBenchmarks_ATS.html</t>
  </si>
  <si>
    <t>Average:</t>
  </si>
  <si>
    <t xml:space="preserve">Average: </t>
  </si>
  <si>
    <t>Had a 14k outlier but haven't been able to reproduce in another 20 runs.</t>
  </si>
  <si>
    <t>Reruns:</t>
  </si>
  <si>
    <t>T1 1</t>
  </si>
  <si>
    <t>T3 1</t>
  </si>
  <si>
    <t>T4 4</t>
  </si>
  <si>
    <t>T4 4 (noSMP)</t>
  </si>
  <si>
    <r>
      <t xml:space="preserve">PXIe-8108, LV RT 2013b75, NI-DAQmx 9.5.5  (PXIe-6361 and 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</si>
  <si>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PXIe-8108, LV RT 2013b75, NI-DAQmx 9.5.5  (PXIe-6361 and PXIe-6363) </t>
    </r>
    <r>
      <rPr>
        <sz val="14"/>
        <color theme="1"/>
        <rFont val="Calibri"/>
        <family val="2"/>
        <scheme val="minor"/>
      </rPr>
      <t>No SMP support</t>
    </r>
  </si>
  <si>
    <t>http://us-aus-rtweb1.natinst.com/Reports/RT/2013/performance/pharlap/rtperf-8108/sp_online_poll_smp/2013-04-12_18-18-20/HTML/2013-04-12_18-25-44_SinglePointBenchmarks_ATS.html</t>
  </si>
  <si>
    <t>http://us-aus-rtweb1.natinst.com/Reports/RT/2013/performance/pharlap/rtperf-8108/sp_online_poll_nosmp/2013-04-12_08-38-40/HTML/2013-04-12_08-45-28_SinglePointBenchmarks_ATS.html</t>
  </si>
  <si>
    <t>http://us-aus-rtweb1.natinst.com/Reports/RT/2013/performance/pharlap/rtperf-8108/sp_online_poll_nosmp/2013-05-14_16-30-59/HTML/2013-05-14_16-36-30_SinglePointBenchmarks_ATS.html</t>
  </si>
  <si>
    <r>
      <t xml:space="preserve">PXIe-8108, LV RT 2013rc4, NI-DAQmx 9.5.5  (PXIe-6361 and 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</si>
  <si>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PXIe-8108, LV RT 2013rc4, NI-DAQmx 9.5.5  (PXIe-6361 and PXIe-6363) </t>
    </r>
    <r>
      <rPr>
        <sz val="14"/>
        <color theme="1"/>
        <rFont val="Calibri"/>
        <family val="2"/>
        <scheme val="minor"/>
      </rPr>
      <t>No SMP support</t>
    </r>
  </si>
  <si>
    <t>4/11 Stack</t>
  </si>
  <si>
    <t>5/14 Stack</t>
  </si>
  <si>
    <t>http://us-aus-rtweb1.natinst.com/Reports/RT/2013/performance/pharlap/rtperf-8108/sp_online_poll_smp/2013-05-15_02-21-08/HTML/2013-05-15_02-28-33_SinglePointBenchmarks_ATS.html</t>
  </si>
  <si>
    <t>RC12 rerun</t>
  </si>
  <si>
    <r>
      <t xml:space="preserve">PXIe-8108, LV RT 2013rc35, NI-DAQmx 9.7.5  (PXIe-6361 and 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</si>
  <si>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PXIe-8108, LV RT 2013rc35, NI-DAQmx 9.7.5  (PXIe-6361 and PXIe-6363) </t>
    </r>
    <r>
      <rPr>
        <sz val="14"/>
        <color theme="1"/>
        <rFont val="Calibri"/>
        <family val="2"/>
        <scheme val="minor"/>
      </rPr>
      <t>No SMP support</t>
    </r>
  </si>
  <si>
    <t>http://us-aus-rtweb1/Reports/RT/2013/performance/pharlap/rtperf-8108/sp_online_poll_nosmp/2013-06-15_21-14-52/HTML/2013-06-15_21-22-12_SinglePointBenchmarks_ATS.html</t>
  </si>
  <si>
    <t>http://us-aus-rtweb1/Reports/RT/2013/performance/pharlap/rtperf-8108/sp_online_poll_smp/2013-06-16_06-38-31/HTML/2013-06-16_06-45-49_SinglePointBenchmarks_ATS.html</t>
  </si>
  <si>
    <t>vs. LV13, Dmx9.7.5</t>
  </si>
  <si>
    <r>
      <t xml:space="preserve">PXIe-8108, LV RT 2013.1d58, NI-DAQmx 9.8  (PXIe-6361 and 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</si>
  <si>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PXIe-8108, LV RT 2013.1d58, NI-DAQmx 9.8  (PXIe-6361 and PXIe-6363) </t>
    </r>
    <r>
      <rPr>
        <sz val="14"/>
        <color theme="1"/>
        <rFont val="Calibri"/>
        <family val="2"/>
        <scheme val="minor"/>
      </rPr>
      <t>No SMP support</t>
    </r>
  </si>
  <si>
    <t>http://us-aus-rtweb1/Reports/RT/2013SP1/performance/pharlap/rtperf-8108/sp_online_poll_smp/2013-11-03_21-44-37/HTML/2013-11-03_21-52-32_SinglePointBenchmarks_ATS.html</t>
  </si>
  <si>
    <t>http://us-aus-rtweb1/Reports/RT/2013SP1/performance/pharlap/rtperf-8108/sp_online_poll_nosmp/</t>
  </si>
  <si>
    <t>vs. LV13.1, Dmx9.8</t>
  </si>
  <si>
    <t>http://us-aus-rtweb1/Reports/RT/2014/performance/pharlap/rtperf-8108/sp_online_poll_smp/2013-11-23_03-01-57/HTML/2013-11-23_03-10-00_SinglePointBenchmarks_ATS.html</t>
  </si>
  <si>
    <r>
      <t xml:space="preserve">PXIe-8108, LV RT 2014a10, NI-DAQmx 9.8  (PXIe-6361 and 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</si>
  <si>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PXIe-8108, LV RT 2014a10, NI-DAQmx 9.8  (PXIe-6361 and PXIe-6363) </t>
    </r>
    <r>
      <rPr>
        <sz val="14"/>
        <color theme="1"/>
        <rFont val="Calibri"/>
        <family val="2"/>
        <scheme val="minor"/>
      </rPr>
      <t>No SMP support</t>
    </r>
  </si>
  <si>
    <t>http://us-aus-rtweb1/Reports/RT/2014/performance/pharlap/rtperf-8108/sp_online_poll_nosmp/2013-11-22_18-06-46/HTML/2013-11-22_18-14-41_SinglePointBenchmarks_ATS.html</t>
  </si>
  <si>
    <t>T3 an outlier</t>
  </si>
  <si>
    <t>http://us-aus-rtweb1.natinst.com/Reports/RT/2014/performance/pharlap/rtperf-8108/sp_online_poll_smp/2014-02-04_17-04-29/HTML/2014-02-04_17-12-41_SinglePointBenchmarks_ATS.html</t>
  </si>
  <si>
    <t>http://us-aus-rtweb1.natinst.com/Reports/RT/2014/performance/pharlap/rtperf-8108/sp_online_poll_nosmp/2014-02-04_08-19-29/HTML/2014-02-04_08-26-02_SinglePointBenchmarks_ATS.html</t>
  </si>
  <si>
    <t>vs. LV13.1, Dmx9.4</t>
  </si>
  <si>
    <r>
      <t xml:space="preserve">PXIe-8108, LV RT 2014b22, NI-DAQmx 9.8  (PXIe-6361 and 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</si>
  <si>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PXIe-8108, LV RT 2014b22, NI-DAQmx 9.8  (PXIe-6361 and PXIe-6363) </t>
    </r>
    <r>
      <rPr>
        <sz val="14"/>
        <color theme="1"/>
        <rFont val="Calibri"/>
        <family val="2"/>
        <scheme val="minor"/>
      </rPr>
      <t>No SMP support</t>
    </r>
  </si>
  <si>
    <r>
      <t xml:space="preserve">PXIe-8108, LV RT 2013rc4, NI-DAQmx 9.5.5  (PXIe-6361 and PXIe-6363) </t>
    </r>
    <r>
      <rPr>
        <sz val="14"/>
        <color theme="1"/>
        <rFont val="Calibri"/>
        <family val="2"/>
        <scheme val="minor"/>
      </rPr>
      <t xml:space="preserve">With SMP support - </t>
    </r>
    <r>
      <rPr>
        <b/>
        <sz val="14"/>
        <color theme="1"/>
        <rFont val="Calibri"/>
        <family val="2"/>
        <scheme val="minor"/>
      </rPr>
      <t>HYPERVISOR 64</t>
    </r>
  </si>
  <si>
    <t>http://us-aus-rtweb1.natinst.com/Reports/RT/2014/performance/pharlap/rtperf-8108/sp_online_poll_smp/2014-05-09_21-01-46/HTML/2014-05-09_21-10-42_SinglePointBenchmarks_ATS.html</t>
  </si>
  <si>
    <r>
      <t xml:space="preserve">PXIe-8108, LV RT 2014b142, NI-DAQmx 9.8  (PXIe-6361 and 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</si>
  <si>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PXIe-8108, LV RT 2014b142, NI-DAQmx 9.8  (PXIe-6361 and PXIe-6363) </t>
    </r>
    <r>
      <rPr>
        <sz val="14"/>
        <color theme="1"/>
        <rFont val="Calibri"/>
        <family val="2"/>
        <scheme val="minor"/>
      </rPr>
      <t>No SMP support</t>
    </r>
  </si>
  <si>
    <t>http://us-aus-rtweb1.natinst.com/Reports/RT/2014/performance/pharlap/rtperf-8108/sp_online_poll_nosmp/2014-05-09_11-35-06/HTML/2014-05-09_11-40-53_SinglePointBenchmarks_ATS.html</t>
  </si>
  <si>
    <t>http://us-aus-rtweb1.natinst.com/Reports/RT/2014/performance/pharlap/rtperf-8108/sp_online_poll_smp/2014-10-29_17-31-44/HTML/2014-10-29_17-39-55_SinglePointBenchmarks_ATS.html</t>
  </si>
  <si>
    <t>vs. LV14, Dmx9.8</t>
  </si>
  <si>
    <r>
      <t xml:space="preserve">PXIe-8108, LV RT 2014.1d54, NI-DAQmx 14.1  (PXIe-6361 and 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</si>
  <si>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PXIe-8108, LV RT 2014.1d54, NI-DAQmx 14.1  (PXIe-6361 and PXIe-6363) </t>
    </r>
    <r>
      <rPr>
        <sz val="14"/>
        <color theme="1"/>
        <rFont val="Calibri"/>
        <family val="2"/>
        <scheme val="minor"/>
      </rPr>
      <t>No SMP support</t>
    </r>
  </si>
  <si>
    <t>http://us-aus-rtweb1.natinst.com/Reports/RT/2014/performance/pharlap/rtperf-8108/sp_online_poll_nosmp/2014-11-06_09-25-42/HTML/2014-11-06_09-31-19_SinglePointBenchmarks_ATS.html</t>
  </si>
  <si>
    <t xml:space="preserve">http://us-aus-rtweb1.natinst.com/Reports/RT/2015/performance/pharlap/rtperf-8108/sp_online_poll_nosmp/2015-02-06_02-16-54/HTML/2015-02-06_02-22-22_SinglePointBenchmarks_ATS.html              </t>
  </si>
  <si>
    <t>http://us-aus-rtweb1.natinst.com/Reports/RT/2015/performance/pharlap/rtperf-8108/sp_online_poll_smp/2015-02-06_11-48-38/HTML/2015-02-06_11-56-59_SinglePointBenchmarks_ATS.html</t>
  </si>
  <si>
    <t>http://us-aus-rtweb1.natinst.com/Reports/RT/2015/performance/pharlap/rtperf-8108/sp_online_poll_smp/2015-01-09_15-07-19/HTML/2015-01-09_15-15-36_SinglePointBenchmarks_ATS.html#TSsummary</t>
  </si>
  <si>
    <t>http://us-aus-rtweb1.natinst.com/Reports/RT/2015/performance/pharlap/rtperf-8108/sp_online_poll_nosmp/2015-01-09_05-26-24/HTML/2015-01-09_05-31-40_SinglePointBenchmarks_ATS.html</t>
  </si>
  <si>
    <t>vs. LV14.1, Dmx14.1</t>
  </si>
  <si>
    <r>
      <t xml:space="preserve">PXIe-8108, LV RT 2015a38, NI-DAQmx 14.1  (PXIe-6361 and 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</si>
  <si>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PXIe-8108, LV RT 2015a38, NI-DAQmx14.1  (PXIe-6361 and PXIe-6363) </t>
    </r>
    <r>
      <rPr>
        <sz val="14"/>
        <color theme="1"/>
        <rFont val="Calibri"/>
        <family val="2"/>
        <scheme val="minor"/>
      </rPr>
      <t>No SMP support</t>
    </r>
  </si>
  <si>
    <r>
      <t xml:space="preserve">PXIe-8108, LV RT 2015b14, NI-DAQmx 14.1  (PXIe-6361 and 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</si>
  <si>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PXIe-8108, LV RT 2015b14, NI-DAQmx 14.1  (PXIe-6361 and PXIe-6363) </t>
    </r>
    <r>
      <rPr>
        <sz val="14"/>
        <color theme="1"/>
        <rFont val="Calibri"/>
        <family val="2"/>
        <scheme val="minor"/>
      </rPr>
      <t>No SMP support</t>
    </r>
  </si>
  <si>
    <t>http://us-aus-rtweb1.natinst.com/Reports/RT/2015/performance/pharlap/rtperf-8108/sp_online_poll_nosmp/2015-02-27_05-55-10/HTML/2015-02-27_06-00-57_SinglePointBenchmarks_ATS.html#test_daqmx-Benchmark.lvproj%5CRT%20Target%5CT1%20-%20AI-AO%5CTest_DAQmx_AI-AO_01_RPoll_SCPoll.vi</t>
  </si>
  <si>
    <r>
      <t xml:space="preserve">PXIe-8108, LV RT 2015rc1, NI-DAQmx 14.1  (PXIe-6361 and PXIe-6363) </t>
    </r>
    <r>
      <rPr>
        <sz val="14"/>
        <color theme="1"/>
        <rFont val="Calibri"/>
        <family val="2"/>
        <scheme val="minor"/>
      </rPr>
      <t>With SMP support</t>
    </r>
  </si>
  <si>
    <t>Worst of 3 : 8108_sp_online_poll_smp_15.0rc1</t>
  </si>
  <si>
    <r>
      <t xml:space="preserve">PXIe-8108, LV RT 2015rc1, NI-DAQmx14.1 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</si>
  <si>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8108_sp_online_poll_no_smp_15.0rc1</t>
  </si>
  <si>
    <t>Worst of 3 : 8135_sp_online_poll_no_smp_15.0</t>
  </si>
  <si>
    <t>Worst of 3 : 8135_sp_online_poll_smp_16.0b19</t>
  </si>
  <si>
    <t>vs. LV 15.0,Dmx 15.5</t>
  </si>
  <si>
    <r>
      <t xml:space="preserve">PXIe-8135, LV RT 16.0b35, NI-DAQmx 15.5  (PXIe-6361 and 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</si>
  <si>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PXIe-8135, LV RT 16.0b35, NI-DAQmx15.5 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</si>
  <si>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8135_sp_online_poll_no_smp_16.0b35</t>
  </si>
  <si>
    <t>Worst of 3 : 8135_sp_online_poll_smp_15.0</t>
  </si>
  <si>
    <t>Worst of 3 : 8135_sp_online_poll_smp_16.0b35</t>
  </si>
  <si>
    <r>
      <t xml:space="preserve">PXIe-8135, LV RT 16.0b19, NI-DAQmx 15.5  (PXIe-6361 and 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</si>
  <si>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PXIe-8135, LV RT 16.0b19, NI-DAQmx15.5  (PXIe-6361 and PXIe-6363) </t>
    </r>
    <r>
      <rPr>
        <sz val="14"/>
        <color theme="1"/>
        <rFont val="Calibri"/>
        <family val="2"/>
        <scheme val="minor"/>
      </rPr>
      <t>No SMP support</t>
    </r>
  </si>
  <si>
    <r>
      <t xml:space="preserve">PXIe-8135, LV RT 16.0b37, NI-DAQmx 15.5  (PXIe-6361 and 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</si>
  <si>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PXIe-8135, LV RT 16.0b37, NI-DAQmx15.5 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</si>
  <si>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8135_sp_online_poll_smp_16.0b37</t>
  </si>
  <si>
    <t>Worst of 3 : 8135_sp_online_poll_no_smp_16.0b37</t>
  </si>
  <si>
    <t>vs. LV15.0, Dmx15.5</t>
  </si>
  <si>
    <r>
      <t xml:space="preserve">PXIe-8135, LV RT 16.0b40, NI-DAQmx 15.5  (PXIe-6361 and 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</si>
  <si>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PXIe-8135, LV RT 16.0b40, NI-DAQmx15.5 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</si>
  <si>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8135_sp_online_poll_smp_16.0b40</t>
  </si>
  <si>
    <t>Worst of 3 : 8135_sp_online_poll_no_smp_16.0b40</t>
  </si>
  <si>
    <r>
      <t xml:space="preserve">PXIe-8135, LV RT 16.0b53, NI-DAQmx 15.5  (PXIe-6361 and 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</si>
  <si>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PXIe-8135, LV RT 16.0b53, NI-DAQmx15.5 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</si>
  <si>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8135_sp_online_poll_smp_16.0b53</t>
  </si>
  <si>
    <t>Worst of 3 : 8135_sp_online_poll_no_smp_16.0b53</t>
  </si>
  <si>
    <t>Worst of 3 : 8135_sp_online_poll_smp_16.0b57</t>
  </si>
  <si>
    <r>
      <t xml:space="preserve">PXIe-8135 (NIB), LV RT 16.0b57, NI-DAQmx 15.5  (PXIe-6361 and 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</si>
  <si>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PXIe-8135(NIC), LV RT 16.0b57, NI-DAQmx 15.5  (PXIe-6361 and PXIe-6363) </t>
    </r>
    <r>
      <rPr>
        <sz val="14"/>
        <color theme="1"/>
        <rFont val="Calibri"/>
        <family val="2"/>
        <scheme val="minor"/>
      </rPr>
      <t>With SMP support</t>
    </r>
  </si>
  <si>
    <t>Worst of 3 : 8135_sp_online_poll_smp_16.0b57_ClearAirFilter</t>
  </si>
  <si>
    <r>
      <t xml:space="preserve">PXIe-8135 (NIB), LV RT 16.0b59, NI-DAQmx 15.5  (PXIe-6361 and PXIe-6363) </t>
    </r>
    <r>
      <rPr>
        <sz val="14"/>
        <color theme="1"/>
        <rFont val="Calibri"/>
        <family val="2"/>
        <scheme val="minor"/>
      </rPr>
      <t>With SMP support</t>
    </r>
  </si>
  <si>
    <t>Worst of 3 : 8135_sp_online_poll_smp_16.0b59_ClearAirFilter_1082 chassis</t>
  </si>
  <si>
    <r>
      <t xml:space="preserve">PXIe-8135 (NIC), LV RT 16.0b59, NI-DAQmx 15.5  (PXIe-6361 and PXIe-6363) </t>
    </r>
    <r>
      <rPr>
        <sz val="14"/>
        <color theme="1"/>
        <rFont val="Calibri"/>
        <family val="2"/>
        <scheme val="minor"/>
      </rPr>
      <t>With SMP support</t>
    </r>
  </si>
  <si>
    <t>Worst of 3 : 8135_sp_online_poll_smp_16.0b59</t>
  </si>
  <si>
    <t>Worst of 3 : 8135_sp_online_poll_smp_16.0b59_1075newchassis</t>
  </si>
  <si>
    <r>
      <t xml:space="preserve">PXIe-8135 (NIB), LV RT 2015, NI-DAQmx 15.5  (PXIe-6361 and 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</si>
  <si>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PXIe-8135 (NIB), LV RT 2015, NI-DAQmx15.5  (PXIe-6361 and PXIe-6363) </t>
    </r>
    <r>
      <rPr>
        <sz val="14"/>
        <color theme="1"/>
        <rFont val="Calibri"/>
        <family val="2"/>
        <scheme val="minor"/>
      </rPr>
      <t>No SMP support</t>
    </r>
  </si>
  <si>
    <r>
      <t xml:space="preserve">PXIe-8135 (NIC), LV RT 2015, NI-DAQmx 15.5  (PXIe-6361 and 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</si>
  <si>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PXIe-8135 (NIC), LV RT 2015, NI-DAQmx15.5  (PXIe-6361 and PXIe-6363) </t>
    </r>
    <r>
      <rPr>
        <sz val="14"/>
        <color theme="1"/>
        <rFont val="Calibri"/>
        <family val="2"/>
        <scheme val="minor"/>
      </rPr>
      <t>No SMP support</t>
    </r>
  </si>
  <si>
    <t>Worst of 10 : 8108_sp_online_poll_no_smp_16.0b75</t>
  </si>
  <si>
    <t>Worst of 10 : 8108_sp_online_poll_smp_16.0b75</t>
  </si>
  <si>
    <r>
      <t xml:space="preserve">PXIe-8108 (NIC), LV RT 2015, NI-DAQmx15.5  (PXIe-6361 and PXIe-6363) </t>
    </r>
    <r>
      <rPr>
        <sz val="14"/>
        <color theme="1"/>
        <rFont val="Calibri"/>
        <family val="2"/>
        <scheme val="minor"/>
      </rPr>
      <t>No SMP support</t>
    </r>
  </si>
  <si>
    <t>Worst of 10 : 8108_sp_online_poll_no_smp_15.0</t>
  </si>
  <si>
    <t>Worst of 10 : 8108_sp_online_poll_smp_15.0</t>
  </si>
  <si>
    <r>
      <t xml:space="preserve">PXIe-8108 (NIC), LV RT 2015, NI-DAQmx 15.5  (PXIe-6361 and PXIe-6363) </t>
    </r>
    <r>
      <rPr>
        <sz val="14"/>
        <color theme="1"/>
        <rFont val="Calibri"/>
        <family val="2"/>
        <scheme val="minor"/>
      </rPr>
      <t>With SMP support</t>
    </r>
  </si>
  <si>
    <t>T4 case was run again since first time it errored because of test VI issue</t>
  </si>
  <si>
    <r>
      <t>PXIe-8108(NIC)1075,LVRT 16.0b75,NI-DAQmx15.5(PXIe-6361,PXIe-6363)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</si>
  <si>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 (NIC) 1075, LVRT 16.0b75, NI-DAQmx15.5  (PXIe-6361 and PXIe-6363) </t>
    </r>
    <r>
      <rPr>
        <sz val="14"/>
        <color theme="1"/>
        <rFont val="Calibri"/>
        <family val="2"/>
        <scheme val="minor"/>
      </rPr>
      <t>No SMP support</t>
    </r>
  </si>
  <si>
    <r>
      <t xml:space="preserve">PXIe-8108 (NIB)1082, LV RT 16.0b75, NI-DAQmx15.5  (PXIe-6361 and PXIe-6363) </t>
    </r>
    <r>
      <rPr>
        <sz val="14"/>
        <color theme="1"/>
        <rFont val="Calibri"/>
        <family val="2"/>
        <scheme val="minor"/>
      </rPr>
      <t>No SMP support</t>
    </r>
  </si>
  <si>
    <r>
      <t>PXIe-8108(NIB)1082, LVRT 16.0b75, NI-DAQmx 15.5(PXIe-6361 and PXIe-6363)</t>
    </r>
    <r>
      <rPr>
        <sz val="14"/>
        <color theme="1"/>
        <rFont val="Calibri"/>
        <family val="2"/>
        <scheme val="minor"/>
      </rPr>
      <t>With SMP support</t>
    </r>
  </si>
  <si>
    <t>Worst of 3 : 8108_sp_online_poll_smp_16.0rc9</t>
  </si>
  <si>
    <r>
      <t xml:space="preserve">PXIe-8108(NIC)1075,LVRT 16.0rc9, NI-DAQmx15.5 (PXIe-6361,PXIe-6363)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</si>
  <si>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PXIe-8108(NIC)1075,LVRT 16.0, NI-DAQmx15.5 (PXIe-6361,PXIe-6363)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</si>
  <si>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 (NIC) 1075, LVRT 16.0, NI-DAQmx15.5  (PXIe-6361 and PXIe-6363) </t>
    </r>
    <r>
      <rPr>
        <sz val="14"/>
        <color theme="1"/>
        <rFont val="Calibri"/>
        <family val="2"/>
        <scheme val="minor"/>
      </rPr>
      <t>No SMP support</t>
    </r>
  </si>
  <si>
    <t>Worst of 10 : 8108_sp_online_poll_smp_16.0</t>
  </si>
  <si>
    <r>
      <t xml:space="preserve">PXIe-8108 (NIC) 1075, LVRT 16.0rc9, NI-DAQmx15.5 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</si>
  <si>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8108_sp_online_poll_no_smp_16.0rc9</t>
  </si>
  <si>
    <t>Worst of 10 : 8108_sp_online_poll_no_smp_16.0</t>
  </si>
  <si>
    <r>
      <t xml:space="preserve">PXIe-8108(NIC)1075,LVRT 17.0d41, NI-DAQmx16.0 (PXIe-6361,PXIe-6363)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</si>
  <si>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 (NIC) 1075, LVRT 17.0d41, NI-DAQmx16.0 (PXIe-6361 and PXIe-6363) </t>
    </r>
    <r>
      <rPr>
        <sz val="14"/>
        <color theme="1"/>
        <rFont val="Calibri"/>
        <family val="2"/>
        <scheme val="minor"/>
      </rPr>
      <t>No SMP support</t>
    </r>
  </si>
  <si>
    <r>
      <t xml:space="preserve">PXIe-8108(NIC)1075,LVRT 17.0d80, NI-DAQmx16.0 (PXIe-6361,PXIe-6363) </t>
    </r>
    <r>
      <rPr>
        <sz val="14"/>
        <color theme="1"/>
        <rFont val="Calibri"/>
        <family val="2"/>
        <scheme val="minor"/>
      </rPr>
      <t>With SMP support</t>
    </r>
  </si>
  <si>
    <t>vs. LV 16.0,Dmx 15.5</t>
  </si>
  <si>
    <t>Worst of 3 : 8108_sp_online_poll_smp_17.0d41</t>
  </si>
  <si>
    <t>Worst of 3 : 8108_sp_online_poll_no_smp_17.0d41</t>
  </si>
  <si>
    <t>Worst of 3 : 8108_sp_online_poll_smp_17.0d80</t>
  </si>
  <si>
    <t>Worst of 3 : 8108_sp_online_poll_no_smp_17.0d80</t>
  </si>
  <si>
    <r>
      <t xml:space="preserve">PXIe-8108 (NIC) 1075, LVRT 17.0d80, NI-DAQmx16.0 (PXIe-6361 and PXIe-6363) </t>
    </r>
    <r>
      <rPr>
        <sz val="14"/>
        <color theme="1"/>
        <rFont val="Calibri"/>
        <family val="2"/>
        <scheme val="minor"/>
      </rPr>
      <t>No SMP support</t>
    </r>
  </si>
  <si>
    <t>T1 Cases were run again</t>
  </si>
  <si>
    <r>
      <t xml:space="preserve">PXIe-8108(NIC)1075,LVRT 17.0d88, NI-DAQmx16.0 (PXIe-6361,PXIe-6363)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</si>
  <si>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 (NIC) 1075, LVRT 17.0d88, NI-DAQmx16.0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</si>
  <si>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8108_sp_online_poll_no_smp_17.0d88</t>
  </si>
  <si>
    <t>Worst of 3 : 8108_sp_online_poll_smp_17.0d88</t>
  </si>
  <si>
    <r>
      <t xml:space="preserve">PXIe-8108 (NIC) 1075, LVRT 17.0a2, NI-DAQmx16.0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</si>
  <si>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8108_sp_online_poll_no_smp_17.0a2</t>
  </si>
  <si>
    <r>
      <t xml:space="preserve">PXIe-8108(NIC)1075,LVRT 17.0a2, NI-DAQmx16.0 (PXIe-6361,PXIe-6363) </t>
    </r>
    <r>
      <rPr>
        <sz val="14"/>
        <color theme="1"/>
        <rFont val="Calibri"/>
        <family val="2"/>
        <scheme val="minor"/>
      </rPr>
      <t>With SMP support</t>
    </r>
  </si>
  <si>
    <t>Worst of 3 : 8108_sp_online_poll_smp_17.0a2</t>
  </si>
  <si>
    <r>
      <t xml:space="preserve">PXIe-8108(NIC)1075,LVRT 17.0a8, NI-DAQmx16.0 (PXIe-6361,PXIe-6363) </t>
    </r>
    <r>
      <rPr>
        <sz val="14"/>
        <color theme="1"/>
        <rFont val="Calibri"/>
        <family val="2"/>
        <scheme val="minor"/>
      </rPr>
      <t>With SMP support</t>
    </r>
  </si>
  <si>
    <t>Worst of 3 : 8108_sp_online_poll_smp_17.0a8</t>
  </si>
  <si>
    <t>Err</t>
  </si>
  <si>
    <t>Worst of 3 : 8108_sp_online_poll_no_smp_17.0a8</t>
  </si>
  <si>
    <r>
      <t xml:space="preserve">PXIe-8108 (NIC) 1075, LVRT 17.0a8, NI-DAQmx16.0 (PXIe-6361 and PXIe-6363) </t>
    </r>
    <r>
      <rPr>
        <sz val="14"/>
        <color theme="1"/>
        <rFont val="Calibri"/>
        <family val="2"/>
        <scheme val="minor"/>
      </rPr>
      <t>No SMP support</t>
    </r>
  </si>
  <si>
    <r>
      <t xml:space="preserve">PXIe-8108(NIC)1075,LVRT 17.0a14, NI-DAQmx16.0 (PXIe-6361,PXIe-6363) </t>
    </r>
    <r>
      <rPr>
        <sz val="14"/>
        <color theme="1"/>
        <rFont val="Calibri"/>
        <family val="2"/>
        <scheme val="minor"/>
      </rPr>
      <t>With SMP support</t>
    </r>
  </si>
  <si>
    <t>Worst of 3 : 8108_sp_online_poll_smp_17.0a14</t>
  </si>
  <si>
    <r>
      <t xml:space="preserve">PXIe-8108 (NIC) 1075, LVRT 17.0a14, NI-DAQmx16.0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</si>
  <si>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8108_sp_online_poll_no_smp_17.0a14</t>
  </si>
  <si>
    <t>Worst of 3 : 8108_sp_online_poll_smp_17.0a21</t>
  </si>
  <si>
    <t>Worst of 3 : 8108_sp_online_poll_no_smp_17.0a21</t>
  </si>
  <si>
    <r>
      <t xml:space="preserve">PXIe-8108(NIC)1075,LVRT 17.0a31, NI-DAQmx16.0 (PXIe-6361,PXIe-6363)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</si>
  <si>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 (NIC) 1075, LVRT 17.0a31, NI-DAQmx16.0 (PXIe-6361 and PXIe-6363) </t>
    </r>
    <r>
      <rPr>
        <sz val="14"/>
        <color theme="1"/>
        <rFont val="Calibri"/>
        <family val="2"/>
        <scheme val="minor"/>
      </rPr>
      <t>No SMP support</t>
    </r>
  </si>
  <si>
    <r>
      <t xml:space="preserve">PXIe-8108 (NIC) 1075, LVRT 17.0a21, NI-DAQmx16.0 (PXIe-6361 and PXIe-6363) </t>
    </r>
    <r>
      <rPr>
        <sz val="14"/>
        <color theme="1"/>
        <rFont val="Calibri"/>
        <family val="2"/>
        <scheme val="minor"/>
      </rPr>
      <t>No SMP support</t>
    </r>
  </si>
  <si>
    <r>
      <t xml:space="preserve">PXIe-8108(NIC)1075,LVRT 17.0a21, NI-DAQmx16.0 (PXIe-6361,PXIe-6363) </t>
    </r>
    <r>
      <rPr>
        <sz val="14"/>
        <color theme="1"/>
        <rFont val="Calibri"/>
        <family val="2"/>
        <scheme val="minor"/>
      </rPr>
      <t>With SMP support</t>
    </r>
  </si>
  <si>
    <t>Worst of 3 : 8108_sp_online_poll_smp_17.0a31</t>
  </si>
  <si>
    <t>Worst of 3 : 8108_sp_online_poll_no_smp_17.0a31</t>
  </si>
  <si>
    <r>
      <t xml:space="preserve">PXIe-8108(NIC)1075,LVRT 17.0a40, NI-DAQmx16.0 (PXIe-6361,PXIe-6363)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</si>
  <si>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 (NIC) 1075, LVRT 17.0a40, NI-DAQmx16.0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</si>
  <si>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8108_sp_online_poll_no_smp_17.0a40</t>
  </si>
  <si>
    <t>Worst of 3 : 8108_sp_online_poll_smp_17.0a40</t>
  </si>
  <si>
    <r>
      <t xml:space="preserve">PXIe-8108(NIC)1075,LVRT 17.0a48, NI-DAQmx16.0 (PXIe-6361,PXIe-6363) </t>
    </r>
    <r>
      <rPr>
        <sz val="14"/>
        <color theme="1"/>
        <rFont val="Calibri"/>
        <family val="2"/>
        <scheme val="minor"/>
      </rPr>
      <t>With SMP support</t>
    </r>
  </si>
  <si>
    <t>Worst of 3 : 8108_sp_online_poll_smp_17.0a48</t>
  </si>
  <si>
    <t>Worst of 3 : 8108_sp_online_poll_no_smp_17.0a48</t>
  </si>
  <si>
    <r>
      <t xml:space="preserve">PXIe-8108 (NIC) 1075, LVRT 17.0a48, NI-DAQmx16.0 (PXIe-6361 and PXIe-6363) </t>
    </r>
    <r>
      <rPr>
        <sz val="14"/>
        <color theme="1"/>
        <rFont val="Calibri"/>
        <family val="2"/>
        <scheme val="minor"/>
      </rPr>
      <t>No SMP support</t>
    </r>
  </si>
  <si>
    <r>
      <t xml:space="preserve">PXIe-8108(NIC)1075,LVRT 17.0b3, NI-DAQmx16.0 (PXIe-6361,PXIe-6363) </t>
    </r>
    <r>
      <rPr>
        <sz val="14"/>
        <color theme="1"/>
        <rFont val="Calibri"/>
        <family val="2"/>
        <scheme val="minor"/>
      </rPr>
      <t>With SMP support</t>
    </r>
  </si>
  <si>
    <t>Worst of 3 : 8108_sp_online_poll_smp_17.0b3</t>
  </si>
  <si>
    <r>
      <t xml:space="preserve">PXIe-8108 (NIC) 1075, LVRT 17.0b3, NI-DAQmx16.0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</si>
  <si>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8108_sp_online_poll_no_smp_17.0b3</t>
  </si>
  <si>
    <r>
      <t xml:space="preserve">PXIe-8108(NIC)1075,LVRT 17.0b8, NI-DAQmx16.0 (PXIe-6361,PXIe-6363)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</si>
  <si>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 (NIC) 1075, LVRT 17.0b8, NI-DAQmx16.0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</si>
  <si>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8108_sp_online_poll_smp_17.0b8</t>
  </si>
  <si>
    <t>Worst of 3 : 8108_sp_online_poll_no_smp_17.0b8</t>
  </si>
  <si>
    <r>
      <t xml:space="preserve">PXIe-8108(NIC)1075,LVRT 17.0b12, NI-DAQmx16.0 (PXIe-6361,PXIe-6363)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</si>
  <si>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 (NIC) 1075, LVRT 17.0b12, NI-DAQmx16.0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</si>
  <si>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8108_sp_online_poll_smp_17.0b12</t>
  </si>
  <si>
    <t>Worst of 3 : 8108_sp_online_poll_no_smp_17.0b12</t>
  </si>
  <si>
    <r>
      <t xml:space="preserve">PXIe-8108(NIC)1075,LVRT 17.0b19, NI-DAQmx16.0 (PXIe-6361,PXIe-6363)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</si>
  <si>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 (NIC) 1075, LVRT 17.0b19, NI-DAQmx16.0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</si>
  <si>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8108_sp_online_poll_no_smp_17.0b19</t>
  </si>
  <si>
    <t>Worst of 3 : 8108_sp_online_poll_smp_17.0b19</t>
  </si>
  <si>
    <r>
      <t xml:space="preserve">PXIe-8108(NIC)1075,LVRT 17.0b23, NI-DAQmx16.0 (PXIe-6361,PXIe-6363)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</si>
  <si>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 (NIC) 1075, LVRT 17.0b23, NI-DAQmx16.0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</si>
  <si>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8108_sp_online_poll_smp_17.0b23</t>
  </si>
  <si>
    <t>Worst of 3 : 8108_sp_online_poll_no_smp_17.0b23</t>
  </si>
  <si>
    <r>
      <t xml:space="preserve">PXIe-8108(NIC)1075,LVRT 17.0b28, NI-DAQmx16.0 (PXIe-6361,PXIe-6363) </t>
    </r>
    <r>
      <rPr>
        <sz val="14"/>
        <color theme="1"/>
        <rFont val="Calibri"/>
        <family val="2"/>
        <scheme val="minor"/>
      </rPr>
      <t>With SMP support</t>
    </r>
  </si>
  <si>
    <t>Worst of 3 : 8108_sp_online_poll_smp_17.0b28</t>
  </si>
  <si>
    <r>
      <t xml:space="preserve">PXIe-8108 (NIC) 1075, LVRT 17.0b28, NI-DAQmx16.0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</si>
  <si>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8108_sp_online_poll_no_smp_17.0b28</t>
  </si>
  <si>
    <r>
      <t xml:space="preserve">PXIe-8108(NIC)1075,LVRT 17.0b35, NI-DAQmx16.0 (PXIe-6361,PXIe-6363) </t>
    </r>
    <r>
      <rPr>
        <sz val="14"/>
        <color theme="1"/>
        <rFont val="Calibri"/>
        <family val="2"/>
        <scheme val="minor"/>
      </rPr>
      <t>With SMP support</t>
    </r>
  </si>
  <si>
    <t>Worst of 3 : 8108_sp_online_poll_smp_17.0b35</t>
  </si>
  <si>
    <t>Worst of 3 : 8108_sp_online_poll_no_smp_17.0b35</t>
  </si>
  <si>
    <r>
      <t xml:space="preserve">PXIe-8108 (NIC) 1075, LVRT 17.0b35, NI-DAQmx16.0 (PXIe-6361 and PXIe-6363) </t>
    </r>
    <r>
      <rPr>
        <sz val="14"/>
        <color theme="1"/>
        <rFont val="Calibri"/>
        <family val="2"/>
        <scheme val="minor"/>
      </rPr>
      <t>No SMP support</t>
    </r>
  </si>
  <si>
    <r>
      <t xml:space="preserve">PXIe-8108(NIC)1075,LVRT 17.0b40, NI-DAQmx16.0 (PXIe-6361,PXIe-6363)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</si>
  <si>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 (NIC) 1075, LVRT 17.0b40, NI-DAQmx16.0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</si>
  <si>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8108_sp_online_poll_smp_17.0b40</t>
  </si>
  <si>
    <t>Worst of 3 : 8108_sp_online_poll_no_smp_17.0b40</t>
  </si>
  <si>
    <r>
      <t xml:space="preserve">PXIe-8108(NIC)1075,LVRT 17.0rc0, NI-DAQmx16.0 (PXIe-6361,PXIe-6363)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</si>
  <si>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 (NIC) 1075, LVRT 17.0rc0, NI-DAQmx16.0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</si>
  <si>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8108_sp_online_poll_smp_17.0rc0</t>
  </si>
  <si>
    <t>Worst of 3 : 8108_sp_online_poll_no_smp_17.0rc0</t>
  </si>
  <si>
    <r>
      <t xml:space="preserve">PXIe-8108(NIC)1075,LVRT 17.0, NI-DAQmx16.0 (PXIe-6361,PXIe-6363)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</si>
  <si>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 (NIC) 1075, LVRT 17.0, NI-DAQmx16.0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</si>
  <si>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8108_sp_online_poll_smp_17.0</t>
  </si>
  <si>
    <t>Worst of 3 : 8108_sp_online_poll_no_smp_17.0</t>
  </si>
  <si>
    <t>Worst of 3 : 8108_sp_online_poll_no_smp_17.0.1b3</t>
  </si>
  <si>
    <t>Worst of 3 : 8108_sp_online_poll_smp_17.0.1b3</t>
  </si>
  <si>
    <r>
      <t xml:space="preserve">PXIe-8108 (NIC) 1075, LV 17.0.1b3,LVRT 17.0, NI-DAQmx17.6 (PXIe-6361 and PXIe-6363) </t>
    </r>
    <r>
      <rPr>
        <sz val="14"/>
        <color theme="1"/>
        <rFont val="Calibri"/>
        <family val="2"/>
        <scheme val="minor"/>
      </rPr>
      <t>No SMP support</t>
    </r>
  </si>
  <si>
    <r>
      <t xml:space="preserve">PXIe-8108(NIC)1075,LV 17.0.1b3,LVRT 17.0, NI-DAQmx17.6 (PXIe-6361,PXIe-6363)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</si>
  <si>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PXIe-8108(NIC)1075,LV 17.0.1b10,LVRT 17.0, NI-DAQmx17.6 (PXIe-6361,PXIe-6363)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</si>
  <si>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 (NIC) 1075, LV 17.0.1b10,LVRT 17.0, NI-DAQmx17.6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</si>
  <si>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8108_sp_online_poll_smp_17.0.1b10</t>
  </si>
  <si>
    <t>Worst of 3 : 8108_sp_online_poll_no_smp_17.0.1b10</t>
  </si>
  <si>
    <r>
      <t xml:space="preserve">PXIe-8108(NIC)1075,LV 17.0.1,LVRT 17.0, NI-DAQmx17.0.0 (PXIe-6361,PXIe-6363)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</si>
  <si>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 (NIC) 1075, LV 17.0.1,LVRT 17.0, NI-DAQmx17.0.0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</si>
  <si>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8108_sp_online_poll_smp_17.0.1</t>
  </si>
  <si>
    <t>Worst of 3 : 8108_sp_online_poll_no_smp_17.0.1</t>
  </si>
  <si>
    <r>
      <t xml:space="preserve">PXIe-8108(NIC)1075,LVRT 18.0a2, NI-DAQmx17.0.0 (PXIe-6361,PXIe-6363) </t>
    </r>
    <r>
      <rPr>
        <sz val="14"/>
        <color theme="1"/>
        <rFont val="Calibri"/>
        <family val="2"/>
        <scheme val="minor"/>
      </rPr>
      <t>With SMP support</t>
    </r>
  </si>
  <si>
    <t>vs. LV 17.0,Dmx 17.0</t>
  </si>
  <si>
    <t>vs. LV 16.0,Dmx 17.0</t>
  </si>
  <si>
    <r>
      <t xml:space="preserve">PXIe-8108 (NIC) 1075, LVRT 18.0a2, NI-DAQmx17.0.0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</si>
  <si>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8108_sp_online_poll_smp_18.0a2</t>
  </si>
  <si>
    <t>Worst of 3 : 8108_sp_online_poll_no_smp_18.0a2</t>
  </si>
  <si>
    <r>
      <t xml:space="preserve">PXIe-8108(NIC)1075,LVRT 18.0a11, NI-DAQmx17.0.0 (PXIe-6361,PXIe-6363)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</si>
  <si>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 (NIC) 1075, LVRT 18.0a11, NI-DAQmx17.0.0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</si>
  <si>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8108_sp_online_poll_smp_18.0a11</t>
  </si>
  <si>
    <t>Worst of 3 : 8108_sp_online_poll_no_smp_18.0a11</t>
  </si>
  <si>
    <r>
      <t xml:space="preserve">PXIe-8108(NIC)1075,LVRT 18.0b0, NI-DAQmx17.0.0 (PXIe-6361,PXIe-6363)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</si>
  <si>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 (NIC) 1075, LVRT 18.0b0, NI-DAQmx17.0.0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</si>
  <si>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8108_sp_online_poll_smp_18.0b0</t>
  </si>
  <si>
    <t>Worst of 3 : 8108_sp_online_poll_no_smp_18.0b0</t>
  </si>
  <si>
    <t>Worst of 3 : 8108_sp_online_poll_smp_18.0b7</t>
  </si>
  <si>
    <r>
      <t xml:space="preserve">PXIe-8108(NIC)1075,LVRT 18.0b7, NI-DAQmx17.0.0 (PXIe-6361,PXIe-6363)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</si>
  <si>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 (NIC) 1075, LVRT 18.0b7, NI-DAQmx17.0.0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</si>
  <si>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8108_sp_online_poll_no_smp_18.0b7</t>
  </si>
  <si>
    <r>
      <t xml:space="preserve">PXIe-8108(NIC)1075,LVRT 18.0b22, NI-DAQmx17.0.0 (PXIe-6361,PXIe-6363) </t>
    </r>
    <r>
      <rPr>
        <sz val="14"/>
        <color theme="1"/>
        <rFont val="Calibri"/>
        <family val="2"/>
        <scheme val="minor"/>
      </rPr>
      <t>With SMP support</t>
    </r>
  </si>
  <si>
    <t>Worst of 3 : 8108_sp_online_poll_smp_18.0b22</t>
  </si>
  <si>
    <t>Worst of 3 : 8108_sp_online_poll_no_smp_18.0b22</t>
  </si>
  <si>
    <r>
      <t xml:space="preserve">PXIe-8108 (NIC) 1075, LVRT 18.0b22, NI-DAQmx17.0.0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</si>
  <si>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8108_sp_online_poll_smp_18.0b30</t>
  </si>
  <si>
    <r>
      <t xml:space="preserve">PXIe-8108(NIC)1075,LVRT 18.0b30, NI-DAQmx17.0.0 (PXIe-6361,PXIe-6363)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</si>
  <si>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 (NIC) 1075, LVRT 18.0b30, NI-DAQmx17.0.0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</si>
  <si>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8108_sp_online_poll_no_smp_18.0b30</t>
  </si>
  <si>
    <r>
      <t xml:space="preserve">PXIe-8108(NIC)1075,LVRT 18.0b34, NI-DAQmx17.0.0 (PXIe-6361,PXIe-6363) </t>
    </r>
    <r>
      <rPr>
        <sz val="14"/>
        <color theme="1"/>
        <rFont val="Calibri"/>
        <family val="2"/>
        <scheme val="minor"/>
      </rPr>
      <t>With SMP support</t>
    </r>
  </si>
  <si>
    <t>Worst of 3 : 8108_sp_online_poll_smp_18.0b34</t>
  </si>
  <si>
    <r>
      <t xml:space="preserve">PXIe-8108 (NIC) 1075, LVRT 18.0b34, NI-DAQmx17.0.0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</si>
  <si>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8108_sp_online_poll_no_smp_18.0b34</t>
  </si>
  <si>
    <r>
      <t xml:space="preserve">PXIe-8108(NIC)1075,LVRT 18.0b58, NI-DAQmx17.0.0 (PXIe-6361,PXIe-6363) </t>
    </r>
    <r>
      <rPr>
        <sz val="14"/>
        <color theme="1"/>
        <rFont val="Calibri"/>
        <family val="2"/>
        <scheme val="minor"/>
      </rPr>
      <t>With SMP support</t>
    </r>
  </si>
  <si>
    <t>Worst of 3 : 8108_sp_online_poll_smp_18.0b58</t>
  </si>
  <si>
    <r>
      <t xml:space="preserve">PXIe-8108 (NIC) 1075, LVRT 18.0b58, NI-DAQmx17.0.0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</si>
  <si>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8108_sp_online_poll_no_smp_18.0b58</t>
  </si>
  <si>
    <r>
      <t xml:space="preserve">PXIe-8108(NIC)1075,LVRT 18.0b60, NI-DAQmx17.0.0 (PXIe-6361,PXIe-6363) </t>
    </r>
    <r>
      <rPr>
        <sz val="14"/>
        <color theme="1"/>
        <rFont val="Calibri"/>
        <family val="2"/>
        <scheme val="minor"/>
      </rPr>
      <t>With SMP support</t>
    </r>
  </si>
  <si>
    <t>Worst of 3 : 8108_sp_online_poll_smp_18.0b60</t>
  </si>
  <si>
    <r>
      <t xml:space="preserve">PXIe-8108 (NIC) 1075, LVRT 18.0b60, NI-DAQmx17.0.0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</si>
  <si>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8108_sp_online_poll_no_smp_18.0b60</t>
  </si>
  <si>
    <r>
      <t xml:space="preserve">PXIe-8108(NIC)1075,LVRT 18.0b67, NI-DAQmx17.0.0 (PXIe-6361,PXIe-6363)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</si>
  <si>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 (NIC) 1075, LVRT 18.0b67, NI-DAQmx17.0.0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</si>
  <si>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8108_sp_online_poll_smp_18.0b67</t>
  </si>
  <si>
    <t>Worst of 3 : 8108_sp_online_poll_no_smp_18.0b67</t>
  </si>
  <si>
    <t>Worst of 3 : 8108_sp_online_poll_smp_18.0b72</t>
  </si>
  <si>
    <r>
      <t xml:space="preserve">PXIe-8108(NIC)1075,LVRT 18.0b72, NI-DAQmx17.0.0 (PXIe-6361,PXIe-6363) </t>
    </r>
    <r>
      <rPr>
        <sz val="14"/>
        <color theme="1"/>
        <rFont val="Calibri"/>
        <family val="2"/>
        <scheme val="minor"/>
      </rPr>
      <t>With SMP support</t>
    </r>
  </si>
  <si>
    <t>Worst of 3 : 8108_sp_online_poll_no_smp_18.0b72</t>
  </si>
  <si>
    <r>
      <t xml:space="preserve">PXIe-8108 (NIC) 1075, LVRT 18.0b72, NI-DAQmx17.0.0 (PXIe-6361 and PXIe-6363) </t>
    </r>
    <r>
      <rPr>
        <sz val="14"/>
        <color theme="1"/>
        <rFont val="Calibri"/>
        <family val="2"/>
        <scheme val="minor"/>
      </rPr>
      <t>No SMP support</t>
    </r>
  </si>
  <si>
    <r>
      <t xml:space="preserve">PXIe-8108(NIC)1075,LVRT 18.0rc1, NI-DAQmx17.0.0 (PXIe-6361,PXIe-6363) </t>
    </r>
    <r>
      <rPr>
        <sz val="14"/>
        <color theme="1"/>
        <rFont val="Calibri"/>
        <family val="2"/>
        <scheme val="minor"/>
      </rPr>
      <t>With SMP support</t>
    </r>
  </si>
  <si>
    <t>Worst of 3 : 8108_sp_online_poll_smp_18.0rc1</t>
  </si>
  <si>
    <r>
      <t xml:space="preserve">PXIe-8108 (NIC) 1075, LVRT 18.0rc1, NI-DAQmx17.0.0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</si>
  <si>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8108_sp_online_poll_no_smp_18.0rc1</t>
  </si>
  <si>
    <t>Worst of 3 : 8108_sp_online_poll_smp_18.0</t>
  </si>
  <si>
    <r>
      <t xml:space="preserve">PXIe-8108(NIC)1075,LVRT 18.0, NI-DAQmx17.0.0 (PXIe-6361,PXIe-6363) </t>
    </r>
    <r>
      <rPr>
        <sz val="14"/>
        <color theme="1"/>
        <rFont val="Calibri"/>
        <family val="2"/>
        <scheme val="minor"/>
      </rPr>
      <t>With SMP support</t>
    </r>
  </si>
  <si>
    <t>Worst of 3 : 8108_sp_online_poll_no_smp_18.0</t>
  </si>
  <si>
    <r>
      <t xml:space="preserve">PXIe-8108 (NIC) 1075, LVRT 18.0, NI-DAQmx17.0.0 (PXIe-6361 and PXIe-6363) </t>
    </r>
    <r>
      <rPr>
        <sz val="14"/>
        <color theme="1"/>
        <rFont val="Calibri"/>
        <family val="2"/>
        <scheme val="minor"/>
      </rPr>
      <t>No SMP support</t>
    </r>
  </si>
  <si>
    <r>
      <t xml:space="preserve">PXIe-8108(NIC)1075,LVRT 18.0.1b3, NI-DAQmx17.0.0 (PXIe-6361,PXIe-6363)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</si>
  <si>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 (NIC) 1075, LVRT 18.0.1b3, NI-DAQmx17.0.0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</si>
  <si>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8108_sp_online_poll_smp_18.0.1b3</t>
  </si>
  <si>
    <t>Worst of 3 : 8108_sp_online_poll_no_smp_18.0.1b3</t>
  </si>
  <si>
    <t>vs. LV 18.0,Dmx 17.0</t>
  </si>
  <si>
    <t>Worst of 3 : 8108_sp_online_poll_no_smp_18.0.1</t>
  </si>
  <si>
    <t>Worst of 3 : 8108_sp_online_poll_smp_18.0.1</t>
  </si>
  <si>
    <r>
      <t xml:space="preserve">PXIe-8108(NIC)1075,LVRT 18.0.1, NI-DAQmx18.0.0 (PXIe-6361,PXIe-6363)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</si>
  <si>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 (NIC) 1075, LVRT 18.0.1, NI-DAQmx18.0.0 (PXIe-6361 and PXIe-6363) </t>
    </r>
    <r>
      <rPr>
        <sz val="14"/>
        <color theme="1"/>
        <rFont val="Calibri"/>
        <family val="2"/>
        <scheme val="minor"/>
      </rPr>
      <t>No SMP support</t>
    </r>
  </si>
  <si>
    <r>
      <t xml:space="preserve">PXIe-8108(NIC)1075,LVRT 19.0a6, NI-DAQmx19.0.0 (PXIe-6361,PXIe-6363)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</si>
  <si>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 (NIC) 1075, LVRT 19.0a6, NI-DAQmx19.0.0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</si>
  <si>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8108_sp_online_poll_smp_19.0.a6</t>
  </si>
  <si>
    <t>Worst of 3 : 8108_sp_online_poll_no_smp_19.0a6</t>
  </si>
  <si>
    <t>vs. LV 18.0.0,Dmx 17.0</t>
  </si>
  <si>
    <r>
      <t xml:space="preserve">PXIe-8108(NIC)1075,LVRT 19.0a9, NI-DAQmx19.0.0 (PXIe-6361,PXIe-6363) </t>
    </r>
    <r>
      <rPr>
        <sz val="14"/>
        <color theme="1"/>
        <rFont val="Calibri"/>
        <family val="2"/>
        <scheme val="minor"/>
      </rPr>
      <t>With SMP support</t>
    </r>
  </si>
  <si>
    <t>Worst of 3 : 8108_sp_online_poll_no_smp_19.0a9</t>
  </si>
  <si>
    <t>Worst of 3 : 8108_sp_online_poll_smp_19.0.a9</t>
  </si>
  <si>
    <r>
      <t xml:space="preserve">PXIe-8108 (NIC) 1075, LVRT 19.0a9, NI-DAQmx19.0.0 (PXIe-6361 and PXIe-6363) </t>
    </r>
    <r>
      <rPr>
        <sz val="14"/>
        <color theme="1"/>
        <rFont val="Calibri"/>
        <family val="2"/>
        <scheme val="minor"/>
      </rPr>
      <t>No SMP support</t>
    </r>
  </si>
  <si>
    <r>
      <t xml:space="preserve">PXIe-8108(NIC)1075,LVRT 19.0a25, NI-DAQmx19.0.0 (PXIe-6361,PXIe-6363) </t>
    </r>
    <r>
      <rPr>
        <sz val="14"/>
        <color theme="1"/>
        <rFont val="Calibri"/>
        <family val="2"/>
        <scheme val="minor"/>
      </rPr>
      <t>With SMP support</t>
    </r>
  </si>
  <si>
    <t>Worst of 3 : 8108_sp_online_poll_smp_19.0.a25</t>
  </si>
  <si>
    <t>Worst of 3 : 8108_sp_online_poll_no_smp_19.0a25</t>
  </si>
  <si>
    <r>
      <t xml:space="preserve">PXIe-8108 (NIC) 1075, LVRT 19.0a25, NI-DAQmx19.0.0 (PXIe-6361 and PXIe-6363) </t>
    </r>
    <r>
      <rPr>
        <sz val="14"/>
        <color theme="1"/>
        <rFont val="Calibri"/>
        <family val="2"/>
        <scheme val="minor"/>
      </rPr>
      <t>No SMP support</t>
    </r>
  </si>
  <si>
    <r>
      <t xml:space="preserve">PXIe-8108(NIC)1075,LVRT 19.0a28, NI-DAQmx19.0.0 (PXIe-6361,PXIe-6363)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</si>
  <si>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 (NIC) 1075, LVRT 19.0a28, NI-DAQmx19.0.0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</si>
  <si>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8108_sp_online_poll_smp_19.0.a28</t>
  </si>
  <si>
    <t>Worst of 3 : 8108_sp_online_poll_no_smp_19.0a28</t>
  </si>
  <si>
    <r>
      <t xml:space="preserve">PXIe-8108(NIC)1075,LVRT 19.0b2, NI-DAQmx19.0.0 (PXIe-6361,PXIe-6363)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</si>
  <si>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 (NIC) 1075, LVRT 19.0b2, NI-DAQmx19.0.0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</si>
  <si>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8108_sp_online_poll_no_smp_19.0b2</t>
  </si>
  <si>
    <t>Worst of 3 : 8108_sp_online_poll_smp_19.0.b2</t>
  </si>
  <si>
    <r>
      <t xml:space="preserve">PXIe-8108(NIC)1075,LVRT 19.0b27, NI-DAQmx19.0.0 (PXIe-6361,PXIe-6363)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</si>
  <si>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 (NIC) 1075, LVRT 19.0b27, NI-DAQmx19.0.0 (PXIe-6361 and PXIe-6363) </t>
    </r>
    <r>
      <rPr>
        <sz val="14"/>
        <color theme="1"/>
        <rFont val="Calibri"/>
        <family val="2"/>
        <scheme val="minor"/>
      </rPr>
      <t>No SMP support</t>
    </r>
  </si>
  <si>
    <t xml:space="preserve">	28449</t>
  </si>
  <si>
    <t xml:space="preserve">	70972</t>
  </si>
  <si>
    <t>Worst of 3 : 8108_sp_online_poll_no_smp_19.0b27</t>
  </si>
  <si>
    <t>Worst of 3 : 8108_sp_online_poll_smp_19.0.b27</t>
  </si>
  <si>
    <r>
      <t xml:space="preserve">PXIe-8108 (NIC) 1075, LVRT 19.0b49, NI-DAQmx19.0.0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</si>
  <si>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8108_sp_online_poll_no_smp_19.0b49</t>
  </si>
  <si>
    <t>Worst of 3 : 8108_sp_online_poll_smp_19.0.b49</t>
  </si>
  <si>
    <r>
      <t xml:space="preserve">PXIe-8108(NIC)1075,LVRT 19.0b49, NI-DAQmx19.0.0 (PXIe-6361,PXIe-6363)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</si>
  <si>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 (NIC) 1075, LVRT 19.0b57, NI-DAQmx19.0.0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</si>
  <si>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8108_sp_online_poll_no_smp_19.0b57</t>
  </si>
  <si>
    <r>
      <t xml:space="preserve">PXIe-8108(NIC)1075,LVRT 19.0b57, NI-DAQmx19.0.0 (PXIe-6361,PXIe-6363) </t>
    </r>
    <r>
      <rPr>
        <sz val="14"/>
        <color theme="1"/>
        <rFont val="Calibri"/>
        <family val="2"/>
        <scheme val="minor"/>
      </rPr>
      <t>With SMP support</t>
    </r>
  </si>
  <si>
    <t>Worst of 3 : 8108_sp_online_poll_smp_19.0.b57</t>
  </si>
  <si>
    <r>
      <t xml:space="preserve">PXIe-8108 (NIC) 1075, LVRT 19.0b63, NI-DAQmx19.0.0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</si>
  <si>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8108_sp_online_poll_no_smp_19.0b63</t>
  </si>
  <si>
    <t>Worst of 3 : 8108_sp_online_poll_smp_19.0.b63</t>
  </si>
  <si>
    <r>
      <t xml:space="preserve">PXIe-8108(NIC)1075,LVRT 19.0b63, NI-DAQmx19.0.0 (PXIe-6361,PXIe-6363)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</si>
  <si>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 (NIC) 1075, LVRT 19.0b67, NI-DAQmx19.0.0 (PXIe-6361 and PXIe-6363) </t>
    </r>
    <r>
      <rPr>
        <sz val="14"/>
        <color theme="1"/>
        <rFont val="Calibri"/>
        <family val="2"/>
        <scheme val="minor"/>
      </rPr>
      <t>No SMP support</t>
    </r>
  </si>
  <si>
    <r>
      <t xml:space="preserve">PXIe-8108(NIC)1075,LVRT 19.0b67, NI-DAQmx19.0.0 (PXIe-6361,PXIe-6363) </t>
    </r>
    <r>
      <rPr>
        <sz val="14"/>
        <color theme="1"/>
        <rFont val="Calibri"/>
        <family val="2"/>
        <scheme val="minor"/>
      </rPr>
      <t>With SMP support</t>
    </r>
  </si>
  <si>
    <t>Worst of 3 : 8108_sp_online_poll_smp_19.0.b67</t>
  </si>
  <si>
    <t>Worst of 3 : 8108_sp_online_poll_no_smp_19.0b67</t>
  </si>
  <si>
    <t>Worst of 3 : 8108_sp_online_poll_no_smp_19.0b79</t>
  </si>
  <si>
    <r>
      <t xml:space="preserve">PXIe-8108 (NIC) 1075, LVRT 19.0b79, NI-DAQmx19.0.0 (PXIe-6361 and PXIe-6363) </t>
    </r>
    <r>
      <rPr>
        <sz val="14"/>
        <color theme="1"/>
        <rFont val="Calibri"/>
        <family val="2"/>
        <scheme val="minor"/>
      </rPr>
      <t>No SMP support</t>
    </r>
  </si>
  <si>
    <r>
      <t xml:space="preserve">PXIe-8108(NIC)1075,LVRT 19.0b79, NI-DAQmx19.0.0 (PXIe-6361,PXIe-6363) </t>
    </r>
    <r>
      <rPr>
        <sz val="14"/>
        <color theme="1"/>
        <rFont val="Calibri"/>
        <family val="2"/>
        <scheme val="minor"/>
      </rPr>
      <t>With SMP support</t>
    </r>
  </si>
  <si>
    <t>Worst of 3 : 8108_sp_online_poll_smp_19.0.b79</t>
  </si>
  <si>
    <r>
      <t xml:space="preserve">PXIe-8108 (NIC) 1075, LVRT 19.0b83, NI-DAQmx19.0.0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</si>
  <si>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8108_sp_online_poll_no_smp_19.0b83</t>
  </si>
  <si>
    <r>
      <t xml:space="preserve">PXIe-8108(NIC)1075,LVRT 19.0b83, NI-DAQmx19.0.0 (PXIe-6361,PXIe-6363) </t>
    </r>
    <r>
      <rPr>
        <sz val="14"/>
        <color theme="1"/>
        <rFont val="Calibri"/>
        <family val="2"/>
        <scheme val="minor"/>
      </rPr>
      <t>With SMP support</t>
    </r>
  </si>
  <si>
    <t>Worst of 3 : 8108_sp_online_poll_smp_19.0.b83</t>
  </si>
  <si>
    <r>
      <t xml:space="preserve">PXIe-8108 (NIC) 1075, LVRT 19.0b91, NI-DAQmx19.0.0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</si>
  <si>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8108_sp_online_poll_no_smp_19.0b91</t>
  </si>
  <si>
    <r>
      <t xml:space="preserve">PXIe-8108(NIC)1075,LVRT 19.0b91, NI-DAQmx19.0.0 (PXIe-6361,PXIe-6363) </t>
    </r>
    <r>
      <rPr>
        <sz val="14"/>
        <color theme="1"/>
        <rFont val="Calibri"/>
        <family val="2"/>
        <scheme val="minor"/>
      </rPr>
      <t>With SMP support</t>
    </r>
  </si>
  <si>
    <t>Worst of 3 : 8108_sp_online_poll_smp_19.0.b91</t>
  </si>
  <si>
    <r>
      <t xml:space="preserve">PXIe-8108 (NIC) 1075, LVRT 19.0b101, NI-DAQmx19.0.0 (PXIe-6361 and PXIe-6363) </t>
    </r>
    <r>
      <rPr>
        <sz val="14"/>
        <color theme="1"/>
        <rFont val="Calibri"/>
        <family val="2"/>
        <scheme val="minor"/>
      </rPr>
      <t>No SMP support</t>
    </r>
  </si>
  <si>
    <r>
      <t xml:space="preserve">PXIe-8108(NIC)1075,LVRT 19.0b101, NI-DAQmx19.0.0 (PXIe-6361,PXIe-6363) </t>
    </r>
    <r>
      <rPr>
        <sz val="14"/>
        <color theme="1"/>
        <rFont val="Calibri"/>
        <family val="2"/>
        <scheme val="minor"/>
      </rPr>
      <t>With SMP support</t>
    </r>
  </si>
  <si>
    <t>Worst of 3 : 8108_sp_online_poll_no_smp_19.0b101</t>
  </si>
  <si>
    <t>Worst of 3 : 8108_sp_online_poll_smp_19.0.b101</t>
  </si>
  <si>
    <r>
      <t xml:space="preserve">PXIe-8108 (NIC) 1075, LVRT 19.0.0, NI-DAQmx19.0.0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</si>
  <si>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8108_sp_online_poll_no_smp_19.0.0</t>
  </si>
  <si>
    <r>
      <t xml:space="preserve">PXIe-8108(NIC)1075,LVRT 19.0.0, NI-DAQmx19.0.0 (PXIe-6361,PXIe-6363) </t>
    </r>
    <r>
      <rPr>
        <sz val="14"/>
        <color theme="1"/>
        <rFont val="Calibri"/>
        <family val="2"/>
        <scheme val="minor"/>
      </rPr>
      <t>With SMP support</t>
    </r>
  </si>
  <si>
    <t>Worst of 3 : 8108_sp_online_poll_smp_19.0.0</t>
  </si>
  <si>
    <t>Worst of 3 : 8108_sp_online_poll_no_smp_20.0b14</t>
  </si>
  <si>
    <t>Worst of 3 : 8108_sp_online_poll_smp_20.0b14</t>
  </si>
  <si>
    <r>
      <t xml:space="preserve">PXIe-8108 (NIC) 1075, LVRT 20.0b14, NI-DAQmx19.5.0 (PXIe-6361 and PXIe-6363) </t>
    </r>
    <r>
      <rPr>
        <sz val="14"/>
        <color theme="1"/>
        <rFont val="Calibri"/>
        <family val="2"/>
        <scheme val="minor"/>
      </rPr>
      <t>No SMP support</t>
    </r>
  </si>
  <si>
    <r>
      <t xml:space="preserve">PXIe-8108(NIC)1075,LVRT 20.0b14, NI-DAQmx19.5.0 (PXIe-6361,PXIe-6363) </t>
    </r>
    <r>
      <rPr>
        <sz val="14"/>
        <color theme="1"/>
        <rFont val="Calibri"/>
        <family val="2"/>
        <scheme val="minor"/>
      </rPr>
      <t>With SMP support</t>
    </r>
  </si>
  <si>
    <t>vs. LV 20.0.0,Dmx 19.5</t>
  </si>
  <si>
    <r>
      <t xml:space="preserve">PXIe-8108 (NIC) 1075, LVRT 20.0b19, NI-DAQmx19.5.0 (PXIe-6361 and PXIe-6363) </t>
    </r>
    <r>
      <rPr>
        <sz val="14"/>
        <color theme="1"/>
        <rFont val="Calibri"/>
        <family val="2"/>
        <scheme val="minor"/>
      </rPr>
      <t>No SMP support</t>
    </r>
  </si>
  <si>
    <r>
      <t xml:space="preserve">PXIe-8108(NIC)1075,LVRT 20.0b19, NI-DAQmx19.5.0 (PXIe-6361,PXIe-6363) </t>
    </r>
    <r>
      <rPr>
        <sz val="14"/>
        <color theme="1"/>
        <rFont val="Calibri"/>
        <family val="2"/>
        <scheme val="minor"/>
      </rPr>
      <t>With SMP support</t>
    </r>
  </si>
  <si>
    <t>Worst of 3 : 8108_sp_online_poll_no_smp_20.0b19</t>
  </si>
  <si>
    <t>Worst of 3 : 8108_sp_online_poll_smp_20.0b19</t>
  </si>
  <si>
    <r>
      <t xml:space="preserve">PXIe-8108 (NIC) 1075, LVRT 20.0b21, NI-DAQmx19.5.0 (PXIe-6361 and PXIe-6363) </t>
    </r>
    <r>
      <rPr>
        <sz val="14"/>
        <color theme="1"/>
        <rFont val="Calibri"/>
        <family val="2"/>
        <scheme val="minor"/>
      </rPr>
      <t>No SMP support</t>
    </r>
  </si>
  <si>
    <r>
      <t xml:space="preserve">PXIe-8108(NIC)1075,LVRT 20.0b21, NI-DAQmx19.5.0 (PXIe-6361,PXIe-6363) </t>
    </r>
    <r>
      <rPr>
        <sz val="14"/>
        <color theme="1"/>
        <rFont val="Calibri"/>
        <family val="2"/>
        <scheme val="minor"/>
      </rPr>
      <t>With SMP support</t>
    </r>
  </si>
  <si>
    <t>Worst of 3 : 8108_sp_online_poll_no_smp_20.0b21</t>
  </si>
  <si>
    <t>Worst of 3 : 8108_sp_online_poll_smp_20.0b21</t>
  </si>
  <si>
    <r>
      <t xml:space="preserve">PXIe-8108 (NIC) 1075, LVRT 20.0b27, NI-DAQmx19.5.0 (PXIe-6361 and PXIe-6363) </t>
    </r>
    <r>
      <rPr>
        <sz val="14"/>
        <color theme="1"/>
        <rFont val="Calibri"/>
        <family val="2"/>
        <scheme val="minor"/>
      </rPr>
      <t>No SMP support</t>
    </r>
  </si>
  <si>
    <r>
      <t xml:space="preserve">PXIe-8108(NIC)1075,LVRT 20.0b27, NI-DAQmx19.5.0 (PXIe-6361,PXIe-6363) </t>
    </r>
    <r>
      <rPr>
        <sz val="14"/>
        <color theme="1"/>
        <rFont val="Calibri"/>
        <family val="2"/>
        <scheme val="minor"/>
      </rPr>
      <t>With SMP support</t>
    </r>
  </si>
  <si>
    <t>Worst of 3 : 8108_sp_online_poll_no_smp_20.0b27</t>
  </si>
  <si>
    <t>Worst of 3 : 8108_sp_online_poll_smp_20.0b27</t>
  </si>
  <si>
    <t>Worst of 3 : 8108_sp_online_poll_no_smp_20.0b33</t>
  </si>
  <si>
    <t>Worst of 3 : 8108_sp_online_poll_smp_20.0b33</t>
  </si>
  <si>
    <r>
      <t xml:space="preserve">PXIe-8108 (NIC) 1075, LVRT 20.0b33, NI-DAQmx19.5.0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</si>
  <si>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8108_sp_online_poll_no_smp_20.0b38</t>
  </si>
  <si>
    <t>Worst of 3 : 8108_sp_online_poll_smp_20.0b38</t>
  </si>
  <si>
    <r>
      <t xml:space="preserve">PXIe-8108 (NIC) 1075, LVRT 20.0b38, NI-DAQmx19.5.0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</si>
  <si>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8108_sp_online_poll_no_smp_20.0b42</t>
  </si>
  <si>
    <t>Worst of 3 : 8108_sp_online_poll_smp_20.0b42</t>
  </si>
  <si>
    <r>
      <t xml:space="preserve">PXIe-8108 (NIC) 1075, LVRT 20.0b42, NI-DAQmx19.5.0 (PXIe-6361 and PXIe-6363) </t>
    </r>
    <r>
      <rPr>
        <sz val="14"/>
        <color theme="1"/>
        <rFont val="Calibri"/>
        <family val="2"/>
        <scheme val="minor"/>
      </rPr>
      <t>No SMP support</t>
    </r>
  </si>
  <si>
    <r>
      <t xml:space="preserve">PXIe-8108(NIC)1075,LVRT 20.0b42, NI-DAQmx19.5.0 (PXIe-6361,PXIe-6363)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</si>
  <si>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PXIe-8108(NIC)1075,LVRT 20.0b38, NI-DAQmx19.5.0 (PXIe-6361,PXIe-6363)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</si>
  <si>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PXIe-8108(NIC)1075,LVRT 20.0b33, NI-DAQmx19.5.0 (PXIe-6361,PXIe-6363) </t>
    </r>
    <r>
      <rPr>
        <sz val="14"/>
        <color theme="1"/>
        <rFont val="Calibri"/>
        <family val="2"/>
        <scheme val="minor"/>
      </rPr>
      <t>With SMP support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</si>
</sst>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000000"/>
      <name val="Verdana"/>
      <family val="2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rgb="FF000000"/>
      <name val="Verdana"/>
      <family val="2"/>
    </font>
    <font>
      <u/>
      <sz val="11"/>
      <color theme="10"/>
      <name val="Calibri"/>
      <family val="2"/>
    </font>
    <font>
      <sz val="10"/>
      <color theme="1"/>
      <name val="Arial"/>
      <family val="2"/>
    </font>
    <font>
      <sz val="14"/>
      <color rgb="FF000000"/>
      <name val="Verdana"/>
      <family val="2"/>
    </font>
    <font>
      <sz val="10"/>
      <color rgb="FF000000"/>
      <name val="Verdana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/>
      <top/>
      <bottom style="medium">
        <color indexed="64"/>
      </bottom>
      <diagonal/>
    </border>
    <border>
      <left/>
      <right style="thin">
        <color theme="1"/>
      </right>
      <top/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18">
    <xf numFmtId="0" fontId="0" fillId="0" borderId="0" xfId="0"/>
    <xf numFmtId="0" fontId="0" fillId="0" borderId="1" xfId="0" applyBorder="1"/>
    <xf numFmtId="0" fontId="3" fillId="0" borderId="1" xfId="0" applyFont="1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wrapText="1"/>
    </xf>
    <xf numFmtId="9" fontId="0" fillId="0" borderId="1" xfId="0" applyNumberFormat="1" applyBorder="1"/>
    <xf numFmtId="2" fontId="0" fillId="0" borderId="1" xfId="0" applyNumberFormat="1" applyBorder="1"/>
    <xf numFmtId="0" fontId="1" fillId="0" borderId="0" xfId="0" applyFont="1"/>
    <xf numFmtId="0" fontId="5" fillId="0" borderId="0" xfId="0" applyFont="1"/>
    <xf numFmtId="0" fontId="3" fillId="2" borderId="1" xfId="0" applyFont="1" applyFill="1" applyBorder="1"/>
    <xf numFmtId="0" fontId="0" fillId="3" borderId="0" xfId="0" applyFill="1"/>
    <xf numFmtId="0" fontId="3" fillId="3" borderId="1" xfId="0" applyFont="1" applyFill="1" applyBorder="1"/>
    <xf numFmtId="0" fontId="3" fillId="0" borderId="0" xfId="0" applyFont="1"/>
    <xf numFmtId="9" fontId="0" fillId="0" borderId="0" xfId="0" applyNumberFormat="1"/>
    <xf numFmtId="2" fontId="0" fillId="0" borderId="0" xfId="0" applyNumberFormat="1"/>
    <xf numFmtId="0" fontId="0" fillId="0" borderId="2" xfId="0" applyBorder="1"/>
    <xf numFmtId="1" fontId="0" fillId="0" borderId="1" xfId="0" applyNumberFormat="1" applyBorder="1"/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1" fontId="0" fillId="0" borderId="0" xfId="0" applyNumberFormat="1"/>
    <xf numFmtId="1" fontId="0" fillId="0" borderId="2" xfId="0" applyNumberFormat="1" applyBorder="1"/>
    <xf numFmtId="0" fontId="6" fillId="0" borderId="0" xfId="1" applyAlignment="1" applyProtection="1"/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/>
    <xf numFmtId="1" fontId="0" fillId="0" borderId="10" xfId="0" applyNumberFormat="1" applyBorder="1"/>
    <xf numFmtId="0" fontId="3" fillId="0" borderId="11" xfId="0" applyFont="1" applyBorder="1"/>
    <xf numFmtId="0" fontId="3" fillId="0" borderId="12" xfId="0" applyFont="1" applyBorder="1"/>
    <xf numFmtId="9" fontId="0" fillId="0" borderId="13" xfId="0" applyNumberFormat="1" applyBorder="1"/>
    <xf numFmtId="1" fontId="0" fillId="0" borderId="14" xfId="0" applyNumberFormat="1" applyBorder="1"/>
    <xf numFmtId="1" fontId="0" fillId="0" borderId="15" xfId="0" applyNumberFormat="1" applyBorder="1"/>
    <xf numFmtId="0" fontId="0" fillId="0" borderId="3" xfId="0" applyBorder="1"/>
    <xf numFmtId="0" fontId="0" fillId="0" borderId="11" xfId="0" applyBorder="1"/>
    <xf numFmtId="0" fontId="0" fillId="0" borderId="10" xfId="0" applyBorder="1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7" fillId="0" borderId="1" xfId="0" applyFont="1" applyBorder="1" applyAlignment="1">
      <alignment horizontal="right" wrapText="1"/>
    </xf>
    <xf numFmtId="0" fontId="7" fillId="0" borderId="1" xfId="0" applyFont="1" applyBorder="1" applyAlignment="1">
      <alignment horizontal="right"/>
    </xf>
    <xf numFmtId="0" fontId="8" fillId="0" borderId="0" xfId="0" applyFont="1"/>
    <xf numFmtId="9" fontId="10" fillId="0" borderId="1" xfId="0" applyNumberFormat="1" applyFont="1" applyBorder="1"/>
    <xf numFmtId="0" fontId="9" fillId="0" borderId="1" xfId="0" applyFont="1" applyBorder="1"/>
    <xf numFmtId="0" fontId="9" fillId="0" borderId="1" xfId="0" applyFont="1" applyBorder="1" applyAlignment="1">
      <alignment wrapText="1"/>
    </xf>
    <xf numFmtId="0" fontId="6" fillId="0" borderId="17" xfId="1" applyBorder="1" applyAlignment="1" applyProtection="1"/>
    <xf numFmtId="0" fontId="9" fillId="0" borderId="11" xfId="0" applyFont="1" applyBorder="1"/>
    <xf numFmtId="0" fontId="9" fillId="0" borderId="10" xfId="0" applyFont="1" applyBorder="1"/>
    <xf numFmtId="0" fontId="9" fillId="0" borderId="12" xfId="0" applyFont="1" applyBorder="1"/>
    <xf numFmtId="9" fontId="10" fillId="0" borderId="13" xfId="0" applyNumberFormat="1" applyFont="1" applyBorder="1"/>
    <xf numFmtId="0" fontId="9" fillId="0" borderId="14" xfId="0" applyFont="1" applyBorder="1"/>
    <xf numFmtId="9" fontId="10" fillId="0" borderId="20" xfId="0" applyNumberFormat="1" applyFont="1" applyBorder="1"/>
    <xf numFmtId="0" fontId="0" fillId="0" borderId="21" xfId="0" applyBorder="1" applyAlignment="1">
      <alignment wrapText="1"/>
    </xf>
    <xf numFmtId="0" fontId="9" fillId="0" borderId="3" xfId="0" applyFont="1" applyBorder="1"/>
    <xf numFmtId="0" fontId="9" fillId="0" borderId="22" xfId="0" applyFont="1" applyBorder="1"/>
    <xf numFmtId="0" fontId="0" fillId="0" borderId="25" xfId="0" applyBorder="1"/>
    <xf numFmtId="0" fontId="0" fillId="0" borderId="25" xfId="0" applyBorder="1" applyAlignment="1">
      <alignment wrapText="1"/>
    </xf>
    <xf numFmtId="0" fontId="9" fillId="0" borderId="25" xfId="0" applyFont="1" applyBorder="1"/>
    <xf numFmtId="9" fontId="10" fillId="0" borderId="25" xfId="0" applyNumberFormat="1" applyFont="1" applyBorder="1"/>
    <xf numFmtId="0" fontId="0" fillId="0" borderId="26" xfId="0" applyBorder="1"/>
    <xf numFmtId="0" fontId="0" fillId="0" borderId="5" xfId="0" applyBorder="1"/>
    <xf numFmtId="0" fontId="0" fillId="0" borderId="1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9" fillId="0" borderId="30" xfId="0" applyFont="1" applyBorder="1"/>
    <xf numFmtId="0" fontId="6" fillId="0" borderId="30" xfId="1" applyBorder="1" applyAlignment="1" applyProtection="1"/>
    <xf numFmtId="0" fontId="0" fillId="0" borderId="31" xfId="0" applyBorder="1"/>
    <xf numFmtId="0" fontId="0" fillId="0" borderId="32" xfId="0" applyBorder="1" applyAlignment="1">
      <alignment wrapText="1"/>
    </xf>
    <xf numFmtId="0" fontId="9" fillId="0" borderId="32" xfId="0" applyFont="1" applyBorder="1"/>
    <xf numFmtId="0" fontId="9" fillId="0" borderId="40" xfId="0" applyFont="1" applyBorder="1"/>
    <xf numFmtId="0" fontId="6" fillId="0" borderId="40" xfId="1" applyBorder="1" applyAlignment="1" applyProtection="1"/>
    <xf numFmtId="0" fontId="6" fillId="0" borderId="41" xfId="1" applyBorder="1" applyAlignment="1" applyProtection="1"/>
    <xf numFmtId="0" fontId="0" fillId="0" borderId="10" xfId="0" applyBorder="1" applyAlignment="1">
      <alignment wrapText="1"/>
    </xf>
    <xf numFmtId="0" fontId="9" fillId="0" borderId="13" xfId="0" applyFont="1" applyBorder="1"/>
    <xf numFmtId="0" fontId="6" fillId="0" borderId="13" xfId="1" applyBorder="1" applyAlignment="1" applyProtection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6" fillId="0" borderId="16" xfId="1" applyBorder="1" applyAlignment="1" applyProtection="1">
      <alignment horizontal="left"/>
    </xf>
    <xf numFmtId="0" fontId="6" fillId="0" borderId="17" xfId="1" applyBorder="1" applyAlignment="1" applyProtection="1">
      <alignment horizontal="left"/>
    </xf>
    <xf numFmtId="0" fontId="6" fillId="0" borderId="16" xfId="1" applyBorder="1" applyAlignment="1" applyProtection="1"/>
    <xf numFmtId="0" fontId="6" fillId="0" borderId="17" xfId="1" applyBorder="1" applyAlignment="1" applyProtection="1"/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23" xfId="0" applyFont="1" applyBorder="1" applyAlignment="1">
      <alignment horizontal="left"/>
    </xf>
    <xf numFmtId="0" fontId="2" fillId="0" borderId="24" xfId="0" applyFont="1" applyBorder="1" applyAlignment="1">
      <alignment horizontal="left"/>
    </xf>
    <xf numFmtId="0" fontId="6" fillId="0" borderId="33" xfId="1" applyBorder="1" applyAlignment="1" applyProtection="1">
      <alignment horizontal="left"/>
    </xf>
    <xf numFmtId="0" fontId="6" fillId="0" borderId="34" xfId="1" applyBorder="1" applyAlignment="1" applyProtection="1">
      <alignment horizontal="left"/>
    </xf>
    <xf numFmtId="0" fontId="6" fillId="0" borderId="35" xfId="1" applyBorder="1" applyAlignment="1" applyProtection="1">
      <alignment horizontal="left"/>
    </xf>
    <xf numFmtId="0" fontId="2" fillId="0" borderId="36" xfId="0" applyFont="1" applyBorder="1" applyAlignment="1">
      <alignment horizontal="left"/>
    </xf>
    <xf numFmtId="0" fontId="2" fillId="0" borderId="37" xfId="0" applyFont="1" applyBorder="1" applyAlignment="1">
      <alignment horizontal="left"/>
    </xf>
    <xf numFmtId="0" fontId="2" fillId="0" borderId="38" xfId="0" applyFont="1" applyBorder="1" applyAlignment="1">
      <alignment horizontal="left"/>
    </xf>
    <xf numFmtId="0" fontId="6" fillId="0" borderId="39" xfId="1" applyBorder="1" applyAlignment="1" applyProtection="1">
      <alignment horizontal="left"/>
    </xf>
    <xf numFmtId="0" fontId="6" fillId="0" borderId="40" xfId="1" applyBorder="1" applyAlignment="1" applyProtection="1">
      <alignment horizontal="left"/>
    </xf>
    <xf numFmtId="0" fontId="6" fillId="0" borderId="42" xfId="1" applyBorder="1" applyAlignment="1" applyProtection="1">
      <alignment horizontal="left"/>
    </xf>
    <xf numFmtId="0" fontId="6" fillId="0" borderId="22" xfId="1" applyBorder="1" applyAlignment="1" applyProtection="1">
      <alignment horizontal="left"/>
    </xf>
    <xf numFmtId="0" fontId="6" fillId="0" borderId="43" xfId="1" applyBorder="1" applyAlignment="1" applyProtection="1">
      <alignment horizontal="left"/>
    </xf>
    <xf numFmtId="0" fontId="6" fillId="0" borderId="16" xfId="1" applyBorder="1" applyAlignment="1" applyProtection="1">
      <alignment horizontal="center"/>
    </xf>
    <xf numFmtId="0" fontId="6" fillId="0" borderId="17" xfId="1" applyBorder="1" applyAlignment="1" applyProtection="1">
      <alignment horizontal="center"/>
    </xf>
    <xf numFmtId="0" fontId="6" fillId="0" borderId="19" xfId="1" applyBorder="1" applyAlignment="1" applyProtection="1">
      <alignment horizontal="left"/>
    </xf>
    <xf numFmtId="0" fontId="6" fillId="0" borderId="0" xfId="1" applyAlignment="1" applyProtection="1">
      <alignment horizontal="left"/>
    </xf>
    <xf numFmtId="0" fontId="2" fillId="0" borderId="25" xfId="0" applyFont="1" applyBorder="1" applyAlignment="1">
      <alignment horizontal="left"/>
    </xf>
    <xf numFmtId="0" fontId="6" fillId="0" borderId="25" xfId="1" applyBorder="1" applyAlignment="1" applyProtection="1">
      <alignment horizontal="left"/>
    </xf>
    <xf numFmtId="0" fontId="6" fillId="0" borderId="39" xfId="1" applyBorder="1" applyAlignment="1" applyProtection="1">
      <alignment horizontal="center"/>
    </xf>
    <xf numFmtId="0" fontId="6" fillId="0" borderId="40" xfId="1" applyBorder="1" applyAlignment="1" applyProtection="1">
      <alignment horizontal="center"/>
    </xf>
    <xf numFmtId="0" fontId="6" fillId="0" borderId="30" xfId="1" applyBorder="1" applyAlignment="1" applyProtection="1">
      <alignment horizontal="center"/>
    </xf>
    <xf numFmtId="0" fontId="6" fillId="0" borderId="30" xfId="1" applyBorder="1" applyAlignment="1" applyProtection="1">
      <alignment horizontal="left"/>
    </xf>
    <xf numFmtId="0" fontId="2" fillId="0" borderId="8" xfId="0" applyFont="1" applyBorder="1" applyAlignment="1">
      <alignment horizontal="left"/>
    </xf>
    <xf numFmtId="0" fontId="6" fillId="0" borderId="12" xfId="1" applyBorder="1" applyAlignment="1" applyProtection="1">
      <alignment horizontal="left"/>
    </xf>
    <xf numFmtId="0" fontId="6" fillId="0" borderId="13" xfId="1" applyBorder="1" applyAlignment="1" applyProtection="1">
      <alignment horizontal="left"/>
    </xf>
    <xf numFmtId="0" fontId="6" fillId="0" borderId="14" xfId="1" applyBorder="1" applyAlignment="1" applyProtection="1">
      <alignment horizontal="left"/>
    </xf>
    <xf numFmtId="0" fontId="6" fillId="0" borderId="44" xfId="1" applyBorder="1" applyAlignment="1" applyProtection="1">
      <alignment horizontal="left"/>
    </xf>
    <xf numFmtId="0" fontId="6" fillId="0" borderId="45" xfId="1" applyBorder="1" applyAlignment="1" applyProtection="1">
      <alignment horizontal="left"/>
    </xf>
    <xf numFmtId="0" fontId="6" fillId="0" borderId="46" xfId="1" applyBorder="1" applyAlignment="1" applyProtection="1">
      <alignment horizontal="left"/>
    </xf>
    <xf numFmtId="0" fontId="6" fillId="0" borderId="47" xfId="1" applyBorder="1" applyAlignment="1" applyProtection="1">
      <alignment horizontal="left"/>
    </xf>
    <xf numFmtId="0" fontId="6" fillId="0" borderId="48" xfId="1" applyBorder="1" applyAlignment="1" applyProtection="1">
      <alignment horizontal="left"/>
    </xf>
    <xf numFmtId="0" fontId="6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PXIe-8108</a:t>
            </a:r>
            <a:r>
              <a:rPr lang="en-US" baseline="0"/>
              <a:t> X-Series Non-SMP</a:t>
            </a:r>
            <a:endParaRPr lang="en-US"/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2010 1ch</c:v>
          </c:tx>
          <c:spPr>
            <a:ln>
              <a:solidFill>
                <a:srgbClr val="00B0F0"/>
              </a:solidFill>
            </a:ln>
          </c:spPr>
          <c:marker>
            <c:symbol val="circle"/>
            <c:size val="7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cat>
            <c:strRef>
              <c:f>'2010'!$A$22:$A$26</c:f>
              <c:strCache>
                <c:ptCount val="5"/>
                <c:pt idx="0">
                  <c:v>T1 </c:v>
                </c:pt>
                <c:pt idx="1">
                  <c:v>T2a </c:v>
                </c:pt>
                <c:pt idx="2">
                  <c:v>T2b </c:v>
                </c:pt>
                <c:pt idx="3">
                  <c:v>T3</c:v>
                </c:pt>
                <c:pt idx="4">
                  <c:v>T4</c:v>
                </c:pt>
              </c:strCache>
            </c:strRef>
          </c:cat>
          <c:val>
            <c:numRef>
              <c:f>'2010'!$D$22:$D$26</c:f>
              <c:numCache>
                <c:formatCode>General</c:formatCode>
                <c:ptCount val="5"/>
                <c:pt idx="0">
                  <c:v>160256</c:v>
                </c:pt>
                <c:pt idx="1">
                  <c:v>152439</c:v>
                </c:pt>
                <c:pt idx="2">
                  <c:v>85034</c:v>
                </c:pt>
                <c:pt idx="3">
                  <c:v>78370</c:v>
                </c:pt>
                <c:pt idx="4">
                  <c:v>77519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76-41F6-ADFC-2646676B2B80}"/>
            </c:ext>
          </c:extLst>
        </c:ser>
        <c:ser>
          <c:idx val="1"/>
          <c:order val="1"/>
          <c:tx>
            <c:v>2009SP1 1ch</c:v>
          </c:tx>
          <c:spPr>
            <a:ln>
              <a:solidFill>
                <a:srgbClr val="C00000"/>
              </a:solidFill>
            </a:ln>
          </c:spPr>
          <c:marker>
            <c:symbol val="circle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val>
            <c:numRef>
              <c:f>'2009'!$D$62:$D$66</c:f>
              <c:numCache>
                <c:formatCode>General</c:formatCode>
                <c:ptCount val="5"/>
                <c:pt idx="0">
                  <c:v>158983</c:v>
                </c:pt>
                <c:pt idx="1">
                  <c:v>151515</c:v>
                </c:pt>
                <c:pt idx="2">
                  <c:v>85397</c:v>
                </c:pt>
                <c:pt idx="3">
                  <c:v>84104</c:v>
                </c:pt>
                <c:pt idx="4">
                  <c:v>82305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76-41F6-ADFC-2646676B2B80}"/>
            </c:ext>
          </c:extLst>
        </c:ser>
        <c:ser>
          <c:idx val="2"/>
          <c:order val="2"/>
          <c:tx>
            <c:v>2010 4ch</c:v>
          </c:tx>
          <c:spPr>
            <a:ln>
              <a:solidFill>
                <a:srgbClr val="00B0F0"/>
              </a:solidFill>
            </a:ln>
          </c:spPr>
          <c:marker>
            <c:symbol val="diamond"/>
            <c:size val="7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val>
            <c:numRef>
              <c:f>'2010'!$G$22:$G$26</c:f>
              <c:numCache>
                <c:formatCode>General</c:formatCode>
                <c:ptCount val="5"/>
                <c:pt idx="0">
                  <c:v>99305</c:v>
                </c:pt>
                <c:pt idx="1">
                  <c:v>84746</c:v>
                </c:pt>
                <c:pt idx="2">
                  <c:v>56497</c:v>
                </c:pt>
                <c:pt idx="3">
                  <c:v>55494</c:v>
                </c:pt>
                <c:pt idx="4">
                  <c:v>51546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76-41F6-ADFC-2646676B2B80}"/>
            </c:ext>
          </c:extLst>
        </c:ser>
        <c:ser>
          <c:idx val="3"/>
          <c:order val="3"/>
          <c:tx>
            <c:v>2009SP1 4ch</c:v>
          </c:tx>
          <c:spPr>
            <a:ln>
              <a:solidFill>
                <a:srgbClr val="C00000"/>
              </a:solidFill>
            </a:ln>
          </c:spPr>
          <c:marker>
            <c:symbol val="diamond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val>
            <c:numRef>
              <c:f>'2009'!$G$62:$G$66</c:f>
              <c:numCache>
                <c:formatCode>General</c:formatCode>
                <c:ptCount val="5"/>
                <c:pt idx="0">
                  <c:v>100402</c:v>
                </c:pt>
                <c:pt idx="1">
                  <c:v>90662</c:v>
                </c:pt>
                <c:pt idx="2">
                  <c:v>56497</c:v>
                </c:pt>
                <c:pt idx="3">
                  <c:v>59453</c:v>
                </c:pt>
                <c:pt idx="4">
                  <c:v>60459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76-41F6-ADFC-2646676B2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7310832"/>
        <c:axId val="247311392"/>
      </c:lineChart>
      <c:catAx>
        <c:axId val="2473108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47311392"/>
        <c:crosses val="autoZero"/>
        <c:auto val="1"/>
        <c:lblAlgn val="ctr"/>
        <c:lblOffset val="100"/>
        <c:noMultiLvlLbl val="0"/>
      </c:catAx>
      <c:valAx>
        <c:axId val="2473113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73108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PXIe-8108 X-Series SMP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2010 1ch</c:v>
          </c:tx>
          <c:spPr>
            <a:ln>
              <a:solidFill>
                <a:srgbClr val="00B0F0"/>
              </a:solidFill>
            </a:ln>
          </c:spPr>
          <c:marker>
            <c:symbol val="circle"/>
            <c:size val="7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cat>
            <c:strRef>
              <c:f>'2010'!$A$31:$A$35</c:f>
              <c:strCache>
                <c:ptCount val="5"/>
                <c:pt idx="0">
                  <c:v>T1 </c:v>
                </c:pt>
                <c:pt idx="1">
                  <c:v>T2a </c:v>
                </c:pt>
                <c:pt idx="2">
                  <c:v>T2b </c:v>
                </c:pt>
                <c:pt idx="3">
                  <c:v>T3</c:v>
                </c:pt>
                <c:pt idx="4">
                  <c:v>T4</c:v>
                </c:pt>
              </c:strCache>
            </c:strRef>
          </c:cat>
          <c:val>
            <c:numRef>
              <c:f>'2010'!$D$31:$D$35</c:f>
              <c:numCache>
                <c:formatCode>General</c:formatCode>
                <c:ptCount val="5"/>
                <c:pt idx="0">
                  <c:v>156495</c:v>
                </c:pt>
                <c:pt idx="1">
                  <c:v>153139</c:v>
                </c:pt>
                <c:pt idx="2">
                  <c:v>60096</c:v>
                </c:pt>
                <c:pt idx="3">
                  <c:v>125313</c:v>
                </c:pt>
                <c:pt idx="4">
                  <c:v>145349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7A-473E-B59E-8C53695A560C}"/>
            </c:ext>
          </c:extLst>
        </c:ser>
        <c:ser>
          <c:idx val="1"/>
          <c:order val="1"/>
          <c:tx>
            <c:v>2009SP1 1ch</c:v>
          </c:tx>
          <c:spPr>
            <a:ln>
              <a:solidFill>
                <a:srgbClr val="C00000"/>
              </a:solidFill>
            </a:ln>
          </c:spPr>
          <c:marker>
            <c:symbol val="circle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val>
            <c:numRef>
              <c:f>'2009'!$D$71:$D$75</c:f>
              <c:numCache>
                <c:formatCode>General</c:formatCode>
                <c:ptCount val="5"/>
                <c:pt idx="0">
                  <c:v>148368</c:v>
                </c:pt>
                <c:pt idx="1">
                  <c:v>120337</c:v>
                </c:pt>
                <c:pt idx="2">
                  <c:v>56689</c:v>
                </c:pt>
                <c:pt idx="3">
                  <c:v>132979</c:v>
                </c:pt>
                <c:pt idx="4">
                  <c:v>131926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7A-473E-B59E-8C53695A560C}"/>
            </c:ext>
          </c:extLst>
        </c:ser>
        <c:ser>
          <c:idx val="2"/>
          <c:order val="2"/>
          <c:tx>
            <c:v>2010 4ch</c:v>
          </c:tx>
          <c:spPr>
            <a:ln>
              <a:solidFill>
                <a:srgbClr val="00B0F0"/>
              </a:solidFill>
            </a:ln>
          </c:spPr>
          <c:marker>
            <c:symbol val="diamond"/>
            <c:size val="7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val>
            <c:numRef>
              <c:f>'2010'!$G$31:$G$35</c:f>
              <c:numCache>
                <c:formatCode>General</c:formatCode>
                <c:ptCount val="5"/>
                <c:pt idx="0">
                  <c:v>101937</c:v>
                </c:pt>
                <c:pt idx="1">
                  <c:v>95057</c:v>
                </c:pt>
                <c:pt idx="2">
                  <c:v>43611</c:v>
                </c:pt>
                <c:pt idx="3">
                  <c:v>94162</c:v>
                </c:pt>
                <c:pt idx="4">
                  <c:v>82102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7A-473E-B59E-8C53695A560C}"/>
            </c:ext>
          </c:extLst>
        </c:ser>
        <c:ser>
          <c:idx val="3"/>
          <c:order val="3"/>
          <c:tx>
            <c:v>2009SP1 4ch</c:v>
          </c:tx>
          <c:spPr>
            <a:ln>
              <a:solidFill>
                <a:srgbClr val="C00000"/>
              </a:solidFill>
            </a:ln>
          </c:spPr>
          <c:marker>
            <c:symbol val="diamond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val>
            <c:numRef>
              <c:f>'2009'!$G$71:$G$75</c:f>
              <c:numCache>
                <c:formatCode>General</c:formatCode>
                <c:ptCount val="5"/>
                <c:pt idx="0">
                  <c:v>102564</c:v>
                </c:pt>
                <c:pt idx="1">
                  <c:v>95969</c:v>
                </c:pt>
                <c:pt idx="2">
                  <c:v>42955</c:v>
                </c:pt>
                <c:pt idx="3">
                  <c:v>89047</c:v>
                </c:pt>
                <c:pt idx="4">
                  <c:v>76161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B7A-473E-B59E-8C53695A5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7315312"/>
        <c:axId val="250216624"/>
      </c:lineChart>
      <c:catAx>
        <c:axId val="2473153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50216624"/>
        <c:crosses val="autoZero"/>
        <c:auto val="1"/>
        <c:lblAlgn val="ctr"/>
        <c:lblOffset val="100"/>
        <c:noMultiLvlLbl val="0"/>
      </c:catAx>
      <c:valAx>
        <c:axId val="2502166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73153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PXI-8110 E-Series Non-SMP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2010 1ch</c:v>
          </c:tx>
          <c:spPr>
            <a:ln>
              <a:solidFill>
                <a:srgbClr val="00B0F0"/>
              </a:solidFill>
            </a:ln>
          </c:spPr>
          <c:marker>
            <c:symbol val="circle"/>
            <c:size val="7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cat>
            <c:strRef>
              <c:f>'2010'!$A$40:$A$44</c:f>
              <c:strCache>
                <c:ptCount val="5"/>
                <c:pt idx="0">
                  <c:v>T1 </c:v>
                </c:pt>
                <c:pt idx="1">
                  <c:v>T2a </c:v>
                </c:pt>
                <c:pt idx="2">
                  <c:v>T2b </c:v>
                </c:pt>
                <c:pt idx="3">
                  <c:v>T3</c:v>
                </c:pt>
                <c:pt idx="4">
                  <c:v>T4</c:v>
                </c:pt>
              </c:strCache>
            </c:strRef>
          </c:cat>
          <c:val>
            <c:numRef>
              <c:f>'2010'!$D$40:$D$44</c:f>
              <c:numCache>
                <c:formatCode>General</c:formatCode>
                <c:ptCount val="5"/>
                <c:pt idx="0">
                  <c:v>161290</c:v>
                </c:pt>
                <c:pt idx="1">
                  <c:v>150376</c:v>
                </c:pt>
                <c:pt idx="2">
                  <c:v>45045</c:v>
                </c:pt>
                <c:pt idx="3">
                  <c:v>41494</c:v>
                </c:pt>
                <c:pt idx="4">
                  <c:v>40984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78-4DFA-A022-E55825746F04}"/>
            </c:ext>
          </c:extLst>
        </c:ser>
        <c:ser>
          <c:idx val="1"/>
          <c:order val="1"/>
          <c:tx>
            <c:v>2009 1ch</c:v>
          </c:tx>
          <c:spPr>
            <a:ln>
              <a:solidFill>
                <a:srgbClr val="C00000"/>
              </a:solidFill>
            </a:ln>
          </c:spPr>
          <c:marker>
            <c:symbol val="circle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val>
            <c:numRef>
              <c:f>'2009'!$D$23:$D$27</c:f>
              <c:numCache>
                <c:formatCode>General</c:formatCode>
                <c:ptCount val="5"/>
                <c:pt idx="0">
                  <c:v>144928</c:v>
                </c:pt>
                <c:pt idx="1">
                  <c:v>135135</c:v>
                </c:pt>
                <c:pt idx="2">
                  <c:v>34542</c:v>
                </c:pt>
                <c:pt idx="3">
                  <c:v>33389</c:v>
                </c:pt>
                <c:pt idx="4">
                  <c:v>31447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78-4DFA-A022-E55825746F04}"/>
            </c:ext>
          </c:extLst>
        </c:ser>
        <c:ser>
          <c:idx val="2"/>
          <c:order val="2"/>
          <c:tx>
            <c:v>2010 4ch</c:v>
          </c:tx>
          <c:spPr>
            <a:ln>
              <a:solidFill>
                <a:srgbClr val="00B0F0"/>
              </a:solidFill>
            </a:ln>
          </c:spPr>
          <c:marker>
            <c:symbol val="diamond"/>
            <c:size val="7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val>
            <c:numRef>
              <c:f>'2010'!$G$40:$G$44</c:f>
              <c:numCache>
                <c:formatCode>General</c:formatCode>
                <c:ptCount val="5"/>
                <c:pt idx="0">
                  <c:v>80972</c:v>
                </c:pt>
                <c:pt idx="1">
                  <c:v>76046</c:v>
                </c:pt>
                <c:pt idx="2">
                  <c:v>30166</c:v>
                </c:pt>
                <c:pt idx="3">
                  <c:v>28209</c:v>
                </c:pt>
                <c:pt idx="4">
                  <c:v>29197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78-4DFA-A022-E55825746F04}"/>
            </c:ext>
          </c:extLst>
        </c:ser>
        <c:ser>
          <c:idx val="3"/>
          <c:order val="3"/>
          <c:tx>
            <c:v>2009 4ch</c:v>
          </c:tx>
          <c:spPr>
            <a:ln>
              <a:solidFill>
                <a:srgbClr val="C00000"/>
              </a:solidFill>
            </a:ln>
          </c:spPr>
          <c:marker>
            <c:symbol val="diamond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val>
            <c:numRef>
              <c:f>'2009'!$G$23:$G$27</c:f>
              <c:numCache>
                <c:formatCode>General</c:formatCode>
                <c:ptCount val="5"/>
                <c:pt idx="0">
                  <c:v>80000</c:v>
                </c:pt>
                <c:pt idx="1">
                  <c:v>70423</c:v>
                </c:pt>
                <c:pt idx="2">
                  <c:v>21231</c:v>
                </c:pt>
                <c:pt idx="3">
                  <c:v>20284</c:v>
                </c:pt>
                <c:pt idx="4">
                  <c:v>20284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78-4DFA-A022-E55825746F04}"/>
            </c:ext>
          </c:extLst>
        </c:ser>
        <c:ser>
          <c:idx val="4"/>
          <c:order val="4"/>
          <c:tx>
            <c:v>2010 16ch</c:v>
          </c:tx>
          <c:spPr>
            <a:ln>
              <a:solidFill>
                <a:srgbClr val="00B0F0"/>
              </a:solidFill>
            </a:ln>
          </c:spPr>
          <c:marker>
            <c:symbol val="triangle"/>
            <c:size val="7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val>
            <c:numRef>
              <c:f>'2010'!$J$40:$J$44</c:f>
              <c:numCache>
                <c:formatCode>General</c:formatCode>
                <c:ptCount val="5"/>
                <c:pt idx="0">
                  <c:v>31299</c:v>
                </c:pt>
                <c:pt idx="1">
                  <c:v>32258</c:v>
                </c:pt>
                <c:pt idx="2">
                  <c:v>24155</c:v>
                </c:pt>
                <c:pt idx="3">
                  <c:v>21231</c:v>
                </c:pt>
                <c:pt idx="4">
                  <c:v>21053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B78-4DFA-A022-E55825746F04}"/>
            </c:ext>
          </c:extLst>
        </c:ser>
        <c:ser>
          <c:idx val="5"/>
          <c:order val="5"/>
          <c:tx>
            <c:v>2009 16ch</c:v>
          </c:tx>
          <c:spPr>
            <a:ln>
              <a:solidFill>
                <a:srgbClr val="C00000"/>
              </a:solidFill>
            </a:ln>
          </c:spPr>
          <c:marker>
            <c:symbol val="triangle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val>
            <c:numRef>
              <c:f>'2009'!$J$23:$J$27</c:f>
              <c:numCache>
                <c:formatCode>General</c:formatCode>
                <c:ptCount val="5"/>
                <c:pt idx="0">
                  <c:v>32415</c:v>
                </c:pt>
                <c:pt idx="1">
                  <c:v>30722</c:v>
                </c:pt>
                <c:pt idx="2">
                  <c:v>18365</c:v>
                </c:pt>
                <c:pt idx="3">
                  <c:v>18002</c:v>
                </c:pt>
                <c:pt idx="4">
                  <c:v>17652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B78-4DFA-A022-E55825746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221664"/>
        <c:axId val="250222224"/>
      </c:lineChart>
      <c:catAx>
        <c:axId val="2502216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50222224"/>
        <c:crosses val="autoZero"/>
        <c:auto val="1"/>
        <c:lblAlgn val="ctr"/>
        <c:lblOffset val="100"/>
        <c:noMultiLvlLbl val="0"/>
      </c:catAx>
      <c:valAx>
        <c:axId val="2502222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02216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/>
              <a:t>PXI-8110</a:t>
            </a:r>
            <a:r>
              <a:rPr lang="en-US" sz="1400" baseline="0"/>
              <a:t> E-Series SMP (CPU0 loaded)</a:t>
            </a:r>
            <a:endParaRPr lang="en-US" sz="1400"/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2010 1ch</c:v>
          </c:tx>
          <c:spPr>
            <a:ln>
              <a:solidFill>
                <a:srgbClr val="00B0F0"/>
              </a:solidFill>
            </a:ln>
          </c:spPr>
          <c:marker>
            <c:symbol val="circle"/>
            <c:size val="7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cat>
            <c:strRef>
              <c:f>'2010'!$A$58:$A$62</c:f>
              <c:strCache>
                <c:ptCount val="5"/>
                <c:pt idx="0">
                  <c:v>T1 </c:v>
                </c:pt>
                <c:pt idx="1">
                  <c:v>T2a </c:v>
                </c:pt>
                <c:pt idx="2">
                  <c:v>T2b </c:v>
                </c:pt>
                <c:pt idx="3">
                  <c:v>T3</c:v>
                </c:pt>
                <c:pt idx="4">
                  <c:v>T4</c:v>
                </c:pt>
              </c:strCache>
            </c:strRef>
          </c:cat>
          <c:val>
            <c:numRef>
              <c:f>'2010'!$D$58:$D$62</c:f>
              <c:numCache>
                <c:formatCode>General</c:formatCode>
                <c:ptCount val="5"/>
                <c:pt idx="0">
                  <c:v>181818</c:v>
                </c:pt>
                <c:pt idx="1">
                  <c:v>173913</c:v>
                </c:pt>
                <c:pt idx="2">
                  <c:v>36036</c:v>
                </c:pt>
                <c:pt idx="3">
                  <c:v>129032</c:v>
                </c:pt>
                <c:pt idx="4">
                  <c:v>122699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2F-4C8B-929E-D3DA6F8F9D23}"/>
            </c:ext>
          </c:extLst>
        </c:ser>
        <c:ser>
          <c:idx val="3"/>
          <c:order val="1"/>
          <c:tx>
            <c:v>2009 1ch</c:v>
          </c:tx>
          <c:spPr>
            <a:ln>
              <a:solidFill>
                <a:srgbClr val="C00000"/>
              </a:solidFill>
            </a:ln>
          </c:spPr>
          <c:marker>
            <c:symbol val="circle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val>
            <c:numRef>
              <c:f>'2009'!$D$32:$D$36</c:f>
              <c:numCache>
                <c:formatCode>General</c:formatCode>
                <c:ptCount val="5"/>
                <c:pt idx="0">
                  <c:v>94787</c:v>
                </c:pt>
                <c:pt idx="1">
                  <c:v>88496</c:v>
                </c:pt>
                <c:pt idx="2">
                  <c:v>27322</c:v>
                </c:pt>
                <c:pt idx="3">
                  <c:v>75472</c:v>
                </c:pt>
                <c:pt idx="4">
                  <c:v>82000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2F-4C8B-929E-D3DA6F8F9D23}"/>
            </c:ext>
          </c:extLst>
        </c:ser>
        <c:ser>
          <c:idx val="1"/>
          <c:order val="2"/>
          <c:tx>
            <c:v>2010 4ch</c:v>
          </c:tx>
          <c:spPr>
            <a:ln>
              <a:solidFill>
                <a:srgbClr val="00B0F0"/>
              </a:solidFill>
            </a:ln>
          </c:spPr>
          <c:marker>
            <c:symbol val="diamond"/>
            <c:size val="7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val>
            <c:numRef>
              <c:f>'2010'!$G$58:$G$62</c:f>
              <c:numCache>
                <c:formatCode>General</c:formatCode>
                <c:ptCount val="5"/>
                <c:pt idx="0">
                  <c:v>81633</c:v>
                </c:pt>
                <c:pt idx="1">
                  <c:v>80972</c:v>
                </c:pt>
                <c:pt idx="2">
                  <c:v>29197</c:v>
                </c:pt>
                <c:pt idx="3">
                  <c:v>80972</c:v>
                </c:pt>
                <c:pt idx="4">
                  <c:v>46838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2F-4C8B-929E-D3DA6F8F9D23}"/>
            </c:ext>
          </c:extLst>
        </c:ser>
        <c:ser>
          <c:idx val="4"/>
          <c:order val="3"/>
          <c:tx>
            <c:v>2009 4ch</c:v>
          </c:tx>
          <c:spPr>
            <a:ln>
              <a:solidFill>
                <a:srgbClr val="C00000"/>
              </a:solidFill>
            </a:ln>
          </c:spPr>
          <c:marker>
            <c:symbol val="diamond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val>
            <c:numRef>
              <c:f>'2009'!$G$32:$G$36</c:f>
              <c:numCache>
                <c:formatCode>General</c:formatCode>
                <c:ptCount val="5"/>
                <c:pt idx="0">
                  <c:v>65147</c:v>
                </c:pt>
                <c:pt idx="1">
                  <c:v>59880</c:v>
                </c:pt>
                <c:pt idx="2">
                  <c:v>23337</c:v>
                </c:pt>
                <c:pt idx="3">
                  <c:v>31898</c:v>
                </c:pt>
                <c:pt idx="4">
                  <c:v>59701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2F-4C8B-929E-D3DA6F8F9D23}"/>
            </c:ext>
          </c:extLst>
        </c:ser>
        <c:ser>
          <c:idx val="2"/>
          <c:order val="4"/>
          <c:tx>
            <c:v>2010 16ch</c:v>
          </c:tx>
          <c:spPr>
            <a:ln>
              <a:solidFill>
                <a:srgbClr val="00B0F0"/>
              </a:solidFill>
            </a:ln>
          </c:spPr>
          <c:marker>
            <c:symbol val="triangle"/>
            <c:size val="7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val>
            <c:numRef>
              <c:f>'2010'!$J$58:$J$62</c:f>
              <c:numCache>
                <c:formatCode>General</c:formatCode>
                <c:ptCount val="5"/>
                <c:pt idx="0">
                  <c:v>31696</c:v>
                </c:pt>
                <c:pt idx="1">
                  <c:v>33003</c:v>
                </c:pt>
                <c:pt idx="2">
                  <c:v>26385</c:v>
                </c:pt>
                <c:pt idx="3">
                  <c:v>30722</c:v>
                </c:pt>
                <c:pt idx="4">
                  <c:v>11416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42F-4C8B-929E-D3DA6F8F9D23}"/>
            </c:ext>
          </c:extLst>
        </c:ser>
        <c:ser>
          <c:idx val="5"/>
          <c:order val="5"/>
          <c:tx>
            <c:v>2009 16ch</c:v>
          </c:tx>
          <c:spPr>
            <a:ln>
              <a:solidFill>
                <a:srgbClr val="C00000"/>
              </a:solidFill>
            </a:ln>
          </c:spPr>
          <c:marker>
            <c:symbol val="triangle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val>
            <c:numRef>
              <c:f>'2009'!$J$32:$J$36</c:f>
              <c:numCache>
                <c:formatCode>General</c:formatCode>
                <c:ptCount val="5"/>
                <c:pt idx="0">
                  <c:v>30166</c:v>
                </c:pt>
                <c:pt idx="1">
                  <c:v>28209</c:v>
                </c:pt>
                <c:pt idx="2">
                  <c:v>14503</c:v>
                </c:pt>
                <c:pt idx="3">
                  <c:v>8032</c:v>
                </c:pt>
                <c:pt idx="4">
                  <c:v>20387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42F-4C8B-929E-D3DA6F8F9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8678976"/>
        <c:axId val="248679536"/>
      </c:lineChart>
      <c:catAx>
        <c:axId val="2486789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48679536"/>
        <c:crosses val="autoZero"/>
        <c:auto val="1"/>
        <c:lblAlgn val="ctr"/>
        <c:lblOffset val="100"/>
        <c:noMultiLvlLbl val="0"/>
      </c:catAx>
      <c:valAx>
        <c:axId val="2486795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86789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PXIe-8108 X-Series SMP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2227451794514423"/>
          <c:y val="3.2606518898794082E-2"/>
          <c:w val="0.64788231979477162"/>
          <c:h val="0.87200180373929326"/>
        </c:manualLayout>
      </c:layout>
      <c:lineChart>
        <c:grouping val="standard"/>
        <c:varyColors val="0"/>
        <c:ser>
          <c:idx val="0"/>
          <c:order val="0"/>
          <c:tx>
            <c:v>2010 Sp1 1 ch</c:v>
          </c:tx>
          <c:spPr>
            <a:ln>
              <a:solidFill>
                <a:srgbClr val="00B0F0"/>
              </a:solidFill>
            </a:ln>
          </c:spPr>
          <c:marker>
            <c:symbol val="circle"/>
            <c:size val="7"/>
            <c:spPr>
              <a:solidFill>
                <a:srgbClr val="00B0F0"/>
              </a:solidFill>
            </c:spPr>
          </c:marker>
          <c:cat>
            <c:strRef>
              <c:f>'2010'!$A$68:$A$72</c:f>
              <c:strCache>
                <c:ptCount val="5"/>
                <c:pt idx="0">
                  <c:v>T1 </c:v>
                </c:pt>
                <c:pt idx="1">
                  <c:v>T2a </c:v>
                </c:pt>
                <c:pt idx="2">
                  <c:v>T2b </c:v>
                </c:pt>
                <c:pt idx="3">
                  <c:v>T3</c:v>
                </c:pt>
                <c:pt idx="4">
                  <c:v>T4</c:v>
                </c:pt>
              </c:strCache>
            </c:strRef>
          </c:cat>
          <c:val>
            <c:numRef>
              <c:f>'2010'!$D$68:$D$72</c:f>
              <c:numCache>
                <c:formatCode>General</c:formatCode>
                <c:ptCount val="5"/>
                <c:pt idx="0">
                  <c:v>144509</c:v>
                </c:pt>
                <c:pt idx="1">
                  <c:v>143885</c:v>
                </c:pt>
                <c:pt idx="2">
                  <c:v>65445</c:v>
                </c:pt>
                <c:pt idx="3">
                  <c:v>155520</c:v>
                </c:pt>
                <c:pt idx="4">
                  <c:v>141643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1F-4BAD-9D1D-81D8A00485B6}"/>
            </c:ext>
          </c:extLst>
        </c:ser>
        <c:ser>
          <c:idx val="1"/>
          <c:order val="1"/>
          <c:tx>
            <c:v>2010 1ch</c:v>
          </c:tx>
          <c:spPr>
            <a:ln>
              <a:solidFill>
                <a:srgbClr val="C00000"/>
              </a:solidFill>
            </a:ln>
          </c:spPr>
          <c:marker>
            <c:symbol val="circle"/>
            <c:size val="7"/>
            <c:spPr>
              <a:solidFill>
                <a:srgbClr val="C00000"/>
              </a:solidFill>
            </c:spPr>
          </c:marker>
          <c:val>
            <c:numRef>
              <c:f>'2010'!$D$31:$D$35</c:f>
              <c:numCache>
                <c:formatCode>General</c:formatCode>
                <c:ptCount val="5"/>
                <c:pt idx="0">
                  <c:v>156495</c:v>
                </c:pt>
                <c:pt idx="1">
                  <c:v>153139</c:v>
                </c:pt>
                <c:pt idx="2">
                  <c:v>60096</c:v>
                </c:pt>
                <c:pt idx="3">
                  <c:v>125313</c:v>
                </c:pt>
                <c:pt idx="4">
                  <c:v>145349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1F-4BAD-9D1D-81D8A00485B6}"/>
            </c:ext>
          </c:extLst>
        </c:ser>
        <c:ser>
          <c:idx val="2"/>
          <c:order val="2"/>
          <c:tx>
            <c:v>2010 Sp1 4 ch</c:v>
          </c:tx>
          <c:spPr>
            <a:ln>
              <a:solidFill>
                <a:srgbClr val="00B0F0"/>
              </a:solidFill>
            </a:ln>
          </c:spPr>
          <c:marker>
            <c:symbol val="diamond"/>
            <c:size val="7"/>
            <c:spPr>
              <a:solidFill>
                <a:srgbClr val="00B0F0"/>
              </a:solidFill>
            </c:spPr>
          </c:marker>
          <c:cat>
            <c:strRef>
              <c:f>'2010'!$A$68:$A$72</c:f>
              <c:strCache>
                <c:ptCount val="5"/>
                <c:pt idx="0">
                  <c:v>T1 </c:v>
                </c:pt>
                <c:pt idx="1">
                  <c:v>T2a </c:v>
                </c:pt>
                <c:pt idx="2">
                  <c:v>T2b </c:v>
                </c:pt>
                <c:pt idx="3">
                  <c:v>T3</c:v>
                </c:pt>
                <c:pt idx="4">
                  <c:v>T4</c:v>
                </c:pt>
              </c:strCache>
            </c:strRef>
          </c:cat>
          <c:val>
            <c:numRef>
              <c:f>'2010'!$G$68:$G$72</c:f>
              <c:numCache>
                <c:formatCode>General</c:formatCode>
                <c:ptCount val="5"/>
                <c:pt idx="0">
                  <c:v>111982</c:v>
                </c:pt>
                <c:pt idx="1">
                  <c:v>106157</c:v>
                </c:pt>
                <c:pt idx="2">
                  <c:v>56497</c:v>
                </c:pt>
                <c:pt idx="3">
                  <c:v>107758</c:v>
                </c:pt>
                <c:pt idx="4">
                  <c:v>101214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1F-4BAD-9D1D-81D8A00485B6}"/>
            </c:ext>
          </c:extLst>
        </c:ser>
        <c:ser>
          <c:idx val="3"/>
          <c:order val="3"/>
          <c:tx>
            <c:v>2010 4 ch</c:v>
          </c:tx>
          <c:spPr>
            <a:ln>
              <a:solidFill>
                <a:srgbClr val="C00000"/>
              </a:solidFill>
            </a:ln>
          </c:spPr>
          <c:marker>
            <c:symbol val="diamond"/>
            <c:size val="7"/>
            <c:spPr>
              <a:solidFill>
                <a:srgbClr val="C00000"/>
              </a:solidFill>
            </c:spPr>
          </c:marker>
          <c:val>
            <c:numRef>
              <c:f>'2010'!$G$31:$G$35</c:f>
              <c:numCache>
                <c:formatCode>General</c:formatCode>
                <c:ptCount val="5"/>
                <c:pt idx="0">
                  <c:v>101937</c:v>
                </c:pt>
                <c:pt idx="1">
                  <c:v>95057</c:v>
                </c:pt>
                <c:pt idx="2">
                  <c:v>43611</c:v>
                </c:pt>
                <c:pt idx="3">
                  <c:v>94162</c:v>
                </c:pt>
                <c:pt idx="4">
                  <c:v>82102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41F-4BAD-9D1D-81D8A0048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8683456"/>
        <c:axId val="250805232"/>
      </c:lineChart>
      <c:catAx>
        <c:axId val="2486834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50805232"/>
        <c:crosses val="autoZero"/>
        <c:auto val="1"/>
        <c:lblAlgn val="ctr"/>
        <c:lblOffset val="100"/>
        <c:noMultiLvlLbl val="0"/>
      </c:catAx>
      <c:valAx>
        <c:axId val="2508052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8683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PXIe-8108</a:t>
            </a:r>
            <a:r>
              <a:rPr lang="en-US" baseline="0"/>
              <a:t> X-Series Non-SMP</a:t>
            </a:r>
            <a:endParaRPr lang="en-US"/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2010 SP1 1ch</c:v>
          </c:tx>
          <c:spPr>
            <a:ln>
              <a:solidFill>
                <a:srgbClr val="00B0F0"/>
              </a:solidFill>
            </a:ln>
          </c:spPr>
          <c:marker>
            <c:symbol val="circle"/>
            <c:size val="7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cat>
            <c:strRef>
              <c:f>'2010'!$A$78:$A$82</c:f>
              <c:strCache>
                <c:ptCount val="5"/>
                <c:pt idx="0">
                  <c:v>T1 </c:v>
                </c:pt>
                <c:pt idx="1">
                  <c:v>T2a </c:v>
                </c:pt>
                <c:pt idx="2">
                  <c:v>T2b </c:v>
                </c:pt>
                <c:pt idx="3">
                  <c:v>T3</c:v>
                </c:pt>
                <c:pt idx="4">
                  <c:v>T4</c:v>
                </c:pt>
              </c:strCache>
            </c:strRef>
          </c:cat>
          <c:val>
            <c:numRef>
              <c:f>'2010'!$D$78:$D$82</c:f>
              <c:numCache>
                <c:formatCode>General</c:formatCode>
                <c:ptCount val="5"/>
                <c:pt idx="0">
                  <c:v>156006</c:v>
                </c:pt>
                <c:pt idx="1">
                  <c:v>147059</c:v>
                </c:pt>
                <c:pt idx="2">
                  <c:v>92507</c:v>
                </c:pt>
                <c:pt idx="3">
                  <c:v>80645</c:v>
                </c:pt>
                <c:pt idx="4">
                  <c:v>79681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F0-4934-B52C-201F5A5DCB9F}"/>
            </c:ext>
          </c:extLst>
        </c:ser>
        <c:ser>
          <c:idx val="1"/>
          <c:order val="1"/>
          <c:tx>
            <c:v>2010 1ch</c:v>
          </c:tx>
          <c:spPr>
            <a:ln>
              <a:solidFill>
                <a:srgbClr val="C00000"/>
              </a:solidFill>
            </a:ln>
          </c:spPr>
          <c:marker>
            <c:symbol val="circle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cat>
            <c:strRef>
              <c:f>'2010'!$A$78:$A$82</c:f>
              <c:strCache>
                <c:ptCount val="5"/>
                <c:pt idx="0">
                  <c:v>T1 </c:v>
                </c:pt>
                <c:pt idx="1">
                  <c:v>T2a </c:v>
                </c:pt>
                <c:pt idx="2">
                  <c:v>T2b </c:v>
                </c:pt>
                <c:pt idx="3">
                  <c:v>T3</c:v>
                </c:pt>
                <c:pt idx="4">
                  <c:v>T4</c:v>
                </c:pt>
              </c:strCache>
            </c:strRef>
          </c:cat>
          <c:val>
            <c:numRef>
              <c:f>'2010'!$D$22:$D$26</c:f>
              <c:numCache>
                <c:formatCode>General</c:formatCode>
                <c:ptCount val="5"/>
                <c:pt idx="0">
                  <c:v>160256</c:v>
                </c:pt>
                <c:pt idx="1">
                  <c:v>152439</c:v>
                </c:pt>
                <c:pt idx="2">
                  <c:v>85034</c:v>
                </c:pt>
                <c:pt idx="3">
                  <c:v>78370</c:v>
                </c:pt>
                <c:pt idx="4">
                  <c:v>77519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F0-4934-B52C-201F5A5DCB9F}"/>
            </c:ext>
          </c:extLst>
        </c:ser>
        <c:ser>
          <c:idx val="2"/>
          <c:order val="2"/>
          <c:tx>
            <c:v>2010 SP1 4ch</c:v>
          </c:tx>
          <c:spPr>
            <a:ln>
              <a:solidFill>
                <a:srgbClr val="00B0F0"/>
              </a:solidFill>
            </a:ln>
          </c:spPr>
          <c:marker>
            <c:symbol val="diamond"/>
            <c:size val="7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cat>
            <c:strRef>
              <c:f>'2010'!$A$78:$A$82</c:f>
              <c:strCache>
                <c:ptCount val="5"/>
                <c:pt idx="0">
                  <c:v>T1 </c:v>
                </c:pt>
                <c:pt idx="1">
                  <c:v>T2a </c:v>
                </c:pt>
                <c:pt idx="2">
                  <c:v>T2b </c:v>
                </c:pt>
                <c:pt idx="3">
                  <c:v>T3</c:v>
                </c:pt>
                <c:pt idx="4">
                  <c:v>T4</c:v>
                </c:pt>
              </c:strCache>
            </c:strRef>
          </c:cat>
          <c:val>
            <c:numRef>
              <c:f>'2010'!$G$78:$G$82</c:f>
              <c:numCache>
                <c:formatCode>General</c:formatCode>
                <c:ptCount val="5"/>
                <c:pt idx="0">
                  <c:v>107875</c:v>
                </c:pt>
                <c:pt idx="1">
                  <c:v>100402</c:v>
                </c:pt>
                <c:pt idx="2">
                  <c:v>79239</c:v>
                </c:pt>
                <c:pt idx="3">
                  <c:v>74627</c:v>
                </c:pt>
                <c:pt idx="4">
                  <c:v>72046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F0-4934-B52C-201F5A5DCB9F}"/>
            </c:ext>
          </c:extLst>
        </c:ser>
        <c:ser>
          <c:idx val="3"/>
          <c:order val="3"/>
          <c:tx>
            <c:v>2010 4Ch</c:v>
          </c:tx>
          <c:spPr>
            <a:ln>
              <a:solidFill>
                <a:srgbClr val="C00000"/>
              </a:solidFill>
            </a:ln>
          </c:spPr>
          <c:marker>
            <c:symbol val="diamond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cat>
            <c:strRef>
              <c:f>'2010'!$A$78:$A$82</c:f>
              <c:strCache>
                <c:ptCount val="5"/>
                <c:pt idx="0">
                  <c:v>T1 </c:v>
                </c:pt>
                <c:pt idx="1">
                  <c:v>T2a </c:v>
                </c:pt>
                <c:pt idx="2">
                  <c:v>T2b </c:v>
                </c:pt>
                <c:pt idx="3">
                  <c:v>T3</c:v>
                </c:pt>
                <c:pt idx="4">
                  <c:v>T4</c:v>
                </c:pt>
              </c:strCache>
            </c:strRef>
          </c:cat>
          <c:val>
            <c:numRef>
              <c:f>'2010'!$G$22:$G$26</c:f>
              <c:numCache>
                <c:formatCode>General</c:formatCode>
                <c:ptCount val="5"/>
                <c:pt idx="0">
                  <c:v>99305</c:v>
                </c:pt>
                <c:pt idx="1">
                  <c:v>84746</c:v>
                </c:pt>
                <c:pt idx="2">
                  <c:v>56497</c:v>
                </c:pt>
                <c:pt idx="3">
                  <c:v>55494</c:v>
                </c:pt>
                <c:pt idx="4">
                  <c:v>51546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F0-4934-B52C-201F5A5DC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809712"/>
        <c:axId val="250810272"/>
      </c:lineChart>
      <c:catAx>
        <c:axId val="250809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50810272"/>
        <c:crosses val="autoZero"/>
        <c:auto val="1"/>
        <c:lblAlgn val="ctr"/>
        <c:lblOffset val="100"/>
        <c:noMultiLvlLbl val="0"/>
      </c:catAx>
      <c:valAx>
        <c:axId val="2508102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08097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171450</xdr:colOff>
      <xdr:row>18</xdr:row>
      <xdr:rowOff>95250</xdr:rowOff>
    </xdr:from>
    <xdr:to>
      <xdr:col>20</xdr:col>
      <xdr:colOff>333375</xdr:colOff>
      <xdr:row>36</xdr:row>
      <xdr:rowOff>38101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333374</xdr:colOff>
      <xdr:row>18</xdr:row>
      <xdr:rowOff>95250</xdr:rowOff>
    </xdr:from>
    <xdr:to>
      <xdr:col>28</xdr:col>
      <xdr:colOff>514349</xdr:colOff>
      <xdr:row>36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161925</xdr:colOff>
      <xdr:row>41</xdr:row>
      <xdr:rowOff>152400</xdr:rowOff>
    </xdr:from>
    <xdr:to>
      <xdr:col>20</xdr:col>
      <xdr:colOff>314325</xdr:colOff>
      <xdr:row>59</xdr:row>
      <xdr:rowOff>95249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314325</xdr:colOff>
      <xdr:row>41</xdr:row>
      <xdr:rowOff>152400</xdr:rowOff>
    </xdr:from>
    <xdr:to>
      <xdr:col>28</xdr:col>
      <xdr:colOff>485775</xdr:colOff>
      <xdr:row>59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285750</xdr:colOff>
      <xdr:row>63</xdr:row>
      <xdr:rowOff>19050</xdr:rowOff>
    </xdr:from>
    <xdr:to>
      <xdr:col>28</xdr:col>
      <xdr:colOff>466725</xdr:colOff>
      <xdr:row>83</xdr:row>
      <xdr:rowOff>57150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133350</xdr:colOff>
      <xdr:row>63</xdr:row>
      <xdr:rowOff>19050</xdr:rowOff>
    </xdr:from>
    <xdr:to>
      <xdr:col>20</xdr:col>
      <xdr:colOff>295275</xdr:colOff>
      <xdr:row>83</xdr:row>
      <xdr:rowOff>47625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://us-aus-rtweb1/Reports/RT/2013SP1/performance/pharlap/rtperf-8108/sp_online_poll_nosmp/" TargetMode="External"/><Relationship Id="rId3" Type="http://schemas.openxmlformats.org/officeDocument/2006/relationships/hyperlink" Target="http://us-aus-rtweb1.natinst.com/Reports/RT/2013/performance/pharlap/rtperf-8108/sp_online_poll_smp/2013-04-12_18-18-20/HTML/2013-04-12_18-25-44_SinglePointBenchmarks_ATS.html" TargetMode="External"/><Relationship Id="rId7" Type="http://schemas.openxmlformats.org/officeDocument/2006/relationships/hyperlink" Target="http://us-aus-rtweb1/Reports/RT/2013/performance/pharlap/rtperf-8108/sp_online_poll_smp/2013-06-16_06-38-31/HTML/2013-06-16_06-45-49_SinglePointBenchmarks_ATS.html" TargetMode="External"/><Relationship Id="rId2" Type="http://schemas.openxmlformats.org/officeDocument/2006/relationships/hyperlink" Target="http://us-aus-rtweb1/Reports/RT/2013/performance/pharlap/rtperf-8108/sp_online_poll_nosmp/2012-12-18_10-13-27/HTML/2012-12-18_10-18-37_SinglePointBenchmarks_ATS.html" TargetMode="External"/><Relationship Id="rId1" Type="http://schemas.openxmlformats.org/officeDocument/2006/relationships/hyperlink" Target="http://us-aus-rtweb1/Reports/RT/2013/performance/pharlap/rtperf-8108/sp_online_poll_smp/2012-12-18_20-28-52/HTML/2012-12-18_20-36-14_SinglePointBenchmarks_ATS.html" TargetMode="External"/><Relationship Id="rId6" Type="http://schemas.openxmlformats.org/officeDocument/2006/relationships/hyperlink" Target="http://us-aus-rtweb1/Reports/RT/2013/performance/pharlap/rtperf-8108/sp_online_poll_nosmp/2013-06-15_21-14-52/HTML/2013-06-15_21-22-12_SinglePointBenchmarks_ATS.html" TargetMode="External"/><Relationship Id="rId5" Type="http://schemas.openxmlformats.org/officeDocument/2006/relationships/hyperlink" Target="http://us-aus-rtweb1.natinst.com/Reports/RT/2013/performance/pharlap/rtperf-8108/sp_online_poll_nosmp/2013-05-14_16-30-59/HTML/2013-05-14_16-36-30_SinglePointBenchmarks_ATS.html" TargetMode="External"/><Relationship Id="rId4" Type="http://schemas.openxmlformats.org/officeDocument/2006/relationships/hyperlink" Target="http://us-aus-rtweb1.natinst.com/Reports/RT/2013/performance/pharlap/rtperf-8108/sp_online_poll_nosmp/2013-04-12_08-38-40/HTML/2013-04-12_08-45-28_SinglePointBenchmarks_ATS.html" TargetMode="External"/><Relationship Id="rId9" Type="http://schemas.openxmlformats.org/officeDocument/2006/relationships/hyperlink" Target="http://us-aus-rtweb1/Reports/RT/2013SP1/performance/pharlap/rtperf-8108/sp_online_poll_smp/2013-11-03_21-44-37/HTML/2013-11-03_21-52-32_SinglePointBenchmarks_ATS.html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://us-aus-rtweb1.natinst.com/Reports/RT/2016/performance/pharlap/rtperf-8135/sp_online_poll_smp/2016-04-25_11-23-31/HTML/2016-04-25_11-32-53_SinglePointBenchmarks_ATS.html" TargetMode="External"/><Relationship Id="rId13" Type="http://schemas.openxmlformats.org/officeDocument/2006/relationships/hyperlink" Target="http://us-aus-rtweb1.natinst.com/Reports/RT/2015/performance/pharlap/rtperf-8108/sp_online_poll_nosmp/2016-05-30_22-22-13/HTML/2016-05-30_22-22-36__ATS.html" TargetMode="External"/><Relationship Id="rId3" Type="http://schemas.openxmlformats.org/officeDocument/2006/relationships/hyperlink" Target="http://us-aus-rtweb1.natinst.com/Reports/RT/2015/performance/pharlap/rtperf-8108/sp_online_poll_smp/2015-01-09_15-07-19/HTML/2015-01-09_15-15-36_SinglePointBenchmarks_ATS.html" TargetMode="External"/><Relationship Id="rId7" Type="http://schemas.openxmlformats.org/officeDocument/2006/relationships/hyperlink" Target="http://us-aus-rtweb1.natinst.com/Reports/RT/2015/performance/pharlap/rtperf-8135/sp_online_poll_nosmp/2016-02-24_17-50-32/HTML/2016-02-24_17-50-33_SinglePointBenchmarks_ATS.html" TargetMode="External"/><Relationship Id="rId12" Type="http://schemas.openxmlformats.org/officeDocument/2006/relationships/hyperlink" Target="http://us-aus-rtweb1.natinst.com/Reports/RT/2015/performance/pharlap/rtperf-8108/sp_online_poll_nosmp/2016-05-28_04-11-21/HTML/2016-05-28_04-11-27_SinglePointBenchmarks_ATS.html" TargetMode="External"/><Relationship Id="rId2" Type="http://schemas.openxmlformats.org/officeDocument/2006/relationships/hyperlink" Target="http://us-aus-rtweb1.natinst.com/Reports/RT/2015/performance/pharlap/rtperf-8108/sp_online_poll_smp/2015-02-06_11-48-38/HTML/2015-02-06_11-56-59_SinglePointBenchmarks_ATS.html" TargetMode="External"/><Relationship Id="rId1" Type="http://schemas.openxmlformats.org/officeDocument/2006/relationships/hyperlink" Target="http://us-aus-rtweb1.natinst.com/Reports/RT/2015/performance/pharlap/rtperf-8108/sp_online_poll_nosmp/2015-02-06_02-16-54/HTML/2015-02-06_02-22-22_SinglePointBenchmarks_ATS.html" TargetMode="External"/><Relationship Id="rId6" Type="http://schemas.openxmlformats.org/officeDocument/2006/relationships/hyperlink" Target="http://us-aus-rtweb1.natinst.com/Reports/RT/2015/performance/pharlap/rtperf-8135/sp_online_poll_smp/2016-02-25_02-14-57/HTML/2016-02-25_02-14-58_SinglePointBenchmarks_ATS.html" TargetMode="External"/><Relationship Id="rId11" Type="http://schemas.openxmlformats.org/officeDocument/2006/relationships/hyperlink" Target="http://us-aus-rtweb1.natinst.com/Reports/RT/2015/performance/pharlap/rtperf-8108/sp_online_poll_smp/2016-05-29_04-55-31/HTML/2016-05-29_04-55-35_SinglePointBenchmarks_ATS.html" TargetMode="External"/><Relationship Id="rId5" Type="http://schemas.openxmlformats.org/officeDocument/2006/relationships/hyperlink" Target="http://us-aus-rtweb1.natinst.com/Reports/RT/2015/performance/pharlap/rtperf-8108/sp_online_poll_nosmp/2015-05-29_15-15-41/HTML/2015-05-29_15-21-40_SinglePointBenchmarks_ATS.html" TargetMode="External"/><Relationship Id="rId10" Type="http://schemas.openxmlformats.org/officeDocument/2006/relationships/hyperlink" Target="http://us-aus-rtweb1.natinst.com/Reports/RT/2015/performance/pharlap/rtperf-8108/sp_online_poll_smp/2016-05-30_07-50-15/HTML/2016-05-30_07-50-37__ATS.html" TargetMode="External"/><Relationship Id="rId4" Type="http://schemas.openxmlformats.org/officeDocument/2006/relationships/hyperlink" Target="http://us-aus-rtweb1.natinst.com/Reports/RT/2015/performance/pharlap/rtperf-8108/sp_online_poll_smp/2015-05-29_23-58-25/HTML/2015-05-30_00-07-06_SinglePointBenchmarks_ATS.html" TargetMode="External"/><Relationship Id="rId9" Type="http://schemas.openxmlformats.org/officeDocument/2006/relationships/hyperlink" Target="http://us-aus-rtweb1.natinst.com/Reports/RT/2016/performance/pharlap/rtperf-8135/sp_online_poll_nosmp/2016-04-25_02-35-12/HTML/2016-04-25_02-42-13_SinglePointBenchmarks_ATS.html" TargetMode="External"/><Relationship Id="rId14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://us-aus-rtweb1.natinst.com/Reports/RT/2016/performance/pharlap/rtperf-8135/sp_online_poll_nosmp/2016-03-18_17-46-07/HTML/2016-03-18_17-52-35_SinglePointBenchmarks_ATS.html" TargetMode="External"/><Relationship Id="rId13" Type="http://schemas.openxmlformats.org/officeDocument/2006/relationships/hyperlink" Target="http://us-aus-rtweb1.natinst.com/Reports/RT/2016/performance/pharlap/rtperf-8135/sp_online_poll_smp/2016-04-15_00-44-27/HTML/2016-04-15_00-53-52_SinglePointBenchmarks_ATS.html" TargetMode="External"/><Relationship Id="rId18" Type="http://schemas.openxmlformats.org/officeDocument/2006/relationships/hyperlink" Target="http://us-aus-rtweb1.natinst.com/Reports/RT/2016/performance/pharlap/rtperf-8135/sp_online_poll_smp/2016-04-22_22-16-42/HTML/2016-04-22_22-25-52_SinglePointBenchmarks_ATS.html" TargetMode="External"/><Relationship Id="rId3" Type="http://schemas.openxmlformats.org/officeDocument/2006/relationships/hyperlink" Target="http://us-aus-rtweb1.natinst.com/Reports/RT/2016/performance/pharlap/rtperf-8135/sp_online_poll_smp/2016-03-10_05-04-06/HTML/2016-03-10_05-04-08_SinglePointBenchmarks_ATS.html" TargetMode="External"/><Relationship Id="rId21" Type="http://schemas.openxmlformats.org/officeDocument/2006/relationships/hyperlink" Target="http://us-aus-rtweb1/Reports/RT/2016/performance/pharlap/rtperf-8108/sp_online_poll_smp/2016-06-09_00-31-38/HTML/2016-06-09_00-42-02_SinglePointBenchmarks_ATS.html" TargetMode="External"/><Relationship Id="rId7" Type="http://schemas.openxmlformats.org/officeDocument/2006/relationships/hyperlink" Target="http://us-aus-rtweb1.natinst.com/Reports/RT/2016/performance/pharlap/rtperf-8135/sp_online_poll_smp/2016-03-19_02-45-56/HTML/2016-03-19_02-55-23_SinglePointBenchmarks_ATS.html" TargetMode="External"/><Relationship Id="rId12" Type="http://schemas.openxmlformats.org/officeDocument/2006/relationships/hyperlink" Target="http://us-aus-rtweb1.natinst.com/Reports/RT/2016/performance/pharlap/rtperf-8108/sp_online_poll_nosmp/2016-05-21_01-10-22/HTML/2016-05-21_01-16-17_SinglePointBenchmarks_ATS.html" TargetMode="External"/><Relationship Id="rId17" Type="http://schemas.openxmlformats.org/officeDocument/2006/relationships/hyperlink" Target="http://us-aus-rtweb1.natinst.com/Reports/RT/2016/performance/pharlap/rtperf-8135/sp_online_poll_smp/2016-04-23_07-26-29/HTML/2016-04-23_07-35-58_SinglePointBenchmarks_ATS.html" TargetMode="External"/><Relationship Id="rId25" Type="http://schemas.openxmlformats.org/officeDocument/2006/relationships/printerSettings" Target="../printerSettings/printerSettings6.bin"/><Relationship Id="rId2" Type="http://schemas.openxmlformats.org/officeDocument/2006/relationships/hyperlink" Target="http://us-aus-rtweb1.natinst.com/Reports/RT/2016/performance/pharlap/rtperf-8135/sp_online_poll_nosmp/2016-03-09_05-57-46/HTML/2016-03-09_05-57-52_SinglePointBenchmarks_ATS.html" TargetMode="External"/><Relationship Id="rId16" Type="http://schemas.openxmlformats.org/officeDocument/2006/relationships/hyperlink" Target="http://us-aus-rtweb1.natinst.com/Reports/RT/2016/performance/pharlap/rtperf-8135/sp_online_poll_smp/2016-04-21_23-27-18/HTML/2016-04-21_23-36-40_SinglePointBenchmarks_ATS.html" TargetMode="External"/><Relationship Id="rId20" Type="http://schemas.openxmlformats.org/officeDocument/2006/relationships/hyperlink" Target="http://us-aus-rtweb1.natinst.com/Reports/RT/2016/performance/pharlap/rtperf-8108/sp_online_poll_nosmp/2016-05-24_13-20-49/HTML/2016-05-24_13-20-49_SinglePointBenchmarks_ATS.html" TargetMode="External"/><Relationship Id="rId1" Type="http://schemas.openxmlformats.org/officeDocument/2006/relationships/hyperlink" Target="http://us-aus-rtweb1.natinst.com/Reports/RT/2016/performance/pharlap/rtperf-8135/sp_online_poll_smp/2016-02-17_21-48-52/HTML/2016-02-17_21-48-53_SinglePointBenchmarks_ATS.html" TargetMode="External"/><Relationship Id="rId6" Type="http://schemas.openxmlformats.org/officeDocument/2006/relationships/hyperlink" Target="http://us-aus-rtweb1.natinst.com/Reports/RT/2016/performance/pharlap/rtperf-8135/sp_online_poll_nosmp/2016-03-11_16-32-51/HTML/2016-03-11_16-39-25_SinglePointBenchmarks_ATS.html" TargetMode="External"/><Relationship Id="rId11" Type="http://schemas.openxmlformats.org/officeDocument/2006/relationships/hyperlink" Target="http://us-aus-rtweb1.natinst.com/Reports/RT/2016/performance/pharlap/rtperf-8108/sp_online_poll_smp/2016-05-22_22-24-42/HTML/2016-05-22_22-33-43_SinglePointBenchmarks_ATS.html" TargetMode="External"/><Relationship Id="rId24" Type="http://schemas.openxmlformats.org/officeDocument/2006/relationships/hyperlink" Target="http://us-aus-rtweb1/Reports/RT/2016/performance/pharlap/rtperf-8108/sp_online_poll_nosmp/2016-06-16_07-26-15/HTML/2016-06-16_07-32-17_SinglePointBenchmarks_ATS.html" TargetMode="External"/><Relationship Id="rId5" Type="http://schemas.openxmlformats.org/officeDocument/2006/relationships/hyperlink" Target="http://us-aus-rtweb1.natinst.com/Reports/RT/2016/performance/pharlap/rtperf-8135/sp_online_poll_smp/2016-03-12_01-09-09/HTML/2016-03-12_01-18-19_SinglePointBenchmarks_ATS.html" TargetMode="External"/><Relationship Id="rId15" Type="http://schemas.openxmlformats.org/officeDocument/2006/relationships/hyperlink" Target="http://us-aus-rtweb1.natinst.com/Reports/RT/2016/performance/pharlap/rtperf-8135/sp_online_poll_smp/2016-04-20_14-46-56/HTML/2016-04-20_14-55-57_SinglePointBenchmarks_ATS.html" TargetMode="External"/><Relationship Id="rId23" Type="http://schemas.openxmlformats.org/officeDocument/2006/relationships/hyperlink" Target="http://us-aus-rtweb1/Reports/RT/2016/performance/pharlap/rtperf-8108/sp_online_poll_smp/2016-06-14_22-33-03/HTML/2016-06-14_22-41-35_SinglePointBenchmarks_ATS.html" TargetMode="External"/><Relationship Id="rId10" Type="http://schemas.openxmlformats.org/officeDocument/2006/relationships/hyperlink" Target="http://us-aus-rtweb1.natinst.com/Reports/RT/2016/performance/pharlap/rtperf-8135/sp_online_poll_nosmp/2016-04-08_02-11-11/HTML/2016-04-08_02-18-04_SinglePointBenchmarks_ATS.html" TargetMode="External"/><Relationship Id="rId19" Type="http://schemas.openxmlformats.org/officeDocument/2006/relationships/hyperlink" Target="http://us-aus-rtweb1.natinst.com/Reports/RT/2016/performance/pharlap/rtperf-8108/sp_online_poll_smp/2016-05-28_12-00-12/HTML/2016-05-28_12-00-17_SinglePointBenchmarks_ATS.html" TargetMode="External"/><Relationship Id="rId4" Type="http://schemas.openxmlformats.org/officeDocument/2006/relationships/hyperlink" Target="http://us-aus-rtweb1.natinst.com/Reports/RT/2016/performance/pharlap/rtperf-8135/sp_online_poll_nosmp/2016-03-09_05-57-46/HTML/2016-03-09_05-57-52_SinglePointBenchmarks_ATS.html" TargetMode="External"/><Relationship Id="rId9" Type="http://schemas.openxmlformats.org/officeDocument/2006/relationships/hyperlink" Target="http://us-aus-rtweb1.natinst.com/Reports/RT/2016/performance/pharlap/rtperf-8135/sp_online_poll_smp/2016-04-08_10-40-27/HTML/2016-04-08_10-49-53_SinglePointBenchmarks_ATS.html" TargetMode="External"/><Relationship Id="rId14" Type="http://schemas.openxmlformats.org/officeDocument/2006/relationships/hyperlink" Target="http://us-aus-rtweb1.natinst.com/Reports/RT/2016/performance/pharlap/rtperf-8135/sp_online_poll_smp/2016-04-19_15-57-17/HTML/2016-04-19_15-57-22_SinglePointBenchmarks_ATS.html" TargetMode="External"/><Relationship Id="rId22" Type="http://schemas.openxmlformats.org/officeDocument/2006/relationships/hyperlink" Target="http://us-aus-rtweb1/Reports/RT/2016/performance/pharlap/rtperf-8108/sp_online_poll_nosmp/2016-06-09_10-57-11/HTML/2016-06-09_11-02-52_SinglePointBenchmarks_ATS.html" TargetMode="Externa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http://us-aus-rtweb1/Reports/RT/2017/performance/pharLap/rtperf-8108/sp_online_poll_smp/2016-11-25_21-00-18/HTML/2016-11-25_21-10-37_SinglePointBenchmarks_ATS.html" TargetMode="External"/><Relationship Id="rId18" Type="http://schemas.openxmlformats.org/officeDocument/2006/relationships/hyperlink" Target="http://us-aus-rtweb1/Reports/RT/2017/performance/pharLap/rtperf-8108/sp_online_poll_nosmp/2016-12-16_05-09-44/HTML/2016-12-16_05-15-54_SinglePointBenchmarks_ATS.html" TargetMode="External"/><Relationship Id="rId26" Type="http://schemas.openxmlformats.org/officeDocument/2006/relationships/hyperlink" Target="http://us-aus-rtweb1/Reports/RT/2017/performance/pharLap/rtperf-8108/sp_online_poll_nosmp/2017-01-21_17-54-12/HTML/2017-01-21_18-00-09_SinglePointBenchmarks_ATS.html" TargetMode="External"/><Relationship Id="rId39" Type="http://schemas.openxmlformats.org/officeDocument/2006/relationships/hyperlink" Target="http://us-aus-rtweb1/Reports/RT/2017/performance/pharLap/rtperf-8108/sp_online_poll_smp/2017-03-10_21-57-00/HTML/2017-03-10_22-08-36_SinglePointBenchmarks_ATS.html" TargetMode="External"/><Relationship Id="rId3" Type="http://schemas.openxmlformats.org/officeDocument/2006/relationships/hyperlink" Target="http://us-aus-rtweb1/Reports/RT/2017/performance/pharLap/rtperf-8108/sp_online_poll_smp/2016-10-15_01-07-47/HTML/2016-10-15_01-18-19_SinglePointBenchmarks_ATS.html" TargetMode="External"/><Relationship Id="rId21" Type="http://schemas.openxmlformats.org/officeDocument/2006/relationships/hyperlink" Target="http://us-aus-rtweb1/Reports/RT/2017/performance/pharLap/rtperf-8108/sp_online_poll_smp/2017-01-06_11-04-22/HTML/2017-01-06_11-14-38_SinglePointBenchmarks_ATS.html" TargetMode="External"/><Relationship Id="rId34" Type="http://schemas.openxmlformats.org/officeDocument/2006/relationships/hyperlink" Target="http://us-aus-rtweb1/Reports/RT/2017/performance/pharLap/rtperf-8108/sp_online_poll_nosmp/2017-02-17_06-04-19/HTML/2017-02-17_06-10-13_SinglePointBenchmarks_ATS.html" TargetMode="External"/><Relationship Id="rId42" Type="http://schemas.openxmlformats.org/officeDocument/2006/relationships/hyperlink" Target="http://us-aus-rtweb1/Reports/RT/2017/performance/pharLap/rtperf-8108/sp_online_poll_nosmp/2017-03-17_08-58-21/HTML/2017-03-17_09-04-41_SinglePointBenchmarks_ATS.html" TargetMode="External"/><Relationship Id="rId47" Type="http://schemas.openxmlformats.org/officeDocument/2006/relationships/hyperlink" Target="http://us-aus-rtweb1/Reports/RT/2017/performance/pharLap/rtperf-8108/sp_online_poll_smp/2017-10-17_21-48-18/HTML/2017-10-17_21-58-12_SinglePointBenchmarks_ATS.html" TargetMode="External"/><Relationship Id="rId7" Type="http://schemas.openxmlformats.org/officeDocument/2006/relationships/hyperlink" Target="http://us-aus-rtweb1/Reports/RT/2017/performance/pharLap/rtperf-8108/sp_online_poll_nosmp/2016-10-24_00-58-22/HTML/2016-10-24_01-04-20_SinglePointBenchmarks_ATS.html" TargetMode="External"/><Relationship Id="rId12" Type="http://schemas.openxmlformats.org/officeDocument/2006/relationships/hyperlink" Target="http://us-aus-rtweb1/Reports/RT/2017/performance/pharLap/rtperf-8108/sp_online_poll_nosmp/2016-11-19_07-15-15/HTML/2016-11-19_07-21-08_SinglePointBenchmarks_ATS.html" TargetMode="External"/><Relationship Id="rId17" Type="http://schemas.openxmlformats.org/officeDocument/2006/relationships/hyperlink" Target="http://us-aus-rtweb1/Reports/RT/2017/performance/pharLap/rtperf-8108/sp_online_poll_smp/2016-12-15_19-54-21/HTML/2016-12-15_20-04-58_SinglePointBenchmarks_ATS.html" TargetMode="External"/><Relationship Id="rId25" Type="http://schemas.openxmlformats.org/officeDocument/2006/relationships/hyperlink" Target="http://us-aus-rtweb1/Reports/RT/2017/performance/pharLap/rtperf-8108/sp_online_poll_smp/2017-01-21_08-32-06/HTML/2017-01-21_08-41-20_SinglePointBenchmarks_ATS.html" TargetMode="External"/><Relationship Id="rId33" Type="http://schemas.openxmlformats.org/officeDocument/2006/relationships/hyperlink" Target="http://us-aus-rtweb1/Reports/RT/2017/performance/pharLap/rtperf-8108/sp_online_poll_smp/2017-02-16_20-21-44/HTML/2017-02-16_20-34-33_SinglePointBenchmarks_ATS.html" TargetMode="External"/><Relationship Id="rId38" Type="http://schemas.openxmlformats.org/officeDocument/2006/relationships/hyperlink" Target="http://us-aus-rtweb1/Reports/RT/2017/performance/pharLap/rtperf-8108/sp_online_poll_nosmp/2017-03-07_01-26-21/HTML/2017-03-07_01-33-15_SinglePointBenchmarks_ATS.html" TargetMode="External"/><Relationship Id="rId46" Type="http://schemas.openxmlformats.org/officeDocument/2006/relationships/hyperlink" Target="http://us-aus-rtweb1/Reports/RT/2017/performance/pharLap/rtperf-8108/sp_online_poll_nosmp/2017-10-05_05-24-39/HTML/2017-10-05_05-30-02_SinglePointBenchmarks_ATS.html" TargetMode="External"/><Relationship Id="rId2" Type="http://schemas.openxmlformats.org/officeDocument/2006/relationships/hyperlink" Target="http://us-aus-rtweb1/Reports/RT/2017/performance/pharLap/rtperf-8108/sp_online_poll_nosmp/2016-09-18_19-06-16/HTML/2016-09-18_19-12-06_SinglePointBenchmarks_ATS.html" TargetMode="External"/><Relationship Id="rId16" Type="http://schemas.openxmlformats.org/officeDocument/2006/relationships/hyperlink" Target="http://us-aus-rtweb1/Reports/RT/2017/performance/pharLap/rtperf-8108/sp_online_poll_nosmp/2016-12-07_07-04-19/HTML/2016-12-07_07-10-12_SinglePointBenchmarks_ATS.html" TargetMode="External"/><Relationship Id="rId20" Type="http://schemas.openxmlformats.org/officeDocument/2006/relationships/hyperlink" Target="http://us-aus-rtweb1/Reports/RT/2017/performance/pharLap/rtperf-8108/sp_online_poll_nosmp/2016-12-30_00-07-53/HTML/2016-12-30_00-13-58_SinglePointBenchmarks_ATS.html" TargetMode="External"/><Relationship Id="rId29" Type="http://schemas.openxmlformats.org/officeDocument/2006/relationships/hyperlink" Target="http://us-aus-rtweb1/Reports/RT/2017/performance/pharLap/rtperf-8108/sp_online_poll_smp/2017-02-02_22-25-35/HTML/2017-02-02_22-36-20_SinglePointBenchmarks_ATS.html" TargetMode="External"/><Relationship Id="rId41" Type="http://schemas.openxmlformats.org/officeDocument/2006/relationships/hyperlink" Target="http://us-aus-rtweb1/Reports/RT/2017/performance/pharLap/rtperf-8108/sp_online_poll_smp/2017-03-16_23-29-18/HTML/2017-03-16_23-40-22_SinglePointBenchmarks_ATS.html" TargetMode="External"/><Relationship Id="rId1" Type="http://schemas.openxmlformats.org/officeDocument/2006/relationships/hyperlink" Target="http://us-aus-rtweb1/Reports/RT/2017/performance/pharLap/rtperf-8108/sp_online_poll_smp/2016-09-18_09-42-59/HTML/2016-09-18_09-51-50_SinglePointBenchmarks_ATS.html" TargetMode="External"/><Relationship Id="rId6" Type="http://schemas.openxmlformats.org/officeDocument/2006/relationships/hyperlink" Target="http://us-aus-rtweb1/Reports/RT/2017/performance/pharLap/rtperf-8108/sp_online_poll_smp/2016-10-23_15-20-36/HTML/2016-10-23_15-29-16_SinglePointBenchmarks_ATS.html" TargetMode="External"/><Relationship Id="rId11" Type="http://schemas.openxmlformats.org/officeDocument/2006/relationships/hyperlink" Target="http://us-aus-rtweb1/Reports/RT/2017/performance/pharLap/rtperf-8108/sp_online_poll_smp/2016-11-18_23-04-15/HTML/2016-11-18_23-14-42_SinglePointBenchmarks_ATS.html" TargetMode="External"/><Relationship Id="rId24" Type="http://schemas.openxmlformats.org/officeDocument/2006/relationships/hyperlink" Target="http://us-aus-rtweb1/Reports/RT/2017/performance/pharLap/rtperf-8108/sp_online_poll_nosmp/2017-01-13_18-55-49/HTML/2017-01-13_19-02-01_SinglePointBenchmarks_ATS.html" TargetMode="External"/><Relationship Id="rId32" Type="http://schemas.openxmlformats.org/officeDocument/2006/relationships/hyperlink" Target="http://us-aus-rtweb1/Reports/RT/2017/performance/pharLap/rtperf-8108/sp_online_poll_nosmp/2017-02-12_15-00-44/HTML/2017-02-12_15-07-06_SinglePointBenchmarks_ATS.html" TargetMode="External"/><Relationship Id="rId37" Type="http://schemas.openxmlformats.org/officeDocument/2006/relationships/hyperlink" Target="http://us-aus-rtweb1/Reports/RT/2017/performance/pharLap/rtperf-8108/sp_online_poll_smp/2017-03-06_16-48-23/HTML/2017-03-06_16-56-51_SinglePointBenchmarks_ATS.html" TargetMode="External"/><Relationship Id="rId40" Type="http://schemas.openxmlformats.org/officeDocument/2006/relationships/hyperlink" Target="http://us-aus-rtweb1/Reports/RT/2017/performance/pharLap/rtperf-8108/sp_online_poll_nosmp/2017-03-11_07-48-09/HTML/2017-03-11_07-55-04_SinglePointBenchmarks_ATS.html" TargetMode="External"/><Relationship Id="rId45" Type="http://schemas.openxmlformats.org/officeDocument/2006/relationships/hyperlink" Target="http://us-aus-rtweb1/Reports/RT/2017/performance/pharLap/rtperf-8108/sp_online_poll_smp/2017-10-04_20-03-17/HTML/2017-10-04_20-13-07_SinglePointBenchmarks_ATS.html" TargetMode="External"/><Relationship Id="rId5" Type="http://schemas.openxmlformats.org/officeDocument/2006/relationships/hyperlink" Target="http://us-aus-rtweb1/Reports/RT/2017/performance/pharLap/rtperf-8108/sp_online_poll_nosmp/2016-10-19_00-47-56/HTML/2016-10-19_00-53-41_SinglePointBenchmarks_ATS.html" TargetMode="External"/><Relationship Id="rId15" Type="http://schemas.openxmlformats.org/officeDocument/2006/relationships/hyperlink" Target="http://us-aus-rtweb1/Reports/RT/2017/performance/pharLap/rtperf-8108/sp_online_poll_smp/2016-12-06_22-27-19/HTML/2016-12-06_22-37-49_SinglePointBenchmarks_ATS.html" TargetMode="External"/><Relationship Id="rId23" Type="http://schemas.openxmlformats.org/officeDocument/2006/relationships/hyperlink" Target="http://us-aus-rtweb1/Reports/RT/2017/performance/pharLap/rtperf-8108/sp_online_poll_smp/2017-01-13_05-29-57/HTML/2017-01-13_05-40-48_SinglePointBenchmarks_ATS.html" TargetMode="External"/><Relationship Id="rId28" Type="http://schemas.openxmlformats.org/officeDocument/2006/relationships/hyperlink" Target="http://us-aus-rtweb1/Reports/RT/2017/performance/pharLap/rtperf-8108/sp_online_poll_nosmp/2017-01-26_09-18-41/HTML/2017-01-26_09-24-59_SinglePointBenchmarks_ATS.html" TargetMode="External"/><Relationship Id="rId36" Type="http://schemas.openxmlformats.org/officeDocument/2006/relationships/hyperlink" Target="http://us-aus-rtweb1/Reports/RT/2017/performance/pharLap/rtperf-8108/sp_online_poll_nosmp/2017-02-24_17-42-36/HTML/2017-02-24_17-48-31_SinglePointBenchmarks_ATS.html" TargetMode="External"/><Relationship Id="rId49" Type="http://schemas.openxmlformats.org/officeDocument/2006/relationships/printerSettings" Target="../printerSettings/printerSettings7.bin"/><Relationship Id="rId10" Type="http://schemas.openxmlformats.org/officeDocument/2006/relationships/hyperlink" Target="http://us-aus-rtweb1/Reports/RT/2017/performance/pharLap/rtperf-8108/sp_online_poll_nosmp/2016-11-04_19-13-48/HTML/2016-11-04_19-19-42_SinglePointBenchmarks_ATS.html" TargetMode="External"/><Relationship Id="rId19" Type="http://schemas.openxmlformats.org/officeDocument/2006/relationships/hyperlink" Target="http://us-aus-rtweb1/Reports/RT/2017/performance/pharLap/rtperf-8108/sp_online_poll_smp/2016-12-26_22-45-28/HTML/2016-12-26_22-56-03_SinglePointBenchmarks_ATS.html" TargetMode="External"/><Relationship Id="rId31" Type="http://schemas.openxmlformats.org/officeDocument/2006/relationships/hyperlink" Target="http://us-aus-rtweb1/Reports/RT/2017/performance/pharLap/rtperf-8108/sp_online_poll_smp/2017-02-12_06-28-36/HTML/2017-02-12_06-38-09_SinglePointBenchmarks_ATS.html" TargetMode="External"/><Relationship Id="rId44" Type="http://schemas.openxmlformats.org/officeDocument/2006/relationships/hyperlink" Target="http://us-aus-rtweb1/Reports/RT/2017/performance/pharLap/rtperf-8108/sp_online_poll_nosmp/2017-09-14_15-22-29/HTML/2017-09-14_15-28-32_SinglePointBenchmarks_ATS.html" TargetMode="External"/><Relationship Id="rId4" Type="http://schemas.openxmlformats.org/officeDocument/2006/relationships/hyperlink" Target="http://us-aus-rtweb1/Reports/RT/2017/performance/pharLap/rtperf-8108/sp_online_poll_nosmp/2016-10-15_10-44-11/HTML/2016-10-15_10-49-56_SinglePointBenchmarks_ATS.html" TargetMode="External"/><Relationship Id="rId9" Type="http://schemas.openxmlformats.org/officeDocument/2006/relationships/hyperlink" Target="http://us-aus-rtweb1/Reports/RT/2017/performance/pharLap/rtperf-8108/sp_online_poll_smp/2016-11-04_09-55-38/HTML/2016-11-04_10-04-21_SinglePointBenchmarks_ATS.html" TargetMode="External"/><Relationship Id="rId14" Type="http://schemas.openxmlformats.org/officeDocument/2006/relationships/hyperlink" Target="http://us-aus-rtweb1/Reports/RT/2017/performance/pharLap/rtperf-8108/sp_online_poll_nosmp/2016-11-26_06-11-00/HTML/2016-11-26_06-16-51_SinglePointBenchmarks_ATS.html" TargetMode="External"/><Relationship Id="rId22" Type="http://schemas.openxmlformats.org/officeDocument/2006/relationships/hyperlink" Target="http://us-aus-rtweb1/Reports/RT/2017/performance/pharLap/rtperf-8108/sp_online_poll_nosmp/2017-01-06_20-01-45/HTML/2017-01-06_20-07-48_SinglePointBenchmarks_ATS.html" TargetMode="External"/><Relationship Id="rId27" Type="http://schemas.openxmlformats.org/officeDocument/2006/relationships/hyperlink" Target="http://us-aus-rtweb1/Reports/RT/2017/performance/pharLap/rtperf-8108/sp_online_poll_smp/2017-01-25_23-28-14/HTML/2017-01-25_23-38-41_SinglePointBenchmarks_ATS.html" TargetMode="External"/><Relationship Id="rId30" Type="http://schemas.openxmlformats.org/officeDocument/2006/relationships/hyperlink" Target="http://us-aus-rtweb1/Reports/RT/2017/performance/pharLap/rtperf-8108/sp_online_poll_nosmp/2017-02-03_07-38-51/HTML/2017-02-03_07-45-05_SinglePointBenchmarks_ATS.html" TargetMode="External"/><Relationship Id="rId35" Type="http://schemas.openxmlformats.org/officeDocument/2006/relationships/hyperlink" Target="http://us-aus-rtweb1/Reports/RT/2017/performance/pharLap/rtperf-8108/sp_online_poll_smp/2017-02-24_09-03-27/HTML/2017-02-24_09-12-14_SinglePointBenchmarks_ATS.html" TargetMode="External"/><Relationship Id="rId43" Type="http://schemas.openxmlformats.org/officeDocument/2006/relationships/hyperlink" Target="http://us-aus-rtweb1/Reports/RT/2017/performance/pharLap/rtperf-8108/sp_online_poll_smp/2017-09-14_06-08-26/HTML/2017-09-14_06-18-49_SinglePointBenchmarks_ATS.html" TargetMode="External"/><Relationship Id="rId48" Type="http://schemas.openxmlformats.org/officeDocument/2006/relationships/hyperlink" Target="http://us-aus-rtweb1/Reports/RT/2017/performance/pharLap/rtperf-8108/sp_online_poll_nosmp/2017-10-18_07-28-54/HTML/2017-10-18_07-34-56_SinglePointBenchmarks_ATS.html" TargetMode="External"/><Relationship Id="rId8" Type="http://schemas.openxmlformats.org/officeDocument/2006/relationships/hyperlink" Target="http://us-aus-rtweb1/Reports/RT/2017/performance/pharLap/rtperf-8108/sp_online_poll_nosmp/2016-10-27_01-24-55/HTML/2016-10-27_01-25-27_SinglePointBenchmarks_ATS.html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://us-aus-rtweb1/Reports/RT/2018/performance/pharlap/rtperf-8108/sp_online_poll_nosmp/2017-12-04_13-17-38/HTML/2017-12-04_13-23-43_SinglePointBenchmarks_ATS.html" TargetMode="External"/><Relationship Id="rId13" Type="http://schemas.openxmlformats.org/officeDocument/2006/relationships/hyperlink" Target="http://us-aus-rtweb1/Reports/RT/2018/performance/pharlap/rtperf-8108/sp_online_poll_smp/2018-01-14_04-06-27/HTML/2018-01-14_04-15-38_SinglePointBenchmarks_ATS.html" TargetMode="External"/><Relationship Id="rId18" Type="http://schemas.openxmlformats.org/officeDocument/2006/relationships/hyperlink" Target="http://us-aus-rtweb1/Reports/RT/2018/performance/pharlap/rtperf-8108/sp_online_poll_nosmp/2018-02-13_09-10-48/HTML/2018-02-13_09-19-09_SinglePointBenchmarks_ATS.html" TargetMode="External"/><Relationship Id="rId26" Type="http://schemas.openxmlformats.org/officeDocument/2006/relationships/hyperlink" Target="http://us-aus-rtweb1/Reports/RT/2018/performance/pharlap/rtperf-8108/sp_online_poll_nosmp/2018-03-15_11-07-33/HTML/2018-03-15_11-13-21_SinglePointBenchmarks_ATS.html" TargetMode="External"/><Relationship Id="rId3" Type="http://schemas.openxmlformats.org/officeDocument/2006/relationships/hyperlink" Target="http://us-aus-rtweb1/Reports/RT/2018/performance/pharlap/rtperf-8108/sp_online_poll_smp/2017-11-12_06-58-15/HTML/2017-11-12_07-05-44_SinglePointBenchmarks_ATS.html" TargetMode="External"/><Relationship Id="rId21" Type="http://schemas.openxmlformats.org/officeDocument/2006/relationships/hyperlink" Target="http://us-aus-rtweb1/Reports/RT/2018/performance/pharlap/rtperf-8108/sp_online_poll_smp/2018-02-25_22-34-38/HTML/2018-02-25_22-44-01_SinglePointBenchmarks_ATS.html" TargetMode="External"/><Relationship Id="rId7" Type="http://schemas.openxmlformats.org/officeDocument/2006/relationships/hyperlink" Target="http://us-aus-rtweb1/Reports/RT/2018/performance/pharlap/rtperf-8108/sp_online_poll_smp/2017-12-04_03-14-56/HTML/2017-12-04_03-23-54_SinglePointBenchmarks_ATS.html" TargetMode="External"/><Relationship Id="rId12" Type="http://schemas.openxmlformats.org/officeDocument/2006/relationships/hyperlink" Target="http://us-aus-rtweb1/Reports/RT/2018/performance/pharlap/rtperf-8108/sp_online_poll_nosmp/2018-01-07_16-44-36/HTML/2018-01-07_16-50-11_SinglePointBenchmarks_ATS.html" TargetMode="External"/><Relationship Id="rId17" Type="http://schemas.openxmlformats.org/officeDocument/2006/relationships/hyperlink" Target="http://us-aus-rtweb1/Reports/RT/2018/performance/pharlap/rtperf-8108/sp_online_poll_smp/2018-02-12_23-22-04/HTML/2018-02-12_23-30-47_SinglePointBenchmarks_ATS.html" TargetMode="External"/><Relationship Id="rId25" Type="http://schemas.openxmlformats.org/officeDocument/2006/relationships/hyperlink" Target="http://us-aus-rtweb1/Reports/RT/2018/performance/pharlap/rtperf-8108/sp_online_poll_smp/2018-03-15_01-27-12/HTML/2018-03-15_01-35-41_SinglePointBenchmarks_ATS.html" TargetMode="External"/><Relationship Id="rId33" Type="http://schemas.openxmlformats.org/officeDocument/2006/relationships/printerSettings" Target="../printerSettings/printerSettings8.bin"/><Relationship Id="rId2" Type="http://schemas.openxmlformats.org/officeDocument/2006/relationships/hyperlink" Target="http://us-aus-rtweb1/Reports/RT/2018/performance/pharlap/rtperf-8108/sp_online_poll_nosmp/2017-10-31_15-13-33/HTML/2017-10-31_15-19-20_SinglePointBenchmarks_ATS.html" TargetMode="External"/><Relationship Id="rId16" Type="http://schemas.openxmlformats.org/officeDocument/2006/relationships/hyperlink" Target="http://us-aus-rtweb1/Reports/RT/2018/performance/pharlap/rtperf-8108/sp_online_poll_nosmp/2018-02-07_10-08-01/HTML/2018-02-07_10-13-37_SinglePointBenchmarks_ATS.html" TargetMode="External"/><Relationship Id="rId20" Type="http://schemas.openxmlformats.org/officeDocument/2006/relationships/hyperlink" Target="http://us-aus-rtweb1/Reports/RT/2018/performance/pharlap/rtperf-8108/sp_online_poll_nosmp/2018-02-22_07-38-30/HTML/2018-02-22_07-43-59_SinglePointBenchmarks_ATS.html" TargetMode="External"/><Relationship Id="rId29" Type="http://schemas.openxmlformats.org/officeDocument/2006/relationships/hyperlink" Target="http://us-aus-rtweb1/Reports/RT/2018SP1/performance/pharlap/rtperf-8108/sp_online_poll_nosmp/2018-08-14_07-23-02/HTML/2018-08-14_07-31-37_SinglePointBenchmarks_ATS.html" TargetMode="External"/><Relationship Id="rId1" Type="http://schemas.openxmlformats.org/officeDocument/2006/relationships/hyperlink" Target="http://us-aus-rtweb1/Reports/RT/2018/performance/pharlap/rtperf-8108/sp_online_poll_smp/2017-10-31_06-14-47/HTML/2017-10-31_06-23-22_SinglePointBenchmarks_ATS.html" TargetMode="External"/><Relationship Id="rId6" Type="http://schemas.openxmlformats.org/officeDocument/2006/relationships/hyperlink" Target="http://us-aus-rtweb1/Reports/RT/2018/performance/pharlap/rtperf-8108/sp_online_poll_nosmp/2017-11-20_08-29-32/HTML/2017-11-20_08-34-57_SinglePointBenchmarks_ATS.html" TargetMode="External"/><Relationship Id="rId11" Type="http://schemas.openxmlformats.org/officeDocument/2006/relationships/hyperlink" Target="http://us-aus-rtweb1/Reports/RT/2018/performance/pharlap/rtperf-8108/sp_online_poll_smp/2018-01-07_07-25-22/HTML/2018-01-07_07-34-32_SinglePointBenchmarks_ATS.html" TargetMode="External"/><Relationship Id="rId24" Type="http://schemas.openxmlformats.org/officeDocument/2006/relationships/hyperlink" Target="http://us-aus-rtweb1/Reports/RT/2018/performance/pharlap/rtperf-8108/sp_online_poll_nosmp/2018-03-07_08-11-08/HTML/2018-03-07_08-16-54_SinglePointBenchmarks_ATS.html" TargetMode="External"/><Relationship Id="rId32" Type="http://schemas.openxmlformats.org/officeDocument/2006/relationships/hyperlink" Target="http://us-aus-rtweb1/Reports/RT/2018SP1/performance/pharlap/rtperf-8108/sp_online_poll_smp/2018-09-25_06-25-46/HTML/2018-09-25_06-37-03_SinglePointBenchmarks_ATS.html" TargetMode="External"/><Relationship Id="rId5" Type="http://schemas.openxmlformats.org/officeDocument/2006/relationships/hyperlink" Target="http://us-aus-rtweb1/Reports/RT/2018/performance/pharlap/rtperf-8108/sp_online_poll_smp/2017-11-19_23-03-32/HTML/2017-11-19_23-14-52_SinglePointBenchmarks_ATS.html" TargetMode="External"/><Relationship Id="rId15" Type="http://schemas.openxmlformats.org/officeDocument/2006/relationships/hyperlink" Target="http://us-aus-rtweb1/Reports/RT/2018/performance/pharlap/rtperf-8108/sp_online_poll_smp/2018-02-07_00-56-57/HTML/2018-02-07_01-06-01_SinglePointBenchmarks_ATS.html" TargetMode="External"/><Relationship Id="rId23" Type="http://schemas.openxmlformats.org/officeDocument/2006/relationships/hyperlink" Target="http://us-aus-rtweb1/Reports/RT/2018/performance/pharlap/rtperf-8108/sp_online_poll_smp/2018-03-06_22-32-34/HTML/2018-03-06_22-42-01_SinglePointBenchmarks_ATS.html" TargetMode="External"/><Relationship Id="rId28" Type="http://schemas.openxmlformats.org/officeDocument/2006/relationships/hyperlink" Target="http://us-aus-rtweb1/Reports/RT/2018/performance/pharlap/rtperf-8108/sp_online_poll_nosmp/2018-03-21_10-33-13/HTML/2018-03-21_10-38-41_SinglePointBenchmarks_ATS.html" TargetMode="External"/><Relationship Id="rId10" Type="http://schemas.openxmlformats.org/officeDocument/2006/relationships/hyperlink" Target="http://us-aus-rtweb1/Reports/RT/2018/performance/pharlap/rtperf-8108/sp_online_poll_nosmp/2017-12-30_12-39-35/HTML/2017-12-30_12-45-01_SinglePointBenchmarks_ATS.html" TargetMode="External"/><Relationship Id="rId19" Type="http://schemas.openxmlformats.org/officeDocument/2006/relationships/hyperlink" Target="http://us-aus-rtweb1/Reports/RT/2018/performance/pharlap/rtperf-8108/sp_online_poll_smp/2018-02-21_22-42-10/HTML/2018-02-21_22-51-06_SinglePointBenchmarks_ATS.html" TargetMode="External"/><Relationship Id="rId31" Type="http://schemas.openxmlformats.org/officeDocument/2006/relationships/hyperlink" Target="http://us-aus-rtweb1/Reports/RT/2018SP1/performance/pharlap/rtperf-8108/sp_online_poll_nosmp/2018-09-25_15-19-56/HTML/2018-09-25_15-26-14_SinglePointBenchmarks_ATS.html" TargetMode="External"/><Relationship Id="rId4" Type="http://schemas.openxmlformats.org/officeDocument/2006/relationships/hyperlink" Target="http://us-aus-rtweb1/Reports/RT/2018/performance/pharlap/rtperf-8108/sp_online_poll_nosmp/2017-11-12_15-11-39/HTML/2017-11-12_15-17-29_SinglePointBenchmarks_ATS.html" TargetMode="External"/><Relationship Id="rId9" Type="http://schemas.openxmlformats.org/officeDocument/2006/relationships/hyperlink" Target="http://us-aus-rtweb1/Reports/RT/2018/performance/pharlap/rtperf-8108/sp_online_poll_smp/2017-12-30_04-25-02/HTML/2017-12-30_04-34-03_SinglePointBenchmarks_ATS.html" TargetMode="External"/><Relationship Id="rId14" Type="http://schemas.openxmlformats.org/officeDocument/2006/relationships/hyperlink" Target="http://us-aus-rtweb1/Reports/RT/2018/performance/pharlap/rtperf-8108/sp_online_poll_nosmp/2018-01-14_13-01-50/HTML/2018-01-14_13-07-36_SinglePointBenchmarks_ATS.html" TargetMode="External"/><Relationship Id="rId22" Type="http://schemas.openxmlformats.org/officeDocument/2006/relationships/hyperlink" Target="http://us-aus-rtweb1/Reports/RT/2018/performance/pharlap/rtperf-8108/sp_online_poll_nosmp/2018-02-26_07-55-12/HTML/2018-02-26_08-00-38_SinglePointBenchmarks_ATS.html" TargetMode="External"/><Relationship Id="rId27" Type="http://schemas.openxmlformats.org/officeDocument/2006/relationships/hyperlink" Target="http://us-aus-rtweb1/Reports/RT/2018/performance/pharlap/rtperf-8108/sp_online_poll_smp/2018-03-21_00-55-27/HTML/2018-03-21_01-05-31_SinglePointBenchmarks_ATS.html" TargetMode="External"/><Relationship Id="rId30" Type="http://schemas.openxmlformats.org/officeDocument/2006/relationships/hyperlink" Target="http://us-aus-rtweb1/Reports/RT/2018SP1/performance/pharlap/rtperf-8108/sp_online_poll_smp/2018-08-13_22-04-04/HTML/2018-08-13_22-14-40_SinglePointBenchmarks_ATS.html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://us-aus-rtweb1.natinst.com/Reports/RT/2019/Performance/pharlap/rtperf-8108/sp_online_poll_smp/2018-11-05_17-03-48/HTML/2018-11-05_17-14-14_SinglePointBenchmarks_ATS.html" TargetMode="External"/><Relationship Id="rId13" Type="http://schemas.openxmlformats.org/officeDocument/2006/relationships/hyperlink" Target="http://us-aus-rtweb1/Reports/RT/2019/Performance/pharlap/rtperf-8108/sp_online_poll_nosmp/2019-01-05_02-37-35/HTML/2019-01-05_02-43-40_SinglePointBenchmarks_ATS.html" TargetMode="External"/><Relationship Id="rId18" Type="http://schemas.openxmlformats.org/officeDocument/2006/relationships/hyperlink" Target="http://us-aus-rtweb1/Reports/RT/2019/Performance/pharlap/rtperf-8108/sp_online_poll_smp/2019-01-23_04-24-27/HTML/2019-01-23_04-33-29_SinglePointBenchmarks_ATS.html" TargetMode="External"/><Relationship Id="rId26" Type="http://schemas.openxmlformats.org/officeDocument/2006/relationships/hyperlink" Target="http://us-aus-rtweb1/Reports/RT/2019/Performance/pharlap/rtperf-8108/sp_online_poll_smp/2019-02-22_16-29-21/HTML/2019-02-22_16-40-02_SinglePointBenchmarks_ATS.html" TargetMode="External"/><Relationship Id="rId3" Type="http://schemas.openxmlformats.org/officeDocument/2006/relationships/hyperlink" Target="http://us-aus-rtweb1.natinst.com/Reports/RT/2019/Performance/pharlap/rtperf-8108/sp_online_poll_nosmp/2018-10-23_10-14-45/HTML/2018-10-23_10-18-21_SinglePointBenchmarks_ATS.html" TargetMode="External"/><Relationship Id="rId21" Type="http://schemas.openxmlformats.org/officeDocument/2006/relationships/hyperlink" Target="http://us-aus-rtweb1/Reports/RT/2019/Performance/pharlap/rtperf-8108/sp_online_poll_nosmp/2019-02-08_12-19-39/HTML/2019-02-08_12-25-54_SinglePointBenchmarks_ATS.html" TargetMode="External"/><Relationship Id="rId7" Type="http://schemas.openxmlformats.org/officeDocument/2006/relationships/hyperlink" Target="http://us-aus-rtweb1.natinst.com/Reports/RT/2019/Performance/pharlap/rtperf-8108/sp_online_poll_nosmp/2018-11-06_02-33-06/HTML/2018-11-06_02-39-11_SinglePointBenchmarks_ATS.html" TargetMode="External"/><Relationship Id="rId12" Type="http://schemas.openxmlformats.org/officeDocument/2006/relationships/hyperlink" Target="http://us-aus-rtweb1.natinst.com/Reports/RT/2019/Performance/pharlap/rtperf-8108/sp_online_poll_smp/2018-12-10_06-16-52/HTML/2018-12-10_06-25-23_SinglePointBenchmarks_ATS.html" TargetMode="External"/><Relationship Id="rId17" Type="http://schemas.openxmlformats.org/officeDocument/2006/relationships/hyperlink" Target="http://us-aus-rtweb1/Reports/RT/2019/Performance/pharlap/rtperf-8108/sp_online_poll_nosmp/2019-01-23_13-12-18/HTML/2019-01-23_13-18-27_SinglePointBenchmarks_ATS.html" TargetMode="External"/><Relationship Id="rId25" Type="http://schemas.openxmlformats.org/officeDocument/2006/relationships/hyperlink" Target="http://us-aus-rtweb1/Reports/RT/2019/Performance/pharlap/rtperf-8108/sp_online_poll_nosmp/2019-02-23_01-57-49/HTML/2019-02-23_02-04-03_SinglePointBenchmarks_ATS.html" TargetMode="External"/><Relationship Id="rId2" Type="http://schemas.openxmlformats.org/officeDocument/2006/relationships/hyperlink" Target="http://us-aus-rtweb1.natinst.com/Reports/RT/2019/Performance/pharlap/rtperf-8108/sp_online_poll_smp/2018-10-18_05-37-14/HTML/2018-10-18_05-48-00_SinglePointBenchmarks_ATS.html" TargetMode="External"/><Relationship Id="rId16" Type="http://schemas.openxmlformats.org/officeDocument/2006/relationships/hyperlink" Target="http://us-aus-rtweb1/Reports/RT/2019/Performance/pharlap/rtperf-8108/sp_online_poll_smp/2019-01-11_17-41-21/HTML/2019-01-11_17-51-45_SinglePointBenchmarks_ATS.html" TargetMode="External"/><Relationship Id="rId20" Type="http://schemas.openxmlformats.org/officeDocument/2006/relationships/hyperlink" Target="http://us-aus-rtweb1/Reports/RT/2019/Performance/pharlap/rtperf-8108/sp_online_poll_smp/2019-02-04_00-03-04/HTML/2019-02-04_00-14-57_SinglePointBenchmarks_ATS.html" TargetMode="External"/><Relationship Id="rId29" Type="http://schemas.openxmlformats.org/officeDocument/2006/relationships/hyperlink" Target="http://us-aus-rtweb1.natinst.com/Reports/RT/2019/Performance/pharlap/rtperf-8108/sp_online_poll_nosmp/2019-03-23_02-01-17/HTML/2019-03-23_02-07-33_SinglePointBenchmarks_ATS.html" TargetMode="External"/><Relationship Id="rId1" Type="http://schemas.openxmlformats.org/officeDocument/2006/relationships/hyperlink" Target="http://us-aus-rtweb1.natinst.com/Reports/RT/2019/Performance/pharlap/rtperf-8108/sp_online_poll_nosmp/2018-10-18_14-58-15/HTML/2018-10-18_15-04-40_SinglePointBenchmarks_ATS.html" TargetMode="External"/><Relationship Id="rId6" Type="http://schemas.openxmlformats.org/officeDocument/2006/relationships/hyperlink" Target="http://us-aus-rtweb1.natinst.com/Reports/RT/2019/Performance/pharlap/rtperf-8108/sp_online_poll_smp/2018-10-31_15-51-47/HTML/2018-10-31_16-02-01_SinglePointBenchmarks_ATS.html" TargetMode="External"/><Relationship Id="rId11" Type="http://schemas.openxmlformats.org/officeDocument/2006/relationships/hyperlink" Target="http://us-aus-rtweb1.natinst.com/Reports/RT/2019/Performance/pharlap/rtperf-8108/sp_online_poll_nosmp/2018-12-07_19-01-19/HTML/2018-12-07_19-07-22_SinglePointBenchmarks_ATS.html" TargetMode="External"/><Relationship Id="rId24" Type="http://schemas.openxmlformats.org/officeDocument/2006/relationships/hyperlink" Target="http://us-aus-rtweb1/Reports/RT/2019/Performance/pharlap/rtperf-8108/sp_online_poll_smp/2019-02-15_15-59-10/HTML/2019-02-15_16-09-56_SinglePointBenchmarks_ATS.html" TargetMode="External"/><Relationship Id="rId5" Type="http://schemas.openxmlformats.org/officeDocument/2006/relationships/hyperlink" Target="http://us-aus-rtweb1.natinst.com/Reports/RT/2019/Performance/pharlap/rtperf-8108/sp_online_poll_nosmp/2018-11-01_01-27-17/HTML/2018-11-01_01-33-25_SinglePointBenchmarks_ATS.html" TargetMode="External"/><Relationship Id="rId15" Type="http://schemas.openxmlformats.org/officeDocument/2006/relationships/hyperlink" Target="http://us-aus-rtweb1/Reports/RT/2019/Performance/pharlap/rtperf-8108/sp_online_poll_nosmp/2019-01-12_02-06-35/HTML/2019-01-12_02-12-43_SinglePointBenchmarks_ATS.html" TargetMode="External"/><Relationship Id="rId23" Type="http://schemas.openxmlformats.org/officeDocument/2006/relationships/hyperlink" Target="http://us-aus-rtweb1/Reports/RT/2019/Performance/pharlap/rtperf-8108/sp_online_poll_nosmp/2019-02-16_00-18-13/HTML/2019-02-16_00-24-30_SinglePointBenchmarks_ATS.html" TargetMode="External"/><Relationship Id="rId28" Type="http://schemas.openxmlformats.org/officeDocument/2006/relationships/hyperlink" Target="http://us-aus-rtweb1/Reports/RT/2019/Performance/pharlap/rtperf-8108/sp_online_poll_smp/2019-03-11_05-39-58/HTML/2019-03-11_05-52-57_SinglePointBenchmarks_ATS.html" TargetMode="External"/><Relationship Id="rId10" Type="http://schemas.openxmlformats.org/officeDocument/2006/relationships/hyperlink" Target="http://us-aus-rtweb1.natinst.com/Reports/RT/2019/Performance/pharlap/rtperf-8108/sp_online_poll_smp/2018-12-04_12-37-43/HTML/2018-12-04_12-48-15_SinglePointBenchmarks_ATS.html" TargetMode="External"/><Relationship Id="rId19" Type="http://schemas.openxmlformats.org/officeDocument/2006/relationships/hyperlink" Target="http://us-aus-rtweb1/Reports/RT/2019/Performance/pharlap/rtperf-8108/sp_online_poll_nosmp/2019-02-04_08-54-18/HTML/2019-02-04_09-00-32_SinglePointBenchmarks_ATS.html" TargetMode="External"/><Relationship Id="rId31" Type="http://schemas.openxmlformats.org/officeDocument/2006/relationships/printerSettings" Target="../printerSettings/printerSettings9.bin"/><Relationship Id="rId4" Type="http://schemas.openxmlformats.org/officeDocument/2006/relationships/hyperlink" Target="http://us-aus-rtweb1.natinst.com/Reports/RT/2019/Performance/pharlap/rtperf-8108/sp_online_poll_smp/2018-10-23_00-48-00/HTML/2018-10-23_00-55-38_SinglePointBenchmarks_ATS.html" TargetMode="External"/><Relationship Id="rId9" Type="http://schemas.openxmlformats.org/officeDocument/2006/relationships/hyperlink" Target="http://us-aus-rtweb1.natinst.com/Reports/RT/2019/Performance/pharlap/rtperf-8108/sp_online_poll_nosmp/2018-12-04_21-59-04/HTML/2018-12-04_22-05-16_SinglePointBenchmarks_ATS.html" TargetMode="External"/><Relationship Id="rId14" Type="http://schemas.openxmlformats.org/officeDocument/2006/relationships/hyperlink" Target="http://us-aus-rtweb1/Reports/RT/2019/Performance/pharlap/rtperf-8108/sp_online_poll_smp/2019-01-04_17-32-42/HTML/2019-01-04_17-42-50_SinglePointBenchmarks_ATS.html" TargetMode="External"/><Relationship Id="rId22" Type="http://schemas.openxmlformats.org/officeDocument/2006/relationships/hyperlink" Target="http://us-aus-rtweb1/Reports/RT/2019/Performance/pharlap/rtperf-8108/sp_online_poll_smp/2019-02-08_02-53-29/HTML/2019-02-08_03-02-55_SinglePointBenchmarks_ATS.html" TargetMode="External"/><Relationship Id="rId27" Type="http://schemas.openxmlformats.org/officeDocument/2006/relationships/hyperlink" Target="http://us-aus-rtweb1/Reports/RT/2019/Performance/pharlap/rtperf-8108/sp_online_poll_nosmp/2019-03-11_14-41-21/HTML/2019-03-11_14-47-36_SinglePointBenchmarks_ATS.html" TargetMode="External"/><Relationship Id="rId30" Type="http://schemas.openxmlformats.org/officeDocument/2006/relationships/hyperlink" Target="http://us-aus-rtweb1.natinst.com/Reports/RT/2019/Performance/pharlap/rtperf-8108/sp_online_poll_smp/2019-03-22_16-59-58/HTML/2019-03-22_17-10-42_SinglePointBenchmarks_ATS.html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://us-aus-rtweb1.natinst.com/Reports/RT/2020/performance/pharlap/rtperf-8108/sp_online_poll_smp/2019-12-18_22-54-27/HTML/2019-12-18_23-02-51_SinglePointBenchmarks_ATS.html" TargetMode="External"/><Relationship Id="rId13" Type="http://schemas.openxmlformats.org/officeDocument/2006/relationships/hyperlink" Target="http://us-aus-rtweb1.natinst.com/Reports/RT/2020/performance/pharlap/rtperf-8108/sp_online_poll_smp/2020-01-06_02-27-41/HTML/2020-01-06_02-38-41_SinglePointBenchmarks_ATS.html" TargetMode="External"/><Relationship Id="rId3" Type="http://schemas.openxmlformats.org/officeDocument/2006/relationships/hyperlink" Target="http://us-aus-rtweb1.natinst.com/Reports/RT/2020/performance/pharlap/rtperf-8108/sp_online_poll_nosmp/2019-12-02_08-00-11/HTML/2019-12-02_08-06-32_SinglePointBenchmarks_ATS.html" TargetMode="External"/><Relationship Id="rId7" Type="http://schemas.openxmlformats.org/officeDocument/2006/relationships/hyperlink" Target="http://us-aus-rtweb1.natinst.com/Reports/RT/2020/performance/pharlap/rtperf-8108/sp_online_poll_nosmp/2019-12-19_08-32-19/HTML/2019-12-19_08-38-34_SinglePointBenchmarks_ATS.html" TargetMode="External"/><Relationship Id="rId12" Type="http://schemas.openxmlformats.org/officeDocument/2006/relationships/hyperlink" Target="http://us-aus-rtweb1.natinst.com/Reports/RT/2020/performance/pharlap/rtperf-8108/sp_online_poll_nosmp/2020-01-06_11-06-31/HTML/2020-01-06_11-12-50_SinglePointBenchmarks_ATS.html" TargetMode="External"/><Relationship Id="rId2" Type="http://schemas.openxmlformats.org/officeDocument/2006/relationships/hyperlink" Target="http://us-aus-rtweb1.natinst.com/Reports/RT/2020/performance/pharlap/rtperf-8108/sp_online_poll_smp/2019-11-27_00-12-03/HTML/2019-11-27_00-21-27_SinglePointBenchmarks_ATS.html" TargetMode="External"/><Relationship Id="rId1" Type="http://schemas.openxmlformats.org/officeDocument/2006/relationships/hyperlink" Target="http://us-aus-rtweb1.natinst.com/Reports/RT/2020/performance/pharlap/rtperf-8108/sp_online_poll_nosmp/2019-11-27_09-10-41/HTML/2019-11-27_09-19-06_SinglePointBenchmarks_ATS.html" TargetMode="External"/><Relationship Id="rId6" Type="http://schemas.openxmlformats.org/officeDocument/2006/relationships/hyperlink" Target="http://us-aus-rtweb1.natinst.com/Reports/RT/2020/performance/pharlap/rtperf-8108/sp_online_poll_smp/2019-12-09_05-53-46/HTML/2019-12-09_06-04-24_SinglePointBenchmarks_ATS.html" TargetMode="External"/><Relationship Id="rId11" Type="http://schemas.openxmlformats.org/officeDocument/2006/relationships/hyperlink" Target="http://us-aus-rtweb1.natinst.com/Reports/RT/2020/performance/pharlap/rtperf-8108/sp_online_poll_nosmp/2019-12-31_13-52-47/HTML/2019-12-31_13-58-59_SinglePointBenchmarks_ATS.html" TargetMode="External"/><Relationship Id="rId5" Type="http://schemas.openxmlformats.org/officeDocument/2006/relationships/hyperlink" Target="http://us-aus-rtweb1.natinst.com/Reports/RT/2020/performance/pharlap/rtperf-8108/sp_online_poll_nosmp/2019-12-09_16-12-41/HTML/2019-12-09_16-19-14_SinglePointBenchmarks_ATS.html" TargetMode="External"/><Relationship Id="rId15" Type="http://schemas.openxmlformats.org/officeDocument/2006/relationships/printerSettings" Target="../printerSettings/printerSettings10.bin"/><Relationship Id="rId10" Type="http://schemas.openxmlformats.org/officeDocument/2006/relationships/hyperlink" Target="http://us-aus-rtweb1.natinst.com/Reports/RT/2020/performance/pharlap/rtperf-8108/sp_online_poll_smp/2019-12-20_07-02-39/HTML/2019-12-20_07-13-29_SinglePointBenchmarks_ATS.html" TargetMode="External"/><Relationship Id="rId4" Type="http://schemas.openxmlformats.org/officeDocument/2006/relationships/hyperlink" Target="http://us-aus-rtweb1.natinst.com/Reports/RT/2020/performance/pharlap/rtperf-8108/sp_online_poll_smp/2019-12-01_23-19-48/HTML/2019-12-01_23-29-18_SinglePointBenchmarks_ATS.html" TargetMode="External"/><Relationship Id="rId9" Type="http://schemas.openxmlformats.org/officeDocument/2006/relationships/hyperlink" Target="http://us-aus-rtweb1.natinst.com/Reports/RT/2020/performance/pharlap/rtperf-8108/sp_online_poll_nosmp/2019-12-20_15-51-36/HTML/2019-12-20_15-57-56_SinglePointBenchmarks_ATS.html" TargetMode="External"/><Relationship Id="rId14" Type="http://schemas.openxmlformats.org/officeDocument/2006/relationships/hyperlink" Target="http://us-aus-rtweb1.natinst.com/Reports/RT/2020/performance/pharlap/rtperf-8108/sp_online_poll_smp/2019-12-31_04-28-46/HTML/2019-12-31_04-38-25_SinglePointBenchmarks_AT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9"/>
  <sheetViews>
    <sheetView workbookViewId="0">
      <selection activeCell="E14" sqref="E14"/>
    </sheetView>
  </sheetViews>
  <sheetFormatPr defaultRowHeight="15" x14ac:dyDescent="0.25"/>
  <sheetData>
    <row r="2" spans="1:12" ht="18.75" x14ac:dyDescent="0.3">
      <c r="A2" s="75" t="s">
        <v>0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</row>
    <row r="3" spans="1:12" ht="18.75" x14ac:dyDescent="0.3">
      <c r="A3" s="76" t="s">
        <v>1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</row>
    <row r="4" spans="1:12" x14ac:dyDescent="0.25">
      <c r="A4" s="1" t="s">
        <v>2</v>
      </c>
      <c r="B4" s="1" t="s">
        <v>3</v>
      </c>
      <c r="C4" s="1" t="s">
        <v>4</v>
      </c>
      <c r="D4" s="3" t="s">
        <v>16</v>
      </c>
      <c r="E4" s="3"/>
      <c r="F4" s="3"/>
      <c r="G4" s="3" t="s">
        <v>17</v>
      </c>
      <c r="H4" s="3"/>
      <c r="I4" s="3"/>
      <c r="J4" s="3" t="s">
        <v>18</v>
      </c>
      <c r="K4" s="1"/>
      <c r="L4" s="1"/>
    </row>
    <row r="5" spans="1:12" x14ac:dyDescent="0.25">
      <c r="A5" s="1" t="s">
        <v>5</v>
      </c>
      <c r="B5" s="1" t="s">
        <v>6</v>
      </c>
      <c r="C5" s="1" t="s">
        <v>7</v>
      </c>
      <c r="D5" s="1">
        <v>94800</v>
      </c>
      <c r="E5" s="1"/>
      <c r="F5" s="1"/>
      <c r="G5" s="2">
        <v>61900</v>
      </c>
      <c r="H5" s="1"/>
      <c r="I5" s="1"/>
      <c r="J5" s="2">
        <v>29200</v>
      </c>
      <c r="K5" s="1"/>
      <c r="L5" s="1"/>
    </row>
    <row r="6" spans="1:12" x14ac:dyDescent="0.25">
      <c r="A6" s="1" t="s">
        <v>8</v>
      </c>
      <c r="B6" s="1" t="s">
        <v>9</v>
      </c>
      <c r="C6" s="1" t="s">
        <v>7</v>
      </c>
      <c r="D6" s="1">
        <v>89700</v>
      </c>
      <c r="E6" s="1"/>
      <c r="F6" s="1"/>
      <c r="G6" s="1">
        <v>54600</v>
      </c>
      <c r="H6" s="1"/>
      <c r="I6" s="1"/>
      <c r="J6" s="2">
        <v>26400</v>
      </c>
      <c r="K6" s="1"/>
      <c r="L6" s="1"/>
    </row>
    <row r="7" spans="1:12" x14ac:dyDescent="0.25">
      <c r="A7" s="1" t="s">
        <v>10</v>
      </c>
      <c r="B7" s="1" t="s">
        <v>9</v>
      </c>
      <c r="C7" s="1" t="s">
        <v>11</v>
      </c>
      <c r="D7" s="1">
        <v>39400</v>
      </c>
      <c r="E7" s="1"/>
      <c r="F7" s="1"/>
      <c r="G7" s="1">
        <v>24400</v>
      </c>
      <c r="H7" s="1"/>
      <c r="I7" s="1"/>
      <c r="J7" s="1">
        <v>16900</v>
      </c>
      <c r="K7" s="1"/>
      <c r="L7" s="1"/>
    </row>
    <row r="8" spans="1:12" x14ac:dyDescent="0.25">
      <c r="A8" s="1" t="s">
        <v>12</v>
      </c>
      <c r="B8" s="1" t="s">
        <v>13</v>
      </c>
      <c r="C8" s="1" t="s">
        <v>11</v>
      </c>
      <c r="D8" s="2">
        <v>30700</v>
      </c>
      <c r="E8" s="2"/>
      <c r="F8" s="1"/>
      <c r="G8" s="2">
        <v>21000</v>
      </c>
      <c r="H8" s="1"/>
      <c r="I8" s="2"/>
      <c r="J8" s="2">
        <v>14300</v>
      </c>
      <c r="K8" s="1"/>
      <c r="L8" s="1"/>
    </row>
    <row r="9" spans="1:12" x14ac:dyDescent="0.25">
      <c r="A9" s="1" t="s">
        <v>14</v>
      </c>
      <c r="B9" s="1" t="s">
        <v>15</v>
      </c>
      <c r="C9" s="1" t="s">
        <v>11</v>
      </c>
      <c r="D9" s="2">
        <v>36200</v>
      </c>
      <c r="E9" s="1"/>
      <c r="F9" s="1"/>
      <c r="G9" s="2">
        <v>24300</v>
      </c>
      <c r="H9" s="1"/>
      <c r="I9" s="2"/>
      <c r="J9" s="2">
        <v>16300</v>
      </c>
      <c r="K9" s="1"/>
      <c r="L9" s="1"/>
    </row>
  </sheetData>
  <mergeCells count="2">
    <mergeCell ref="A2:L2"/>
    <mergeCell ref="A3:L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9"/>
  <sheetViews>
    <sheetView workbookViewId="0">
      <selection activeCell="F5" sqref="F5"/>
    </sheetView>
  </sheetViews>
  <sheetFormatPr defaultRowHeight="15" x14ac:dyDescent="0.25"/>
  <sheetData>
    <row r="2" spans="1:12" ht="18.75" x14ac:dyDescent="0.3">
      <c r="A2" s="75" t="s">
        <v>19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</row>
    <row r="3" spans="1:12" ht="18.75" x14ac:dyDescent="0.3">
      <c r="A3" s="76" t="s">
        <v>20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</row>
    <row r="4" spans="1:12" ht="45" x14ac:dyDescent="0.25">
      <c r="A4" s="1" t="s">
        <v>2</v>
      </c>
      <c r="B4" s="1" t="s">
        <v>3</v>
      </c>
      <c r="C4" s="1" t="s">
        <v>4</v>
      </c>
      <c r="D4" s="4" t="s">
        <v>21</v>
      </c>
      <c r="E4" s="4" t="s">
        <v>25</v>
      </c>
      <c r="F4" s="4" t="s">
        <v>22</v>
      </c>
      <c r="G4" s="4" t="s">
        <v>23</v>
      </c>
      <c r="H4" s="4" t="s">
        <v>25</v>
      </c>
      <c r="I4" s="4" t="s">
        <v>22</v>
      </c>
      <c r="J4" s="4" t="s">
        <v>24</v>
      </c>
      <c r="K4" s="4" t="s">
        <v>25</v>
      </c>
      <c r="L4" s="4" t="s">
        <v>22</v>
      </c>
    </row>
    <row r="5" spans="1:12" x14ac:dyDescent="0.25">
      <c r="A5" s="1" t="s">
        <v>5</v>
      </c>
      <c r="B5" s="1" t="s">
        <v>6</v>
      </c>
      <c r="C5" s="1" t="s">
        <v>7</v>
      </c>
      <c r="D5" s="1">
        <v>94800</v>
      </c>
      <c r="E5" s="5">
        <f>(D5-'8.2'!D5)/'8.2'!D5</f>
        <v>0</v>
      </c>
      <c r="F5" s="6">
        <f>(1/D5-1/'8.2'!D5)*1000000</f>
        <v>0</v>
      </c>
      <c r="G5" s="2">
        <v>59900</v>
      </c>
      <c r="H5" s="5">
        <f>(G5-'8.2'!G5)/'8.2'!G5</f>
        <v>-3.2310177705977383E-2</v>
      </c>
      <c r="I5" s="6">
        <f>(1/G5-1/'8.2'!G5)*1000000</f>
        <v>0.53940196504136029</v>
      </c>
      <c r="J5" s="2">
        <v>28300</v>
      </c>
      <c r="K5" s="5">
        <f>(J5-'8.2'!J5)/'8.2'!J5</f>
        <v>-3.0821917808219176E-2</v>
      </c>
      <c r="L5" s="6">
        <f>(1/J5-1/'8.2'!J5)*1000000</f>
        <v>1.089113703470646</v>
      </c>
    </row>
    <row r="6" spans="1:12" x14ac:dyDescent="0.25">
      <c r="A6" s="1" t="s">
        <v>8</v>
      </c>
      <c r="B6" s="1" t="s">
        <v>9</v>
      </c>
      <c r="C6" s="1" t="s">
        <v>7</v>
      </c>
      <c r="D6" s="2">
        <v>92165</v>
      </c>
      <c r="E6" s="5">
        <f>(D6-'8.2'!D6)/'8.2'!D6</f>
        <v>2.7480490523968785E-2</v>
      </c>
      <c r="F6" s="6">
        <f>(1/D6-1/'8.2'!D6)*1000000</f>
        <v>-0.29816622930579684</v>
      </c>
      <c r="G6" s="2">
        <v>54800</v>
      </c>
      <c r="H6" s="5">
        <f>(G6-'8.2'!G6)/'8.2'!G6</f>
        <v>3.663003663003663E-3</v>
      </c>
      <c r="I6" s="6">
        <f>(1/G6-1/'8.2'!G6)*1000000</f>
        <v>-6.6843132536561614E-2</v>
      </c>
      <c r="J6" s="2">
        <v>26400</v>
      </c>
      <c r="K6" s="5">
        <f>(J6-'8.2'!J6)/'8.2'!J6</f>
        <v>0</v>
      </c>
      <c r="L6" s="6">
        <f>(1/J6-1/'8.2'!J6)*1000000</f>
        <v>0</v>
      </c>
    </row>
    <row r="7" spans="1:12" x14ac:dyDescent="0.25">
      <c r="A7" s="1" t="s">
        <v>10</v>
      </c>
      <c r="B7" s="1" t="s">
        <v>9</v>
      </c>
      <c r="C7" s="1" t="s">
        <v>11</v>
      </c>
      <c r="D7" s="2">
        <v>39500</v>
      </c>
      <c r="E7" s="5">
        <f>(D7-'8.2'!D7)/'8.2'!D7</f>
        <v>2.5380710659898475E-3</v>
      </c>
      <c r="F7" s="6">
        <f>(1/D7-1/'8.2'!D7)*1000000</f>
        <v>-6.425496369594319E-2</v>
      </c>
      <c r="G7" s="2">
        <v>24500</v>
      </c>
      <c r="H7" s="5">
        <f>(G7-'8.2'!G7)/'8.2'!G7</f>
        <v>4.0983606557377051E-3</v>
      </c>
      <c r="I7" s="6">
        <f>(1/G7-1/'8.2'!G7)*1000000</f>
        <v>-0.16728002676480408</v>
      </c>
      <c r="J7" s="2">
        <v>16200</v>
      </c>
      <c r="K7" s="5">
        <f>(J7-'8.2'!J7)/'8.2'!J7</f>
        <v>-4.142011834319527E-2</v>
      </c>
      <c r="L7" s="6">
        <f>(1/J7-1/'8.2'!J7)*1000000</f>
        <v>2.5567974285923025</v>
      </c>
    </row>
    <row r="8" spans="1:12" x14ac:dyDescent="0.25">
      <c r="A8" s="1" t="s">
        <v>12</v>
      </c>
      <c r="B8" s="1" t="s">
        <v>13</v>
      </c>
      <c r="C8" s="1" t="s">
        <v>11</v>
      </c>
      <c r="D8" s="2">
        <v>31200</v>
      </c>
      <c r="E8" s="5">
        <f>(D8-'8.2'!D8)/'8.2'!D8</f>
        <v>1.6286644951140065E-2</v>
      </c>
      <c r="F8" s="6">
        <f>(1/D8-1/'8.2'!D8)*1000000</f>
        <v>-0.52200785099807645</v>
      </c>
      <c r="G8" s="2">
        <v>20800</v>
      </c>
      <c r="H8" s="5">
        <f>(G8-'8.2'!G8)/'8.2'!G8</f>
        <v>-9.5238095238095247E-3</v>
      </c>
      <c r="I8" s="6">
        <f>(1/G8-1/'8.2'!G8)*1000000</f>
        <v>0.45787545787545653</v>
      </c>
      <c r="J8" s="2">
        <v>14200</v>
      </c>
      <c r="K8" s="5">
        <f>(J8-'8.2'!J8)/'8.2'!J8</f>
        <v>-6.993006993006993E-3</v>
      </c>
      <c r="L8" s="6">
        <f>(1/J8-1/'8.2'!J8)*1000000</f>
        <v>0.49246528119767941</v>
      </c>
    </row>
    <row r="9" spans="1:12" x14ac:dyDescent="0.25">
      <c r="A9" s="1" t="s">
        <v>14</v>
      </c>
      <c r="B9" s="1" t="s">
        <v>15</v>
      </c>
      <c r="C9" s="1" t="s">
        <v>11</v>
      </c>
      <c r="D9" s="2">
        <v>36443</v>
      </c>
      <c r="E9" s="5">
        <f>(D9-'8.2'!D9)/'8.2'!D9</f>
        <v>6.7127071823204418E-3</v>
      </c>
      <c r="F9" s="6">
        <f>(1/D9-1/'8.2'!D9)*1000000</f>
        <v>-0.18419743660841389</v>
      </c>
      <c r="G9" s="2">
        <v>23496</v>
      </c>
      <c r="H9" s="5">
        <f>(G9-'8.2'!G9)/'8.2'!G9</f>
        <v>-3.3086419753086418E-2</v>
      </c>
      <c r="I9" s="6">
        <f>(1/G9-1/'8.2'!G9)*1000000</f>
        <v>1.4081724443771819</v>
      </c>
      <c r="J9" s="2">
        <v>15313</v>
      </c>
      <c r="K9" s="5">
        <f>(J9-'8.2'!J9)/'8.2'!J9</f>
        <v>-6.0552147239263804E-2</v>
      </c>
      <c r="L9" s="6">
        <f>(1/J9-1/'8.2'!J9)*1000000</f>
        <v>3.9542968222597605</v>
      </c>
    </row>
  </sheetData>
  <mergeCells count="2">
    <mergeCell ref="A2:L2"/>
    <mergeCell ref="A3:L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L94"/>
  <sheetViews>
    <sheetView topLeftCell="A64" workbookViewId="0">
      <selection activeCell="C72" sqref="C72"/>
    </sheetView>
  </sheetViews>
  <sheetFormatPr defaultRowHeight="15" x14ac:dyDescent="0.25"/>
  <cols>
    <col min="3" max="3" width="9.85546875" bestFit="1" customWidth="1"/>
  </cols>
  <sheetData>
    <row r="2" spans="1:12" ht="18.75" x14ac:dyDescent="0.3">
      <c r="A2" s="75" t="s">
        <v>26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</row>
    <row r="3" spans="1:12" ht="18.75" x14ac:dyDescent="0.3">
      <c r="A3" s="76" t="s">
        <v>27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</row>
    <row r="4" spans="1:12" ht="45" x14ac:dyDescent="0.25">
      <c r="A4" s="1" t="s">
        <v>2</v>
      </c>
      <c r="B4" s="1" t="s">
        <v>3</v>
      </c>
      <c r="C4" s="1" t="s">
        <v>4</v>
      </c>
      <c r="D4" s="4" t="s">
        <v>21</v>
      </c>
      <c r="E4" s="4" t="s">
        <v>28</v>
      </c>
      <c r="F4" s="4" t="s">
        <v>22</v>
      </c>
      <c r="G4" s="4" t="s">
        <v>23</v>
      </c>
      <c r="H4" s="4" t="s">
        <v>28</v>
      </c>
      <c r="I4" s="4" t="s">
        <v>22</v>
      </c>
      <c r="J4" s="4" t="s">
        <v>24</v>
      </c>
      <c r="K4" s="4" t="s">
        <v>28</v>
      </c>
      <c r="L4" s="4" t="s">
        <v>22</v>
      </c>
    </row>
    <row r="5" spans="1:12" x14ac:dyDescent="0.25">
      <c r="A5" s="1" t="s">
        <v>5</v>
      </c>
      <c r="B5" s="1" t="s">
        <v>6</v>
      </c>
      <c r="C5" s="1" t="s">
        <v>7</v>
      </c>
      <c r="D5" s="1">
        <v>145985</v>
      </c>
      <c r="E5" s="5">
        <f>(D5-'8.6'!D5)/'8.6'!D5</f>
        <v>0.5399261603375527</v>
      </c>
      <c r="F5" s="6">
        <f>(1/D5-1/'8.6'!D5)*1000000</f>
        <v>-3.6985043691992514</v>
      </c>
      <c r="G5" s="2">
        <v>77220</v>
      </c>
      <c r="H5" s="5">
        <f>(G5-'8.6'!G5)/'8.6'!G5</f>
        <v>0.28914858096828044</v>
      </c>
      <c r="I5" s="6">
        <f>(1/G5-1/'8.6'!G5)*1000000</f>
        <v>-3.7444778680171007</v>
      </c>
      <c r="J5" s="2">
        <v>32787</v>
      </c>
      <c r="K5" s="5">
        <f>(J5-'8.6'!J5)/'8.6'!J5</f>
        <v>0.15855123674911661</v>
      </c>
      <c r="L5" s="6">
        <f>(1/J5-1/'8.6'!J5)*1000000</f>
        <v>-4.8357957955627713</v>
      </c>
    </row>
    <row r="6" spans="1:12" x14ac:dyDescent="0.25">
      <c r="A6" s="1" t="s">
        <v>8</v>
      </c>
      <c r="B6" s="1" t="s">
        <v>9</v>
      </c>
      <c r="C6" s="1" t="s">
        <v>7</v>
      </c>
      <c r="D6" s="2">
        <v>136986</v>
      </c>
      <c r="E6" s="5">
        <f>(D6-'8.6'!D6)/'8.6'!D6</f>
        <v>0.48631259154776757</v>
      </c>
      <c r="F6" s="6">
        <f>(1/D6-1/'8.6'!D6)*1000000</f>
        <v>-3.5500897284961055</v>
      </c>
      <c r="G6" s="2">
        <v>69930</v>
      </c>
      <c r="H6" s="5">
        <f>(G6-'8.6'!G6)/'8.6'!G6</f>
        <v>0.27609489051094893</v>
      </c>
      <c r="I6" s="6">
        <f>(1/G6-1/'8.6'!G6)*1000000</f>
        <v>-3.9481608824674539</v>
      </c>
      <c r="J6" s="2">
        <v>30722</v>
      </c>
      <c r="K6" s="5">
        <f>(J6-'8.6'!J6)/'8.6'!J6</f>
        <v>0.16371212121212123</v>
      </c>
      <c r="L6" s="6">
        <f>(1/J6-1/'8.6'!J6)*1000000</f>
        <v>-5.3288236837484932</v>
      </c>
    </row>
    <row r="7" spans="1:12" x14ac:dyDescent="0.25">
      <c r="A7" s="1" t="s">
        <v>10</v>
      </c>
      <c r="B7" s="1" t="s">
        <v>9</v>
      </c>
      <c r="C7" s="1" t="s">
        <v>11</v>
      </c>
      <c r="D7" s="2">
        <v>35088</v>
      </c>
      <c r="E7" s="5">
        <f>(D7-'8.6'!D7)/'8.6'!D7</f>
        <v>-0.11169620253164557</v>
      </c>
      <c r="F7" s="6">
        <f>(1/D7-1/'8.6'!D7)*1000000</f>
        <v>3.1833163056214517</v>
      </c>
      <c r="G7" s="2">
        <v>21231</v>
      </c>
      <c r="H7" s="5">
        <f>(G7-'8.6'!G7)/'8.6'!G7</f>
        <v>-0.13342857142857142</v>
      </c>
      <c r="I7" s="6">
        <f>(1/G7-1/'8.6'!G7)*1000000</f>
        <v>6.2846107780401939</v>
      </c>
      <c r="J7" s="2">
        <v>18365</v>
      </c>
      <c r="K7" s="5">
        <f>(J7-'8.6'!J7)/'8.6'!J7</f>
        <v>0.13364197530864197</v>
      </c>
      <c r="L7" s="6">
        <f>(1/J7-1/'8.6'!J7)*1000000</f>
        <v>-7.2769929381237137</v>
      </c>
    </row>
    <row r="8" spans="1:12" x14ac:dyDescent="0.25">
      <c r="A8" s="1" t="s">
        <v>12</v>
      </c>
      <c r="B8" s="1" t="s">
        <v>13</v>
      </c>
      <c r="C8" s="1" t="s">
        <v>11</v>
      </c>
      <c r="D8" s="2">
        <v>33003</v>
      </c>
      <c r="E8" s="5">
        <f>(D8-'8.6'!D8)/'8.6'!D8</f>
        <v>5.7788461538461539E-2</v>
      </c>
      <c r="F8" s="6">
        <f>(1/D8-1/'8.6'!D8)*1000000</f>
        <v>-1.7510063187728846</v>
      </c>
      <c r="G8" s="2">
        <v>19940</v>
      </c>
      <c r="H8" s="5">
        <f>(G8-'8.6'!G8)/'8.6'!G8</f>
        <v>-4.1346153846153845E-2</v>
      </c>
      <c r="I8" s="6">
        <f>(1/G8-1/'8.6'!G8)*1000000</f>
        <v>2.0735282771391073</v>
      </c>
      <c r="J8" s="2">
        <v>18993</v>
      </c>
      <c r="K8" s="5">
        <f>(J8-'8.6'!J8)/'8.6'!J8</f>
        <v>0.33753521126760566</v>
      </c>
      <c r="L8" s="6">
        <f>(1/J8-1/'8.6'!J8)*1000000</f>
        <v>-17.771558535650275</v>
      </c>
    </row>
    <row r="9" spans="1:12" x14ac:dyDescent="0.25">
      <c r="A9" s="1" t="s">
        <v>14</v>
      </c>
      <c r="B9" s="1" t="s">
        <v>15</v>
      </c>
      <c r="C9" s="1" t="s">
        <v>11</v>
      </c>
      <c r="D9" s="2">
        <v>30817</v>
      </c>
      <c r="E9" s="5">
        <f>(D9-'8.6'!D9)/'8.6'!D9</f>
        <v>-0.15437806986252503</v>
      </c>
      <c r="F9" s="6">
        <f>(1/D9-1/'8.6'!D9)*1000000</f>
        <v>5.0095100062473668</v>
      </c>
      <c r="G9" s="2">
        <v>10106</v>
      </c>
      <c r="H9" s="5">
        <f>(G9-'8.6'!G9)/'8.6'!G9</f>
        <v>-0.56988423561457269</v>
      </c>
      <c r="I9" s="6">
        <f>(1/G9-1/'8.6'!G9)*1000000</f>
        <v>56.390682328772279</v>
      </c>
      <c r="J9" s="2">
        <v>8234</v>
      </c>
      <c r="K9" s="5">
        <f>(J9-'8.6'!J9)/'8.6'!J9</f>
        <v>-0.46228694573238427</v>
      </c>
      <c r="L9" s="6">
        <f>(1/J9-1/'8.6'!J9)*1000000</f>
        <v>56.143665986444532</v>
      </c>
    </row>
    <row r="10" spans="1:12" x14ac:dyDescent="0.25">
      <c r="B10" s="7"/>
      <c r="C10" s="7"/>
      <c r="D10" s="7"/>
      <c r="E10" s="7"/>
      <c r="F10" s="7"/>
      <c r="G10" s="8" t="s">
        <v>29</v>
      </c>
      <c r="H10" s="7"/>
      <c r="I10" s="7"/>
      <c r="J10" s="8" t="s">
        <v>30</v>
      </c>
      <c r="L10" s="7"/>
    </row>
    <row r="11" spans="1:12" ht="18.75" x14ac:dyDescent="0.3">
      <c r="A11" s="75" t="s">
        <v>26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</row>
    <row r="12" spans="1:12" ht="18.75" x14ac:dyDescent="0.3">
      <c r="A12" s="76" t="s">
        <v>31</v>
      </c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</row>
    <row r="13" spans="1:12" ht="45" x14ac:dyDescent="0.25">
      <c r="A13" s="1" t="s">
        <v>2</v>
      </c>
      <c r="B13" s="1" t="s">
        <v>3</v>
      </c>
      <c r="C13" s="1" t="s">
        <v>4</v>
      </c>
      <c r="D13" s="4" t="s">
        <v>21</v>
      </c>
      <c r="E13" s="4" t="s">
        <v>28</v>
      </c>
      <c r="F13" s="4" t="s">
        <v>22</v>
      </c>
      <c r="G13" s="4" t="s">
        <v>23</v>
      </c>
      <c r="H13" s="4" t="s">
        <v>28</v>
      </c>
      <c r="I13" s="4" t="s">
        <v>22</v>
      </c>
      <c r="J13" s="4" t="s">
        <v>24</v>
      </c>
      <c r="K13" s="4" t="s">
        <v>28</v>
      </c>
      <c r="L13" s="4" t="s">
        <v>22</v>
      </c>
    </row>
    <row r="14" spans="1:12" x14ac:dyDescent="0.25">
      <c r="A14" s="1" t="s">
        <v>5</v>
      </c>
      <c r="B14" s="1" t="s">
        <v>6</v>
      </c>
      <c r="C14" s="1" t="s">
        <v>7</v>
      </c>
      <c r="D14" s="1">
        <v>91324</v>
      </c>
      <c r="E14" s="5">
        <f>(D14-'8.6'!D5)/'8.6'!D5</f>
        <v>-3.6666666666666667E-2</v>
      </c>
      <c r="F14" s="6">
        <f>(1/D14-1/'8.6'!D5)*1000000</f>
        <v>0.40150088330194378</v>
      </c>
      <c r="G14" s="2">
        <v>62500</v>
      </c>
      <c r="H14" s="5">
        <f>(G14-'8.6'!G5)/'8.6'!G5</f>
        <v>4.340567612687813E-2</v>
      </c>
      <c r="I14" s="6">
        <f>(1/G14-1/'8.6'!G5)*1000000</f>
        <v>-0.69449081803005208</v>
      </c>
      <c r="J14" s="2">
        <v>30166</v>
      </c>
      <c r="K14" s="5">
        <f>(J14-'8.6'!J5)/'8.6'!J5</f>
        <v>6.5936395759717312E-2</v>
      </c>
      <c r="L14" s="6">
        <f>(1/J14-1/'8.6'!J5)*1000000</f>
        <v>-2.1857851806576072</v>
      </c>
    </row>
    <row r="15" spans="1:12" x14ac:dyDescent="0.25">
      <c r="A15" s="1" t="s">
        <v>8</v>
      </c>
      <c r="B15" s="1" t="s">
        <v>9</v>
      </c>
      <c r="C15" s="1" t="s">
        <v>7</v>
      </c>
      <c r="D15" s="2">
        <v>86207</v>
      </c>
      <c r="E15" s="5">
        <f>(D15-'8.6'!D6)/'8.6'!D6</f>
        <v>-6.4644930288070307E-2</v>
      </c>
      <c r="F15" s="6">
        <f>(1/D15-1/'8.6'!D6)*1000000</f>
        <v>0.7498802914852668</v>
      </c>
      <c r="G15" s="2">
        <v>53619</v>
      </c>
      <c r="H15" s="5">
        <f>(G15-'8.6'!G6)/'8.6'!G6</f>
        <v>-2.155109489051095E-2</v>
      </c>
      <c r="I15" s="6">
        <f>(1/G15-1/'8.6'!G6)*1000000</f>
        <v>0.4019301906136033</v>
      </c>
      <c r="J15" s="2">
        <v>27322</v>
      </c>
      <c r="K15" s="5">
        <f>(J15-'8.6'!J6)/'8.6'!J6</f>
        <v>3.4924242424242427E-2</v>
      </c>
      <c r="L15" s="6">
        <f>(1/J15-1/'8.6'!J6)*1000000</f>
        <v>-1.2782461907708982</v>
      </c>
    </row>
    <row r="16" spans="1:12" x14ac:dyDescent="0.25">
      <c r="A16" s="1" t="s">
        <v>10</v>
      </c>
      <c r="B16" s="1" t="s">
        <v>9</v>
      </c>
      <c r="C16" s="1" t="s">
        <v>11</v>
      </c>
      <c r="D16" s="2">
        <v>27322</v>
      </c>
      <c r="E16" s="5">
        <f>(D16-'8.6'!D7)/'8.6'!D7</f>
        <v>-0.30830379746835446</v>
      </c>
      <c r="F16" s="6">
        <f>(1/D16-1/'8.6'!D7)*1000000</f>
        <v>11.284085991814447</v>
      </c>
      <c r="G16" s="2">
        <v>23557</v>
      </c>
      <c r="H16" s="5">
        <f>(G16-'8.6'!G7)/'8.6'!G7</f>
        <v>-3.8489795918367348E-2</v>
      </c>
      <c r="I16" s="6">
        <f>(1/G16-1/'8.6'!G7)*1000000</f>
        <v>1.63390057810279</v>
      </c>
      <c r="J16" s="2">
        <v>14085</v>
      </c>
      <c r="K16" s="5">
        <f>(J16-'8.6'!J7)/'8.6'!J7</f>
        <v>-0.13055555555555556</v>
      </c>
      <c r="L16" s="6">
        <f>(1/J16-1/'8.6'!J7)*1000000</f>
        <v>9.2691200252435646</v>
      </c>
    </row>
    <row r="17" spans="1:12" x14ac:dyDescent="0.25">
      <c r="A17" s="1" t="s">
        <v>12</v>
      </c>
      <c r="B17" s="1" t="s">
        <v>13</v>
      </c>
      <c r="C17" s="1" t="s">
        <v>11</v>
      </c>
      <c r="D17" s="2">
        <v>73801</v>
      </c>
      <c r="E17" s="5">
        <f>(D17-'8.6'!D8)/'8.6'!D8</f>
        <v>1.3654166666666667</v>
      </c>
      <c r="F17" s="6">
        <f>(1/D17-1/'8.6'!D8)*1000000</f>
        <v>-18.501330153611288</v>
      </c>
      <c r="G17" s="2">
        <v>31898</v>
      </c>
      <c r="H17" s="5">
        <f>(G17-'8.6'!G8)/'8.6'!G8</f>
        <v>0.53355769230769234</v>
      </c>
      <c r="I17" s="6">
        <f>(1/G17-1/'8.6'!G8)*1000000</f>
        <v>-16.726995181757236</v>
      </c>
      <c r="J17" s="2">
        <v>8032</v>
      </c>
      <c r="K17" s="5">
        <f>(J17-'8.6'!J8)/'8.6'!J8</f>
        <v>-0.4343661971830986</v>
      </c>
      <c r="L17" s="6">
        <f>(1/J17-1/'8.6'!J8)*1000000</f>
        <v>54.079456820604896</v>
      </c>
    </row>
    <row r="18" spans="1:12" x14ac:dyDescent="0.25">
      <c r="A18" s="1" t="s">
        <v>14</v>
      </c>
      <c r="B18" s="1" t="s">
        <v>15</v>
      </c>
      <c r="C18" s="1" t="s">
        <v>11</v>
      </c>
      <c r="D18" s="2">
        <v>82644</v>
      </c>
      <c r="E18" s="5">
        <f>(D18-'8.6'!D9)/'8.6'!D9</f>
        <v>1.2677606124632987</v>
      </c>
      <c r="F18" s="6">
        <f>(1/D18-1/'8.6'!D9)*1000000</f>
        <v>-15.340019994957878</v>
      </c>
      <c r="G18" s="2">
        <v>51282</v>
      </c>
      <c r="H18" s="5">
        <f>(G18-'8.6'!G9)/'8.6'!G9</f>
        <v>1.1825842696629214</v>
      </c>
      <c r="I18" s="6">
        <f>(1/G18-1/'8.6'!G9)*1000000</f>
        <v>-23.060416318843284</v>
      </c>
      <c r="J18" s="2">
        <v>20387</v>
      </c>
      <c r="K18" s="5">
        <f>(J18-'8.6'!J9)/'8.6'!J9</f>
        <v>0.33135244563442828</v>
      </c>
      <c r="L18" s="6">
        <f>(1/J18-1/'8.6'!J9)*1000000</f>
        <v>-16.253124326013054</v>
      </c>
    </row>
    <row r="20" spans="1:12" ht="18.75" x14ac:dyDescent="0.3">
      <c r="A20" s="75" t="s">
        <v>26</v>
      </c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</row>
    <row r="21" spans="1:12" ht="18.75" x14ac:dyDescent="0.3">
      <c r="A21" s="76" t="s">
        <v>32</v>
      </c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</row>
    <row r="22" spans="1:12" ht="45" x14ac:dyDescent="0.25">
      <c r="A22" s="1" t="s">
        <v>2</v>
      </c>
      <c r="B22" s="1" t="s">
        <v>3</v>
      </c>
      <c r="C22" s="1" t="s">
        <v>4</v>
      </c>
      <c r="D22" s="4" t="s">
        <v>21</v>
      </c>
      <c r="E22" s="4" t="s">
        <v>33</v>
      </c>
      <c r="F22" s="4" t="s">
        <v>22</v>
      </c>
      <c r="G22" s="4" t="s">
        <v>23</v>
      </c>
      <c r="H22" s="4" t="s">
        <v>33</v>
      </c>
      <c r="I22" s="4" t="s">
        <v>22</v>
      </c>
      <c r="J22" s="4" t="s">
        <v>24</v>
      </c>
      <c r="K22" s="4" t="s">
        <v>33</v>
      </c>
      <c r="L22" s="4" t="s">
        <v>22</v>
      </c>
    </row>
    <row r="23" spans="1:12" x14ac:dyDescent="0.25">
      <c r="A23" s="1" t="s">
        <v>5</v>
      </c>
      <c r="B23" s="1" t="s">
        <v>6</v>
      </c>
      <c r="C23" s="1" t="s">
        <v>7</v>
      </c>
      <c r="D23" s="1">
        <v>144928</v>
      </c>
      <c r="E23" s="5">
        <f>(D23-D5)/D5</f>
        <v>-7.2404699112922563E-3</v>
      </c>
      <c r="F23" s="6">
        <f>(1/D23-1/D5)*1000000</f>
        <v>4.9959082518852532E-2</v>
      </c>
      <c r="G23" s="2">
        <v>80000</v>
      </c>
      <c r="H23" s="5">
        <f>(G23-G5)/G5</f>
        <v>3.6001036001035998E-2</v>
      </c>
      <c r="I23" s="6">
        <f>(1/G23-1/G5)*1000000</f>
        <v>-0.45001295001294994</v>
      </c>
      <c r="J23" s="2">
        <v>32415</v>
      </c>
      <c r="K23" s="5">
        <f>(J23-J5)/J5</f>
        <v>-1.1345960289138987E-2</v>
      </c>
      <c r="L23" s="6">
        <f>(1/J23-1/J5)*1000000</f>
        <v>0.35002191235967806</v>
      </c>
    </row>
    <row r="24" spans="1:12" x14ac:dyDescent="0.25">
      <c r="A24" s="1" t="s">
        <v>8</v>
      </c>
      <c r="B24" s="1" t="s">
        <v>9</v>
      </c>
      <c r="C24" s="1" t="s">
        <v>7</v>
      </c>
      <c r="D24" s="2">
        <v>135135</v>
      </c>
      <c r="E24" s="5">
        <f>(D24-D6)/D6</f>
        <v>-1.35123297271254E-2</v>
      </c>
      <c r="F24" s="6">
        <f>(1/D24-1/D6)*1000000</f>
        <v>9.9991339972067633E-2</v>
      </c>
      <c r="G24" s="2">
        <v>70423</v>
      </c>
      <c r="H24" s="5">
        <f>(G24-G6)/G6</f>
        <v>7.0499070499070501E-3</v>
      </c>
      <c r="I24" s="6">
        <f>(1/G24-1/G6)*1000000</f>
        <v>-0.10010801939575124</v>
      </c>
      <c r="J24" s="2">
        <v>30722</v>
      </c>
      <c r="K24" s="5">
        <f>(J24-J6)/J6</f>
        <v>0</v>
      </c>
      <c r="L24" s="6">
        <f>(1/J24-1/J6)*1000000</f>
        <v>0</v>
      </c>
    </row>
    <row r="25" spans="1:12" x14ac:dyDescent="0.25">
      <c r="A25" s="1" t="s">
        <v>10</v>
      </c>
      <c r="B25" s="1" t="s">
        <v>9</v>
      </c>
      <c r="C25" s="1" t="s">
        <v>11</v>
      </c>
      <c r="D25" s="2">
        <v>34542</v>
      </c>
      <c r="E25" s="5">
        <f>(D25-D7)/D7</f>
        <v>-1.5560875512995896E-2</v>
      </c>
      <c r="F25" s="6">
        <f>(1/D25-1/D7)*1000000</f>
        <v>0.45049144557338494</v>
      </c>
      <c r="G25" s="2">
        <v>21231</v>
      </c>
      <c r="H25" s="5">
        <f>(G25-G7)/G7</f>
        <v>0</v>
      </c>
      <c r="I25" s="6">
        <f>(1/G25-1/G7)*1000000</f>
        <v>0</v>
      </c>
      <c r="J25" s="2">
        <v>18365</v>
      </c>
      <c r="K25" s="5">
        <f>(J25-J7)/J7</f>
        <v>0</v>
      </c>
      <c r="L25" s="6">
        <f>(1/J25-1/J7)*1000000</f>
        <v>0</v>
      </c>
    </row>
    <row r="26" spans="1:12" x14ac:dyDescent="0.25">
      <c r="A26" s="1" t="s">
        <v>12</v>
      </c>
      <c r="B26" s="1" t="s">
        <v>13</v>
      </c>
      <c r="C26" s="1" t="s">
        <v>11</v>
      </c>
      <c r="D26" s="2">
        <v>33389</v>
      </c>
      <c r="E26" s="5">
        <f>(D26-D8)/D8</f>
        <v>1.1695906432748537E-2</v>
      </c>
      <c r="F26" s="6">
        <f>(1/D26-1/D8)*1000000</f>
        <v>-0.35029220500010699</v>
      </c>
      <c r="G26" s="2">
        <v>20284</v>
      </c>
      <c r="H26" s="5">
        <f>(G26-G8)/G8</f>
        <v>1.7251755265797392E-2</v>
      </c>
      <c r="I26" s="6">
        <f>(1/G26-1/G8)*1000000</f>
        <v>-0.85051051399118871</v>
      </c>
      <c r="J26" s="2">
        <v>18002</v>
      </c>
      <c r="K26" s="5">
        <f>(J26-J8)/J8</f>
        <v>-5.2177117885536778E-2</v>
      </c>
      <c r="L26" s="6">
        <f>(1/J26-1/J8)*1000000</f>
        <v>2.8984067262269084</v>
      </c>
    </row>
    <row r="27" spans="1:12" x14ac:dyDescent="0.25">
      <c r="A27" s="1" t="s">
        <v>14</v>
      </c>
      <c r="B27" s="1" t="s">
        <v>15</v>
      </c>
      <c r="C27" s="1" t="s">
        <v>11</v>
      </c>
      <c r="D27" s="2">
        <v>31447</v>
      </c>
      <c r="E27" s="5">
        <f>(D27-D9)/D9</f>
        <v>2.0443261835999611E-2</v>
      </c>
      <c r="F27" s="6">
        <f>(1/D27-1/D9)*1000000</f>
        <v>-0.65008623512575903</v>
      </c>
      <c r="G27" s="2">
        <v>20284</v>
      </c>
      <c r="H27" s="5">
        <f>(G27-G9)/G9</f>
        <v>1.0071244805066297</v>
      </c>
      <c r="I27" s="6">
        <f>(1/G27-1/G9)*1000000</f>
        <v>-49.651177307564069</v>
      </c>
      <c r="J27" s="2">
        <v>17652</v>
      </c>
      <c r="K27" s="5">
        <f>(J27-J9)/J9</f>
        <v>1.1437940247753218</v>
      </c>
      <c r="L27" s="6">
        <f>(1/J27-1/J9)*1000000</f>
        <v>-64.796851618814969</v>
      </c>
    </row>
    <row r="29" spans="1:12" ht="18.75" x14ac:dyDescent="0.3">
      <c r="A29" s="75" t="s">
        <v>26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</row>
    <row r="30" spans="1:12" ht="18.75" x14ac:dyDescent="0.3">
      <c r="A30" s="76" t="s">
        <v>34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</row>
    <row r="31" spans="1:12" ht="45" x14ac:dyDescent="0.25">
      <c r="A31" s="1" t="s">
        <v>2</v>
      </c>
      <c r="B31" s="1" t="s">
        <v>3</v>
      </c>
      <c r="C31" s="1" t="s">
        <v>4</v>
      </c>
      <c r="D31" s="4" t="s">
        <v>21</v>
      </c>
      <c r="E31" s="4" t="s">
        <v>33</v>
      </c>
      <c r="F31" s="4" t="s">
        <v>22</v>
      </c>
      <c r="G31" s="4" t="s">
        <v>23</v>
      </c>
      <c r="H31" s="4" t="s">
        <v>33</v>
      </c>
      <c r="I31" s="4" t="s">
        <v>22</v>
      </c>
      <c r="J31" s="4" t="s">
        <v>24</v>
      </c>
      <c r="K31" s="4" t="s">
        <v>33</v>
      </c>
      <c r="L31" s="4" t="s">
        <v>22</v>
      </c>
    </row>
    <row r="32" spans="1:12" x14ac:dyDescent="0.25">
      <c r="A32" s="1" t="s">
        <v>5</v>
      </c>
      <c r="B32" s="1" t="s">
        <v>6</v>
      </c>
      <c r="C32" s="1" t="s">
        <v>7</v>
      </c>
      <c r="D32" s="1">
        <v>94787</v>
      </c>
      <c r="E32" s="5">
        <f>(D32-D14)/D14</f>
        <v>3.7919933423853532E-2</v>
      </c>
      <c r="F32" s="6">
        <f>(1/D32-1/D14)*1000000</f>
        <v>-0.4000541574673066</v>
      </c>
      <c r="G32" s="2">
        <v>65147</v>
      </c>
      <c r="H32" s="5">
        <f>(G32-G14)/G14</f>
        <v>4.2352000000000001E-2</v>
      </c>
      <c r="I32" s="6">
        <f>(1/G32-1/G14)*1000000</f>
        <v>-0.65009900686140365</v>
      </c>
      <c r="J32" s="2">
        <v>30166</v>
      </c>
      <c r="K32" s="5">
        <f>(J32-J14)/J14</f>
        <v>0</v>
      </c>
      <c r="L32" s="6">
        <f>(1/J32-1/J14)*1000000</f>
        <v>0</v>
      </c>
    </row>
    <row r="33" spans="1:12" x14ac:dyDescent="0.25">
      <c r="A33" s="1" t="s">
        <v>8</v>
      </c>
      <c r="B33" s="1" t="s">
        <v>9</v>
      </c>
      <c r="C33" s="1" t="s">
        <v>7</v>
      </c>
      <c r="D33" s="2">
        <v>88496</v>
      </c>
      <c r="E33" s="5">
        <f>(D33-D15)/D15</f>
        <v>2.6552368137158236E-2</v>
      </c>
      <c r="F33" s="6">
        <f>(1/D33-1/D15)*1000000</f>
        <v>-0.30004031975635376</v>
      </c>
      <c r="G33" s="2">
        <v>59880</v>
      </c>
      <c r="H33" s="5">
        <f>(G33-G15)/G15</f>
        <v>0.11676830974095004</v>
      </c>
      <c r="I33" s="6">
        <f>(1/G33-1/G15)*1000000</f>
        <v>-1.9500385728281557</v>
      </c>
      <c r="J33" s="2">
        <v>28209</v>
      </c>
      <c r="K33" s="5">
        <f>(J33-J15)/J15</f>
        <v>3.2464680477271066E-2</v>
      </c>
      <c r="L33" s="6">
        <f>(1/J33-1/J15)*1000000</f>
        <v>-1.1508625076135626</v>
      </c>
    </row>
    <row r="34" spans="1:12" x14ac:dyDescent="0.25">
      <c r="A34" s="1" t="s">
        <v>10</v>
      </c>
      <c r="B34" s="1" t="s">
        <v>9</v>
      </c>
      <c r="C34" s="1" t="s">
        <v>11</v>
      </c>
      <c r="D34" s="2">
        <v>27322</v>
      </c>
      <c r="E34" s="5">
        <f>(D34-D16)/D16</f>
        <v>0</v>
      </c>
      <c r="F34" s="6">
        <f>(1/D34-1/D16)*1000000</f>
        <v>0</v>
      </c>
      <c r="G34" s="2">
        <v>23337</v>
      </c>
      <c r="H34" s="5">
        <f>(G34-G16)/G16</f>
        <v>-9.3390499639173074E-3</v>
      </c>
      <c r="I34" s="6">
        <f>(1/G34-1/G16)*1000000</f>
        <v>0.40018211269303167</v>
      </c>
      <c r="J34" s="2">
        <v>14503</v>
      </c>
      <c r="K34" s="5">
        <f>(J34-J16)/J16</f>
        <v>2.9676961306354277E-2</v>
      </c>
      <c r="L34" s="6">
        <f>(1/J34-1/J16)*1000000</f>
        <v>-2.0462636217578738</v>
      </c>
    </row>
    <row r="35" spans="1:12" x14ac:dyDescent="0.25">
      <c r="A35" s="1" t="s">
        <v>12</v>
      </c>
      <c r="B35" s="1" t="s">
        <v>13</v>
      </c>
      <c r="C35" s="1" t="s">
        <v>11</v>
      </c>
      <c r="D35" s="2">
        <v>75472</v>
      </c>
      <c r="E35" s="5">
        <f>(D35-D17)/D17</f>
        <v>2.2641969621007844E-2</v>
      </c>
      <c r="F35" s="6">
        <f>(1/D35-1/D17)*1000000</f>
        <v>-0.30000489745876485</v>
      </c>
      <c r="G35" s="2">
        <v>31898</v>
      </c>
      <c r="H35" s="5">
        <f>(G35-G17)/G17</f>
        <v>0</v>
      </c>
      <c r="I35" s="6">
        <f>(1/G35-1/G17)*1000000</f>
        <v>0</v>
      </c>
      <c r="J35" s="2">
        <v>8032</v>
      </c>
      <c r="K35" s="5">
        <f>(J35-J17)/J17</f>
        <v>0</v>
      </c>
      <c r="L35" s="6">
        <f>(1/J35-1/J17)*1000000</f>
        <v>0</v>
      </c>
    </row>
    <row r="36" spans="1:12" x14ac:dyDescent="0.25">
      <c r="A36" s="1" t="s">
        <v>14</v>
      </c>
      <c r="B36" s="1" t="s">
        <v>15</v>
      </c>
      <c r="C36" s="1" t="s">
        <v>11</v>
      </c>
      <c r="D36" s="2">
        <v>82000</v>
      </c>
      <c r="E36" s="5">
        <f>(D36-D18)/D18</f>
        <v>-7.7924592226900928E-3</v>
      </c>
      <c r="F36" s="6">
        <f>(1/D36-1/D18)*1000000</f>
        <v>9.5029990520612381E-2</v>
      </c>
      <c r="G36" s="2">
        <v>59701</v>
      </c>
      <c r="H36" s="5">
        <f>(G36-G18)/G18</f>
        <v>0.16417066417066417</v>
      </c>
      <c r="I36" s="6">
        <f>(1/G36-1/G18)*1000000</f>
        <v>-2.749881311379442</v>
      </c>
      <c r="J36" s="2">
        <v>20387</v>
      </c>
      <c r="K36" s="5">
        <f>(J36-J18)/J18</f>
        <v>0</v>
      </c>
      <c r="L36" s="6">
        <f>(1/J36-1/J18)*1000000</f>
        <v>0</v>
      </c>
    </row>
    <row r="37" spans="1:12" x14ac:dyDescent="0.25">
      <c r="D37" t="s">
        <v>35</v>
      </c>
      <c r="J37" t="s">
        <v>36</v>
      </c>
    </row>
    <row r="39" spans="1:12" ht="18.75" x14ac:dyDescent="0.3">
      <c r="A39" s="75" t="s">
        <v>26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</row>
    <row r="40" spans="1:12" ht="18.75" x14ac:dyDescent="0.3">
      <c r="A40" s="76" t="s">
        <v>37</v>
      </c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</row>
    <row r="41" spans="1:12" ht="45" x14ac:dyDescent="0.25">
      <c r="A41" s="1" t="s">
        <v>2</v>
      </c>
      <c r="B41" s="1" t="s">
        <v>3</v>
      </c>
      <c r="C41" s="1" t="s">
        <v>4</v>
      </c>
      <c r="D41" s="4" t="s">
        <v>21</v>
      </c>
      <c r="E41" s="4" t="s">
        <v>38</v>
      </c>
      <c r="F41" s="4" t="s">
        <v>41</v>
      </c>
      <c r="G41" s="4" t="s">
        <v>23</v>
      </c>
      <c r="H41" s="4" t="s">
        <v>38</v>
      </c>
      <c r="I41" s="4" t="s">
        <v>41</v>
      </c>
      <c r="J41" s="4" t="s">
        <v>24</v>
      </c>
      <c r="K41" s="4" t="s">
        <v>38</v>
      </c>
      <c r="L41" s="4" t="s">
        <v>41</v>
      </c>
    </row>
    <row r="42" spans="1:12" x14ac:dyDescent="0.25">
      <c r="A42" s="1" t="s">
        <v>5</v>
      </c>
      <c r="B42" s="1" t="s">
        <v>6</v>
      </c>
      <c r="C42" s="1" t="s">
        <v>7</v>
      </c>
      <c r="D42" s="1">
        <v>109769</v>
      </c>
      <c r="E42" s="5">
        <f>(D42-D23)/D23</f>
        <v>-0.24259632369176418</v>
      </c>
      <c r="F42" s="6">
        <f>(1/D42-1/D23)*1000000</f>
        <v>2.2100622552065179</v>
      </c>
      <c r="G42" s="2">
        <v>81301</v>
      </c>
      <c r="H42" s="5">
        <f>(G42-G23)/G23</f>
        <v>1.6262499999999999E-2</v>
      </c>
      <c r="I42" s="6">
        <f>(1/G42-1/G23)*1000000</f>
        <v>-0.20002828993493402</v>
      </c>
      <c r="J42" s="2">
        <v>33245</v>
      </c>
      <c r="K42" s="5">
        <f>(J42-J23)/J23</f>
        <v>2.5605429585068642E-2</v>
      </c>
      <c r="L42" s="6">
        <f>(1/J42-1/J23)*1000000</f>
        <v>-0.77020392796115811</v>
      </c>
    </row>
    <row r="43" spans="1:12" x14ac:dyDescent="0.25">
      <c r="A43" s="1" t="s">
        <v>8</v>
      </c>
      <c r="B43" s="1" t="s">
        <v>9</v>
      </c>
      <c r="C43" s="1" t="s">
        <v>7</v>
      </c>
      <c r="D43" s="2">
        <v>105485</v>
      </c>
      <c r="E43" s="5">
        <f>(D43-D24)/D24</f>
        <v>-0.2194102194102194</v>
      </c>
      <c r="F43" s="6">
        <f>(1/D43-1/D24)*1000000</f>
        <v>2.0800134560384835</v>
      </c>
      <c r="G43" s="2">
        <v>72993</v>
      </c>
      <c r="H43" s="5">
        <f>(G43-G24)/G24</f>
        <v>3.6493759141189665E-2</v>
      </c>
      <c r="I43" s="6">
        <f>(1/G43-1/G24)*1000000</f>
        <v>-0.49996245038825304</v>
      </c>
      <c r="J43" s="2">
        <v>30553</v>
      </c>
      <c r="K43" s="5">
        <f>(J43-J24)/J24</f>
        <v>-5.5009439489616561E-3</v>
      </c>
      <c r="L43" s="6">
        <f>(1/J43-1/J24)*1000000</f>
        <v>0.18004595126375791</v>
      </c>
    </row>
    <row r="44" spans="1:12" x14ac:dyDescent="0.25">
      <c r="A44" s="1" t="s">
        <v>10</v>
      </c>
      <c r="B44" s="1" t="s">
        <v>9</v>
      </c>
      <c r="C44" s="1" t="s">
        <v>11</v>
      </c>
      <c r="D44" s="2">
        <v>39262</v>
      </c>
      <c r="E44" s="5">
        <f>(D44-D25)/D25</f>
        <v>0.13664524347171558</v>
      </c>
      <c r="F44" s="6">
        <f>(1/D44-1/D25)*1000000</f>
        <v>-3.4803434229462464</v>
      </c>
      <c r="G44" s="2">
        <v>36846</v>
      </c>
      <c r="H44" s="5">
        <f>(G44-G25)/G25</f>
        <v>0.73548113607460786</v>
      </c>
      <c r="I44" s="6">
        <f>(1/G44-1/G25)*1000000</f>
        <v>-19.960949250247186</v>
      </c>
      <c r="J44" s="2">
        <v>33245</v>
      </c>
      <c r="K44" s="5">
        <f>(J44-J25)/J25</f>
        <v>0.81023686359923763</v>
      </c>
      <c r="L44" s="6">
        <f>(1/J44-1/J25)*1000000</f>
        <v>-24.371690888832539</v>
      </c>
    </row>
    <row r="45" spans="1:12" x14ac:dyDescent="0.25">
      <c r="A45" s="1" t="s">
        <v>12</v>
      </c>
      <c r="B45" s="1" t="s">
        <v>13</v>
      </c>
      <c r="C45" s="1" t="s">
        <v>11</v>
      </c>
      <c r="D45" s="2">
        <v>39200</v>
      </c>
      <c r="E45" s="5">
        <f>(D45-D26)/D26</f>
        <v>0.17403935427835515</v>
      </c>
      <c r="F45" s="6">
        <f>(1/D45-1/D26)*1000000</f>
        <v>-4.4397794458764057</v>
      </c>
      <c r="G45" s="2">
        <v>37523</v>
      </c>
      <c r="H45" s="5">
        <f>(G45-G26)/G26</f>
        <v>0.84988168014198384</v>
      </c>
      <c r="I45" s="6">
        <f>(1/G45-1/G26)*1000000</f>
        <v>-22.649619703701301</v>
      </c>
      <c r="J45" s="2">
        <v>33807</v>
      </c>
      <c r="K45" s="5">
        <f>(J45-J26)/J26</f>
        <v>0.87795800466614815</v>
      </c>
      <c r="L45" s="6">
        <f>(1/J45-1/J26)*1000000</f>
        <v>-25.969710553025948</v>
      </c>
    </row>
    <row r="46" spans="1:12" x14ac:dyDescent="0.25">
      <c r="A46" s="1" t="s">
        <v>14</v>
      </c>
      <c r="B46" s="1" t="s">
        <v>15</v>
      </c>
      <c r="C46" s="1" t="s">
        <v>11</v>
      </c>
      <c r="D46" s="2">
        <v>38895</v>
      </c>
      <c r="E46" s="5">
        <f>(D46-D27)/D27</f>
        <v>0.23684294209304543</v>
      </c>
      <c r="F46" s="6">
        <f>(1/D46-1/D27)*1000000</f>
        <v>-6.0892901939335484</v>
      </c>
      <c r="G46" s="2">
        <v>36846</v>
      </c>
      <c r="H46" s="5">
        <f>(G46-G27)/G27</f>
        <v>0.81650562019325579</v>
      </c>
      <c r="I46" s="6">
        <f>(1/G46-1/G27)*1000000</f>
        <v>-22.159952781665741</v>
      </c>
      <c r="J46" s="2">
        <v>30423</v>
      </c>
      <c r="K46" s="5">
        <f>(J46-J27)/J27</f>
        <v>0.72348742352141404</v>
      </c>
      <c r="L46" s="6">
        <f>(1/J46-1/J27)*1000000</f>
        <v>-23.780936249594522</v>
      </c>
    </row>
    <row r="47" spans="1:12" x14ac:dyDescent="0.25">
      <c r="H47" t="s">
        <v>39</v>
      </c>
    </row>
    <row r="49" spans="1:12" ht="18.75" x14ac:dyDescent="0.3">
      <c r="A49" s="75" t="s">
        <v>26</v>
      </c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</row>
    <row r="50" spans="1:12" ht="18.75" x14ac:dyDescent="0.3">
      <c r="A50" s="76" t="s">
        <v>40</v>
      </c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</row>
    <row r="51" spans="1:12" ht="45" x14ac:dyDescent="0.25">
      <c r="A51" s="1" t="s">
        <v>2</v>
      </c>
      <c r="B51" s="1" t="s">
        <v>3</v>
      </c>
      <c r="C51" s="1" t="s">
        <v>4</v>
      </c>
      <c r="D51" s="4" t="s">
        <v>21</v>
      </c>
      <c r="E51" s="4" t="s">
        <v>38</v>
      </c>
      <c r="F51" s="4" t="s">
        <v>41</v>
      </c>
      <c r="G51" s="4" t="s">
        <v>23</v>
      </c>
      <c r="H51" s="4" t="s">
        <v>38</v>
      </c>
      <c r="I51" s="4" t="s">
        <v>41</v>
      </c>
      <c r="J51" s="4" t="s">
        <v>24</v>
      </c>
      <c r="K51" s="4" t="s">
        <v>38</v>
      </c>
      <c r="L51" s="4" t="s">
        <v>41</v>
      </c>
    </row>
    <row r="52" spans="1:12" x14ac:dyDescent="0.25">
      <c r="A52" s="1" t="s">
        <v>5</v>
      </c>
      <c r="B52" s="1" t="s">
        <v>6</v>
      </c>
      <c r="C52" s="1" t="s">
        <v>7</v>
      </c>
      <c r="D52" s="1">
        <v>99502</v>
      </c>
      <c r="E52" s="5">
        <f>(D52-D32)/D32</f>
        <v>4.9743108232141536E-2</v>
      </c>
      <c r="F52" s="6">
        <f>(1/D52-1/D32)*1000000</f>
        <v>-0.49992068734439032</v>
      </c>
      <c r="G52" s="2">
        <v>82781</v>
      </c>
      <c r="H52" s="5">
        <f>(G52-G32)/G32</f>
        <v>0.27068015411300594</v>
      </c>
      <c r="I52" s="6">
        <f>(1/G52-1/G32)*1000000</f>
        <v>-3.269834311170511</v>
      </c>
      <c r="J52" s="2">
        <v>33245</v>
      </c>
      <c r="K52" s="5">
        <f>(J52-J32)/J32</f>
        <v>0.1020685540011934</v>
      </c>
      <c r="L52" s="6">
        <f>(1/J52-1/J32)*1000000</f>
        <v>-3.0701926305066447</v>
      </c>
    </row>
    <row r="53" spans="1:12" x14ac:dyDescent="0.25">
      <c r="A53" s="1" t="s">
        <v>8</v>
      </c>
      <c r="B53" s="1" t="s">
        <v>9</v>
      </c>
      <c r="C53" s="1" t="s">
        <v>7</v>
      </c>
      <c r="D53" s="2">
        <v>96899</v>
      </c>
      <c r="E53" s="5">
        <f>(D53-D33)/D33</f>
        <v>9.4953444223467728E-2</v>
      </c>
      <c r="F53" s="6">
        <f>(1/D53-1/D33)*1000000</f>
        <v>-0.97992181780480447</v>
      </c>
      <c r="G53" s="2">
        <v>74906</v>
      </c>
      <c r="H53" s="5">
        <f>(G53-G33)/G33</f>
        <v>0.25093520374081496</v>
      </c>
      <c r="I53" s="6">
        <f>(1/G53-1/G33)*1000000</f>
        <v>-3.3500013849466654</v>
      </c>
      <c r="J53" s="2">
        <v>32113</v>
      </c>
      <c r="K53" s="5">
        <f>(J53-J33)/J33</f>
        <v>0.13839554752029495</v>
      </c>
      <c r="L53" s="6">
        <f>(1/J53-1/J33)*1000000</f>
        <v>-4.3096424351600584</v>
      </c>
    </row>
    <row r="54" spans="1:12" x14ac:dyDescent="0.25">
      <c r="A54" s="1" t="s">
        <v>10</v>
      </c>
      <c r="B54" s="1" t="s">
        <v>9</v>
      </c>
      <c r="C54" s="1" t="s">
        <v>11</v>
      </c>
      <c r="D54" s="2">
        <v>38895</v>
      </c>
      <c r="E54" s="5">
        <f>(D54-D34)/D34</f>
        <v>0.42357806895542055</v>
      </c>
      <c r="F54" s="6">
        <f>(1/D54-1/D34)*1000000</f>
        <v>-10.890296155172141</v>
      </c>
      <c r="G54" s="2">
        <v>37523</v>
      </c>
      <c r="H54" s="5">
        <f>(G54-G34)/G34</f>
        <v>0.60787590521489476</v>
      </c>
      <c r="I54" s="6">
        <f>(1/G54-1/G34)*1000000</f>
        <v>-16.200088085038374</v>
      </c>
      <c r="J54" s="2">
        <v>31546</v>
      </c>
      <c r="K54" s="5">
        <f>(J54-J34)/J34</f>
        <v>1.1751361787216439</v>
      </c>
      <c r="L54" s="6">
        <f>(1/J54-1/J34)*1000000</f>
        <v>-37.251511403082596</v>
      </c>
    </row>
    <row r="55" spans="1:12" x14ac:dyDescent="0.25">
      <c r="A55" s="1" t="s">
        <v>12</v>
      </c>
      <c r="B55" s="1" t="s">
        <v>13</v>
      </c>
      <c r="C55" s="1" t="s">
        <v>11</v>
      </c>
      <c r="D55" s="2">
        <v>89366</v>
      </c>
      <c r="E55" s="5">
        <f>(D55-D35)/D35</f>
        <v>0.18409476362094551</v>
      </c>
      <c r="F55" s="6">
        <f>(1/D55-1/D35)*1000000</f>
        <v>-2.0600089924685627</v>
      </c>
      <c r="G55" s="2">
        <v>74906</v>
      </c>
      <c r="H55" s="5">
        <f>(G55-G35)/G35</f>
        <v>1.3482976989152924</v>
      </c>
      <c r="I55" s="6">
        <f>(1/G55-1/G35)*1000000</f>
        <v>-17.999862479845305</v>
      </c>
      <c r="J55" s="2">
        <v>31676</v>
      </c>
      <c r="K55" s="5">
        <f>(J55-J35)/J35</f>
        <v>2.9437250996015938</v>
      </c>
      <c r="L55" s="6">
        <f>(1/J55-1/J35)*1000000</f>
        <v>-92.932349400227096</v>
      </c>
    </row>
    <row r="56" spans="1:12" x14ac:dyDescent="0.25">
      <c r="A56" s="1" t="s">
        <v>14</v>
      </c>
      <c r="B56" s="1" t="s">
        <v>15</v>
      </c>
      <c r="C56" s="1" t="s">
        <v>11</v>
      </c>
      <c r="D56" s="2">
        <v>93458</v>
      </c>
      <c r="E56" s="5">
        <f>(D56-D36)/D36</f>
        <v>0.13973170731707318</v>
      </c>
      <c r="F56" s="6">
        <f>(1/D56-1/D36)*1000000</f>
        <v>-1.4951283712156604</v>
      </c>
      <c r="G56" s="2">
        <v>73910</v>
      </c>
      <c r="H56" s="5">
        <f>(G56-G36)/G36</f>
        <v>0.23800271352238656</v>
      </c>
      <c r="I56" s="6">
        <f>(1/G56-1/G36)*1000000</f>
        <v>-3.2201693075684834</v>
      </c>
      <c r="J56" s="2">
        <v>33102</v>
      </c>
      <c r="K56" s="5">
        <f>(J56-J36)/J36</f>
        <v>0.62368175798302838</v>
      </c>
      <c r="L56" s="6">
        <f>(1/J56-1/J36)*1000000</f>
        <v>-18.841210742040616</v>
      </c>
    </row>
    <row r="59" spans="1:12" ht="18.75" x14ac:dyDescent="0.3">
      <c r="A59" s="75" t="s">
        <v>42</v>
      </c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</row>
    <row r="60" spans="1:12" ht="18.75" x14ac:dyDescent="0.3">
      <c r="A60" s="76" t="s">
        <v>43</v>
      </c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</row>
    <row r="61" spans="1:12" ht="45" x14ac:dyDescent="0.25">
      <c r="A61" s="1" t="s">
        <v>2</v>
      </c>
      <c r="B61" s="1" t="s">
        <v>3</v>
      </c>
      <c r="C61" s="1" t="s">
        <v>4</v>
      </c>
      <c r="D61" s="4" t="s">
        <v>21</v>
      </c>
      <c r="E61" s="4" t="s">
        <v>44</v>
      </c>
      <c r="F61" s="4" t="s">
        <v>41</v>
      </c>
      <c r="G61" s="4" t="s">
        <v>23</v>
      </c>
      <c r="H61" s="4" t="s">
        <v>44</v>
      </c>
      <c r="I61" s="4" t="s">
        <v>41</v>
      </c>
      <c r="J61" s="4" t="s">
        <v>24</v>
      </c>
      <c r="K61" s="4" t="s">
        <v>44</v>
      </c>
      <c r="L61" s="4" t="s">
        <v>41</v>
      </c>
    </row>
    <row r="62" spans="1:12" x14ac:dyDescent="0.25">
      <c r="A62" s="1" t="s">
        <v>5</v>
      </c>
      <c r="B62" s="1" t="s">
        <v>6</v>
      </c>
      <c r="C62" s="1" t="s">
        <v>7</v>
      </c>
      <c r="D62" s="1">
        <v>158983</v>
      </c>
      <c r="E62" s="5">
        <f>(D62-D42)/D42</f>
        <v>0.44834151718609078</v>
      </c>
      <c r="F62" s="6">
        <f>(1/D62-1/D42)*1000000</f>
        <v>-2.8200594855178909</v>
      </c>
      <c r="G62" s="2">
        <v>100402</v>
      </c>
      <c r="H62" s="5">
        <f>(G62-G42)/G42</f>
        <v>0.23494175963395283</v>
      </c>
      <c r="I62" s="6">
        <f>(1/G62-1/G42)*1000000</f>
        <v>-2.3400107531120184</v>
      </c>
      <c r="J62" s="2"/>
      <c r="K62" s="5">
        <f>(J62-J42)/J42</f>
        <v>-1</v>
      </c>
      <c r="L62" s="6" t="e">
        <f>(1/J62-1/J42)*1000000</f>
        <v>#DIV/0!</v>
      </c>
    </row>
    <row r="63" spans="1:12" x14ac:dyDescent="0.25">
      <c r="A63" s="1" t="s">
        <v>8</v>
      </c>
      <c r="B63" s="1" t="s">
        <v>9</v>
      </c>
      <c r="C63" s="1" t="s">
        <v>7</v>
      </c>
      <c r="D63" s="2">
        <v>151515</v>
      </c>
      <c r="E63" s="5">
        <f>(D63-D43)/D43</f>
        <v>0.436365360003792</v>
      </c>
      <c r="F63" s="6">
        <f>(1/D63-1/D43)*1000000</f>
        <v>-2.8800142560392832</v>
      </c>
      <c r="G63" s="2">
        <v>90662</v>
      </c>
      <c r="H63" s="5">
        <f>(G63-G43)/G43</f>
        <v>0.24206430753633909</v>
      </c>
      <c r="I63" s="6">
        <f>(1/G63-1/G43)*1000000</f>
        <v>-2.6699643459921369</v>
      </c>
      <c r="J63" s="2"/>
      <c r="K63" s="5">
        <f>(J63-J43)/J43</f>
        <v>-1</v>
      </c>
      <c r="L63" s="6" t="e">
        <f>(1/J63-1/J43)*1000000</f>
        <v>#DIV/0!</v>
      </c>
    </row>
    <row r="64" spans="1:12" x14ac:dyDescent="0.25">
      <c r="A64" s="1" t="s">
        <v>10</v>
      </c>
      <c r="B64" s="1" t="s">
        <v>9</v>
      </c>
      <c r="C64" s="1" t="s">
        <v>11</v>
      </c>
      <c r="D64" s="2">
        <v>85397</v>
      </c>
      <c r="E64" s="5">
        <f>(D64-D44)/D44</f>
        <v>1.1750547603280526</v>
      </c>
      <c r="F64" s="6">
        <f>(1/D64-1/D44)*1000000</f>
        <v>-13.759906792136171</v>
      </c>
      <c r="G64" s="2">
        <v>56497</v>
      </c>
      <c r="H64" s="5">
        <f>(G64-G44)/G44</f>
        <v>0.53332790533572161</v>
      </c>
      <c r="I64" s="6">
        <f>(1/G64-1/G44)*1000000</f>
        <v>-9.4399331882351571</v>
      </c>
      <c r="J64" s="2"/>
      <c r="K64" s="5">
        <f>(J64-J44)/J44</f>
        <v>-1</v>
      </c>
      <c r="L64" s="6" t="e">
        <f>(1/J64-1/J44)*1000000</f>
        <v>#DIV/0!</v>
      </c>
    </row>
    <row r="65" spans="1:12" x14ac:dyDescent="0.25">
      <c r="A65" s="1" t="s">
        <v>12</v>
      </c>
      <c r="B65" s="1" t="s">
        <v>13</v>
      </c>
      <c r="C65" s="1" t="s">
        <v>11</v>
      </c>
      <c r="D65" s="2">
        <v>84104</v>
      </c>
      <c r="E65" s="5">
        <f>(D65-D45)/D45</f>
        <v>1.1455102040816327</v>
      </c>
      <c r="F65" s="6">
        <f>(1/D65-1/D45)*1000000</f>
        <v>-13.620163179891952</v>
      </c>
      <c r="G65" s="2">
        <v>59453</v>
      </c>
      <c r="H65" s="5">
        <f>(G65-G45)/G45</f>
        <v>0.58444154252058733</v>
      </c>
      <c r="I65" s="6">
        <f>(1/G65-1/G45)*1000000</f>
        <v>-9.830312053564791</v>
      </c>
      <c r="J65" s="2"/>
      <c r="K65" s="5">
        <f>(J65-J45)/J45</f>
        <v>-1</v>
      </c>
      <c r="L65" s="6" t="e">
        <f>(1/J65-1/J45)*1000000</f>
        <v>#DIV/0!</v>
      </c>
    </row>
    <row r="66" spans="1:12" x14ac:dyDescent="0.25">
      <c r="A66" s="1" t="s">
        <v>14</v>
      </c>
      <c r="B66" s="1" t="s">
        <v>15</v>
      </c>
      <c r="C66" s="1" t="s">
        <v>11</v>
      </c>
      <c r="D66" s="2">
        <v>82305</v>
      </c>
      <c r="E66" s="5">
        <f>(D66-D46)/D46</f>
        <v>1.1160817585807945</v>
      </c>
      <c r="F66" s="6">
        <f>(1/D66-1/D46)*1000000</f>
        <v>-13.560315394943132</v>
      </c>
      <c r="G66" s="2">
        <v>60459</v>
      </c>
      <c r="H66" s="5">
        <f>(G66-G46)/G46</f>
        <v>0.64085653802312326</v>
      </c>
      <c r="I66" s="6">
        <f>(1/G66-1/G46)*1000000</f>
        <v>-10.599853421709314</v>
      </c>
      <c r="J66" s="2"/>
      <c r="K66" s="5">
        <f>(J66-J46)/J46</f>
        <v>-1</v>
      </c>
      <c r="L66" s="6" t="e">
        <f>(1/J66-1/J46)*1000000</f>
        <v>#DIV/0!</v>
      </c>
    </row>
    <row r="68" spans="1:12" ht="18.75" x14ac:dyDescent="0.3">
      <c r="A68" s="75" t="s">
        <v>42</v>
      </c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</row>
    <row r="69" spans="1:12" ht="18.75" x14ac:dyDescent="0.3">
      <c r="A69" s="76" t="s">
        <v>45</v>
      </c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</row>
    <row r="70" spans="1:12" ht="45" x14ac:dyDescent="0.25">
      <c r="A70" s="1" t="s">
        <v>2</v>
      </c>
      <c r="B70" s="1" t="s">
        <v>3</v>
      </c>
      <c r="C70" s="1" t="s">
        <v>4</v>
      </c>
      <c r="D70" s="4" t="s">
        <v>21</v>
      </c>
      <c r="E70" s="4" t="s">
        <v>44</v>
      </c>
      <c r="F70" s="4" t="s">
        <v>41</v>
      </c>
      <c r="G70" s="4" t="s">
        <v>23</v>
      </c>
      <c r="H70" s="4" t="s">
        <v>44</v>
      </c>
      <c r="I70" s="4" t="s">
        <v>41</v>
      </c>
      <c r="J70" s="4" t="s">
        <v>24</v>
      </c>
      <c r="K70" s="4" t="s">
        <v>44</v>
      </c>
      <c r="L70" s="4" t="s">
        <v>41</v>
      </c>
    </row>
    <row r="71" spans="1:12" x14ac:dyDescent="0.25">
      <c r="A71" s="1" t="s">
        <v>5</v>
      </c>
      <c r="B71" s="1" t="s">
        <v>6</v>
      </c>
      <c r="C71" s="1" t="s">
        <v>7</v>
      </c>
      <c r="D71" s="1">
        <v>148368</v>
      </c>
      <c r="E71" s="5">
        <f>(D71-D52)/D52</f>
        <v>0.49110570641796147</v>
      </c>
      <c r="F71" s="6">
        <f>(1/D71-1/D52)*1000000</f>
        <v>-3.3100514020406115</v>
      </c>
      <c r="G71" s="2">
        <v>102564</v>
      </c>
      <c r="H71" s="5">
        <f>(G71-G52)/G52</f>
        <v>0.23897995916937462</v>
      </c>
      <c r="I71" s="6">
        <f>(1/G71-1/G52)*1000000</f>
        <v>-2.3300569319583353</v>
      </c>
      <c r="J71" s="2"/>
      <c r="K71" s="5">
        <f>(J71-J52)/J52</f>
        <v>-1</v>
      </c>
      <c r="L71" s="6" t="e">
        <f>(1/J71-1/J52)*1000000</f>
        <v>#DIV/0!</v>
      </c>
    </row>
    <row r="72" spans="1:12" x14ac:dyDescent="0.25">
      <c r="A72" s="1" t="s">
        <v>8</v>
      </c>
      <c r="B72" s="1" t="s">
        <v>9</v>
      </c>
      <c r="C72" s="1" t="s">
        <v>7</v>
      </c>
      <c r="D72" s="2">
        <v>120337</v>
      </c>
      <c r="E72" s="5">
        <f>(D72-D53)/D53</f>
        <v>0.24188072116327311</v>
      </c>
      <c r="F72" s="6">
        <f>(1/D72-1/D53)*1000000</f>
        <v>-2.0100278481537108</v>
      </c>
      <c r="G72" s="2">
        <v>95969</v>
      </c>
      <c r="H72" s="5">
        <f>(G72-G53)/G53</f>
        <v>0.28119242784289644</v>
      </c>
      <c r="I72" s="6">
        <f>(1/G72-1/G53)*1000000</f>
        <v>-2.9300339468255014</v>
      </c>
      <c r="J72" s="2"/>
      <c r="K72" s="5">
        <f>(J72-J53)/J53</f>
        <v>-1</v>
      </c>
      <c r="L72" s="6" t="e">
        <f>(1/J72-1/J53)*1000000</f>
        <v>#DIV/0!</v>
      </c>
    </row>
    <row r="73" spans="1:12" x14ac:dyDescent="0.25">
      <c r="A73" s="1" t="s">
        <v>10</v>
      </c>
      <c r="B73" s="1" t="s">
        <v>9</v>
      </c>
      <c r="C73" s="1" t="s">
        <v>11</v>
      </c>
      <c r="D73" s="2">
        <v>56689</v>
      </c>
      <c r="E73" s="5">
        <f>(D73-D54)/D54</f>
        <v>0.45748810901144105</v>
      </c>
      <c r="F73" s="6">
        <f>(1/D73-1/D54)*1000000</f>
        <v>-8.0701389866013002</v>
      </c>
      <c r="G73" s="2">
        <v>42955</v>
      </c>
      <c r="H73" s="5">
        <f>(G73-G54)/G54</f>
        <v>0.14476454441276018</v>
      </c>
      <c r="I73" s="6">
        <f>(1/G73-1/G54)*1000000</f>
        <v>-3.3701442070250307</v>
      </c>
      <c r="J73" s="2"/>
      <c r="K73" s="5">
        <f>(J73-J54)/J54</f>
        <v>-1</v>
      </c>
      <c r="L73" s="6" t="e">
        <f>(1/J73-1/J54)*1000000</f>
        <v>#DIV/0!</v>
      </c>
    </row>
    <row r="74" spans="1:12" x14ac:dyDescent="0.25">
      <c r="A74" s="1" t="s">
        <v>12</v>
      </c>
      <c r="B74" s="1" t="s">
        <v>13</v>
      </c>
      <c r="C74" s="1" t="s">
        <v>11</v>
      </c>
      <c r="D74" s="2">
        <v>132979</v>
      </c>
      <c r="E74" s="5">
        <f>(D74-D55)/D55</f>
        <v>0.48802676633171455</v>
      </c>
      <c r="F74" s="6">
        <f>(1/D74-1/D55)*1000000</f>
        <v>-3.669953649310902</v>
      </c>
      <c r="G74" s="2">
        <v>89047</v>
      </c>
      <c r="H74" s="5">
        <f>(G74-G55)/G55</f>
        <v>0.18878327503804768</v>
      </c>
      <c r="I74" s="6">
        <f>(1/G74-1/G55)*1000000</f>
        <v>-2.1200408215666759</v>
      </c>
      <c r="J74" s="2"/>
      <c r="K74" s="5">
        <f>(J74-J55)/J55</f>
        <v>-1</v>
      </c>
      <c r="L74" s="6" t="e">
        <f>(1/J74-1/J55)*1000000</f>
        <v>#DIV/0!</v>
      </c>
    </row>
    <row r="75" spans="1:12" x14ac:dyDescent="0.25">
      <c r="A75" s="1" t="s">
        <v>14</v>
      </c>
      <c r="B75" s="1" t="s">
        <v>15</v>
      </c>
      <c r="C75" s="1" t="s">
        <v>11</v>
      </c>
      <c r="D75" s="2">
        <v>131926</v>
      </c>
      <c r="E75" s="5">
        <f>(D75-D56)/D56</f>
        <v>0.41160735303558815</v>
      </c>
      <c r="F75" s="6">
        <f>(1/D75-1/D56)*1000000</f>
        <v>-3.1199866063974366</v>
      </c>
      <c r="G75" s="9">
        <v>76161</v>
      </c>
      <c r="H75" s="5">
        <f>(G75-G56)/G56</f>
        <v>3.0455959951292112E-2</v>
      </c>
      <c r="I75" s="6">
        <f>(1/G75-1/G56)*1000000</f>
        <v>-0.3998891814877959</v>
      </c>
      <c r="J75" s="2"/>
      <c r="K75" s="5">
        <f>(J75-J56)/J56</f>
        <v>-1</v>
      </c>
      <c r="L75" s="6" t="e">
        <f>(1/J75-1/J56)*1000000</f>
        <v>#DIV/0!</v>
      </c>
    </row>
    <row r="76" spans="1:12" x14ac:dyDescent="0.25">
      <c r="G76" s="10" t="s">
        <v>46</v>
      </c>
    </row>
    <row r="78" spans="1:12" ht="18.75" x14ac:dyDescent="0.3">
      <c r="A78" s="75" t="s">
        <v>42</v>
      </c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</row>
    <row r="79" spans="1:12" ht="18.75" x14ac:dyDescent="0.3">
      <c r="A79" s="76" t="s">
        <v>49</v>
      </c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</row>
    <row r="80" spans="1:12" ht="45" x14ac:dyDescent="0.25">
      <c r="A80" s="1" t="s">
        <v>2</v>
      </c>
      <c r="B80" s="1" t="s">
        <v>3</v>
      </c>
      <c r="C80" s="1" t="s">
        <v>4</v>
      </c>
      <c r="D80" s="4" t="s">
        <v>21</v>
      </c>
      <c r="E80" s="4" t="s">
        <v>44</v>
      </c>
      <c r="F80" s="4" t="s">
        <v>41</v>
      </c>
      <c r="G80" s="4" t="s">
        <v>23</v>
      </c>
      <c r="H80" s="4" t="s">
        <v>44</v>
      </c>
      <c r="I80" s="4" t="s">
        <v>41</v>
      </c>
      <c r="J80" s="4" t="s">
        <v>24</v>
      </c>
      <c r="K80" s="4" t="s">
        <v>44</v>
      </c>
      <c r="L80" s="4" t="s">
        <v>41</v>
      </c>
    </row>
    <row r="81" spans="1:12" x14ac:dyDescent="0.25">
      <c r="A81" s="1" t="s">
        <v>5</v>
      </c>
      <c r="B81" s="1" t="s">
        <v>6</v>
      </c>
      <c r="C81" s="1" t="s">
        <v>7</v>
      </c>
      <c r="D81" s="1">
        <v>140845</v>
      </c>
      <c r="E81" s="5">
        <f>(D81-D62)/D62</f>
        <v>-0.11408766975085387</v>
      </c>
      <c r="F81" s="6">
        <f>(1/D81-1/D62)*1000000</f>
        <v>0.81002286024249215</v>
      </c>
      <c r="G81" s="2"/>
      <c r="H81" s="5">
        <f>(G81-G62)/G62</f>
        <v>-1</v>
      </c>
      <c r="I81" s="6" t="e">
        <f>(1/G81-1/G62)*1000000</f>
        <v>#DIV/0!</v>
      </c>
      <c r="J81" s="2"/>
      <c r="K81" s="5" t="e">
        <f>(J81-J62)/J62</f>
        <v>#DIV/0!</v>
      </c>
      <c r="L81" s="6" t="e">
        <f>(1/J81-1/J62)*1000000</f>
        <v>#DIV/0!</v>
      </c>
    </row>
    <row r="82" spans="1:12" x14ac:dyDescent="0.25">
      <c r="A82" s="1" t="s">
        <v>8</v>
      </c>
      <c r="B82" s="1" t="s">
        <v>9</v>
      </c>
      <c r="C82" s="1" t="s">
        <v>7</v>
      </c>
      <c r="D82" s="2"/>
      <c r="E82" s="5">
        <f>(D82-D63)/D63</f>
        <v>-1</v>
      </c>
      <c r="F82" s="6" t="e">
        <f>(1/D82-1/D63)*1000000</f>
        <v>#DIV/0!</v>
      </c>
      <c r="G82" s="2">
        <v>71685</v>
      </c>
      <c r="H82" s="5">
        <f>(G82-G63)/G63</f>
        <v>-0.20931592067238755</v>
      </c>
      <c r="I82" s="6">
        <f>(1/G82-1/G63)*1000000</f>
        <v>2.9199403037230605</v>
      </c>
      <c r="J82" s="2"/>
      <c r="K82" s="5" t="e">
        <f>(J82-J63)/J63</f>
        <v>#DIV/0!</v>
      </c>
      <c r="L82" s="6" t="e">
        <f>(1/J82-1/J63)*1000000</f>
        <v>#DIV/0!</v>
      </c>
    </row>
    <row r="83" spans="1:12" x14ac:dyDescent="0.25">
      <c r="A83" s="1" t="s">
        <v>10</v>
      </c>
      <c r="B83" s="1" t="s">
        <v>9</v>
      </c>
      <c r="C83" s="1" t="s">
        <v>11</v>
      </c>
      <c r="D83" s="2"/>
      <c r="E83" s="5">
        <f>(D83-D64)/D64</f>
        <v>-1</v>
      </c>
      <c r="F83" s="6" t="e">
        <f>(1/D83-1/D64)*1000000</f>
        <v>#DIV/0!</v>
      </c>
      <c r="G83" s="2"/>
      <c r="H83" s="5">
        <f>(G83-G64)/G64</f>
        <v>-1</v>
      </c>
      <c r="I83" s="6" t="e">
        <f>(1/G83-1/G64)*1000000</f>
        <v>#DIV/0!</v>
      </c>
      <c r="J83" s="2">
        <v>19940</v>
      </c>
      <c r="K83" s="5" t="e">
        <f>(J83-J64)/J64</f>
        <v>#DIV/0!</v>
      </c>
      <c r="L83" s="6" t="e">
        <f>(1/J83-1/J64)*1000000</f>
        <v>#DIV/0!</v>
      </c>
    </row>
    <row r="84" spans="1:12" x14ac:dyDescent="0.25">
      <c r="A84" s="1" t="s">
        <v>12</v>
      </c>
      <c r="B84" s="1" t="s">
        <v>13</v>
      </c>
      <c r="C84" s="1" t="s">
        <v>11</v>
      </c>
      <c r="D84" s="2">
        <v>36496</v>
      </c>
      <c r="E84" s="5">
        <f>(D84-D65)/D65</f>
        <v>-0.56606106725007133</v>
      </c>
      <c r="F84" s="6">
        <f>(1/D84-1/D65)*1000000</f>
        <v>15.510222140784505</v>
      </c>
      <c r="G84" s="2"/>
      <c r="H84" s="5">
        <f>(G84-G65)/G65</f>
        <v>-1</v>
      </c>
      <c r="I84" s="6" t="e">
        <f>(1/G84-1/G65)*1000000</f>
        <v>#DIV/0!</v>
      </c>
      <c r="J84" s="2"/>
      <c r="K84" s="5" t="e">
        <f>(J84-J65)/J65</f>
        <v>#DIV/0!</v>
      </c>
      <c r="L84" s="6" t="e">
        <f>(1/J84-1/J65)*1000000</f>
        <v>#DIV/0!</v>
      </c>
    </row>
    <row r="85" spans="1:12" x14ac:dyDescent="0.25">
      <c r="A85" s="1" t="s">
        <v>14</v>
      </c>
      <c r="B85" s="1" t="s">
        <v>15</v>
      </c>
      <c r="C85" s="1" t="s">
        <v>11</v>
      </c>
      <c r="D85" s="2"/>
      <c r="E85" s="5">
        <f>(D85-D66)/D66</f>
        <v>-1</v>
      </c>
      <c r="F85" s="6" t="e">
        <f>(1/D85-1/D66)*1000000</f>
        <v>#DIV/0!</v>
      </c>
      <c r="G85" s="11">
        <v>22573</v>
      </c>
      <c r="H85" s="5">
        <f>(G85-G66)/G66</f>
        <v>-0.62663954084586249</v>
      </c>
      <c r="I85" s="6">
        <f>(1/G85-1/G66)*1000000</f>
        <v>27.760578604787245</v>
      </c>
      <c r="J85" s="2"/>
      <c r="K85" s="5" t="e">
        <f>(J85-J66)/J66</f>
        <v>#DIV/0!</v>
      </c>
      <c r="L85" s="6" t="e">
        <f>(1/J85-1/J66)*1000000</f>
        <v>#DIV/0!</v>
      </c>
    </row>
    <row r="87" spans="1:12" ht="18.75" x14ac:dyDescent="0.3">
      <c r="A87" s="75" t="s">
        <v>42</v>
      </c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</row>
    <row r="88" spans="1:12" ht="18.75" x14ac:dyDescent="0.3">
      <c r="A88" s="76" t="s">
        <v>52</v>
      </c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</row>
    <row r="89" spans="1:12" ht="45" x14ac:dyDescent="0.25">
      <c r="A89" s="1" t="s">
        <v>2</v>
      </c>
      <c r="B89" s="1" t="s">
        <v>3</v>
      </c>
      <c r="C89" s="1" t="s">
        <v>4</v>
      </c>
      <c r="D89" s="4" t="s">
        <v>21</v>
      </c>
      <c r="E89" s="4" t="s">
        <v>44</v>
      </c>
      <c r="F89" s="4" t="s">
        <v>41</v>
      </c>
      <c r="G89" s="4" t="s">
        <v>23</v>
      </c>
      <c r="H89" s="4" t="s">
        <v>44</v>
      </c>
      <c r="I89" s="4" t="s">
        <v>41</v>
      </c>
      <c r="J89" s="4" t="s">
        <v>24</v>
      </c>
      <c r="K89" s="4" t="s">
        <v>44</v>
      </c>
      <c r="L89" s="4" t="s">
        <v>41</v>
      </c>
    </row>
    <row r="90" spans="1:12" x14ac:dyDescent="0.25">
      <c r="A90" s="1" t="s">
        <v>5</v>
      </c>
      <c r="B90" s="1" t="s">
        <v>6</v>
      </c>
      <c r="C90" s="1" t="s">
        <v>7</v>
      </c>
      <c r="D90" s="1">
        <v>56657</v>
      </c>
      <c r="E90" s="5">
        <f>(D90-D71)/D71</f>
        <v>-0.61813194219777845</v>
      </c>
      <c r="F90" s="6">
        <f>(1/D90-1/D71)*1000000</f>
        <v>10.910071874574694</v>
      </c>
      <c r="G90" s="2"/>
      <c r="H90" s="5">
        <f>(G90-G71)/G71</f>
        <v>-1</v>
      </c>
      <c r="I90" s="6" t="e">
        <f>(1/G90-1/G71)*1000000</f>
        <v>#DIV/0!</v>
      </c>
      <c r="J90" s="2"/>
      <c r="K90" s="5" t="e">
        <f>(J90-J71)/J71</f>
        <v>#DIV/0!</v>
      </c>
      <c r="L90" s="6" t="e">
        <f>(1/J90-1/J71)*1000000</f>
        <v>#DIV/0!</v>
      </c>
    </row>
    <row r="91" spans="1:12" x14ac:dyDescent="0.25">
      <c r="A91" s="1" t="s">
        <v>8</v>
      </c>
      <c r="B91" s="1" t="s">
        <v>9</v>
      </c>
      <c r="C91" s="1" t="s">
        <v>7</v>
      </c>
      <c r="D91" s="2"/>
      <c r="E91" s="5">
        <f>(D91-D72)/D72</f>
        <v>-1</v>
      </c>
      <c r="F91" s="6" t="e">
        <f>(1/D91-1/D72)*1000000</f>
        <v>#DIV/0!</v>
      </c>
      <c r="G91" s="2"/>
      <c r="H91" s="5">
        <f>(G91-G72)/G72</f>
        <v>-1</v>
      </c>
      <c r="I91" s="6" t="e">
        <f>(1/G91-1/G72)*1000000</f>
        <v>#DIV/0!</v>
      </c>
      <c r="J91" s="2"/>
      <c r="K91" s="5" t="e">
        <f>(J91-J72)/J72</f>
        <v>#DIV/0!</v>
      </c>
      <c r="L91" s="6" t="e">
        <f>(1/J91-1/J72)*1000000</f>
        <v>#DIV/0!</v>
      </c>
    </row>
    <row r="92" spans="1:12" x14ac:dyDescent="0.25">
      <c r="A92" s="1" t="s">
        <v>10</v>
      </c>
      <c r="B92" s="1" t="s">
        <v>9</v>
      </c>
      <c r="C92" s="1" t="s">
        <v>11</v>
      </c>
      <c r="D92" s="2"/>
      <c r="E92" s="5">
        <f>(D92-D73)/D73</f>
        <v>-1</v>
      </c>
      <c r="F92" s="6" t="e">
        <f>(1/D92-1/D73)*1000000</f>
        <v>#DIV/0!</v>
      </c>
      <c r="G92" s="2"/>
      <c r="H92" s="5">
        <f>(G92-G73)/G73</f>
        <v>-1</v>
      </c>
      <c r="I92" s="6" t="e">
        <f>(1/G92-1/G73)*1000000</f>
        <v>#DIV/0!</v>
      </c>
      <c r="J92" s="2"/>
      <c r="K92" s="5" t="e">
        <f>(J92-J73)/J73</f>
        <v>#DIV/0!</v>
      </c>
      <c r="L92" s="6" t="e">
        <f>(1/J92-1/J73)*1000000</f>
        <v>#DIV/0!</v>
      </c>
    </row>
    <row r="93" spans="1:12" x14ac:dyDescent="0.25">
      <c r="A93" s="1" t="s">
        <v>12</v>
      </c>
      <c r="B93" s="1" t="s">
        <v>13</v>
      </c>
      <c r="C93" s="1" t="s">
        <v>11</v>
      </c>
      <c r="D93" s="2"/>
      <c r="E93" s="5">
        <f>(D93-D74)/D74</f>
        <v>-1</v>
      </c>
      <c r="F93" s="6" t="e">
        <f>(1/D93-1/D74)*1000000</f>
        <v>#DIV/0!</v>
      </c>
      <c r="G93" s="2"/>
      <c r="H93" s="5">
        <f>(G93-G74)/G74</f>
        <v>-1</v>
      </c>
      <c r="I93" s="6" t="e">
        <f>(1/G93-1/G74)*1000000</f>
        <v>#DIV/0!</v>
      </c>
      <c r="J93" s="2"/>
      <c r="K93" s="5" t="e">
        <f>(J93-J74)/J74</f>
        <v>#DIV/0!</v>
      </c>
      <c r="L93" s="6" t="e">
        <f>(1/J93-1/J74)*1000000</f>
        <v>#DIV/0!</v>
      </c>
    </row>
    <row r="94" spans="1:12" x14ac:dyDescent="0.25">
      <c r="A94" s="1" t="s">
        <v>14</v>
      </c>
      <c r="B94" s="1" t="s">
        <v>15</v>
      </c>
      <c r="C94" s="1" t="s">
        <v>11</v>
      </c>
      <c r="D94" s="2"/>
      <c r="E94" s="5">
        <f>(D94-D75)/D75</f>
        <v>-1</v>
      </c>
      <c r="F94" s="6" t="e">
        <f>(1/D94-1/D75)*1000000</f>
        <v>#DIV/0!</v>
      </c>
      <c r="G94" s="11"/>
      <c r="H94" s="5">
        <f>(G94-G75)/G75</f>
        <v>-1</v>
      </c>
      <c r="I94" s="6" t="e">
        <f>(1/G94-1/G75)*1000000</f>
        <v>#DIV/0!</v>
      </c>
      <c r="J94" s="2"/>
      <c r="K94" s="5" t="e">
        <f>(J94-J75)/J75</f>
        <v>#DIV/0!</v>
      </c>
      <c r="L94" s="6" t="e">
        <f>(1/J94-1/J75)*1000000</f>
        <v>#DIV/0!</v>
      </c>
    </row>
  </sheetData>
  <mergeCells count="20">
    <mergeCell ref="A2:L2"/>
    <mergeCell ref="A29:L29"/>
    <mergeCell ref="A30:L30"/>
    <mergeCell ref="A3:L3"/>
    <mergeCell ref="A11:L11"/>
    <mergeCell ref="A12:L12"/>
    <mergeCell ref="A20:L20"/>
    <mergeCell ref="A21:L21"/>
    <mergeCell ref="A78:L78"/>
    <mergeCell ref="A79:L79"/>
    <mergeCell ref="A87:L87"/>
    <mergeCell ref="A88:L88"/>
    <mergeCell ref="A39:L39"/>
    <mergeCell ref="A40:L40"/>
    <mergeCell ref="A68:L68"/>
    <mergeCell ref="A69:L69"/>
    <mergeCell ref="A59:L59"/>
    <mergeCell ref="A60:L60"/>
    <mergeCell ref="A49:L49"/>
    <mergeCell ref="A50:L50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2"/>
  <sheetViews>
    <sheetView topLeftCell="B52" workbookViewId="0">
      <selection activeCell="D68" sqref="D68"/>
    </sheetView>
  </sheetViews>
  <sheetFormatPr defaultRowHeight="15" x14ac:dyDescent="0.25"/>
  <cols>
    <col min="2" max="2" width="26" bestFit="1" customWidth="1"/>
  </cols>
  <sheetData>
    <row r="1" spans="1:12" ht="18.75" x14ac:dyDescent="0.3">
      <c r="A1" s="75" t="s">
        <v>47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</row>
    <row r="2" spans="1:12" ht="18.75" x14ac:dyDescent="0.3">
      <c r="A2" s="76" t="s">
        <v>48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</row>
    <row r="3" spans="1:12" ht="45" x14ac:dyDescent="0.25">
      <c r="A3" s="1" t="s">
        <v>2</v>
      </c>
      <c r="B3" s="1" t="s">
        <v>3</v>
      </c>
      <c r="C3" s="1" t="s">
        <v>4</v>
      </c>
      <c r="D3" s="4" t="s">
        <v>21</v>
      </c>
      <c r="E3" s="4" t="s">
        <v>51</v>
      </c>
      <c r="F3" s="4" t="s">
        <v>22</v>
      </c>
      <c r="G3" s="4" t="s">
        <v>23</v>
      </c>
      <c r="H3" s="4" t="s">
        <v>51</v>
      </c>
      <c r="I3" s="4" t="s">
        <v>22</v>
      </c>
      <c r="J3" s="4" t="s">
        <v>24</v>
      </c>
      <c r="K3" s="4" t="s">
        <v>51</v>
      </c>
      <c r="L3" s="4" t="s">
        <v>22</v>
      </c>
    </row>
    <row r="4" spans="1:12" x14ac:dyDescent="0.25">
      <c r="A4" s="1" t="s">
        <v>5</v>
      </c>
      <c r="B4" s="1" t="s">
        <v>6</v>
      </c>
      <c r="C4" s="1" t="s">
        <v>7</v>
      </c>
      <c r="D4" s="1">
        <v>148148</v>
      </c>
      <c r="E4" s="5">
        <f>(D4-'2009'!D81)/'2009'!D81</f>
        <v>5.185132592566296E-2</v>
      </c>
      <c r="F4" s="6"/>
      <c r="G4" s="2">
        <v>79051</v>
      </c>
      <c r="H4" s="5" t="e">
        <f>(G4-'2009'!G81)/'2009'!G81</f>
        <v>#DIV/0!</v>
      </c>
      <c r="I4" s="6"/>
      <c r="J4" s="2">
        <v>33389</v>
      </c>
      <c r="K4" s="5" t="e">
        <f>(J4-'2009'!J81)/'2009'!J81</f>
        <v>#DIV/0!</v>
      </c>
      <c r="L4" s="6"/>
    </row>
    <row r="5" spans="1:12" x14ac:dyDescent="0.25">
      <c r="A5" s="1" t="s">
        <v>8</v>
      </c>
      <c r="B5" s="1" t="s">
        <v>9</v>
      </c>
      <c r="C5" s="1" t="s">
        <v>7</v>
      </c>
      <c r="D5" s="2">
        <v>131579</v>
      </c>
      <c r="E5" s="5" t="e">
        <f>(D5-'2009'!D82)/'2009'!D82</f>
        <v>#DIV/0!</v>
      </c>
      <c r="F5" s="6"/>
      <c r="G5" s="2">
        <v>70671</v>
      </c>
      <c r="H5" s="5">
        <f>(G5-'2009'!G82)/'2009'!G82</f>
        <v>-1.4145218664992677E-2</v>
      </c>
      <c r="I5" s="6"/>
      <c r="J5" s="2">
        <v>31696</v>
      </c>
      <c r="K5" s="5" t="e">
        <f>(J5-'2009'!J82)/'2009'!J82</f>
        <v>#DIV/0!</v>
      </c>
      <c r="L5" s="6"/>
    </row>
    <row r="6" spans="1:12" x14ac:dyDescent="0.25">
      <c r="A6" s="1" t="s">
        <v>10</v>
      </c>
      <c r="B6" s="1" t="s">
        <v>9</v>
      </c>
      <c r="C6" s="1" t="s">
        <v>11</v>
      </c>
      <c r="D6" s="2">
        <v>38095</v>
      </c>
      <c r="E6" s="5" t="e">
        <f>(D6-'2009'!D83)/'2009'!D83</f>
        <v>#DIV/0!</v>
      </c>
      <c r="F6" s="6"/>
      <c r="G6" s="2">
        <v>23557</v>
      </c>
      <c r="H6" s="5" t="e">
        <f>(G6-'2009'!G83)/'2009'!G83</f>
        <v>#DIV/0!</v>
      </c>
      <c r="I6" s="6"/>
      <c r="J6" s="2">
        <v>20284</v>
      </c>
      <c r="K6" s="5">
        <f>(J6-'2009'!J83)/'2009'!J83</f>
        <v>1.7251755265797392E-2</v>
      </c>
      <c r="L6" s="6"/>
    </row>
    <row r="7" spans="1:12" x14ac:dyDescent="0.25">
      <c r="A7" s="1" t="s">
        <v>12</v>
      </c>
      <c r="B7" s="1" t="s">
        <v>13</v>
      </c>
      <c r="C7" s="1" t="s">
        <v>11</v>
      </c>
      <c r="D7" s="2">
        <v>35714</v>
      </c>
      <c r="E7" s="5">
        <f>(D7-'2009'!D84)/'2009'!D84</f>
        <v>-2.1427005699254712E-2</v>
      </c>
      <c r="F7" s="6"/>
      <c r="G7" s="2">
        <v>23557</v>
      </c>
      <c r="H7" s="5" t="e">
        <f>(G7-'2009'!G84)/'2009'!G84</f>
        <v>#DIV/0!</v>
      </c>
      <c r="I7" s="6"/>
      <c r="J7" s="2">
        <v>20921</v>
      </c>
      <c r="K7" s="5" t="e">
        <f>(J7-'2009'!J84)/'2009'!J84</f>
        <v>#DIV/0!</v>
      </c>
      <c r="L7" s="6"/>
    </row>
    <row r="8" spans="1:12" x14ac:dyDescent="0.25">
      <c r="A8" s="1" t="s">
        <v>14</v>
      </c>
      <c r="B8" s="1" t="s">
        <v>15</v>
      </c>
      <c r="C8" s="1" t="s">
        <v>11</v>
      </c>
      <c r="D8" s="2">
        <v>35087</v>
      </c>
      <c r="E8" s="5" t="e">
        <f>(D8-'2009'!D85)/'2009'!D85</f>
        <v>#DIV/0!</v>
      </c>
      <c r="F8" s="6"/>
      <c r="G8" s="2">
        <v>22573</v>
      </c>
      <c r="H8" s="5">
        <f>(G8-'2009'!G85)/'2009'!G85</f>
        <v>0</v>
      </c>
      <c r="I8" s="6"/>
      <c r="J8" s="2">
        <v>20202</v>
      </c>
      <c r="K8" s="5" t="e">
        <f>(J8-'2009'!J85)/'2009'!J85</f>
        <v>#DIV/0!</v>
      </c>
      <c r="L8" s="6"/>
    </row>
    <row r="10" spans="1:12" ht="18.75" x14ac:dyDescent="0.3">
      <c r="A10" s="75" t="s">
        <v>47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</row>
    <row r="11" spans="1:12" ht="18.75" x14ac:dyDescent="0.3">
      <c r="A11" s="76" t="s">
        <v>50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</row>
    <row r="12" spans="1:12" ht="45" x14ac:dyDescent="0.25">
      <c r="A12" s="1" t="s">
        <v>2</v>
      </c>
      <c r="B12" s="1" t="s">
        <v>3</v>
      </c>
      <c r="C12" s="1" t="s">
        <v>4</v>
      </c>
      <c r="D12" s="4" t="s">
        <v>21</v>
      </c>
      <c r="E12" s="4" t="s">
        <v>51</v>
      </c>
      <c r="F12" s="4" t="s">
        <v>22</v>
      </c>
      <c r="G12" s="4" t="s">
        <v>23</v>
      </c>
      <c r="H12" s="4" t="s">
        <v>51</v>
      </c>
      <c r="I12" s="4" t="s">
        <v>22</v>
      </c>
      <c r="J12" s="4" t="s">
        <v>24</v>
      </c>
      <c r="K12" s="4" t="s">
        <v>51</v>
      </c>
      <c r="L12" s="4" t="s">
        <v>22</v>
      </c>
    </row>
    <row r="13" spans="1:12" x14ac:dyDescent="0.25">
      <c r="A13" s="1" t="s">
        <v>5</v>
      </c>
      <c r="B13" s="1" t="s">
        <v>6</v>
      </c>
      <c r="C13" s="1" t="s">
        <v>7</v>
      </c>
      <c r="D13" s="1">
        <v>161290</v>
      </c>
      <c r="E13" s="5">
        <f>(D13-'2009'!D32)/'2009'!D32</f>
        <v>0.70160465042674625</v>
      </c>
      <c r="F13" s="6"/>
      <c r="G13" s="2">
        <v>80972</v>
      </c>
      <c r="H13" s="5">
        <f>(G13-'2009'!G32)/'2009'!G32</f>
        <v>0.24291218321641825</v>
      </c>
      <c r="I13" s="6"/>
      <c r="J13" s="2">
        <v>34542</v>
      </c>
      <c r="K13" s="5">
        <f>(J13-'2009'!J32)/'2009'!J32</f>
        <v>0.14506397931446</v>
      </c>
      <c r="L13" s="6"/>
    </row>
    <row r="14" spans="1:12" x14ac:dyDescent="0.25">
      <c r="A14" s="1" t="s">
        <v>8</v>
      </c>
      <c r="B14" s="1" t="s">
        <v>9</v>
      </c>
      <c r="C14" s="1" t="s">
        <v>7</v>
      </c>
      <c r="D14" s="2">
        <v>148148</v>
      </c>
      <c r="E14" s="5">
        <f>(D14-'2009'!D33)/'2009'!D33</f>
        <v>0.67406436449105045</v>
      </c>
      <c r="F14" s="6"/>
      <c r="G14" s="2">
        <v>84746</v>
      </c>
      <c r="H14" s="5">
        <f>(G14-'2009'!G33)/'2009'!G33</f>
        <v>0.41526386105544422</v>
      </c>
      <c r="I14" s="6"/>
      <c r="J14" s="2">
        <v>33389</v>
      </c>
      <c r="K14" s="5">
        <f>(J14-'2009'!J33)/'2009'!J33</f>
        <v>0.1836293381544897</v>
      </c>
      <c r="L14" s="6"/>
    </row>
    <row r="15" spans="1:12" x14ac:dyDescent="0.25">
      <c r="A15" s="1" t="s">
        <v>10</v>
      </c>
      <c r="B15" s="1" t="s">
        <v>9</v>
      </c>
      <c r="C15" s="1" t="s">
        <v>11</v>
      </c>
      <c r="D15" s="2">
        <v>31696</v>
      </c>
      <c r="E15" s="5">
        <f>(D15-'2009'!D34)/'2009'!D34</f>
        <v>0.16009076934338629</v>
      </c>
      <c r="F15" s="6"/>
      <c r="G15" s="2">
        <v>27322</v>
      </c>
      <c r="H15" s="5">
        <f>(G15-'2009'!G34)/'2009'!G34</f>
        <v>0.17075888074731113</v>
      </c>
      <c r="I15" s="6"/>
      <c r="J15" s="2">
        <v>17376</v>
      </c>
      <c r="K15" s="5">
        <f>(J15-'2009'!J34)/'2009'!J34</f>
        <v>0.19809694545956008</v>
      </c>
      <c r="L15" s="6"/>
    </row>
    <row r="16" spans="1:12" x14ac:dyDescent="0.25">
      <c r="A16" s="1" t="s">
        <v>12</v>
      </c>
      <c r="B16" s="1" t="s">
        <v>13</v>
      </c>
      <c r="C16" s="1" t="s">
        <v>11</v>
      </c>
      <c r="D16" s="2">
        <v>123457</v>
      </c>
      <c r="E16" s="5">
        <f>(D16-'2009'!D35)/'2009'!D35</f>
        <v>0.63579870680517281</v>
      </c>
      <c r="F16" s="6"/>
      <c r="G16" s="2">
        <v>42463</v>
      </c>
      <c r="H16" s="5">
        <f>(G16-'2009'!G35)/'2009'!G35</f>
        <v>0.33121198821242709</v>
      </c>
      <c r="I16" s="6"/>
      <c r="J16" s="2">
        <v>10309</v>
      </c>
      <c r="K16" s="5">
        <f>(J16-'2009'!J35)/'2009'!J35</f>
        <v>0.2834910358565737</v>
      </c>
      <c r="L16" s="6"/>
    </row>
    <row r="17" spans="1:12" x14ac:dyDescent="0.25">
      <c r="A17" s="1" t="s">
        <v>14</v>
      </c>
      <c r="B17" s="1" t="s">
        <v>15</v>
      </c>
      <c r="C17" s="1" t="s">
        <v>11</v>
      </c>
      <c r="D17" s="2">
        <v>127389</v>
      </c>
      <c r="E17" s="5">
        <f>(D17-'2009'!D36)/'2009'!D36</f>
        <v>0.55352439024390243</v>
      </c>
      <c r="F17" s="6"/>
      <c r="G17" s="2">
        <v>72464</v>
      </c>
      <c r="H17" s="5">
        <f>(G17-'2009'!G36)/'2009'!G36</f>
        <v>0.21378201370161304</v>
      </c>
      <c r="I17" s="6"/>
      <c r="J17" s="2">
        <v>22497</v>
      </c>
      <c r="K17" s="5">
        <f>(J17-'2009'!J36)/'2009'!J36</f>
        <v>0.10349732672781675</v>
      </c>
      <c r="L17" s="6"/>
    </row>
    <row r="19" spans="1:12" ht="18.75" x14ac:dyDescent="0.3">
      <c r="A19" s="75" t="s">
        <v>55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</row>
    <row r="20" spans="1:12" ht="18.75" x14ac:dyDescent="0.3">
      <c r="A20" s="76" t="s">
        <v>56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</row>
    <row r="21" spans="1:12" ht="45" x14ac:dyDescent="0.25">
      <c r="A21" s="1" t="s">
        <v>2</v>
      </c>
      <c r="B21" s="1" t="s">
        <v>3</v>
      </c>
      <c r="C21" s="1" t="s">
        <v>4</v>
      </c>
      <c r="D21" s="4" t="s">
        <v>21</v>
      </c>
      <c r="E21" s="4" t="s">
        <v>58</v>
      </c>
      <c r="F21" s="4" t="s">
        <v>22</v>
      </c>
      <c r="G21" s="4" t="s">
        <v>23</v>
      </c>
      <c r="H21" s="4" t="s">
        <v>58</v>
      </c>
      <c r="I21" s="4" t="s">
        <v>22</v>
      </c>
      <c r="J21" s="4" t="s">
        <v>24</v>
      </c>
      <c r="K21" s="4"/>
      <c r="L21" s="4"/>
    </row>
    <row r="22" spans="1:12" x14ac:dyDescent="0.25">
      <c r="A22" s="1" t="s">
        <v>5</v>
      </c>
      <c r="B22" s="1" t="s">
        <v>6</v>
      </c>
      <c r="C22" s="1" t="s">
        <v>7</v>
      </c>
      <c r="D22" s="1">
        <v>160256</v>
      </c>
      <c r="E22" s="5">
        <f>(D22-'2009'!D62)/'2009'!D62</f>
        <v>8.0071454180635666E-3</v>
      </c>
      <c r="F22" s="6"/>
      <c r="G22" s="2">
        <v>99305</v>
      </c>
      <c r="H22" s="5">
        <f>(G22-'2009'!G62)/'2009'!G62</f>
        <v>-1.0926077169777495E-2</v>
      </c>
      <c r="I22" s="6"/>
      <c r="K22" s="5"/>
      <c r="L22" s="6"/>
    </row>
    <row r="23" spans="1:12" x14ac:dyDescent="0.25">
      <c r="A23" s="1" t="s">
        <v>8</v>
      </c>
      <c r="B23" s="1" t="s">
        <v>9</v>
      </c>
      <c r="C23" s="1" t="s">
        <v>7</v>
      </c>
      <c r="D23" s="2">
        <v>152439</v>
      </c>
      <c r="E23" s="5">
        <f>(D23-'2009'!D63)/'2009'!D63</f>
        <v>6.0984060984060982E-3</v>
      </c>
      <c r="F23" s="6"/>
      <c r="G23" s="2">
        <v>84746</v>
      </c>
      <c r="H23" s="5">
        <f>(G23-'2009'!G63)/'2009'!G63</f>
        <v>-6.525335862875295E-2</v>
      </c>
      <c r="I23" s="6"/>
      <c r="J23" s="2"/>
      <c r="K23" s="5"/>
      <c r="L23" s="6"/>
    </row>
    <row r="24" spans="1:12" x14ac:dyDescent="0.25">
      <c r="A24" s="1" t="s">
        <v>10</v>
      </c>
      <c r="B24" s="1" t="s">
        <v>9</v>
      </c>
      <c r="C24" s="1" t="s">
        <v>11</v>
      </c>
      <c r="D24" s="2">
        <v>85034</v>
      </c>
      <c r="E24" s="5">
        <f>(D24-'2009'!D64)/'2009'!D64</f>
        <v>-4.2507348033303275E-3</v>
      </c>
      <c r="F24" s="6"/>
      <c r="G24" s="2">
        <v>56497</v>
      </c>
      <c r="H24" s="5">
        <f>(G24-'2009'!G64)/'2009'!G64</f>
        <v>0</v>
      </c>
      <c r="I24" s="6"/>
      <c r="J24" s="2"/>
      <c r="K24" s="5"/>
      <c r="L24" s="6"/>
    </row>
    <row r="25" spans="1:12" x14ac:dyDescent="0.25">
      <c r="A25" s="1" t="s">
        <v>12</v>
      </c>
      <c r="B25" s="1" t="s">
        <v>13</v>
      </c>
      <c r="C25" s="1" t="s">
        <v>11</v>
      </c>
      <c r="D25" s="2">
        <v>78370</v>
      </c>
      <c r="E25" s="5">
        <f>(D25-'2009'!D65)/'2009'!D65</f>
        <v>-6.8177494530581181E-2</v>
      </c>
      <c r="F25" s="6"/>
      <c r="G25" s="2">
        <v>55494</v>
      </c>
      <c r="H25" s="5">
        <f>(G25-'2009'!G65)/'2009'!G65</f>
        <v>-6.6590415958824617E-2</v>
      </c>
      <c r="I25" s="6"/>
      <c r="J25" s="2"/>
      <c r="K25" s="5"/>
      <c r="L25" s="6"/>
    </row>
    <row r="26" spans="1:12" x14ac:dyDescent="0.25">
      <c r="A26" s="1" t="s">
        <v>14</v>
      </c>
      <c r="B26" s="1" t="s">
        <v>15</v>
      </c>
      <c r="C26" s="1" t="s">
        <v>11</v>
      </c>
      <c r="D26" s="2">
        <v>77519</v>
      </c>
      <c r="E26" s="5">
        <f>(D26-'2009'!D66)/'2009'!D66</f>
        <v>-5.8149565639997569E-2</v>
      </c>
      <c r="F26" s="6"/>
      <c r="G26" s="2">
        <v>51546</v>
      </c>
      <c r="H26" s="5">
        <f>(G26-'2009'!G66)/'2009'!G66</f>
        <v>-0.14742222001687094</v>
      </c>
      <c r="I26" s="6"/>
      <c r="J26" s="2"/>
      <c r="K26" s="5"/>
      <c r="L26" s="6"/>
    </row>
    <row r="27" spans="1:12" x14ac:dyDescent="0.25">
      <c r="D27" s="12"/>
      <c r="E27" s="13"/>
      <c r="F27" s="14"/>
      <c r="G27" s="12"/>
      <c r="H27" s="13"/>
      <c r="I27" s="14"/>
      <c r="J27" s="12"/>
      <c r="K27" s="13"/>
      <c r="L27" s="14"/>
    </row>
    <row r="28" spans="1:12" ht="18.75" x14ac:dyDescent="0.3">
      <c r="A28" s="75" t="s">
        <v>53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</row>
    <row r="29" spans="1:12" ht="18.75" x14ac:dyDescent="0.3">
      <c r="A29" s="76" t="s">
        <v>54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</row>
    <row r="30" spans="1:12" ht="45" x14ac:dyDescent="0.25">
      <c r="A30" s="1" t="s">
        <v>2</v>
      </c>
      <c r="B30" s="1" t="s">
        <v>3</v>
      </c>
      <c r="C30" s="1" t="s">
        <v>4</v>
      </c>
      <c r="D30" s="4" t="s">
        <v>21</v>
      </c>
      <c r="E30" s="4" t="s">
        <v>58</v>
      </c>
      <c r="F30" s="4" t="s">
        <v>22</v>
      </c>
      <c r="G30" s="4" t="s">
        <v>23</v>
      </c>
      <c r="H30" s="4" t="s">
        <v>58</v>
      </c>
      <c r="I30" s="4" t="s">
        <v>22</v>
      </c>
      <c r="J30" s="4" t="s">
        <v>24</v>
      </c>
      <c r="K30" s="4"/>
      <c r="L30" s="4"/>
    </row>
    <row r="31" spans="1:12" x14ac:dyDescent="0.25">
      <c r="A31" s="1" t="s">
        <v>5</v>
      </c>
      <c r="B31" s="1" t="s">
        <v>6</v>
      </c>
      <c r="C31" s="1" t="s">
        <v>7</v>
      </c>
      <c r="D31" s="1">
        <v>156495</v>
      </c>
      <c r="E31" s="5">
        <f>(D31-'2009'!D71)/'2009'!D71</f>
        <v>5.4775962471692009E-2</v>
      </c>
      <c r="F31" s="6"/>
      <c r="G31" s="2">
        <v>101937</v>
      </c>
      <c r="H31" s="5">
        <f>(G31-'2009'!G71)/'2009'!G71</f>
        <v>-6.1132561132561129E-3</v>
      </c>
      <c r="I31" s="6"/>
      <c r="J31" s="2"/>
      <c r="K31" s="5"/>
      <c r="L31" s="6"/>
    </row>
    <row r="32" spans="1:12" x14ac:dyDescent="0.25">
      <c r="A32" s="1" t="s">
        <v>8</v>
      </c>
      <c r="B32" s="1" t="s">
        <v>9</v>
      </c>
      <c r="C32" s="1" t="s">
        <v>7</v>
      </c>
      <c r="D32" s="2">
        <v>153139</v>
      </c>
      <c r="E32" s="5">
        <f>(D32-'2009'!D72)/'2009'!D72</f>
        <v>0.27258449188528883</v>
      </c>
      <c r="F32" s="6"/>
      <c r="G32" s="2">
        <v>95057</v>
      </c>
      <c r="H32" s="5">
        <f>(G32-'2009'!G72)/'2009'!G72</f>
        <v>-9.503068699267472E-3</v>
      </c>
      <c r="I32" s="6"/>
      <c r="J32" s="2"/>
      <c r="K32" s="5"/>
      <c r="L32" s="6"/>
    </row>
    <row r="33" spans="1:12" x14ac:dyDescent="0.25">
      <c r="A33" s="1" t="s">
        <v>10</v>
      </c>
      <c r="B33" s="1" t="s">
        <v>9</v>
      </c>
      <c r="C33" s="1" t="s">
        <v>11</v>
      </c>
      <c r="D33" s="2">
        <v>60096</v>
      </c>
      <c r="E33" s="5">
        <f>(D33-'2009'!D73)/'2009'!D73</f>
        <v>6.0099843003051739E-2</v>
      </c>
      <c r="F33" s="6"/>
      <c r="G33" s="2">
        <v>43611</v>
      </c>
      <c r="H33" s="5">
        <f>(G33-'2009'!G73)/'2009'!G73</f>
        <v>1.5271796065650099E-2</v>
      </c>
      <c r="I33" s="6"/>
      <c r="J33" s="2"/>
      <c r="K33" s="5"/>
      <c r="L33" s="6"/>
    </row>
    <row r="34" spans="1:12" x14ac:dyDescent="0.25">
      <c r="A34" s="1" t="s">
        <v>12</v>
      </c>
      <c r="B34" s="1" t="s">
        <v>13</v>
      </c>
      <c r="C34" s="1" t="s">
        <v>11</v>
      </c>
      <c r="D34" s="2">
        <v>125313</v>
      </c>
      <c r="E34" s="5">
        <f>(D34-'2009'!D74)/'2009'!D74</f>
        <v>-5.7648200091743811E-2</v>
      </c>
      <c r="F34" s="6"/>
      <c r="G34" s="2">
        <v>94162</v>
      </c>
      <c r="H34" s="5">
        <f>(G34-'2009'!G74)/'2009'!G74</f>
        <v>5.7441575797050996E-2</v>
      </c>
      <c r="I34" s="6"/>
      <c r="J34" s="2"/>
      <c r="K34" s="5"/>
      <c r="L34" s="6"/>
    </row>
    <row r="35" spans="1:12" x14ac:dyDescent="0.25">
      <c r="A35" s="1" t="s">
        <v>14</v>
      </c>
      <c r="B35" s="1" t="s">
        <v>15</v>
      </c>
      <c r="C35" s="1" t="s">
        <v>11</v>
      </c>
      <c r="D35" s="2">
        <v>145349</v>
      </c>
      <c r="E35" s="5">
        <f>(D35-'2009'!D75)/'2009'!D75</f>
        <v>0.10174643360671892</v>
      </c>
      <c r="F35" s="6"/>
      <c r="G35" s="2">
        <v>82102</v>
      </c>
      <c r="H35" s="5">
        <f>(G35-'2009'!G75)/'2009'!G75</f>
        <v>7.8005803495227219E-2</v>
      </c>
      <c r="I35" s="6"/>
      <c r="J35" s="2"/>
      <c r="K35" s="5"/>
      <c r="L35" s="6"/>
    </row>
    <row r="37" spans="1:12" ht="18.75" x14ac:dyDescent="0.3">
      <c r="A37" s="75" t="s">
        <v>53</v>
      </c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</row>
    <row r="38" spans="1:12" ht="18.75" x14ac:dyDescent="0.3">
      <c r="A38" s="76" t="s">
        <v>57</v>
      </c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</row>
    <row r="39" spans="1:12" ht="45" x14ac:dyDescent="0.25">
      <c r="A39" s="1" t="s">
        <v>2</v>
      </c>
      <c r="B39" s="1" t="s">
        <v>3</v>
      </c>
      <c r="C39" s="1" t="s">
        <v>4</v>
      </c>
      <c r="D39" s="4" t="s">
        <v>21</v>
      </c>
      <c r="E39" s="4" t="s">
        <v>59</v>
      </c>
      <c r="F39" s="4" t="s">
        <v>22</v>
      </c>
      <c r="G39" s="4" t="s">
        <v>23</v>
      </c>
      <c r="H39" s="4" t="s">
        <v>59</v>
      </c>
      <c r="I39" s="4" t="s">
        <v>22</v>
      </c>
      <c r="J39" s="4" t="s">
        <v>24</v>
      </c>
      <c r="K39" s="4" t="s">
        <v>59</v>
      </c>
      <c r="L39" s="4" t="s">
        <v>22</v>
      </c>
    </row>
    <row r="40" spans="1:12" x14ac:dyDescent="0.25">
      <c r="A40" s="1" t="s">
        <v>5</v>
      </c>
      <c r="B40" s="1" t="s">
        <v>6</v>
      </c>
      <c r="C40" s="1" t="s">
        <v>7</v>
      </c>
      <c r="D40" s="1">
        <v>161290</v>
      </c>
      <c r="E40" s="5">
        <f>(D40-'2009'!D23)/'2009'!D23</f>
        <v>0.11289743872819608</v>
      </c>
      <c r="F40" s="6"/>
      <c r="G40" s="2">
        <v>80972</v>
      </c>
      <c r="H40" s="5">
        <f>(G40-'2009'!G23)/'2009'!G23</f>
        <v>1.2149999999999999E-2</v>
      </c>
      <c r="I40" s="6"/>
      <c r="J40" s="2">
        <v>31299</v>
      </c>
      <c r="K40" s="5">
        <f>(J40-'2009'!J23)/'2009'!J23</f>
        <v>-3.4428505321610368E-2</v>
      </c>
      <c r="L40" s="6"/>
    </row>
    <row r="41" spans="1:12" x14ac:dyDescent="0.25">
      <c r="A41" s="1" t="s">
        <v>8</v>
      </c>
      <c r="B41" s="1" t="s">
        <v>9</v>
      </c>
      <c r="C41" s="1" t="s">
        <v>7</v>
      </c>
      <c r="D41" s="2">
        <v>150376</v>
      </c>
      <c r="E41" s="5">
        <f>(D41-'2009'!D24)/'2009'!D24</f>
        <v>0.11278351278351278</v>
      </c>
      <c r="F41" s="6"/>
      <c r="G41" s="2">
        <v>76046</v>
      </c>
      <c r="H41" s="5">
        <f>(G41-'2009'!G24)/'2009'!G24</f>
        <v>7.984607301591809E-2</v>
      </c>
      <c r="I41" s="6"/>
      <c r="J41" s="2">
        <v>32258</v>
      </c>
      <c r="K41" s="5">
        <f>(J41-'2009'!J24)/'2009'!J24</f>
        <v>4.9996745003580499E-2</v>
      </c>
      <c r="L41" s="6"/>
    </row>
    <row r="42" spans="1:12" x14ac:dyDescent="0.25">
      <c r="A42" s="1" t="s">
        <v>10</v>
      </c>
      <c r="B42" s="1" t="s">
        <v>9</v>
      </c>
      <c r="C42" s="1" t="s">
        <v>11</v>
      </c>
      <c r="D42" s="2">
        <v>45045</v>
      </c>
      <c r="E42" s="5">
        <f>(D42-'2009'!D25)/'2009'!D25</f>
        <v>0.30406461698801457</v>
      </c>
      <c r="F42" s="6"/>
      <c r="G42" s="2">
        <v>30166</v>
      </c>
      <c r="H42" s="5">
        <f>(G42-'2009'!G25)/'2009'!G25</f>
        <v>0.42084687485280958</v>
      </c>
      <c r="I42" s="6"/>
      <c r="J42" s="2">
        <v>24155</v>
      </c>
      <c r="K42" s="5">
        <f>(J42-'2009'!J25)/'2009'!J25</f>
        <v>0.31527361829567113</v>
      </c>
      <c r="L42" s="6"/>
    </row>
    <row r="43" spans="1:12" x14ac:dyDescent="0.25">
      <c r="A43" s="1" t="s">
        <v>12</v>
      </c>
      <c r="B43" s="1" t="s">
        <v>13</v>
      </c>
      <c r="C43" s="1" t="s">
        <v>11</v>
      </c>
      <c r="D43" s="2">
        <v>41494</v>
      </c>
      <c r="E43" s="5">
        <f>(D43-'2009'!D26)/'2009'!D26</f>
        <v>0.24274461649046092</v>
      </c>
      <c r="F43" s="6"/>
      <c r="G43" s="2">
        <v>28209</v>
      </c>
      <c r="H43" s="5">
        <f>(G43-'2009'!G26)/'2009'!G26</f>
        <v>0.39070203115756263</v>
      </c>
      <c r="I43" s="6"/>
      <c r="J43" s="2">
        <v>21231</v>
      </c>
      <c r="K43" s="5">
        <f>(J43-'2009'!J26)/'2009'!J26</f>
        <v>0.17936895900455505</v>
      </c>
      <c r="L43" s="6"/>
    </row>
    <row r="44" spans="1:12" x14ac:dyDescent="0.25">
      <c r="A44" s="1" t="s">
        <v>14</v>
      </c>
      <c r="B44" s="1" t="s">
        <v>15</v>
      </c>
      <c r="C44" s="1" t="s">
        <v>11</v>
      </c>
      <c r="D44" s="2">
        <v>40984</v>
      </c>
      <c r="E44" s="5">
        <f>(D44-'2009'!D27)/'2009'!D27</f>
        <v>0.3032721722262855</v>
      </c>
      <c r="F44" s="6"/>
      <c r="G44" s="2">
        <v>29197</v>
      </c>
      <c r="H44" s="5">
        <f>(G44-'2009'!G27)/'2009'!G27</f>
        <v>0.43941037270755273</v>
      </c>
      <c r="I44" s="6"/>
      <c r="J44" s="2">
        <v>21053</v>
      </c>
      <c r="K44" s="5">
        <f>(J44-'2009'!J27)/'2009'!J27</f>
        <v>0.19266938590527985</v>
      </c>
      <c r="L44" s="6"/>
    </row>
    <row r="45" spans="1:12" x14ac:dyDescent="0.25">
      <c r="A45" s="15" t="s">
        <v>62</v>
      </c>
    </row>
    <row r="46" spans="1:12" ht="18.75" x14ac:dyDescent="0.3">
      <c r="A46" s="75" t="s">
        <v>55</v>
      </c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</row>
    <row r="47" spans="1:12" ht="18.75" x14ac:dyDescent="0.3">
      <c r="A47" s="76" t="s">
        <v>60</v>
      </c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</row>
    <row r="48" spans="1:12" ht="45" x14ac:dyDescent="0.25">
      <c r="A48" s="1" t="s">
        <v>2</v>
      </c>
      <c r="B48" s="1" t="s">
        <v>3</v>
      </c>
      <c r="C48" s="1" t="s">
        <v>4</v>
      </c>
      <c r="D48" s="4" t="s">
        <v>21</v>
      </c>
      <c r="E48" s="4" t="s">
        <v>59</v>
      </c>
      <c r="F48" s="4" t="s">
        <v>22</v>
      </c>
      <c r="G48" s="4" t="s">
        <v>23</v>
      </c>
      <c r="H48" s="4" t="s">
        <v>59</v>
      </c>
      <c r="I48" s="4" t="s">
        <v>22</v>
      </c>
      <c r="J48" s="4" t="s">
        <v>24</v>
      </c>
      <c r="K48" s="4" t="s">
        <v>59</v>
      </c>
      <c r="L48" s="4" t="s">
        <v>22</v>
      </c>
    </row>
    <row r="49" spans="1:12" x14ac:dyDescent="0.25">
      <c r="A49" s="1" t="s">
        <v>5</v>
      </c>
      <c r="B49" s="1" t="s">
        <v>6</v>
      </c>
      <c r="C49" s="1" t="s">
        <v>7</v>
      </c>
      <c r="D49" s="1">
        <v>178571</v>
      </c>
      <c r="E49" s="5">
        <f>(D49-'2009'!D32)/'2009'!D32</f>
        <v>0.88391868083175962</v>
      </c>
      <c r="F49" s="6"/>
      <c r="G49" s="2">
        <v>86382</v>
      </c>
      <c r="H49" s="5">
        <f>(G49-'2009'!G32)/'2009'!G32</f>
        <v>0.32595514758929806</v>
      </c>
      <c r="I49" s="6"/>
      <c r="J49" s="2">
        <v>31696</v>
      </c>
      <c r="K49" s="5">
        <f>(J49-'2009'!J32)/'2009'!J32</f>
        <v>5.0719352913876553E-2</v>
      </c>
      <c r="L49" s="6"/>
    </row>
    <row r="50" spans="1:12" x14ac:dyDescent="0.25">
      <c r="A50" s="1" t="s">
        <v>8</v>
      </c>
      <c r="B50" s="1" t="s">
        <v>9</v>
      </c>
      <c r="C50" s="1" t="s">
        <v>7</v>
      </c>
      <c r="D50" s="2">
        <v>170940</v>
      </c>
      <c r="E50" s="5">
        <f>(D50-'2009'!D33)/'2009'!D33</f>
        <v>0.9316127282589044</v>
      </c>
      <c r="F50" s="6"/>
      <c r="G50" s="2">
        <v>80972</v>
      </c>
      <c r="H50" s="5">
        <f>(G50-'2009'!G33)/'2009'!G33</f>
        <v>0.3522378089512358</v>
      </c>
      <c r="I50" s="6"/>
      <c r="J50" s="2">
        <v>33389</v>
      </c>
      <c r="K50" s="5">
        <f>(J50-'2009'!J33)/'2009'!J33</f>
        <v>0.1836293381544897</v>
      </c>
      <c r="L50" s="6"/>
    </row>
    <row r="51" spans="1:12" x14ac:dyDescent="0.25">
      <c r="A51" s="1" t="s">
        <v>10</v>
      </c>
      <c r="B51" s="1" t="s">
        <v>9</v>
      </c>
      <c r="C51" s="1" t="s">
        <v>11</v>
      </c>
      <c r="D51" s="2">
        <v>27701</v>
      </c>
      <c r="E51" s="5">
        <f>(D51-'2009'!D34)/'2009'!D34</f>
        <v>1.3871605299758437E-2</v>
      </c>
      <c r="F51" s="6"/>
      <c r="G51" s="2">
        <v>27701</v>
      </c>
      <c r="H51" s="5">
        <f>(G51-'2009'!G34)/'2009'!G34</f>
        <v>0.1869991858422248</v>
      </c>
      <c r="I51" s="6"/>
      <c r="J51" s="2">
        <v>18365</v>
      </c>
      <c r="K51" s="5">
        <f>(J51-'2009'!J34)/'2009'!J34</f>
        <v>0.26628973315865684</v>
      </c>
      <c r="L51" s="6"/>
    </row>
    <row r="52" spans="1:12" x14ac:dyDescent="0.25">
      <c r="A52" s="1" t="s">
        <v>12</v>
      </c>
      <c r="B52" s="1" t="s">
        <v>13</v>
      </c>
      <c r="C52" s="1" t="s">
        <v>11</v>
      </c>
      <c r="D52" s="2">
        <v>120482</v>
      </c>
      <c r="E52" s="5">
        <f>(D52-'2009'!D35)/'2009'!D35</f>
        <v>0.59638011447954209</v>
      </c>
      <c r="F52" s="6"/>
      <c r="G52" s="2">
        <v>73801</v>
      </c>
      <c r="H52" s="5">
        <f>(G52-'2009'!G35)/'2009'!G35</f>
        <v>1.3136560285911343</v>
      </c>
      <c r="I52" s="6"/>
      <c r="J52" s="2">
        <v>31696</v>
      </c>
      <c r="K52" s="5">
        <f>(J52-'2009'!J35)/'2009'!J35</f>
        <v>2.9462151394422311</v>
      </c>
      <c r="L52" s="6"/>
    </row>
    <row r="53" spans="1:12" x14ac:dyDescent="0.25">
      <c r="A53" s="1" t="s">
        <v>14</v>
      </c>
      <c r="B53" s="1" t="s">
        <v>15</v>
      </c>
      <c r="C53" s="1" t="s">
        <v>11</v>
      </c>
      <c r="D53" s="2">
        <v>104712</v>
      </c>
      <c r="E53" s="5">
        <f>(D53-'2009'!D36)/'2009'!D36</f>
        <v>0.27697560975609758</v>
      </c>
      <c r="F53" s="6"/>
      <c r="G53" s="2">
        <v>50251</v>
      </c>
      <c r="H53" s="5">
        <f>(G53-'2009'!G36)/'2009'!G36</f>
        <v>-0.15828880588264854</v>
      </c>
      <c r="I53" s="6"/>
      <c r="J53" s="2">
        <v>15060</v>
      </c>
      <c r="K53" s="5">
        <f>(J53-'2009'!J36)/'2009'!J36</f>
        <v>-0.26129396183842646</v>
      </c>
      <c r="L53" s="6"/>
    </row>
    <row r="54" spans="1:12" x14ac:dyDescent="0.25">
      <c r="A54" s="15" t="s">
        <v>62</v>
      </c>
    </row>
    <row r="55" spans="1:12" ht="18.75" x14ac:dyDescent="0.3">
      <c r="A55" s="75" t="s">
        <v>55</v>
      </c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</row>
    <row r="56" spans="1:12" ht="18.75" x14ac:dyDescent="0.3">
      <c r="A56" s="76" t="s">
        <v>61</v>
      </c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</row>
    <row r="57" spans="1:12" ht="45" x14ac:dyDescent="0.25">
      <c r="A57" s="1" t="s">
        <v>2</v>
      </c>
      <c r="B57" s="1" t="s">
        <v>3</v>
      </c>
      <c r="C57" s="1" t="s">
        <v>4</v>
      </c>
      <c r="D57" s="4" t="s">
        <v>21</v>
      </c>
      <c r="E57" s="4" t="s">
        <v>59</v>
      </c>
      <c r="F57" s="4" t="s">
        <v>22</v>
      </c>
      <c r="G57" s="4" t="s">
        <v>23</v>
      </c>
      <c r="H57" s="4" t="s">
        <v>59</v>
      </c>
      <c r="I57" s="4" t="s">
        <v>22</v>
      </c>
      <c r="J57" s="4" t="s">
        <v>24</v>
      </c>
      <c r="K57" s="4" t="s">
        <v>59</v>
      </c>
      <c r="L57" s="4" t="s">
        <v>22</v>
      </c>
    </row>
    <row r="58" spans="1:12" x14ac:dyDescent="0.25">
      <c r="A58" s="1" t="s">
        <v>5</v>
      </c>
      <c r="B58" s="1" t="s">
        <v>6</v>
      </c>
      <c r="C58" s="1" t="s">
        <v>7</v>
      </c>
      <c r="D58" s="1">
        <v>181818</v>
      </c>
      <c r="E58" s="5">
        <f>(D58-'2009'!D32)/'2009'!D32</f>
        <v>0.9181744332028654</v>
      </c>
      <c r="F58" s="6"/>
      <c r="G58" s="2">
        <v>81633</v>
      </c>
      <c r="H58" s="5">
        <f>(G58-'2009'!G32)/'2009'!G32</f>
        <v>0.25305846777288288</v>
      </c>
      <c r="I58" s="6"/>
      <c r="J58" s="2">
        <v>31696</v>
      </c>
      <c r="K58" s="5">
        <f>(J58-'2009'!J32)/'2009'!J32</f>
        <v>5.0719352913876553E-2</v>
      </c>
      <c r="L58" s="6"/>
    </row>
    <row r="59" spans="1:12" x14ac:dyDescent="0.25">
      <c r="A59" s="1" t="s">
        <v>8</v>
      </c>
      <c r="B59" s="1" t="s">
        <v>9</v>
      </c>
      <c r="C59" s="1" t="s">
        <v>7</v>
      </c>
      <c r="D59" s="2">
        <v>173913</v>
      </c>
      <c r="E59" s="5">
        <f>(D59-'2009'!D33)/'2009'!D33</f>
        <v>0.96520746700415838</v>
      </c>
      <c r="F59" s="6"/>
      <c r="G59" s="2">
        <v>80972</v>
      </c>
      <c r="H59" s="5">
        <f>(G59-'2009'!G33)/'2009'!G33</f>
        <v>0.3522378089512358</v>
      </c>
      <c r="I59" s="6"/>
      <c r="J59" s="2">
        <v>33003</v>
      </c>
      <c r="K59" s="5">
        <f>(J59-'2009'!J33)/'2009'!J33</f>
        <v>0.16994576199085398</v>
      </c>
      <c r="L59" s="6"/>
    </row>
    <row r="60" spans="1:12" x14ac:dyDescent="0.25">
      <c r="A60" s="1" t="s">
        <v>10</v>
      </c>
      <c r="B60" s="1" t="s">
        <v>9</v>
      </c>
      <c r="C60" s="1" t="s">
        <v>11</v>
      </c>
      <c r="D60" s="2">
        <v>36036</v>
      </c>
      <c r="E60" s="5">
        <f>(D60-'2009'!D34)/'2009'!D34</f>
        <v>0.31893712026937998</v>
      </c>
      <c r="F60" s="6"/>
      <c r="G60" s="2">
        <v>29197</v>
      </c>
      <c r="H60" s="5">
        <f>(G60-'2009'!G34)/'2009'!G34</f>
        <v>0.25110339803745124</v>
      </c>
      <c r="I60" s="6"/>
      <c r="J60" s="2">
        <v>26385</v>
      </c>
      <c r="K60" s="5">
        <f>(J60-'2009'!J34)/'2009'!J34</f>
        <v>0.81927876990967385</v>
      </c>
      <c r="L60" s="6"/>
    </row>
    <row r="61" spans="1:12" x14ac:dyDescent="0.25">
      <c r="A61" s="1" t="s">
        <v>12</v>
      </c>
      <c r="B61" s="1" t="s">
        <v>13</v>
      </c>
      <c r="C61" s="1" t="s">
        <v>11</v>
      </c>
      <c r="D61" s="2">
        <v>129032</v>
      </c>
      <c r="E61" s="5">
        <f>(D61-'2009'!D35)/'2009'!D35</f>
        <v>0.70966716133135466</v>
      </c>
      <c r="F61" s="6"/>
      <c r="G61" s="2">
        <v>80972</v>
      </c>
      <c r="H61" s="5">
        <f>(G61-'2009'!G35)/'2009'!G35</f>
        <v>1.5384663615273686</v>
      </c>
      <c r="I61" s="6"/>
      <c r="J61" s="2">
        <v>30722</v>
      </c>
      <c r="K61" s="5">
        <f>(J61-'2009'!J35)/'2009'!J35</f>
        <v>2.8249501992031871</v>
      </c>
      <c r="L61" s="6"/>
    </row>
    <row r="62" spans="1:12" x14ac:dyDescent="0.25">
      <c r="A62" s="1" t="s">
        <v>14</v>
      </c>
      <c r="B62" s="1" t="s">
        <v>15</v>
      </c>
      <c r="C62" s="1" t="s">
        <v>11</v>
      </c>
      <c r="D62" s="2">
        <v>122699</v>
      </c>
      <c r="E62" s="5">
        <f>(D62-'2009'!D36)/'2009'!D36</f>
        <v>0.49632926829268292</v>
      </c>
      <c r="F62" s="6"/>
      <c r="G62" s="2">
        <v>46838</v>
      </c>
      <c r="H62" s="5">
        <f>(G62-'2009'!G36)/'2009'!G36</f>
        <v>-0.21545702752047705</v>
      </c>
      <c r="I62" s="6"/>
      <c r="J62" s="2">
        <v>11416</v>
      </c>
      <c r="K62" s="5">
        <f>(J62-'2009'!J36)/'2009'!J36</f>
        <v>-0.44003531662333839</v>
      </c>
      <c r="L62" s="6"/>
    </row>
    <row r="63" spans="1:12" x14ac:dyDescent="0.25">
      <c r="A63" s="15" t="s">
        <v>62</v>
      </c>
    </row>
    <row r="65" spans="1:12" ht="18.75" x14ac:dyDescent="0.3">
      <c r="A65" s="75" t="s">
        <v>63</v>
      </c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</row>
    <row r="66" spans="1:12" ht="18.75" x14ac:dyDescent="0.3">
      <c r="A66" s="76" t="s">
        <v>64</v>
      </c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</row>
    <row r="67" spans="1:12" ht="45" x14ac:dyDescent="0.25">
      <c r="A67" s="1" t="s">
        <v>2</v>
      </c>
      <c r="B67" s="1" t="s">
        <v>3</v>
      </c>
      <c r="C67" s="1" t="s">
        <v>4</v>
      </c>
      <c r="D67" s="4" t="s">
        <v>21</v>
      </c>
      <c r="E67" s="4" t="s">
        <v>65</v>
      </c>
      <c r="F67" s="4" t="s">
        <v>22</v>
      </c>
      <c r="G67" s="4" t="s">
        <v>23</v>
      </c>
      <c r="H67" s="4" t="s">
        <v>65</v>
      </c>
      <c r="I67" s="4" t="s">
        <v>22</v>
      </c>
      <c r="J67" s="4" t="s">
        <v>24</v>
      </c>
      <c r="K67" s="4"/>
      <c r="L67" s="4"/>
    </row>
    <row r="68" spans="1:12" x14ac:dyDescent="0.25">
      <c r="A68" s="1" t="s">
        <v>5</v>
      </c>
      <c r="B68" s="1" t="s">
        <v>6</v>
      </c>
      <c r="C68" s="1" t="s">
        <v>7</v>
      </c>
      <c r="D68" s="1">
        <v>144509</v>
      </c>
      <c r="E68" s="5">
        <f>(D68-D31)/D31</f>
        <v>-7.6590306399565475E-2</v>
      </c>
      <c r="F68" s="6"/>
      <c r="G68" s="2">
        <v>111982</v>
      </c>
      <c r="H68" s="5">
        <f>(G68-G31)/G31</f>
        <v>9.8541255873725933E-2</v>
      </c>
      <c r="I68" s="6"/>
      <c r="J68" s="2">
        <v>36644</v>
      </c>
      <c r="K68" s="5"/>
      <c r="L68" s="6"/>
    </row>
    <row r="69" spans="1:12" x14ac:dyDescent="0.25">
      <c r="A69" s="1" t="s">
        <v>8</v>
      </c>
      <c r="B69" s="1" t="s">
        <v>9</v>
      </c>
      <c r="C69" s="1" t="s">
        <v>7</v>
      </c>
      <c r="D69" s="2">
        <v>143885</v>
      </c>
      <c r="E69" s="5">
        <f>(D69-D32)/D32</f>
        <v>-6.042876079901266E-2</v>
      </c>
      <c r="F69" s="6"/>
      <c r="G69" s="2">
        <v>106157</v>
      </c>
      <c r="H69" s="5">
        <f>(G69-G32)/G32</f>
        <v>0.11677204203793513</v>
      </c>
      <c r="I69" s="6"/>
      <c r="J69" s="2">
        <v>32113</v>
      </c>
      <c r="K69" s="5"/>
      <c r="L69" s="6"/>
    </row>
    <row r="70" spans="1:12" x14ac:dyDescent="0.25">
      <c r="A70" s="1" t="s">
        <v>10</v>
      </c>
      <c r="B70" s="1" t="s">
        <v>9</v>
      </c>
      <c r="C70" s="1" t="s">
        <v>11</v>
      </c>
      <c r="D70" s="2">
        <v>65445</v>
      </c>
      <c r="E70" s="5">
        <f>(D70-D33)/D33</f>
        <v>8.9007587859424919E-2</v>
      </c>
      <c r="F70" s="6"/>
      <c r="G70" s="2">
        <v>56497</v>
      </c>
      <c r="H70" s="5">
        <f>(G70-G33)/G33</f>
        <v>0.29547591204054025</v>
      </c>
      <c r="I70" s="6"/>
      <c r="J70" s="2">
        <v>28176</v>
      </c>
      <c r="K70" s="5"/>
      <c r="L70" s="6"/>
    </row>
    <row r="71" spans="1:12" x14ac:dyDescent="0.25">
      <c r="A71" s="1" t="s">
        <v>12</v>
      </c>
      <c r="B71" s="1" t="s">
        <v>13</v>
      </c>
      <c r="C71" s="1" t="s">
        <v>7</v>
      </c>
      <c r="D71" s="2">
        <v>155520</v>
      </c>
      <c r="E71" s="5">
        <f>(D71-D34)/D34</f>
        <v>0.24105240477843479</v>
      </c>
      <c r="F71" s="6"/>
      <c r="G71" s="2">
        <v>107758</v>
      </c>
      <c r="H71" s="5">
        <f>(G71-G34)/G34</f>
        <v>0.14438945646863915</v>
      </c>
      <c r="I71" s="6"/>
      <c r="J71" s="2">
        <v>35473</v>
      </c>
      <c r="K71" s="5"/>
      <c r="L71" s="6"/>
    </row>
    <row r="72" spans="1:12" x14ac:dyDescent="0.25">
      <c r="A72" s="1" t="s">
        <v>14</v>
      </c>
      <c r="B72" s="1" t="s">
        <v>15</v>
      </c>
      <c r="C72" s="1" t="s">
        <v>7</v>
      </c>
      <c r="D72" s="2">
        <v>141643</v>
      </c>
      <c r="E72" s="5">
        <f>(D72-D35)/D35</f>
        <v>-2.5497251443078385E-2</v>
      </c>
      <c r="F72" s="6"/>
      <c r="G72" s="2">
        <v>101214</v>
      </c>
      <c r="H72" s="5">
        <f>(G72-G35)/G35</f>
        <v>0.2327836106306789</v>
      </c>
      <c r="I72" s="6"/>
      <c r="J72" s="2">
        <v>36469</v>
      </c>
      <c r="K72" s="5"/>
      <c r="L72" s="6"/>
    </row>
    <row r="75" spans="1:12" ht="18.75" x14ac:dyDescent="0.3">
      <c r="A75" s="75" t="s">
        <v>66</v>
      </c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</row>
    <row r="76" spans="1:12" ht="18.75" x14ac:dyDescent="0.3">
      <c r="A76" s="76" t="s">
        <v>56</v>
      </c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</row>
    <row r="77" spans="1:12" ht="45" x14ac:dyDescent="0.25">
      <c r="A77" s="1" t="s">
        <v>2</v>
      </c>
      <c r="B77" s="1" t="s">
        <v>3</v>
      </c>
      <c r="C77" s="1" t="s">
        <v>4</v>
      </c>
      <c r="D77" s="4" t="s">
        <v>21</v>
      </c>
      <c r="E77" s="4" t="s">
        <v>65</v>
      </c>
      <c r="F77" s="4" t="s">
        <v>22</v>
      </c>
      <c r="G77" s="4" t="s">
        <v>23</v>
      </c>
      <c r="H77" s="4" t="s">
        <v>65</v>
      </c>
      <c r="I77" s="4" t="s">
        <v>22</v>
      </c>
      <c r="J77" s="4" t="s">
        <v>67</v>
      </c>
      <c r="K77" s="4"/>
      <c r="L77" s="4"/>
    </row>
    <row r="78" spans="1:12" x14ac:dyDescent="0.25">
      <c r="A78" s="1" t="s">
        <v>5</v>
      </c>
      <c r="B78" s="1" t="s">
        <v>6</v>
      </c>
      <c r="C78" s="1" t="s">
        <v>7</v>
      </c>
      <c r="D78" s="1">
        <v>156006</v>
      </c>
      <c r="E78" s="5">
        <f>(D78-D22)/D22</f>
        <v>-2.6520067891373802E-2</v>
      </c>
      <c r="F78" s="6"/>
      <c r="G78" s="2">
        <v>107875</v>
      </c>
      <c r="H78" s="5">
        <f>(G78-G22)/G22</f>
        <v>8.6299783495292284E-2</v>
      </c>
      <c r="I78" s="6"/>
      <c r="J78">
        <v>36846</v>
      </c>
      <c r="K78" s="5"/>
      <c r="L78" s="6"/>
    </row>
    <row r="79" spans="1:12" x14ac:dyDescent="0.25">
      <c r="A79" s="1" t="s">
        <v>8</v>
      </c>
      <c r="B79" s="1" t="s">
        <v>9</v>
      </c>
      <c r="C79" s="1" t="s">
        <v>7</v>
      </c>
      <c r="D79" s="2">
        <v>147059</v>
      </c>
      <c r="E79" s="5">
        <f>(D79-D23)/D23</f>
        <v>-3.5292805646848904E-2</v>
      </c>
      <c r="F79" s="6"/>
      <c r="G79" s="2">
        <v>100402</v>
      </c>
      <c r="H79" s="5">
        <f>(G79-G23)/G23</f>
        <v>0.18474028272720835</v>
      </c>
      <c r="I79" s="6"/>
      <c r="J79" s="2">
        <v>35075</v>
      </c>
      <c r="K79" s="5"/>
      <c r="L79" s="6"/>
    </row>
    <row r="80" spans="1:12" x14ac:dyDescent="0.25">
      <c r="A80" s="1" t="s">
        <v>10</v>
      </c>
      <c r="B80" s="1" t="s">
        <v>9</v>
      </c>
      <c r="C80" s="1" t="s">
        <v>11</v>
      </c>
      <c r="D80" s="2">
        <v>92507</v>
      </c>
      <c r="E80" s="5">
        <f>(D80-D24)/D24</f>
        <v>8.7882494061199051E-2</v>
      </c>
      <c r="F80" s="6"/>
      <c r="G80" s="2">
        <v>79239</v>
      </c>
      <c r="H80" s="5">
        <f>(G80-G24)/G24</f>
        <v>0.40253464785740833</v>
      </c>
      <c r="I80" s="6"/>
      <c r="J80" s="2">
        <v>32808</v>
      </c>
      <c r="K80" s="5"/>
      <c r="L80" s="6"/>
    </row>
    <row r="81" spans="1:12" x14ac:dyDescent="0.25">
      <c r="A81" s="1" t="s">
        <v>12</v>
      </c>
      <c r="B81" s="1" t="s">
        <v>13</v>
      </c>
      <c r="C81" s="1" t="s">
        <v>11</v>
      </c>
      <c r="D81" s="2">
        <v>80645</v>
      </c>
      <c r="E81" s="5">
        <f>(D81-D25)/D25</f>
        <v>2.9028965165241803E-2</v>
      </c>
      <c r="F81" s="6"/>
      <c r="G81" s="2">
        <v>74627</v>
      </c>
      <c r="H81" s="5">
        <f>(G81-G25)/G25</f>
        <v>0.34477601182109779</v>
      </c>
      <c r="I81" s="6"/>
      <c r="J81" s="2">
        <v>32113</v>
      </c>
      <c r="K81" s="5"/>
      <c r="L81" s="6"/>
    </row>
    <row r="82" spans="1:12" x14ac:dyDescent="0.25">
      <c r="A82" s="1" t="s">
        <v>14</v>
      </c>
      <c r="B82" s="1" t="s">
        <v>15</v>
      </c>
      <c r="C82" s="1" t="s">
        <v>11</v>
      </c>
      <c r="D82" s="2">
        <v>79681</v>
      </c>
      <c r="E82" s="5">
        <f>(D82-D26)/D26</f>
        <v>2.7889936660689639E-2</v>
      </c>
      <c r="F82" s="6"/>
      <c r="G82" s="2">
        <v>72046</v>
      </c>
      <c r="H82" s="5">
        <f>(G82-G26)/G26</f>
        <v>0.39770302254297135</v>
      </c>
      <c r="I82" s="6"/>
      <c r="J82" s="2">
        <v>32103</v>
      </c>
      <c r="K82" s="5"/>
      <c r="L82" s="6"/>
    </row>
  </sheetData>
  <mergeCells count="18">
    <mergeCell ref="A10:L10"/>
    <mergeCell ref="A11:L11"/>
    <mergeCell ref="A1:L1"/>
    <mergeCell ref="A2:L2"/>
    <mergeCell ref="A28:L28"/>
    <mergeCell ref="A19:L19"/>
    <mergeCell ref="A20:L20"/>
    <mergeCell ref="A75:L75"/>
    <mergeCell ref="A76:L76"/>
    <mergeCell ref="A37:L37"/>
    <mergeCell ref="A38:L38"/>
    <mergeCell ref="A29:L29"/>
    <mergeCell ref="A65:L65"/>
    <mergeCell ref="A66:L66"/>
    <mergeCell ref="A46:L46"/>
    <mergeCell ref="A47:L47"/>
    <mergeCell ref="A55:L55"/>
    <mergeCell ref="A56:L56"/>
  </mergeCells>
  <conditionalFormatting sqref="E40:E44">
    <cfRule type="colorScale" priority="64">
      <colorScale>
        <cfvo type="min"/>
        <cfvo type="max"/>
        <color rgb="FFFFEF9C"/>
        <color rgb="FF63BE7B"/>
      </colorScale>
    </cfRule>
  </conditionalFormatting>
  <conditionalFormatting sqref="H40:H44 K40:K44 E40:E44">
    <cfRule type="colorScale" priority="58">
      <colorScale>
        <cfvo type="min"/>
        <cfvo type="max"/>
        <color rgb="FFFFEF9C"/>
        <color rgb="FF63BE7B"/>
      </colorScale>
    </cfRule>
  </conditionalFormatting>
  <conditionalFormatting sqref="E31:E35 H31:H35">
    <cfRule type="colorScale" priority="62">
      <colorScale>
        <cfvo type="min"/>
        <cfvo type="max"/>
        <color rgb="FFFFEF9C"/>
        <color rgb="FF63BE7B"/>
      </colorScale>
    </cfRule>
  </conditionalFormatting>
  <conditionalFormatting sqref="E22:E26 H22:H26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2:E26 H22:H26 H31:H35 E31:E35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0:H44 K40:K44 E40:E44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9:E53">
    <cfRule type="colorScale" priority="57">
      <colorScale>
        <cfvo type="min"/>
        <cfvo type="max"/>
        <color rgb="FFFFEF9C"/>
        <color rgb="FF63BE7B"/>
      </colorScale>
    </cfRule>
  </conditionalFormatting>
  <conditionalFormatting sqref="E49:E53 H49:H53 K49:K53">
    <cfRule type="colorScale" priority="56">
      <colorScale>
        <cfvo type="min"/>
        <cfvo type="max"/>
        <color rgb="FFFFEF9C"/>
        <color rgb="FF63BE7B"/>
      </colorScale>
    </cfRule>
  </conditionalFormatting>
  <conditionalFormatting sqref="E49:E53 H49:H53 K49:K5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0:H44">
    <cfRule type="colorScale" priority="54">
      <colorScale>
        <cfvo type="min"/>
        <cfvo type="max"/>
        <color rgb="FFFFEF9C"/>
        <color rgb="FF63BE7B"/>
      </colorScale>
    </cfRule>
  </conditionalFormatting>
  <conditionalFormatting sqref="K40:K44">
    <cfRule type="colorScale" priority="53">
      <colorScale>
        <cfvo type="min"/>
        <cfvo type="max"/>
        <color rgb="FFFFEF9C"/>
        <color rgb="FF63BE7B"/>
      </colorScale>
    </cfRule>
  </conditionalFormatting>
  <conditionalFormatting sqref="H49:H53">
    <cfRule type="colorScale" priority="52">
      <colorScale>
        <cfvo type="min"/>
        <cfvo type="max"/>
        <color rgb="FFFFEF9C"/>
        <color rgb="FF63BE7B"/>
      </colorScale>
    </cfRule>
  </conditionalFormatting>
  <conditionalFormatting sqref="K49:K53">
    <cfRule type="colorScale" priority="51">
      <colorScale>
        <cfvo type="min"/>
        <cfvo type="max"/>
        <color rgb="FFFFEF9C"/>
        <color rgb="FF63BE7B"/>
      </colorScale>
    </cfRule>
  </conditionalFormatting>
  <conditionalFormatting sqref="H49:H53">
    <cfRule type="colorScale" priority="50">
      <colorScale>
        <cfvo type="min"/>
        <cfvo type="max"/>
        <color rgb="FFFFEF9C"/>
        <color rgb="FF63BE7B"/>
      </colorScale>
    </cfRule>
  </conditionalFormatting>
  <conditionalFormatting sqref="K49:K53">
    <cfRule type="colorScale" priority="49">
      <colorScale>
        <cfvo type="min"/>
        <cfvo type="max"/>
        <color rgb="FFFFEF9C"/>
        <color rgb="FF63BE7B"/>
      </colorScale>
    </cfRule>
  </conditionalFormatting>
  <conditionalFormatting sqref="E58:E62">
    <cfRule type="colorScale" priority="47">
      <colorScale>
        <cfvo type="min"/>
        <cfvo type="max"/>
        <color rgb="FFFFEF9C"/>
        <color rgb="FF63BE7B"/>
      </colorScale>
    </cfRule>
  </conditionalFormatting>
  <conditionalFormatting sqref="E58:E62 H58:H62 K58:K62">
    <cfRule type="colorScale" priority="36">
      <colorScale>
        <cfvo type="min"/>
        <cfvo type="max"/>
        <color rgb="FFFFEF9C"/>
        <color rgb="FF63BE7B"/>
      </colorScale>
    </cfRule>
  </conditionalFormatting>
  <conditionalFormatting sqref="E58:E62 H58:H62 K58:K62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8:H62">
    <cfRule type="colorScale" priority="44">
      <colorScale>
        <cfvo type="min"/>
        <cfvo type="max"/>
        <color rgb="FFFFEF9C"/>
        <color rgb="FF63BE7B"/>
      </colorScale>
    </cfRule>
  </conditionalFormatting>
  <conditionalFormatting sqref="K58:K62">
    <cfRule type="colorScale" priority="43">
      <colorScale>
        <cfvo type="min"/>
        <cfvo type="max"/>
        <color rgb="FFFFEF9C"/>
        <color rgb="FF63BE7B"/>
      </colorScale>
    </cfRule>
  </conditionalFormatting>
  <conditionalFormatting sqref="H58:H62">
    <cfRule type="colorScale" priority="42">
      <colorScale>
        <cfvo type="min"/>
        <cfvo type="max"/>
        <color rgb="FFFFEF9C"/>
        <color rgb="FF63BE7B"/>
      </colorScale>
    </cfRule>
  </conditionalFormatting>
  <conditionalFormatting sqref="K58:K62">
    <cfRule type="colorScale" priority="41">
      <colorScale>
        <cfvo type="min"/>
        <cfvo type="max"/>
        <color rgb="FFFFEF9C"/>
        <color rgb="FF63BE7B"/>
      </colorScale>
    </cfRule>
  </conditionalFormatting>
  <conditionalFormatting sqref="H40:H44 K40:K44 E40:E44 E49:E53 H49:H53 K49:K53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0:H44 K40:K44 E40:E44">
    <cfRule type="colorScale" priority="39">
      <colorScale>
        <cfvo type="min"/>
        <cfvo type="max"/>
        <color rgb="FFFFEF9C"/>
        <color rgb="FF63BE7B"/>
      </colorScale>
    </cfRule>
  </conditionalFormatting>
  <conditionalFormatting sqref="E49:E53 H49:H53 K49:K53">
    <cfRule type="colorScale" priority="38">
      <colorScale>
        <cfvo type="min"/>
        <cfvo type="max"/>
        <color rgb="FFFFEF9C"/>
        <color rgb="FF63BE7B"/>
      </colorScale>
    </cfRule>
  </conditionalFormatting>
  <conditionalFormatting sqref="E58:E62 H58:H62 K58:K62">
    <cfRule type="colorScale" priority="35">
      <colorScale>
        <cfvo type="min"/>
        <cfvo type="max"/>
        <color rgb="FFFFEF9C"/>
        <color rgb="FF63BE7B"/>
      </colorScale>
    </cfRule>
  </conditionalFormatting>
  <conditionalFormatting sqref="K61:K62 K59 H62 H58">
    <cfRule type="colorScale" priority="34">
      <colorScale>
        <cfvo type="min"/>
        <cfvo type="max"/>
        <color rgb="FFFF7128"/>
        <color rgb="FFFFEF9C"/>
      </colorScale>
    </cfRule>
  </conditionalFormatting>
  <conditionalFormatting sqref="H58:H62">
    <cfRule type="colorScale" priority="33">
      <colorScale>
        <cfvo type="min"/>
        <cfvo type="max"/>
        <color rgb="FFFFEF9C"/>
        <color rgb="FF63BE7B"/>
      </colorScale>
    </cfRule>
  </conditionalFormatting>
  <conditionalFormatting sqref="K58:K62">
    <cfRule type="colorScale" priority="32">
      <colorScale>
        <cfvo type="min"/>
        <cfvo type="max"/>
        <color rgb="FFFFEF9C"/>
        <color rgb="FF63BE7B"/>
      </colorScale>
    </cfRule>
  </conditionalFormatting>
  <conditionalFormatting sqref="H60 E60 K62">
    <cfRule type="colorScale" priority="31">
      <colorScale>
        <cfvo type="min"/>
        <cfvo type="max"/>
        <color rgb="FFFF7128"/>
        <color rgb="FFFFEF9C"/>
      </colorScale>
    </cfRule>
  </conditionalFormatting>
  <conditionalFormatting sqref="H40:H44">
    <cfRule type="colorScale" priority="30">
      <colorScale>
        <cfvo type="min"/>
        <cfvo type="max"/>
        <color rgb="FFFFEF9C"/>
        <color rgb="FF63BE7B"/>
      </colorScale>
    </cfRule>
  </conditionalFormatting>
  <conditionalFormatting sqref="K40:K44">
    <cfRule type="colorScale" priority="29">
      <colorScale>
        <cfvo type="min"/>
        <cfvo type="max"/>
        <color rgb="FFFFEF9C"/>
        <color rgb="FF63BE7B"/>
      </colorScale>
    </cfRule>
  </conditionalFormatting>
  <conditionalFormatting sqref="H58:H62">
    <cfRule type="colorScale" priority="28">
      <colorScale>
        <cfvo type="min"/>
        <cfvo type="max"/>
        <color rgb="FFFFEF9C"/>
        <color rgb="FF63BE7B"/>
      </colorScale>
    </cfRule>
  </conditionalFormatting>
  <conditionalFormatting sqref="K58:K62">
    <cfRule type="colorScale" priority="27">
      <colorScale>
        <cfvo type="min"/>
        <cfvo type="max"/>
        <color rgb="FFFFEF9C"/>
        <color rgb="FF63BE7B"/>
      </colorScale>
    </cfRule>
  </conditionalFormatting>
  <conditionalFormatting sqref="E49">
    <cfRule type="colorScale" priority="25">
      <colorScale>
        <cfvo type="min"/>
        <cfvo type="max"/>
        <color rgb="FFFFEF9C"/>
        <color rgb="FF63BE7B"/>
      </colorScale>
    </cfRule>
  </conditionalFormatting>
  <conditionalFormatting sqref="E49">
    <cfRule type="colorScale" priority="24">
      <colorScale>
        <cfvo type="min"/>
        <cfvo type="max"/>
        <color rgb="FFFFEF9C"/>
        <color rgb="FF63BE7B"/>
      </colorScale>
    </cfRule>
  </conditionalFormatting>
  <conditionalFormatting sqref="E49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9">
    <cfRule type="colorScale" priority="22">
      <colorScale>
        <cfvo type="min"/>
        <cfvo type="max"/>
        <color rgb="FFFFEF9C"/>
        <color rgb="FF63BE7B"/>
      </colorScale>
    </cfRule>
  </conditionalFormatting>
  <conditionalFormatting sqref="E50:E53">
    <cfRule type="colorScale" priority="21">
      <colorScale>
        <cfvo type="min"/>
        <cfvo type="max"/>
        <color rgb="FFFFEF9C"/>
        <color rgb="FF63BE7B"/>
      </colorScale>
    </cfRule>
  </conditionalFormatting>
  <conditionalFormatting sqref="E50:E53">
    <cfRule type="colorScale" priority="20">
      <colorScale>
        <cfvo type="min"/>
        <cfvo type="max"/>
        <color rgb="FFFFEF9C"/>
        <color rgb="FF63BE7B"/>
      </colorScale>
    </cfRule>
  </conditionalFormatting>
  <conditionalFormatting sqref="E50:E53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0:E53">
    <cfRule type="colorScale" priority="18">
      <colorScale>
        <cfvo type="min"/>
        <cfvo type="max"/>
        <color rgb="FFFFEF9C"/>
        <color rgb="FF63BE7B"/>
      </colorScale>
    </cfRule>
  </conditionalFormatting>
  <conditionalFormatting sqref="H49:H53">
    <cfRule type="colorScale" priority="17">
      <colorScale>
        <cfvo type="min"/>
        <cfvo type="max"/>
        <color rgb="FFFFEF9C"/>
        <color rgb="FF63BE7B"/>
      </colorScale>
    </cfRule>
  </conditionalFormatting>
  <conditionalFormatting sqref="H49:H53">
    <cfRule type="colorScale" priority="16">
      <colorScale>
        <cfvo type="min"/>
        <cfvo type="max"/>
        <color rgb="FFFFEF9C"/>
        <color rgb="FF63BE7B"/>
      </colorScale>
    </cfRule>
  </conditionalFormatting>
  <conditionalFormatting sqref="H49:H53">
    <cfRule type="colorScale" priority="15">
      <colorScale>
        <cfvo type="min"/>
        <cfvo type="max"/>
        <color rgb="FFFFEF9C"/>
        <color rgb="FF63BE7B"/>
      </colorScale>
    </cfRule>
  </conditionalFormatting>
  <conditionalFormatting sqref="H49:H53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9:H53">
    <cfRule type="colorScale" priority="13">
      <colorScale>
        <cfvo type="min"/>
        <cfvo type="max"/>
        <color rgb="FFFFEF9C"/>
        <color rgb="FF63BE7B"/>
      </colorScale>
    </cfRule>
  </conditionalFormatting>
  <conditionalFormatting sqref="K49:K53">
    <cfRule type="colorScale" priority="12">
      <colorScale>
        <cfvo type="min"/>
        <cfvo type="max"/>
        <color rgb="FFFFEF9C"/>
        <color rgb="FF63BE7B"/>
      </colorScale>
    </cfRule>
  </conditionalFormatting>
  <conditionalFormatting sqref="K49:K53">
    <cfRule type="colorScale" priority="11">
      <colorScale>
        <cfvo type="min"/>
        <cfvo type="max"/>
        <color rgb="FFFFEF9C"/>
        <color rgb="FF63BE7B"/>
      </colorScale>
    </cfRule>
  </conditionalFormatting>
  <conditionalFormatting sqref="K49:K53">
    <cfRule type="colorScale" priority="10">
      <colorScale>
        <cfvo type="min"/>
        <cfvo type="max"/>
        <color rgb="FFFFEF9C"/>
        <color rgb="FF63BE7B"/>
      </colorScale>
    </cfRule>
  </conditionalFormatting>
  <conditionalFormatting sqref="K49:K5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9:K53">
    <cfRule type="colorScale" priority="8">
      <colorScale>
        <cfvo type="min"/>
        <cfvo type="max"/>
        <color rgb="FFFFEF9C"/>
        <color rgb="FF63BE7B"/>
      </colorScale>
    </cfRule>
  </conditionalFormatting>
  <conditionalFormatting sqref="E49:E53 H49:H52 K49:K52">
    <cfRule type="colorScale" priority="6">
      <colorScale>
        <cfvo type="min"/>
        <cfvo type="max"/>
        <color rgb="FFFFEF9C"/>
        <color rgb="FF63BE7B"/>
      </colorScale>
    </cfRule>
  </conditionalFormatting>
  <conditionalFormatting sqref="E58:E62 H58:H61 K58:K61">
    <cfRule type="colorScale" priority="5">
      <colorScale>
        <cfvo type="min"/>
        <cfvo type="max"/>
        <color rgb="FFFFEF9C"/>
        <color rgb="FF63BE7B"/>
      </colorScale>
    </cfRule>
  </conditionalFormatting>
  <conditionalFormatting sqref="E68:E72 H68:H72">
    <cfRule type="colorScale" priority="4">
      <colorScale>
        <cfvo type="min"/>
        <cfvo type="max"/>
        <color rgb="FFFFEF9C"/>
        <color rgb="FF63BE7B"/>
      </colorScale>
    </cfRule>
  </conditionalFormatting>
  <conditionalFormatting sqref="H68:H72 E68:E7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8:E82 H78:H8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8:E82 H78:H8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6"/>
  <sheetViews>
    <sheetView workbookViewId="0">
      <selection activeCell="F42" sqref="F42"/>
    </sheetView>
  </sheetViews>
  <sheetFormatPr defaultRowHeight="15" x14ac:dyDescent="0.25"/>
  <cols>
    <col min="2" max="2" width="18.5703125" customWidth="1"/>
    <col min="3" max="3" width="9.85546875" bestFit="1" customWidth="1"/>
    <col min="10" max="10" width="9.5703125" bestFit="1" customWidth="1"/>
  </cols>
  <sheetData>
    <row r="1" spans="1:12" ht="18.75" x14ac:dyDescent="0.3">
      <c r="A1" s="75" t="s">
        <v>68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</row>
    <row r="2" spans="1:12" ht="18.75" x14ac:dyDescent="0.3">
      <c r="A2" s="76" t="s">
        <v>70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</row>
    <row r="3" spans="1:12" ht="45" x14ac:dyDescent="0.25">
      <c r="A3" s="1" t="s">
        <v>2</v>
      </c>
      <c r="B3" s="1" t="s">
        <v>3</v>
      </c>
      <c r="C3" s="1" t="s">
        <v>4</v>
      </c>
      <c r="D3" s="4" t="s">
        <v>78</v>
      </c>
      <c r="E3" s="4" t="s">
        <v>72</v>
      </c>
      <c r="F3" s="4" t="s">
        <v>22</v>
      </c>
      <c r="G3" s="4" t="s">
        <v>79</v>
      </c>
      <c r="H3" s="4" t="s">
        <v>72</v>
      </c>
      <c r="I3" s="4" t="s">
        <v>22</v>
      </c>
      <c r="J3" s="4" t="s">
        <v>80</v>
      </c>
      <c r="K3" s="4" t="s">
        <v>72</v>
      </c>
      <c r="L3" s="4"/>
    </row>
    <row r="4" spans="1:12" x14ac:dyDescent="0.25">
      <c r="A4" s="1" t="s">
        <v>5</v>
      </c>
      <c r="B4" s="1" t="s">
        <v>6</v>
      </c>
      <c r="C4" s="1" t="s">
        <v>7</v>
      </c>
      <c r="D4" s="1">
        <v>145773</v>
      </c>
      <c r="E4" s="5">
        <f>(D4-'2010'!D68)/'2010'!D68</f>
        <v>8.7468600571590695E-3</v>
      </c>
      <c r="F4" s="6"/>
      <c r="G4" s="2">
        <v>101420</v>
      </c>
      <c r="H4" s="5">
        <f>(G4-'2010'!G68)/'2010'!G68</f>
        <v>-9.4318729795860048E-2</v>
      </c>
      <c r="I4" s="6"/>
      <c r="J4" s="1">
        <v>37523</v>
      </c>
      <c r="K4" s="5">
        <f>(J4-'2010'!J68)/'2010'!J68</f>
        <v>2.3987555943674271E-2</v>
      </c>
      <c r="L4" s="6"/>
    </row>
    <row r="5" spans="1:12" x14ac:dyDescent="0.25">
      <c r="A5" s="1" t="s">
        <v>8</v>
      </c>
      <c r="B5" s="1" t="s">
        <v>9</v>
      </c>
      <c r="C5" s="1" t="s">
        <v>7</v>
      </c>
      <c r="D5" s="2">
        <v>150602</v>
      </c>
      <c r="E5" s="5">
        <f>(D5-'2010'!D69)/'2010'!D69</f>
        <v>4.6683114987663761E-2</v>
      </c>
      <c r="F5" s="6"/>
      <c r="G5" s="2">
        <v>101626</v>
      </c>
      <c r="H5" s="5">
        <f>(G5-'2010'!G69)/'2010'!G69</f>
        <v>-4.2682065242989155E-2</v>
      </c>
      <c r="I5" s="6"/>
      <c r="J5" s="1">
        <v>35112</v>
      </c>
      <c r="K5" s="5">
        <f>(J5-'2010'!J69)/'2010'!J69</f>
        <v>9.338897019898483E-2</v>
      </c>
      <c r="L5" s="6"/>
    </row>
    <row r="6" spans="1:12" x14ac:dyDescent="0.25">
      <c r="A6" s="1" t="s">
        <v>10</v>
      </c>
      <c r="B6" s="1" t="s">
        <v>9</v>
      </c>
      <c r="C6" s="1" t="s">
        <v>11</v>
      </c>
      <c r="D6" s="2">
        <v>56529</v>
      </c>
      <c r="E6" s="5">
        <f>(D6-'2010'!D70)/'2010'!D70</f>
        <v>-0.13623653449461379</v>
      </c>
      <c r="F6" s="6"/>
      <c r="G6" s="2">
        <v>49554</v>
      </c>
      <c r="H6" s="5">
        <f>(G6-'2010'!G70)/'2010'!G70</f>
        <v>-0.12289148096359098</v>
      </c>
      <c r="I6" s="6"/>
      <c r="J6" s="2">
        <v>26240</v>
      </c>
      <c r="K6" s="5">
        <f>(J6-'2010'!J70)/'2010'!J70</f>
        <v>-6.8710959681998862E-2</v>
      </c>
      <c r="L6" s="6"/>
    </row>
    <row r="7" spans="1:12" x14ac:dyDescent="0.25">
      <c r="A7" s="1" t="s">
        <v>12</v>
      </c>
      <c r="B7" s="1" t="s">
        <v>13</v>
      </c>
      <c r="C7" s="1" t="s">
        <v>7</v>
      </c>
      <c r="D7" s="2">
        <v>144509</v>
      </c>
      <c r="E7" s="5">
        <f>(D7-'2010'!D71)/'2010'!D71</f>
        <v>-7.0801183127572012E-2</v>
      </c>
      <c r="F7" s="6"/>
      <c r="G7" s="2">
        <v>101010</v>
      </c>
      <c r="H7" s="5">
        <f>(G7-'2010'!G71)/'2010'!G71</f>
        <v>-6.2621800701572042E-2</v>
      </c>
      <c r="I7" s="6"/>
      <c r="J7" s="2">
        <v>35804</v>
      </c>
      <c r="K7" s="5">
        <f>(J7-'2010'!J71)/'2010'!J71</f>
        <v>9.331040509683421E-3</v>
      </c>
      <c r="L7" s="6"/>
    </row>
    <row r="8" spans="1:12" x14ac:dyDescent="0.25">
      <c r="A8" s="1" t="s">
        <v>14</v>
      </c>
      <c r="B8" s="1" t="s">
        <v>15</v>
      </c>
      <c r="C8" s="1" t="s">
        <v>7</v>
      </c>
      <c r="D8" s="2">
        <v>139665</v>
      </c>
      <c r="E8" s="5">
        <f>(D8-'2010'!D72)/'2010'!D72</f>
        <v>-1.3964685865168063E-2</v>
      </c>
      <c r="F8" s="6"/>
      <c r="G8" s="2">
        <v>96899</v>
      </c>
      <c r="H8" s="5">
        <f>(G8-'2010'!G72)/'2010'!G72</f>
        <v>-4.2632442152271424E-2</v>
      </c>
      <c r="I8" s="6"/>
      <c r="J8" s="2">
        <v>36010</v>
      </c>
      <c r="K8" s="5">
        <f>(J8-'2010'!J72)/'2010'!J72</f>
        <v>-1.2586031972360086E-2</v>
      </c>
      <c r="L8" s="6"/>
    </row>
    <row r="10" spans="1:12" ht="18.75" x14ac:dyDescent="0.3">
      <c r="A10" s="75" t="s">
        <v>69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</row>
    <row r="11" spans="1:12" ht="18.75" x14ac:dyDescent="0.3">
      <c r="A11" s="76" t="s">
        <v>71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</row>
    <row r="12" spans="1:12" ht="45" x14ac:dyDescent="0.25">
      <c r="A12" s="1" t="s">
        <v>2</v>
      </c>
      <c r="B12" s="1" t="s">
        <v>3</v>
      </c>
      <c r="C12" s="1" t="s">
        <v>4</v>
      </c>
      <c r="D12" s="4" t="s">
        <v>21</v>
      </c>
      <c r="E12" s="4" t="s">
        <v>72</v>
      </c>
      <c r="F12" s="4" t="s">
        <v>22</v>
      </c>
      <c r="G12" s="4" t="s">
        <v>23</v>
      </c>
      <c r="H12" s="4" t="s">
        <v>72</v>
      </c>
      <c r="I12" s="4" t="s">
        <v>22</v>
      </c>
      <c r="J12" s="4" t="s">
        <v>67</v>
      </c>
      <c r="K12" s="4" t="s">
        <v>72</v>
      </c>
      <c r="L12" s="4"/>
    </row>
    <row r="13" spans="1:12" x14ac:dyDescent="0.25">
      <c r="A13" s="1" t="s">
        <v>5</v>
      </c>
      <c r="B13" s="1" t="s">
        <v>6</v>
      </c>
      <c r="C13" s="1" t="s">
        <v>7</v>
      </c>
      <c r="D13" s="1">
        <v>150602</v>
      </c>
      <c r="E13" s="5">
        <f>(D13-'2010'!D78)/'2010'!D78</f>
        <v>-3.4639693345127752E-2</v>
      </c>
      <c r="F13" s="6"/>
      <c r="G13" s="2">
        <v>103627</v>
      </c>
      <c r="H13" s="5">
        <f>(G13-'2010'!G78)/'2010'!G78</f>
        <v>-3.9378910776361527E-2</v>
      </c>
      <c r="I13" s="6"/>
      <c r="J13">
        <v>36470</v>
      </c>
      <c r="K13" s="5">
        <f>(J13-'2010'!J78)/'2010'!J78</f>
        <v>-1.0204635509960376E-2</v>
      </c>
      <c r="L13" s="6"/>
    </row>
    <row r="14" spans="1:12" x14ac:dyDescent="0.25">
      <c r="A14" s="1" t="s">
        <v>8</v>
      </c>
      <c r="B14" s="1" t="s">
        <v>9</v>
      </c>
      <c r="C14" s="1" t="s">
        <v>7</v>
      </c>
      <c r="D14" s="2">
        <v>144092</v>
      </c>
      <c r="E14" s="5">
        <f>(D14-'2010'!D79)/'2010'!D79</f>
        <v>-2.0175575789309053E-2</v>
      </c>
      <c r="F14" s="6"/>
      <c r="G14" s="2">
        <v>93197</v>
      </c>
      <c r="H14" s="5">
        <f>(G14-'2010'!G79)/'2010'!G79</f>
        <v>-7.1761518694846718E-2</v>
      </c>
      <c r="I14" s="6"/>
      <c r="J14" s="2">
        <v>33944</v>
      </c>
      <c r="K14" s="5">
        <f>(J14-'2010'!J79)/'2010'!J79</f>
        <v>-3.2245188880969354E-2</v>
      </c>
      <c r="L14" s="6"/>
    </row>
    <row r="15" spans="1:12" x14ac:dyDescent="0.25">
      <c r="A15" s="1" t="s">
        <v>10</v>
      </c>
      <c r="B15" s="1" t="s">
        <v>9</v>
      </c>
      <c r="C15" s="1" t="s">
        <v>11</v>
      </c>
      <c r="D15" s="2">
        <v>83752</v>
      </c>
      <c r="E15" s="5">
        <f>(D15-'2010'!D80)/'2010'!D80</f>
        <v>-9.464148659020398E-2</v>
      </c>
      <c r="F15" s="6"/>
      <c r="G15" s="2">
        <v>72254</v>
      </c>
      <c r="H15" s="5">
        <f>(G15-'2010'!G80)/'2010'!G80</f>
        <v>-8.8151036736960342E-2</v>
      </c>
      <c r="I15" s="6"/>
      <c r="J15" s="2">
        <v>31676</v>
      </c>
      <c r="K15" s="5">
        <f>(J15-'2010'!J80)/'2010'!J80</f>
        <v>-3.4503779565959521E-2</v>
      </c>
      <c r="L15" s="6"/>
    </row>
    <row r="16" spans="1:12" x14ac:dyDescent="0.25">
      <c r="A16" s="1" t="s">
        <v>12</v>
      </c>
      <c r="B16" s="1" t="s">
        <v>13</v>
      </c>
      <c r="C16" s="1" t="s">
        <v>11</v>
      </c>
      <c r="D16" s="2">
        <v>74129</v>
      </c>
      <c r="E16" s="5">
        <f>(D16-'2010'!D81)/'2010'!D81</f>
        <v>-8.0798561597123189E-2</v>
      </c>
      <c r="F16" s="6"/>
      <c r="G16" s="2">
        <v>67797</v>
      </c>
      <c r="H16" s="5">
        <f>(G16-'2010'!G81)/'2010'!G81</f>
        <v>-9.152183526069653E-2</v>
      </c>
      <c r="I16" s="6"/>
      <c r="J16" s="2">
        <v>32113</v>
      </c>
      <c r="K16" s="5">
        <f>(J16-'2010'!J81)/'2010'!J81</f>
        <v>0</v>
      </c>
      <c r="L16" s="6"/>
    </row>
    <row r="17" spans="1:12" x14ac:dyDescent="0.25">
      <c r="A17" s="1" t="s">
        <v>14</v>
      </c>
      <c r="B17" s="1" t="s">
        <v>15</v>
      </c>
      <c r="C17" s="1" t="s">
        <v>11</v>
      </c>
      <c r="D17" s="2">
        <v>71073</v>
      </c>
      <c r="E17" s="5">
        <f>(D17-'2010'!D82)/'2010'!D82</f>
        <v>-0.10803077270616583</v>
      </c>
      <c r="F17" s="6"/>
      <c r="G17" s="2">
        <v>66711</v>
      </c>
      <c r="H17" s="5">
        <f>(G17-'2010'!G82)/'2010'!G82</f>
        <v>-7.4049912555867084E-2</v>
      </c>
      <c r="I17" s="6"/>
      <c r="J17" s="2">
        <v>31536</v>
      </c>
      <c r="K17" s="5">
        <f>(J17-'2010'!J82)/'2010'!J82</f>
        <v>-1.7661900756938603E-2</v>
      </c>
      <c r="L17" s="6"/>
    </row>
    <row r="20" spans="1:12" ht="18.75" x14ac:dyDescent="0.3">
      <c r="A20" s="75" t="s">
        <v>73</v>
      </c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</row>
    <row r="21" spans="1:12" ht="18.75" x14ac:dyDescent="0.3">
      <c r="A21" s="76" t="s">
        <v>74</v>
      </c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</row>
    <row r="22" spans="1:12" ht="45" x14ac:dyDescent="0.25">
      <c r="A22" s="1" t="s">
        <v>2</v>
      </c>
      <c r="B22" s="1" t="s">
        <v>3</v>
      </c>
      <c r="C22" s="1" t="s">
        <v>4</v>
      </c>
      <c r="D22" s="4" t="s">
        <v>21</v>
      </c>
      <c r="E22" s="4" t="s">
        <v>72</v>
      </c>
      <c r="F22" s="4" t="s">
        <v>75</v>
      </c>
      <c r="G22" s="4" t="s">
        <v>23</v>
      </c>
      <c r="H22" s="4" t="s">
        <v>72</v>
      </c>
      <c r="I22" s="4" t="s">
        <v>75</v>
      </c>
      <c r="J22" s="4" t="s">
        <v>24</v>
      </c>
      <c r="K22" s="4" t="s">
        <v>72</v>
      </c>
      <c r="L22" s="4" t="s">
        <v>75</v>
      </c>
    </row>
    <row r="23" spans="1:12" x14ac:dyDescent="0.25">
      <c r="A23" s="1" t="s">
        <v>5</v>
      </c>
      <c r="B23" s="1" t="s">
        <v>6</v>
      </c>
      <c r="C23" s="1" t="s">
        <v>7</v>
      </c>
      <c r="D23" s="1">
        <v>169779</v>
      </c>
      <c r="E23" s="5">
        <f>(D23-'2010'!D68)/'2010'!D68</f>
        <v>0.17486800130095703</v>
      </c>
      <c r="F23" s="5">
        <f>(D23-D4)/D4</f>
        <v>0.16468070218764791</v>
      </c>
      <c r="G23" s="2">
        <v>112486</v>
      </c>
      <c r="H23" s="5">
        <f>(G23-'2010'!G68)/'2010'!G68</f>
        <v>4.5007233305352648E-3</v>
      </c>
      <c r="I23" s="5">
        <f>(G23-G4)/G4</f>
        <v>0.10911062906724511</v>
      </c>
      <c r="J23" s="1">
        <v>37523</v>
      </c>
      <c r="K23" s="5">
        <f>(J23-'2010'!J68)/'2010'!J68</f>
        <v>2.3987555943674271E-2</v>
      </c>
      <c r="L23" s="5">
        <f>(J23-J4)/J4</f>
        <v>0</v>
      </c>
    </row>
    <row r="24" spans="1:12" x14ac:dyDescent="0.25">
      <c r="A24" s="1" t="s">
        <v>8</v>
      </c>
      <c r="B24" s="1" t="s">
        <v>9</v>
      </c>
      <c r="C24" s="1" t="s">
        <v>7</v>
      </c>
      <c r="D24" s="2">
        <v>144509</v>
      </c>
      <c r="E24" s="5">
        <f>(D24-'2010'!D69)/'2010'!D69</f>
        <v>4.3367967474024398E-3</v>
      </c>
      <c r="F24" s="5">
        <f>(D24-D5)/D5</f>
        <v>-4.0457630044753723E-2</v>
      </c>
      <c r="G24" s="2">
        <v>103520</v>
      </c>
      <c r="H24" s="5">
        <f>(G24-'2010'!G69)/'2010'!G69</f>
        <v>-2.4840566331000312E-2</v>
      </c>
      <c r="I24" s="5">
        <f>(G24-G5)/G5</f>
        <v>1.8636962981914078E-2</v>
      </c>
      <c r="J24" s="1">
        <v>36166</v>
      </c>
      <c r="K24" s="5">
        <f>(J24-'2010'!J69)/'2010'!J69</f>
        <v>0.12621056892847132</v>
      </c>
      <c r="L24" s="5">
        <f>(J24-J5)/J5</f>
        <v>3.001822738664844E-2</v>
      </c>
    </row>
    <row r="25" spans="1:12" x14ac:dyDescent="0.25">
      <c r="A25" s="1" t="s">
        <v>10</v>
      </c>
      <c r="B25" s="1" t="s">
        <v>9</v>
      </c>
      <c r="C25" s="1" t="s">
        <v>11</v>
      </c>
      <c r="D25" s="2">
        <v>61312</v>
      </c>
      <c r="E25" s="5">
        <f>(D25-'2010'!D70)/'2010'!D70</f>
        <v>-6.3152265260906101E-2</v>
      </c>
      <c r="F25" s="5">
        <f>(D25-D6)/D6</f>
        <v>8.4611438376762368E-2</v>
      </c>
      <c r="G25" s="2">
        <v>54585</v>
      </c>
      <c r="H25" s="5">
        <f>(G25-'2010'!G70)/'2010'!G70</f>
        <v>-3.3842504911765228E-2</v>
      </c>
      <c r="I25" s="5">
        <f>(G25-G6)/G6</f>
        <v>0.10152560842717036</v>
      </c>
      <c r="J25" s="2">
        <v>27181</v>
      </c>
      <c r="K25" s="5">
        <f>(J25-'2010'!J70)/'2010'!J70</f>
        <v>-3.5313742191936399E-2</v>
      </c>
      <c r="L25" s="5">
        <f>(J25-J6)/J6</f>
        <v>3.5861280487804875E-2</v>
      </c>
    </row>
    <row r="26" spans="1:12" x14ac:dyDescent="0.25">
      <c r="A26" s="1" t="s">
        <v>12</v>
      </c>
      <c r="B26" s="1" t="s">
        <v>13</v>
      </c>
      <c r="C26" s="1" t="s">
        <v>7</v>
      </c>
      <c r="D26" s="2">
        <v>143266</v>
      </c>
      <c r="E26" s="5">
        <f>(D26-'2010'!D71)/'2010'!D71</f>
        <v>-7.8793724279835387E-2</v>
      </c>
      <c r="F26" s="5">
        <f>(D26-D7)/D7</f>
        <v>-8.601540388487915E-3</v>
      </c>
      <c r="G26" s="2">
        <v>106157</v>
      </c>
      <c r="H26" s="5">
        <f>(G26-'2010'!G71)/'2010'!G71</f>
        <v>-1.4857365578425732E-2</v>
      </c>
      <c r="I26" s="5">
        <f>(G26-G7)/G7</f>
        <v>5.0955350955350955E-2</v>
      </c>
      <c r="J26" s="2">
        <v>35651</v>
      </c>
      <c r="K26" s="5">
        <f>(J26-'2010'!J71)/'2010'!J71</f>
        <v>5.0179009387421418E-3</v>
      </c>
      <c r="L26" s="5">
        <f>(J26-J7)/J7</f>
        <v>-4.2732655569210146E-3</v>
      </c>
    </row>
    <row r="27" spans="1:12" x14ac:dyDescent="0.25">
      <c r="A27" s="1" t="s">
        <v>14</v>
      </c>
      <c r="B27" s="1" t="s">
        <v>15</v>
      </c>
      <c r="C27" s="1" t="s">
        <v>7</v>
      </c>
      <c r="D27" s="2">
        <v>139470</v>
      </c>
      <c r="E27" s="5">
        <f>(D27-'2010'!D72)/'2010'!D72</f>
        <v>-1.5341386443382307E-2</v>
      </c>
      <c r="F27" s="5">
        <f>(D27-D8)/D8</f>
        <v>-1.3961980453227366E-3</v>
      </c>
      <c r="G27" s="2">
        <v>100200</v>
      </c>
      <c r="H27" s="5">
        <f>(G27-'2010'!G72)/'2010'!G72</f>
        <v>-1.0018376904380817E-2</v>
      </c>
      <c r="I27" s="5">
        <f>(G27-G8)/G8</f>
        <v>3.4066399034045756E-2</v>
      </c>
      <c r="J27" s="2">
        <v>33289</v>
      </c>
      <c r="K27" s="5">
        <f>(J27-'2010'!J72)/'2010'!J72</f>
        <v>-8.7197345690860725E-2</v>
      </c>
      <c r="L27" s="5">
        <f>(J27-J8)/J8</f>
        <v>-7.5562343793390718E-2</v>
      </c>
    </row>
    <row r="29" spans="1:12" ht="18.75" x14ac:dyDescent="0.3">
      <c r="A29" s="75" t="s">
        <v>76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</row>
    <row r="30" spans="1:12" ht="18.75" x14ac:dyDescent="0.3">
      <c r="A30" s="76" t="s">
        <v>77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</row>
    <row r="31" spans="1:12" ht="45" x14ac:dyDescent="0.25">
      <c r="A31" s="1" t="s">
        <v>2</v>
      </c>
      <c r="B31" s="1" t="s">
        <v>3</v>
      </c>
      <c r="C31" s="1" t="s">
        <v>4</v>
      </c>
      <c r="D31" s="4" t="s">
        <v>21</v>
      </c>
      <c r="E31" s="4" t="s">
        <v>72</v>
      </c>
      <c r="F31" s="4" t="s">
        <v>75</v>
      </c>
      <c r="G31" s="4" t="s">
        <v>23</v>
      </c>
      <c r="H31" s="4" t="s">
        <v>72</v>
      </c>
      <c r="I31" s="4" t="s">
        <v>75</v>
      </c>
      <c r="J31" s="4" t="s">
        <v>67</v>
      </c>
      <c r="K31" s="4" t="s">
        <v>72</v>
      </c>
      <c r="L31" s="4" t="s">
        <v>75</v>
      </c>
    </row>
    <row r="32" spans="1:12" x14ac:dyDescent="0.25">
      <c r="A32" s="1" t="s">
        <v>5</v>
      </c>
      <c r="B32" s="1" t="s">
        <v>6</v>
      </c>
      <c r="C32" s="1" t="s">
        <v>7</v>
      </c>
      <c r="D32" s="1">
        <v>154083</v>
      </c>
      <c r="E32" s="5">
        <f>(D32-'2010'!D78)/'2010'!D78</f>
        <v>-1.2326448982731433E-2</v>
      </c>
      <c r="F32" s="5">
        <f>(D32-D13)/D13</f>
        <v>2.3113902869815805E-2</v>
      </c>
      <c r="G32" s="2">
        <v>102041</v>
      </c>
      <c r="H32" s="5">
        <f>(G32-'2010'!G78)/'2010'!G78</f>
        <v>-5.40811123986095E-2</v>
      </c>
      <c r="I32" s="5">
        <f>(G32-G13)/G13</f>
        <v>-1.530489158230963E-2</v>
      </c>
      <c r="J32">
        <v>36166</v>
      </c>
      <c r="K32" s="5">
        <f>(J32-'2010'!J78)/'2010'!J78</f>
        <v>-1.8455191879715574E-2</v>
      </c>
      <c r="L32" s="5">
        <f>(J32-J13)/J13</f>
        <v>-8.3356183164244591E-3</v>
      </c>
    </row>
    <row r="33" spans="1:12" x14ac:dyDescent="0.25">
      <c r="A33" s="1" t="s">
        <v>8</v>
      </c>
      <c r="B33" s="1" t="s">
        <v>9</v>
      </c>
      <c r="C33" s="1" t="s">
        <v>7</v>
      </c>
      <c r="D33" s="2">
        <v>148810</v>
      </c>
      <c r="E33" s="5">
        <f>(D33-'2010'!D79)/'2010'!D79</f>
        <v>1.1906785711857146E-2</v>
      </c>
      <c r="F33" s="5">
        <f>(D33-D14)/D14</f>
        <v>3.2742969769314047E-2</v>
      </c>
      <c r="G33" s="2">
        <v>94073</v>
      </c>
      <c r="H33" s="5">
        <f>(G33-'2010'!G79)/'2010'!G79</f>
        <v>-6.3036592896555846E-2</v>
      </c>
      <c r="I33" s="5">
        <f>(G33-G14)/G14</f>
        <v>9.3994441881176428E-3</v>
      </c>
      <c r="J33" s="2">
        <v>34518</v>
      </c>
      <c r="K33" s="5">
        <f>(J33-'2010'!J79)/'2010'!J79</f>
        <v>-1.5880256593014969E-2</v>
      </c>
      <c r="L33" s="5">
        <f>(J33-J14)/J14</f>
        <v>1.6910205043601224E-2</v>
      </c>
    </row>
    <row r="34" spans="1:12" x14ac:dyDescent="0.25">
      <c r="A34" s="1" t="s">
        <v>10</v>
      </c>
      <c r="B34" s="1" t="s">
        <v>9</v>
      </c>
      <c r="C34" s="1" t="s">
        <v>11</v>
      </c>
      <c r="D34" s="2">
        <v>85690</v>
      </c>
      <c r="E34" s="5">
        <f>(D34-'2010'!D80)/'2010'!D80</f>
        <v>-7.3691720626547177E-2</v>
      </c>
      <c r="F34" s="5">
        <f>(D34-D15)/D15</f>
        <v>2.3139745916515426E-2</v>
      </c>
      <c r="G34" s="2">
        <v>72569</v>
      </c>
      <c r="H34" s="5">
        <f>(G34-'2010'!G80)/'2010'!G80</f>
        <v>-8.4175721551256327E-2</v>
      </c>
      <c r="I34" s="5">
        <f>(G34-G15)/G15</f>
        <v>4.3596202286378611E-3</v>
      </c>
      <c r="J34" s="2">
        <v>31676</v>
      </c>
      <c r="K34" s="5">
        <f>(J34-'2010'!J80)/'2010'!J80</f>
        <v>-3.4503779565959521E-2</v>
      </c>
      <c r="L34" s="5">
        <f>(J34-J15)/J15</f>
        <v>0</v>
      </c>
    </row>
    <row r="35" spans="1:12" x14ac:dyDescent="0.25">
      <c r="A35" s="1" t="s">
        <v>12</v>
      </c>
      <c r="B35" s="1" t="s">
        <v>13</v>
      </c>
      <c r="C35" s="1" t="s">
        <v>11</v>
      </c>
      <c r="D35" s="2">
        <v>73910</v>
      </c>
      <c r="E35" s="5">
        <f>(D35-'2010'!D81)/'2010'!D81</f>
        <v>-8.3514167028334058E-2</v>
      </c>
      <c r="F35" s="5">
        <f>(D35-D16)/D16</f>
        <v>-2.9543093795950303E-3</v>
      </c>
      <c r="G35" s="2">
        <v>66711</v>
      </c>
      <c r="H35" s="5">
        <f>(G35-'2010'!G81)/'2010'!G81</f>
        <v>-0.10607420906642367</v>
      </c>
      <c r="I35" s="5">
        <f>(G35-G16)/G16</f>
        <v>-1.601840789415461E-2</v>
      </c>
      <c r="J35" s="2">
        <v>31114</v>
      </c>
      <c r="K35" s="5">
        <f>(J35-'2010'!J81)/'2010'!J81</f>
        <v>-3.1108896708498115E-2</v>
      </c>
      <c r="L35" s="5">
        <f>(J35-J16)/J16</f>
        <v>-3.1108896708498115E-2</v>
      </c>
    </row>
    <row r="36" spans="1:12" x14ac:dyDescent="0.25">
      <c r="A36" s="1" t="s">
        <v>14</v>
      </c>
      <c r="B36" s="1" t="s">
        <v>15</v>
      </c>
      <c r="C36" s="1" t="s">
        <v>11</v>
      </c>
      <c r="D36" s="2">
        <v>72833</v>
      </c>
      <c r="E36" s="5">
        <f>(D36-'2010'!D82)/'2010'!D82</f>
        <v>-8.5942696502302934E-2</v>
      </c>
      <c r="F36" s="5">
        <f>(D36-D17)/D17</f>
        <v>2.4763271565854825E-2</v>
      </c>
      <c r="G36" s="2">
        <v>68446</v>
      </c>
      <c r="H36" s="5">
        <f>(G36-'2010'!G82)/'2010'!G82</f>
        <v>-4.9968075951475448E-2</v>
      </c>
      <c r="I36" s="5">
        <f>(G36-G17)/G17</f>
        <v>2.6007704876257288E-2</v>
      </c>
      <c r="J36" s="2">
        <v>32531</v>
      </c>
      <c r="K36" s="5">
        <f>(J36-'2010'!J82)/'2010'!J82</f>
        <v>1.3332087343861944E-2</v>
      </c>
      <c r="L36" s="5">
        <f>(J36-J17)/J17</f>
        <v>3.1551243023845765E-2</v>
      </c>
    </row>
  </sheetData>
  <mergeCells count="8">
    <mergeCell ref="A20:L20"/>
    <mergeCell ref="A29:L29"/>
    <mergeCell ref="A21:L21"/>
    <mergeCell ref="A30:L30"/>
    <mergeCell ref="A1:L1"/>
    <mergeCell ref="A2:L2"/>
    <mergeCell ref="A10:L10"/>
    <mergeCell ref="A11:L11"/>
  </mergeCells>
  <conditionalFormatting sqref="K4:K8 H4:H8 E4:E8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3:E17 H13:H17 K13:K17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3:E27 H23:H27 K23:K27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2:E36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3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3:I27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3:L27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2:H3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2:K3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4:F2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2:F3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2:I3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2:L3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92"/>
  <sheetViews>
    <sheetView topLeftCell="A61" workbookViewId="0">
      <selection activeCell="P71" sqref="P71"/>
    </sheetView>
  </sheetViews>
  <sheetFormatPr defaultRowHeight="15" x14ac:dyDescent="0.25"/>
  <cols>
    <col min="3" max="3" width="9.85546875" bestFit="1" customWidth="1"/>
    <col min="5" max="5" width="9.5703125" bestFit="1" customWidth="1"/>
    <col min="6" max="6" width="10.5703125" bestFit="1" customWidth="1"/>
    <col min="7" max="7" width="9.5703125" bestFit="1" customWidth="1"/>
  </cols>
  <sheetData>
    <row r="1" spans="1:15" ht="18.75" x14ac:dyDescent="0.3">
      <c r="A1" s="76" t="s">
        <v>86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</row>
    <row r="2" spans="1:15" ht="45" x14ac:dyDescent="0.25">
      <c r="A2" s="1" t="s">
        <v>2</v>
      </c>
      <c r="B2" s="1" t="s">
        <v>3</v>
      </c>
      <c r="C2" s="1" t="s">
        <v>4</v>
      </c>
      <c r="D2" s="4" t="s">
        <v>78</v>
      </c>
      <c r="E2" s="4" t="s">
        <v>83</v>
      </c>
      <c r="F2" s="4" t="s">
        <v>84</v>
      </c>
      <c r="G2" s="4" t="s">
        <v>85</v>
      </c>
      <c r="H2" s="4" t="s">
        <v>79</v>
      </c>
      <c r="I2" s="4" t="s">
        <v>83</v>
      </c>
      <c r="J2" s="4" t="s">
        <v>84</v>
      </c>
      <c r="K2" s="4" t="s">
        <v>82</v>
      </c>
      <c r="L2" s="4" t="s">
        <v>80</v>
      </c>
      <c r="M2" s="4" t="s">
        <v>83</v>
      </c>
      <c r="N2" s="4" t="s">
        <v>84</v>
      </c>
      <c r="O2" s="4" t="s">
        <v>81</v>
      </c>
    </row>
    <row r="3" spans="1:15" x14ac:dyDescent="0.25">
      <c r="A3" s="1" t="s">
        <v>5</v>
      </c>
      <c r="B3" s="1" t="s">
        <v>6</v>
      </c>
      <c r="C3" s="1" t="s">
        <v>7</v>
      </c>
      <c r="D3" s="1">
        <v>144509</v>
      </c>
      <c r="E3" s="5">
        <f>(D3-'2011'!D23)/'2011'!D23</f>
        <v>-0.14884055154053211</v>
      </c>
      <c r="F3" s="5">
        <f>(D3-'2011'!D4)/'2011'!D4</f>
        <v>-8.6710158945758134E-3</v>
      </c>
      <c r="G3" s="16">
        <v>173913</v>
      </c>
      <c r="H3" s="2">
        <v>111234</v>
      </c>
      <c r="I3" s="5">
        <f>(H3-'2011'!G23)/'2011'!G23</f>
        <v>-1.1130273989652046E-2</v>
      </c>
      <c r="J3" s="5">
        <f>(H3-'2011'!G4)/'2011'!G4</f>
        <v>9.676592388089135E-2</v>
      </c>
      <c r="K3" s="16">
        <v>113766</v>
      </c>
      <c r="L3" s="1">
        <v>37161</v>
      </c>
      <c r="M3" s="5">
        <f>(L3-'2011'!J23)/'2011'!J23</f>
        <v>-9.6474162513658281E-3</v>
      </c>
      <c r="N3" s="5">
        <f>(L3-'2011'!J4)/'2011'!J4</f>
        <v>-9.6474162513658281E-3</v>
      </c>
      <c r="O3" s="16">
        <v>37836</v>
      </c>
    </row>
    <row r="4" spans="1:15" x14ac:dyDescent="0.25">
      <c r="A4" s="1" t="s">
        <v>8</v>
      </c>
      <c r="B4" s="1" t="s">
        <v>9</v>
      </c>
      <c r="C4" s="1" t="s">
        <v>7</v>
      </c>
      <c r="D4" s="2">
        <v>168634</v>
      </c>
      <c r="E4" s="5">
        <f>(D4-'2011'!D24)/'2011'!D24</f>
        <v>0.16694461936626784</v>
      </c>
      <c r="F4" s="5">
        <f>(D4-'2011'!D5)/'2011'!D5</f>
        <v>0.11973280567323143</v>
      </c>
      <c r="G4" s="16">
        <v>171527</v>
      </c>
      <c r="H4" s="2">
        <v>103842</v>
      </c>
      <c r="I4" s="5">
        <f>(H4-'2011'!G24)/'2011'!G24</f>
        <v>3.1105100463678518E-3</v>
      </c>
      <c r="J4" s="5">
        <f>(H4-'2011'!G5)/'2011'!G5</f>
        <v>2.1805443488870958E-2</v>
      </c>
      <c r="K4" s="16">
        <v>105597</v>
      </c>
      <c r="L4" s="1">
        <v>36166</v>
      </c>
      <c r="M4" s="5">
        <f>(L4-'2011'!J24)/'2011'!J24</f>
        <v>0</v>
      </c>
      <c r="N4" s="5">
        <f>(L4-'2011'!J5)/'2011'!J5</f>
        <v>3.001822738664844E-2</v>
      </c>
      <c r="O4" s="16">
        <v>36470</v>
      </c>
    </row>
    <row r="5" spans="1:15" x14ac:dyDescent="0.25">
      <c r="A5" s="1" t="s">
        <v>10</v>
      </c>
      <c r="B5" s="1" t="s">
        <v>9</v>
      </c>
      <c r="C5" s="1" t="s">
        <v>11</v>
      </c>
      <c r="D5" s="2">
        <v>68681</v>
      </c>
      <c r="E5" s="5">
        <f>(D5-'2011'!D25)/'2011'!D25</f>
        <v>0.12018854384133612</v>
      </c>
      <c r="F5" s="5">
        <f>(D5-'2011'!D6)/'2011'!D6</f>
        <v>0.21496930778892251</v>
      </c>
      <c r="G5" s="16">
        <v>69638</v>
      </c>
      <c r="H5" s="2">
        <v>57670</v>
      </c>
      <c r="I5" s="5">
        <f>(H5-'2011'!G25)/'2011'!G25</f>
        <v>5.6517358248603093E-2</v>
      </c>
      <c r="J5" s="5">
        <f>(H5-'2011'!G6)/'2011'!G6</f>
        <v>0.16378092585865925</v>
      </c>
      <c r="K5" s="16">
        <v>60533</v>
      </c>
      <c r="L5" s="2">
        <v>28177</v>
      </c>
      <c r="M5" s="5">
        <f>(L5-'2011'!J25)/'2011'!J25</f>
        <v>3.6643243442110299E-2</v>
      </c>
      <c r="N5" s="5">
        <f>(L5-'2011'!J6)/'2011'!J6</f>
        <v>7.3818597560975613E-2</v>
      </c>
      <c r="O5" s="16">
        <v>29283</v>
      </c>
    </row>
    <row r="6" spans="1:15" x14ac:dyDescent="0.25">
      <c r="A6" s="1" t="s">
        <v>12</v>
      </c>
      <c r="B6" s="1" t="s">
        <v>13</v>
      </c>
      <c r="C6" s="1" t="s">
        <v>7</v>
      </c>
      <c r="D6" s="2">
        <v>135501</v>
      </c>
      <c r="E6" s="5">
        <f>(D6-'2011'!D26)/'2011'!D26</f>
        <v>-5.4199879943601412E-2</v>
      </c>
      <c r="F6" s="5">
        <f>(D6-'2011'!D7)/'2011'!D7</f>
        <v>-6.2335217875703244E-2</v>
      </c>
      <c r="G6" s="16">
        <v>162338</v>
      </c>
      <c r="H6" s="2">
        <v>104603</v>
      </c>
      <c r="I6" s="5">
        <f>(H6-'2011'!G26)/'2011'!G26</f>
        <v>-1.4638695517017249E-2</v>
      </c>
      <c r="J6" s="5">
        <f>(H6-'2011'!G7)/'2011'!G7</f>
        <v>3.5570735570735569E-2</v>
      </c>
      <c r="K6" s="16">
        <v>108932</v>
      </c>
      <c r="L6" s="2">
        <v>35650</v>
      </c>
      <c r="M6" s="5">
        <f>(L6-'2011'!J26)/'2011'!J26</f>
        <v>-2.8049704075622001E-5</v>
      </c>
      <c r="N6" s="5">
        <f>(L6-'2011'!J7)/'2011'!J7</f>
        <v>-4.301195397162328E-3</v>
      </c>
      <c r="O6" s="16">
        <v>36643</v>
      </c>
    </row>
    <row r="7" spans="1:15" x14ac:dyDescent="0.25">
      <c r="A7" s="1" t="s">
        <v>14</v>
      </c>
      <c r="B7" s="1" t="s">
        <v>15</v>
      </c>
      <c r="C7" s="1" t="s">
        <v>7</v>
      </c>
      <c r="D7" s="2">
        <v>121507</v>
      </c>
      <c r="E7" s="5">
        <f>(D7-'2011'!D27)/'2011'!D27</f>
        <v>-0.1287947228794723</v>
      </c>
      <c r="F7" s="5">
        <f>(D7-'2011'!D8)/'2011'!D8</f>
        <v>-0.13001109798446281</v>
      </c>
      <c r="G7" s="16">
        <v>138504</v>
      </c>
      <c r="H7" s="2">
        <v>102669</v>
      </c>
      <c r="I7" s="5">
        <f>(H7-'2011'!G27)/'2011'!G27</f>
        <v>2.4640718562874253E-2</v>
      </c>
      <c r="J7" s="5">
        <f>(H7-'2011'!G8)/'2011'!G8</f>
        <v>5.9546538147968502E-2</v>
      </c>
      <c r="K7" s="16">
        <v>103842</v>
      </c>
      <c r="L7" s="2">
        <v>36470</v>
      </c>
      <c r="M7" s="5">
        <f>(L7-'2011'!J27)/'2011'!J27</f>
        <v>9.5557090930938143E-2</v>
      </c>
      <c r="N7" s="5">
        <f>(L7-'2011'!J8)/'2011'!J8</f>
        <v>1.2774229380727576E-2</v>
      </c>
      <c r="O7" s="16">
        <v>37679</v>
      </c>
    </row>
    <row r="9" spans="1:15" ht="18.75" x14ac:dyDescent="0.3">
      <c r="A9" s="76" t="s">
        <v>87</v>
      </c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</row>
    <row r="10" spans="1:15" ht="45" x14ac:dyDescent="0.25">
      <c r="A10" s="1" t="s">
        <v>2</v>
      </c>
      <c r="B10" s="1" t="s">
        <v>3</v>
      </c>
      <c r="C10" s="1" t="s">
        <v>4</v>
      </c>
      <c r="D10" s="4" t="s">
        <v>78</v>
      </c>
      <c r="E10" s="4" t="s">
        <v>83</v>
      </c>
      <c r="F10" s="4" t="s">
        <v>84</v>
      </c>
      <c r="G10" s="4" t="s">
        <v>85</v>
      </c>
      <c r="H10" s="4" t="s">
        <v>79</v>
      </c>
      <c r="I10" s="4" t="s">
        <v>83</v>
      </c>
      <c r="J10" s="4" t="s">
        <v>84</v>
      </c>
      <c r="K10" s="4" t="s">
        <v>82</v>
      </c>
      <c r="L10" s="4" t="s">
        <v>80</v>
      </c>
      <c r="M10" s="4" t="s">
        <v>83</v>
      </c>
      <c r="N10" s="4" t="s">
        <v>84</v>
      </c>
      <c r="O10" s="4" t="s">
        <v>81</v>
      </c>
    </row>
    <row r="11" spans="1:15" x14ac:dyDescent="0.25">
      <c r="A11" s="1" t="s">
        <v>5</v>
      </c>
      <c r="B11" s="1" t="s">
        <v>6</v>
      </c>
      <c r="C11" s="1" t="s">
        <v>7</v>
      </c>
      <c r="D11" s="1">
        <v>151515</v>
      </c>
      <c r="E11" s="5">
        <f>(D11-'2011'!D32)/'2011'!D32</f>
        <v>-1.6666342166235082E-2</v>
      </c>
      <c r="F11" s="5">
        <f>(D11-'2011'!D13)/'2011'!D13</f>
        <v>6.062336489555252E-3</v>
      </c>
      <c r="G11" s="16">
        <v>154083</v>
      </c>
      <c r="H11" s="2">
        <v>102669</v>
      </c>
      <c r="I11" s="5">
        <f>(H11-'2011'!G32)/'2011'!G32</f>
        <v>6.15438892209994E-3</v>
      </c>
      <c r="J11" s="5">
        <f>(H11-'2011'!G13)/'2011'!G13</f>
        <v>-9.2446949154177966E-3</v>
      </c>
      <c r="K11" s="16">
        <v>104603</v>
      </c>
      <c r="L11">
        <v>36166</v>
      </c>
      <c r="M11" s="5">
        <f>(L11-'2011'!J32)/'2011'!J32</f>
        <v>0</v>
      </c>
      <c r="N11" s="5">
        <f>(L11-'2011'!J13)/'2011'!J13</f>
        <v>-8.3356183164244591E-3</v>
      </c>
      <c r="O11" s="16">
        <v>36643</v>
      </c>
    </row>
    <row r="12" spans="1:15" x14ac:dyDescent="0.25">
      <c r="A12" s="1" t="s">
        <v>8</v>
      </c>
      <c r="B12" s="1" t="s">
        <v>9</v>
      </c>
      <c r="C12" s="1" t="s">
        <v>7</v>
      </c>
      <c r="D12" s="2">
        <v>147059</v>
      </c>
      <c r="E12" s="5">
        <f>(D12-'2011'!D33)/'2011'!D33</f>
        <v>-1.1766682346616491E-2</v>
      </c>
      <c r="F12" s="5">
        <f>(D12-'2011'!D14)/'2011'!D14</f>
        <v>2.0591011298337174E-2</v>
      </c>
      <c r="G12" s="16">
        <v>151515</v>
      </c>
      <c r="H12" s="2">
        <v>95785</v>
      </c>
      <c r="I12" s="5">
        <f>(H12-'2011'!G33)/'2011'!G33</f>
        <v>1.8198632976518237E-2</v>
      </c>
      <c r="J12" s="5">
        <f>(H12-'2011'!G14)/'2011'!G14</f>
        <v>2.77691341995987E-2</v>
      </c>
      <c r="K12" s="16">
        <v>96712</v>
      </c>
      <c r="L12" s="2">
        <v>34376</v>
      </c>
      <c r="M12" s="5">
        <f>(L12-'2011'!J33)/'2011'!J33</f>
        <v>-4.1137957007937884E-3</v>
      </c>
      <c r="N12" s="5">
        <f>(L12-'2011'!J14)/'2011'!J14</f>
        <v>1.2726844213999529E-2</v>
      </c>
      <c r="O12" s="16">
        <v>34941</v>
      </c>
    </row>
    <row r="13" spans="1:15" x14ac:dyDescent="0.25">
      <c r="A13" s="1" t="s">
        <v>10</v>
      </c>
      <c r="B13" s="1" t="s">
        <v>9</v>
      </c>
      <c r="C13" s="1" t="s">
        <v>11</v>
      </c>
      <c r="D13" s="2">
        <v>85470</v>
      </c>
      <c r="E13" s="5">
        <f>(D13-'2011'!D34)/'2011'!D34</f>
        <v>-2.5673940949935813E-3</v>
      </c>
      <c r="F13" s="5">
        <f>(D13-'2011'!D15)/'2011'!D15</f>
        <v>2.0512942974496132E-2</v>
      </c>
      <c r="G13" s="16">
        <v>87108</v>
      </c>
      <c r="H13" s="2">
        <v>71276</v>
      </c>
      <c r="I13" s="5">
        <f>(H13-'2011'!G34)/'2011'!G34</f>
        <v>-1.781752538962918E-2</v>
      </c>
      <c r="J13" s="5">
        <f>(H13-'2011'!G15)/'2011'!G15</f>
        <v>-1.3535582805104215E-2</v>
      </c>
      <c r="K13" s="16">
        <v>73801</v>
      </c>
      <c r="L13" s="2">
        <v>31676</v>
      </c>
      <c r="M13" s="5">
        <f>(L13-'2011'!J34)/'2011'!J34</f>
        <v>0</v>
      </c>
      <c r="N13" s="5">
        <f>(L13-'2011'!J15)/'2011'!J15</f>
        <v>0</v>
      </c>
      <c r="O13" s="16">
        <v>32669</v>
      </c>
    </row>
    <row r="14" spans="1:15" x14ac:dyDescent="0.25">
      <c r="A14" s="1" t="s">
        <v>12</v>
      </c>
      <c r="B14" s="1" t="s">
        <v>13</v>
      </c>
      <c r="C14" s="1" t="s">
        <v>11</v>
      </c>
      <c r="D14" s="2">
        <v>73206</v>
      </c>
      <c r="E14" s="5">
        <f>(D14-'2011'!D35)/'2011'!D35</f>
        <v>-9.525098092274387E-3</v>
      </c>
      <c r="F14" s="5">
        <f>(D14-'2011'!D16)/'2011'!D16</f>
        <v>-1.2451267385233849E-2</v>
      </c>
      <c r="G14" s="16">
        <v>74184</v>
      </c>
      <c r="H14" s="2">
        <v>66269</v>
      </c>
      <c r="I14" s="5">
        <f>(H14-'2011'!G35)/'2011'!G35</f>
        <v>-6.6255939800032981E-3</v>
      </c>
      <c r="J14" s="5">
        <f>(H14-'2011'!G16)/'2011'!G16</f>
        <v>-2.2537870407245159E-2</v>
      </c>
      <c r="K14" s="16">
        <v>66800</v>
      </c>
      <c r="L14" s="2">
        <v>31114</v>
      </c>
      <c r="M14" s="5">
        <f>(L14-'2011'!J35)/'2011'!J35</f>
        <v>0</v>
      </c>
      <c r="N14" s="5">
        <f>(L14-'2011'!J16)/'2011'!J16</f>
        <v>-3.1108896708498115E-2</v>
      </c>
      <c r="O14" s="16">
        <v>31546</v>
      </c>
    </row>
    <row r="15" spans="1:15" x14ac:dyDescent="0.25">
      <c r="A15" s="1" t="s">
        <v>14</v>
      </c>
      <c r="B15" s="1" t="s">
        <v>15</v>
      </c>
      <c r="C15" s="1" t="s">
        <v>11</v>
      </c>
      <c r="D15" s="2">
        <v>71839</v>
      </c>
      <c r="E15" s="5">
        <f>(D15-'2011'!D36)/'2011'!D36</f>
        <v>-1.364765971468977E-2</v>
      </c>
      <c r="F15" s="5">
        <f>(D15-'2011'!D17)/'2011'!D17</f>
        <v>1.0777651147411816E-2</v>
      </c>
      <c r="G15" s="16">
        <v>76336</v>
      </c>
      <c r="H15" s="2">
        <v>62189</v>
      </c>
      <c r="I15" s="5">
        <f>(H15-'2011'!G36)/'2011'!G36</f>
        <v>-9.1415130175612896E-2</v>
      </c>
      <c r="J15" s="5">
        <f>(H15-'2011'!G17)/'2011'!G17</f>
        <v>-6.7784923026187591E-2</v>
      </c>
      <c r="K15">
        <v>68027</v>
      </c>
      <c r="L15" s="2"/>
      <c r="M15" s="5"/>
      <c r="N15" s="5"/>
      <c r="O15" s="16"/>
    </row>
    <row r="17" spans="1:15" ht="18.75" x14ac:dyDescent="0.3">
      <c r="A17" s="76" t="s">
        <v>88</v>
      </c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</row>
    <row r="18" spans="1:15" ht="45" x14ac:dyDescent="0.25">
      <c r="A18" s="1" t="s">
        <v>2</v>
      </c>
      <c r="B18" s="1" t="s">
        <v>3</v>
      </c>
      <c r="C18" s="1" t="s">
        <v>4</v>
      </c>
      <c r="D18" s="4" t="s">
        <v>78</v>
      </c>
      <c r="E18" s="4" t="s">
        <v>83</v>
      </c>
      <c r="F18" s="4" t="s">
        <v>84</v>
      </c>
      <c r="G18" s="4" t="s">
        <v>85</v>
      </c>
      <c r="H18" s="4" t="s">
        <v>79</v>
      </c>
      <c r="I18" s="4" t="s">
        <v>83</v>
      </c>
      <c r="J18" s="4" t="s">
        <v>84</v>
      </c>
      <c r="K18" s="4" t="s">
        <v>82</v>
      </c>
      <c r="L18" s="4" t="s">
        <v>80</v>
      </c>
      <c r="M18" s="4" t="s">
        <v>83</v>
      </c>
      <c r="N18" s="4" t="s">
        <v>84</v>
      </c>
      <c r="O18" s="4" t="s">
        <v>81</v>
      </c>
    </row>
    <row r="19" spans="1:15" x14ac:dyDescent="0.25">
      <c r="A19" s="1" t="s">
        <v>5</v>
      </c>
      <c r="B19" s="1" t="s">
        <v>6</v>
      </c>
      <c r="C19" s="1" t="s">
        <v>7</v>
      </c>
      <c r="D19" s="1">
        <v>169779</v>
      </c>
      <c r="E19" s="5">
        <f>(D19-'2011'!D23)/'2011'!D23</f>
        <v>0</v>
      </c>
      <c r="F19" s="5">
        <f>(D19-'2011'!D4)/'2011'!D4</f>
        <v>0.16468070218764791</v>
      </c>
      <c r="G19" s="16">
        <v>174216</v>
      </c>
      <c r="H19" s="2">
        <v>109649</v>
      </c>
      <c r="I19" s="5">
        <f>(H19-'2011'!G23)/'2011'!G23</f>
        <v>-2.5220916380705154E-2</v>
      </c>
      <c r="J19" s="5">
        <f>(H19-'2011'!G4)/'2011'!G4</f>
        <v>8.1137842634588841E-2</v>
      </c>
      <c r="K19" s="16">
        <v>112108</v>
      </c>
      <c r="L19" s="1">
        <v>38565</v>
      </c>
      <c r="M19" s="5">
        <f>(L19-'2011'!J23)/'2011'!J23</f>
        <v>2.776963462409722E-2</v>
      </c>
      <c r="N19" s="5">
        <f>(L19-'2011'!J4)/'2011'!J4</f>
        <v>2.776963462409722E-2</v>
      </c>
      <c r="O19" s="16">
        <v>38926</v>
      </c>
    </row>
    <row r="20" spans="1:15" x14ac:dyDescent="0.25">
      <c r="A20" s="1" t="s">
        <v>8</v>
      </c>
      <c r="B20" s="1" t="s">
        <v>9</v>
      </c>
      <c r="C20" s="1" t="s">
        <v>7</v>
      </c>
      <c r="D20" s="2">
        <v>168919</v>
      </c>
      <c r="E20" s="5">
        <f>(D20-'2011'!D24)/'2011'!D24</f>
        <v>0.16891681486966209</v>
      </c>
      <c r="F20" s="5">
        <f>(D20-'2011'!D5)/'2011'!D5</f>
        <v>0.12162521082057343</v>
      </c>
      <c r="G20" s="16">
        <v>169204</v>
      </c>
      <c r="H20" s="2" t="s">
        <v>90</v>
      </c>
      <c r="I20" s="5" t="e">
        <f>(H20-'2011'!G24)/'2011'!G24</f>
        <v>#VALUE!</v>
      </c>
      <c r="J20" s="5" t="e">
        <f>(H20-'2011'!G5)/'2011'!G5</f>
        <v>#VALUE!</v>
      </c>
      <c r="K20" s="16"/>
      <c r="L20" s="1"/>
      <c r="M20" s="5">
        <f>(L20-'2011'!J24)/'2011'!J24</f>
        <v>-1</v>
      </c>
      <c r="N20" s="5">
        <f>(L20-'2011'!J5)/'2011'!J5</f>
        <v>-1</v>
      </c>
      <c r="O20" s="16"/>
    </row>
    <row r="21" spans="1:15" x14ac:dyDescent="0.25">
      <c r="A21" s="1" t="s">
        <v>10</v>
      </c>
      <c r="B21" s="1" t="s">
        <v>9</v>
      </c>
      <c r="C21" s="1" t="s">
        <v>11</v>
      </c>
      <c r="D21" s="2">
        <v>57803</v>
      </c>
      <c r="E21" s="5">
        <f>(D21-'2011'!D25)/'2011'!D25</f>
        <v>-5.7231863256784969E-2</v>
      </c>
      <c r="F21" s="5">
        <f>(D21-'2011'!D6)/'2011'!D6</f>
        <v>2.2537104848838651E-2</v>
      </c>
      <c r="G21" s="16">
        <v>59312</v>
      </c>
      <c r="H21" s="2"/>
      <c r="I21" s="5">
        <f>(H21-'2011'!G25)/'2011'!G25</f>
        <v>-1</v>
      </c>
      <c r="J21" s="5">
        <f>(H21-'2011'!G6)/'2011'!G6</f>
        <v>-1</v>
      </c>
      <c r="K21" s="16"/>
      <c r="L21" s="2"/>
      <c r="M21" s="5">
        <f>(L21-'2011'!J25)/'2011'!J25</f>
        <v>-1</v>
      </c>
      <c r="N21" s="5">
        <f>(L21-'2011'!J6)/'2011'!J6</f>
        <v>-1</v>
      </c>
      <c r="O21" s="16"/>
    </row>
    <row r="22" spans="1:15" x14ac:dyDescent="0.25">
      <c r="A22" s="1" t="s">
        <v>12</v>
      </c>
      <c r="B22" s="1" t="s">
        <v>13</v>
      </c>
      <c r="C22" s="1" t="s">
        <v>7</v>
      </c>
      <c r="D22" s="2">
        <v>144092</v>
      </c>
      <c r="E22" s="5">
        <f>(D22-'2011'!D26)/'2011'!D26</f>
        <v>5.7654991414571493E-3</v>
      </c>
      <c r="F22" s="5">
        <f>(D22-'2011'!D7)/'2011'!D7</f>
        <v>-2.8856334207558007E-3</v>
      </c>
      <c r="G22" s="16">
        <v>154799</v>
      </c>
      <c r="H22" s="2"/>
      <c r="I22" s="5">
        <f>(H22-'2011'!G26)/'2011'!G26</f>
        <v>-1</v>
      </c>
      <c r="J22" s="5">
        <f>(H22-'2011'!G7)/'2011'!G7</f>
        <v>-1</v>
      </c>
      <c r="K22" s="16"/>
      <c r="L22" s="2"/>
      <c r="M22" s="5">
        <f>(L22-'2011'!J26)/'2011'!J26</f>
        <v>-1</v>
      </c>
      <c r="N22" s="5">
        <f>(L22-'2011'!J7)/'2011'!J7</f>
        <v>-1</v>
      </c>
      <c r="O22" s="16"/>
    </row>
    <row r="23" spans="1:15" x14ac:dyDescent="0.25">
      <c r="A23" s="1" t="s">
        <v>14</v>
      </c>
      <c r="B23" s="1" t="s">
        <v>15</v>
      </c>
      <c r="C23" s="1" t="s">
        <v>7</v>
      </c>
      <c r="D23" s="2">
        <v>137741</v>
      </c>
      <c r="E23" s="5">
        <f>(D23-'2011'!D27)/'2011'!D27</f>
        <v>-1.2396931239693125E-2</v>
      </c>
      <c r="F23" s="5">
        <f>(D23-'2011'!D8)/'2011'!D8</f>
        <v>-1.3775820713851E-2</v>
      </c>
      <c r="G23" s="16">
        <v>140252</v>
      </c>
      <c r="H23" s="2">
        <v>84818</v>
      </c>
      <c r="I23" s="5">
        <f>(H23-'2011'!G27)/'2011'!G27</f>
        <v>-0.15351297405189621</v>
      </c>
      <c r="J23" s="5">
        <f>(H23-'2011'!G8)/'2011'!G8</f>
        <v>-0.12467620924880546</v>
      </c>
      <c r="K23" s="16">
        <v>104603</v>
      </c>
      <c r="L23" s="2">
        <v>36996</v>
      </c>
      <c r="M23" s="5">
        <f>(L23-'2011'!J27)/'2011'!J27</f>
        <v>0.1113581062813542</v>
      </c>
      <c r="N23" s="5">
        <f>(L23-'2011'!J8)/'2011'!J8</f>
        <v>2.7381282976950846E-2</v>
      </c>
      <c r="O23" s="16">
        <v>37397</v>
      </c>
    </row>
    <row r="25" spans="1:15" ht="18.75" x14ac:dyDescent="0.3">
      <c r="A25" s="76" t="s">
        <v>89</v>
      </c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</row>
    <row r="26" spans="1:15" ht="45" x14ac:dyDescent="0.25">
      <c r="A26" s="1" t="s">
        <v>2</v>
      </c>
      <c r="B26" s="1" t="s">
        <v>3</v>
      </c>
      <c r="C26" s="1" t="s">
        <v>4</v>
      </c>
      <c r="D26" s="4" t="s">
        <v>78</v>
      </c>
      <c r="E26" s="4" t="s">
        <v>83</v>
      </c>
      <c r="F26" s="4" t="s">
        <v>84</v>
      </c>
      <c r="G26" s="4" t="s">
        <v>85</v>
      </c>
      <c r="H26" s="4" t="s">
        <v>79</v>
      </c>
      <c r="I26" s="4" t="s">
        <v>83</v>
      </c>
      <c r="J26" s="4" t="s">
        <v>84</v>
      </c>
      <c r="K26" s="4" t="s">
        <v>82</v>
      </c>
      <c r="L26" s="4" t="s">
        <v>80</v>
      </c>
      <c r="M26" s="4" t="s">
        <v>83</v>
      </c>
      <c r="N26" s="4" t="s">
        <v>84</v>
      </c>
      <c r="O26" s="4" t="s">
        <v>81</v>
      </c>
    </row>
    <row r="27" spans="1:15" x14ac:dyDescent="0.25">
      <c r="A27" s="1" t="s">
        <v>5</v>
      </c>
      <c r="B27" s="1" t="s">
        <v>6</v>
      </c>
      <c r="C27" s="1" t="s">
        <v>7</v>
      </c>
      <c r="D27" s="1"/>
      <c r="E27" s="5">
        <f>(D27-'2011'!D32)/'2011'!D32</f>
        <v>-1</v>
      </c>
      <c r="F27" s="5">
        <f>(D27-'2011'!D13)/'2011'!D13</f>
        <v>-1</v>
      </c>
      <c r="G27" s="16"/>
      <c r="H27" s="2"/>
      <c r="I27" s="5">
        <f>(H27-'2011'!G32)/'2011'!G32</f>
        <v>-1</v>
      </c>
      <c r="J27" s="5">
        <f>(H27-'2011'!G13)/'2011'!G13</f>
        <v>-1</v>
      </c>
      <c r="K27" s="16"/>
      <c r="M27" s="5">
        <f>(L27-'2011'!J32)/'2011'!J32</f>
        <v>-1</v>
      </c>
      <c r="N27" s="5">
        <f>(L27-'2011'!J13)/'2011'!J13</f>
        <v>-1</v>
      </c>
      <c r="O27" s="16"/>
    </row>
    <row r="28" spans="1:15" x14ac:dyDescent="0.25">
      <c r="A28" s="1" t="s">
        <v>8</v>
      </c>
      <c r="B28" s="1" t="s">
        <v>9</v>
      </c>
      <c r="C28" s="1" t="s">
        <v>7</v>
      </c>
      <c r="D28" s="2"/>
      <c r="E28" s="5">
        <f>(D28-'2011'!D33)/'2011'!D33</f>
        <v>-1</v>
      </c>
      <c r="F28" s="5">
        <f>(D28-'2011'!D14)/'2011'!D14</f>
        <v>-1</v>
      </c>
      <c r="G28" s="16"/>
      <c r="H28" s="2"/>
      <c r="I28" s="5">
        <f>(H28-'2011'!G33)/'2011'!G33</f>
        <v>-1</v>
      </c>
      <c r="J28" s="5">
        <f>(H28-'2011'!G14)/'2011'!G14</f>
        <v>-1</v>
      </c>
      <c r="K28" s="16"/>
      <c r="L28" s="2"/>
      <c r="M28" s="5">
        <f>(L28-'2011'!J33)/'2011'!J33</f>
        <v>-1</v>
      </c>
      <c r="N28" s="5">
        <f>(L28-'2011'!J14)/'2011'!J14</f>
        <v>-1</v>
      </c>
      <c r="O28" s="16"/>
    </row>
    <row r="29" spans="1:15" x14ac:dyDescent="0.25">
      <c r="A29" s="1" t="s">
        <v>10</v>
      </c>
      <c r="B29" s="1" t="s">
        <v>9</v>
      </c>
      <c r="C29" s="1" t="s">
        <v>11</v>
      </c>
      <c r="D29" s="2"/>
      <c r="E29" s="5">
        <f>(D29-'2011'!D34)/'2011'!D34</f>
        <v>-1</v>
      </c>
      <c r="F29" s="5">
        <f>(D29-'2011'!D15)/'2011'!D15</f>
        <v>-1</v>
      </c>
      <c r="G29" s="16"/>
      <c r="H29" s="2"/>
      <c r="I29" s="5">
        <f>(H29-'2011'!G34)/'2011'!G34</f>
        <v>-1</v>
      </c>
      <c r="J29" s="5">
        <f>(H29-'2011'!G15)/'2011'!G15</f>
        <v>-1</v>
      </c>
      <c r="K29" s="16"/>
      <c r="L29" s="2"/>
      <c r="M29" s="5">
        <f>(L29-'2011'!J34)/'2011'!J34</f>
        <v>-1</v>
      </c>
      <c r="N29" s="5">
        <f>(L29-'2011'!J15)/'2011'!J15</f>
        <v>-1</v>
      </c>
      <c r="O29" s="16"/>
    </row>
    <row r="30" spans="1:15" x14ac:dyDescent="0.25">
      <c r="A30" s="1" t="s">
        <v>12</v>
      </c>
      <c r="B30" s="1" t="s">
        <v>13</v>
      </c>
      <c r="C30" s="1" t="s">
        <v>11</v>
      </c>
      <c r="D30" s="2"/>
      <c r="E30" s="5">
        <f>(D30-'2011'!D35)/'2011'!D35</f>
        <v>-1</v>
      </c>
      <c r="F30" s="5">
        <f>(D30-'2011'!D16)/'2011'!D16</f>
        <v>-1</v>
      </c>
      <c r="G30" s="16"/>
      <c r="H30" s="2"/>
      <c r="I30" s="5">
        <f>(H30-'2011'!G35)/'2011'!G35</f>
        <v>-1</v>
      </c>
      <c r="J30" s="5">
        <f>(H30-'2011'!G16)/'2011'!G16</f>
        <v>-1</v>
      </c>
      <c r="K30" s="16"/>
      <c r="L30" s="2"/>
      <c r="M30" s="5">
        <f>(L30-'2011'!J35)/'2011'!J35</f>
        <v>-1</v>
      </c>
      <c r="N30" s="5">
        <f>(L30-'2011'!J16)/'2011'!J16</f>
        <v>-1</v>
      </c>
      <c r="O30" s="16"/>
    </row>
    <row r="31" spans="1:15" x14ac:dyDescent="0.25">
      <c r="A31" s="1" t="s">
        <v>14</v>
      </c>
      <c r="B31" s="1" t="s">
        <v>15</v>
      </c>
      <c r="C31" s="1" t="s">
        <v>11</v>
      </c>
      <c r="D31" s="2"/>
      <c r="E31" s="5">
        <f>(D31-'2011'!D36)/'2011'!D36</f>
        <v>-1</v>
      </c>
      <c r="F31" s="5">
        <f>(D31-'2011'!D17)/'2011'!D17</f>
        <v>-1</v>
      </c>
      <c r="G31" s="16"/>
      <c r="H31" s="2"/>
      <c r="I31" s="5">
        <f>(H31-'2011'!G36)/'2011'!G36</f>
        <v>-1</v>
      </c>
      <c r="J31" s="5">
        <f>(H31-'2011'!G17)/'2011'!G17</f>
        <v>-1</v>
      </c>
      <c r="L31" s="2"/>
      <c r="M31" s="5">
        <f>(L31-'2011'!J36)/'2011'!J36</f>
        <v>-1</v>
      </c>
      <c r="N31" s="5">
        <f>(L31-'2011'!J17)/'2011'!J17</f>
        <v>-1</v>
      </c>
      <c r="O31" s="16"/>
    </row>
    <row r="33" spans="1:16" ht="18.75" x14ac:dyDescent="0.3">
      <c r="A33" s="76" t="s">
        <v>91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</row>
    <row r="34" spans="1:16" ht="45" x14ac:dyDescent="0.25">
      <c r="A34" s="1" t="s">
        <v>2</v>
      </c>
      <c r="B34" s="1" t="s">
        <v>3</v>
      </c>
      <c r="C34" s="1" t="s">
        <v>4</v>
      </c>
      <c r="D34" s="4" t="s">
        <v>78</v>
      </c>
      <c r="E34" s="4" t="s">
        <v>83</v>
      </c>
      <c r="F34" s="4" t="s">
        <v>84</v>
      </c>
      <c r="G34" s="4" t="s">
        <v>85</v>
      </c>
      <c r="H34" s="4" t="s">
        <v>79</v>
      </c>
      <c r="I34" s="4" t="s">
        <v>83</v>
      </c>
      <c r="J34" s="4" t="s">
        <v>84</v>
      </c>
      <c r="K34" s="4" t="s">
        <v>82</v>
      </c>
      <c r="L34" s="4" t="s">
        <v>80</v>
      </c>
      <c r="M34" s="4" t="s">
        <v>83</v>
      </c>
      <c r="N34" s="4" t="s">
        <v>84</v>
      </c>
      <c r="O34" s="17" t="s">
        <v>81</v>
      </c>
      <c r="P34" s="18" t="s">
        <v>93</v>
      </c>
    </row>
    <row r="35" spans="1:16" x14ac:dyDescent="0.25">
      <c r="A35" s="1" t="s">
        <v>5</v>
      </c>
      <c r="B35" s="1" t="s">
        <v>6</v>
      </c>
      <c r="C35" s="1" t="s">
        <v>7</v>
      </c>
      <c r="D35" s="1">
        <v>155280</v>
      </c>
      <c r="E35" s="5">
        <f>(D35-'2011'!D23)/'2011'!D23</f>
        <v>-8.5399254324739812E-2</v>
      </c>
      <c r="F35" s="5">
        <f>(D35-'2011'!D4)/'2011'!D4</f>
        <v>6.5217838694408434E-2</v>
      </c>
      <c r="G35" s="16">
        <v>174216</v>
      </c>
      <c r="H35" s="2">
        <v>108578</v>
      </c>
      <c r="I35" s="5">
        <f>(H35-'2011'!G23)/'2011'!G23</f>
        <v>-3.4742101239265334E-2</v>
      </c>
      <c r="J35" s="5">
        <f>(H35-'2011'!G4)/'2011'!G4</f>
        <v>7.0577795306645638E-2</v>
      </c>
      <c r="K35" s="16">
        <v>113122</v>
      </c>
      <c r="L35" s="1">
        <v>38095</v>
      </c>
      <c r="M35" s="5">
        <f>(L35-'2011'!J23)/'2011'!J23</f>
        <v>1.5243983690003465E-2</v>
      </c>
      <c r="N35" s="5">
        <f>(L35-'2011'!J4)/'2011'!J4</f>
        <v>1.5243983690003465E-2</v>
      </c>
      <c r="O35" s="16">
        <v>39108</v>
      </c>
      <c r="P35" s="13">
        <f>AVERAGE(E35:F35,I35:J35,M35:N35)</f>
        <v>7.6903743028426431E-3</v>
      </c>
    </row>
    <row r="36" spans="1:16" x14ac:dyDescent="0.25">
      <c r="A36" s="1" t="s">
        <v>8</v>
      </c>
      <c r="B36" s="1" t="s">
        <v>9</v>
      </c>
      <c r="C36" s="1" t="s">
        <v>7</v>
      </c>
      <c r="D36" s="2">
        <v>162602</v>
      </c>
      <c r="E36" s="5">
        <f>(D36-'2011'!D24)/'2011'!D24</f>
        <v>0.12520327453653407</v>
      </c>
      <c r="F36" s="5">
        <f>(D36-'2011'!D5)/'2011'!D5</f>
        <v>7.9680216730189504E-2</v>
      </c>
      <c r="G36" s="16">
        <v>170648</v>
      </c>
      <c r="H36" s="2">
        <v>98912</v>
      </c>
      <c r="I36" s="5">
        <f>(H36-'2011'!G24)/'2011'!G24</f>
        <v>-4.4513137557959812E-2</v>
      </c>
      <c r="J36" s="5">
        <f>(H36-'2011'!G5)/'2011'!G5</f>
        <v>-2.6705764272922285E-2</v>
      </c>
      <c r="K36" s="16">
        <v>105485</v>
      </c>
      <c r="L36" s="1">
        <v>36178</v>
      </c>
      <c r="M36" s="5">
        <f>(L36-'2011'!J24)/'2011'!J24</f>
        <v>3.3180335121384727E-4</v>
      </c>
      <c r="N36" s="5">
        <f>(L36-'2011'!J5)/'2011'!J5</f>
        <v>3.0359990886306677E-2</v>
      </c>
      <c r="O36" s="16">
        <v>36873</v>
      </c>
      <c r="P36" s="13">
        <f>AVERAGE(E36:F36,I36:J36,M36:N36)</f>
        <v>2.7392730612226995E-2</v>
      </c>
    </row>
    <row r="37" spans="1:16" x14ac:dyDescent="0.25">
      <c r="A37" s="1" t="s">
        <v>10</v>
      </c>
      <c r="B37" s="1" t="s">
        <v>9</v>
      </c>
      <c r="C37" s="1" t="s">
        <v>11</v>
      </c>
      <c r="D37" s="2">
        <v>65531</v>
      </c>
      <c r="E37" s="5">
        <f>(D37-'2011'!D25)/'2011'!D25</f>
        <v>6.881197807933194E-2</v>
      </c>
      <c r="F37" s="5">
        <f>(D37-'2011'!D6)/'2011'!D6</f>
        <v>0.15924569689893683</v>
      </c>
      <c r="G37" s="16">
        <v>66534</v>
      </c>
      <c r="H37" s="2">
        <v>59952</v>
      </c>
      <c r="I37" s="5">
        <f>(H37-'2011'!G25)/'2011'!G25</f>
        <v>9.8323715306402854E-2</v>
      </c>
      <c r="J37" s="5">
        <f>(H37-'2011'!G6)/'2011'!G6</f>
        <v>0.20983169875287566</v>
      </c>
      <c r="K37" s="16">
        <v>61350</v>
      </c>
      <c r="L37" s="2">
        <v>29291</v>
      </c>
      <c r="M37" s="5">
        <f>(L37-'2011'!J25)/'2011'!J25</f>
        <v>7.762775468157905E-2</v>
      </c>
      <c r="N37" s="5">
        <f>(L37-'2011'!J6)/'2011'!J6</f>
        <v>0.11627286585365854</v>
      </c>
      <c r="O37" s="16">
        <v>29595</v>
      </c>
      <c r="P37" s="13">
        <f>AVERAGE(E37:F37,I37:J37,M37:N37)</f>
        <v>0.1216856182621308</v>
      </c>
    </row>
    <row r="38" spans="1:16" x14ac:dyDescent="0.25">
      <c r="A38" s="1" t="s">
        <v>12</v>
      </c>
      <c r="B38" s="1" t="s">
        <v>13</v>
      </c>
      <c r="C38" s="1" t="s">
        <v>7</v>
      </c>
      <c r="D38" s="2">
        <v>126743</v>
      </c>
      <c r="E38" s="5">
        <f>(D38-'2011'!D26)/'2011'!D26</f>
        <v>-0.11533092289866402</v>
      </c>
      <c r="F38" s="5">
        <f>(D38-'2011'!D7)/'2011'!D7</f>
        <v>-0.12294043969579749</v>
      </c>
      <c r="G38" s="16">
        <v>148148</v>
      </c>
      <c r="H38" s="2">
        <v>99602</v>
      </c>
      <c r="I38" s="5">
        <f>(H38-'2011'!G26)/'2011'!G26</f>
        <v>-6.1748165453055379E-2</v>
      </c>
      <c r="J38" s="5">
        <f>(H38-'2011'!G7)/'2011'!G7</f>
        <v>-1.393921393921394E-2</v>
      </c>
      <c r="K38" s="16">
        <v>102041</v>
      </c>
      <c r="L38" s="2">
        <v>36364</v>
      </c>
      <c r="M38" s="5">
        <f>(L38-'2011'!J26)/'2011'!J26</f>
        <v>1.9999439005918489E-2</v>
      </c>
      <c r="N38" s="5">
        <f>(L38-'2011'!J7)/'2011'!J7</f>
        <v>1.564071053513574E-2</v>
      </c>
      <c r="O38" s="16">
        <v>37216</v>
      </c>
      <c r="P38" s="13">
        <f>AVERAGE(E38:F38,I38:J38,M38:N38)</f>
        <v>-4.6386432074279442E-2</v>
      </c>
    </row>
    <row r="39" spans="1:16" x14ac:dyDescent="0.25">
      <c r="A39" s="1" t="s">
        <v>14</v>
      </c>
      <c r="B39" s="1" t="s">
        <v>15</v>
      </c>
      <c r="C39" s="1" t="s">
        <v>7</v>
      </c>
      <c r="D39" s="2">
        <v>123305</v>
      </c>
      <c r="E39" s="5">
        <f>(D39-'2011'!D27)/'2011'!D27</f>
        <v>-0.11590306159030615</v>
      </c>
      <c r="F39" s="5">
        <f>(D39-'2011'!D8)/'2011'!D8</f>
        <v>-0.11713743600758959</v>
      </c>
      <c r="G39" s="16">
        <v>136986</v>
      </c>
      <c r="H39" s="2">
        <v>95057</v>
      </c>
      <c r="I39" s="5">
        <f>(H39-'2011'!G27)/'2011'!G27</f>
        <v>-5.1327345309381239E-2</v>
      </c>
      <c r="J39" s="5">
        <f>(H39-'2011'!G8)/'2011'!G8</f>
        <v>-1.9009484102003118E-2</v>
      </c>
      <c r="K39" s="16">
        <v>102880</v>
      </c>
      <c r="L39" s="2">
        <v>36996</v>
      </c>
      <c r="M39" s="5">
        <f>IF(L39="","",(L39-'2011'!J27)/'2011'!J27)</f>
        <v>0.1113581062813542</v>
      </c>
      <c r="N39" s="5">
        <f>IF(L39="","",(L39-'2011'!J8)/'2011'!J8)</f>
        <v>2.7381282976950846E-2</v>
      </c>
      <c r="O39" s="16">
        <v>38095</v>
      </c>
      <c r="P39" s="13">
        <f>AVERAGE(E39:F39,I39:J39,M39:N39)</f>
        <v>-2.7439656291829179E-2</v>
      </c>
    </row>
    <row r="40" spans="1:16" x14ac:dyDescent="0.25">
      <c r="D40" s="12"/>
      <c r="E40" s="13"/>
      <c r="F40" s="13"/>
      <c r="G40" s="19"/>
      <c r="H40" s="12"/>
      <c r="I40" s="13"/>
      <c r="J40" s="13"/>
      <c r="K40" s="19"/>
      <c r="L40" s="12"/>
      <c r="M40" s="13"/>
      <c r="N40" s="13"/>
      <c r="O40" s="19"/>
      <c r="P40" s="13">
        <f>AVERAGE(P35:P39)</f>
        <v>1.658852696221836E-2</v>
      </c>
    </row>
    <row r="41" spans="1:16" x14ac:dyDescent="0.25">
      <c r="D41" s="77" t="s">
        <v>94</v>
      </c>
      <c r="E41" s="77"/>
      <c r="F41" s="77"/>
      <c r="G41" s="77"/>
      <c r="H41" s="77" t="s">
        <v>95</v>
      </c>
      <c r="I41" s="77"/>
      <c r="J41" s="77"/>
      <c r="K41" s="77"/>
      <c r="L41" s="77" t="s">
        <v>96</v>
      </c>
      <c r="M41" s="77"/>
      <c r="N41" s="77"/>
      <c r="O41" s="77"/>
      <c r="P41" s="13"/>
    </row>
    <row r="42" spans="1:16" ht="45" x14ac:dyDescent="0.25">
      <c r="A42" s="1" t="s">
        <v>2</v>
      </c>
      <c r="B42" s="1" t="s">
        <v>3</v>
      </c>
      <c r="C42" s="1" t="s">
        <v>4</v>
      </c>
      <c r="D42" s="4" t="s">
        <v>97</v>
      </c>
      <c r="E42" s="4" t="s">
        <v>98</v>
      </c>
      <c r="F42" s="4" t="s">
        <v>99</v>
      </c>
      <c r="G42" s="4" t="s">
        <v>100</v>
      </c>
      <c r="H42" s="4" t="s">
        <v>97</v>
      </c>
      <c r="I42" s="4" t="s">
        <v>98</v>
      </c>
      <c r="J42" s="4" t="s">
        <v>99</v>
      </c>
      <c r="K42" s="4" t="s">
        <v>100</v>
      </c>
      <c r="L42" s="4" t="s">
        <v>97</v>
      </c>
      <c r="M42" s="4" t="s">
        <v>98</v>
      </c>
      <c r="N42" s="4" t="s">
        <v>99</v>
      </c>
      <c r="O42" s="4" t="s">
        <v>100</v>
      </c>
      <c r="P42" s="13"/>
    </row>
    <row r="43" spans="1:16" x14ac:dyDescent="0.25">
      <c r="A43" s="1" t="s">
        <v>5</v>
      </c>
      <c r="B43" s="1" t="s">
        <v>6</v>
      </c>
      <c r="C43" s="1" t="s">
        <v>7</v>
      </c>
      <c r="D43" s="1">
        <v>155280</v>
      </c>
      <c r="E43" s="16">
        <f>'2011'!D23</f>
        <v>169779</v>
      </c>
      <c r="F43" s="16">
        <f>'2011'!D4</f>
        <v>145773</v>
      </c>
      <c r="G43" s="16">
        <v>174216</v>
      </c>
      <c r="H43" s="2">
        <v>108578</v>
      </c>
      <c r="I43" s="16">
        <f>'2011'!G23</f>
        <v>112486</v>
      </c>
      <c r="J43" s="16">
        <f>'2011'!G4</f>
        <v>101420</v>
      </c>
      <c r="K43" s="16">
        <v>113122</v>
      </c>
      <c r="L43" s="1">
        <v>38095</v>
      </c>
      <c r="M43" s="16">
        <f>'2011'!J23</f>
        <v>37523</v>
      </c>
      <c r="N43" s="16">
        <f>'2011'!J4</f>
        <v>37523</v>
      </c>
      <c r="O43" s="16">
        <v>39108</v>
      </c>
    </row>
    <row r="44" spans="1:16" x14ac:dyDescent="0.25">
      <c r="A44" s="1" t="s">
        <v>8</v>
      </c>
      <c r="B44" s="1" t="s">
        <v>9</v>
      </c>
      <c r="C44" s="1" t="s">
        <v>7</v>
      </c>
      <c r="D44" s="2">
        <v>162602</v>
      </c>
      <c r="E44" s="16">
        <f>'2011'!D24</f>
        <v>144509</v>
      </c>
      <c r="F44" s="16">
        <f>'2011'!D5</f>
        <v>150602</v>
      </c>
      <c r="G44" s="16">
        <v>170648</v>
      </c>
      <c r="H44" s="2">
        <v>98912</v>
      </c>
      <c r="I44" s="16">
        <f>'2011'!G24</f>
        <v>103520</v>
      </c>
      <c r="J44" s="16">
        <f>'2011'!G5</f>
        <v>101626</v>
      </c>
      <c r="K44" s="16">
        <v>105485</v>
      </c>
      <c r="L44" s="1">
        <v>36178</v>
      </c>
      <c r="M44" s="16">
        <f>'2011'!J24</f>
        <v>36166</v>
      </c>
      <c r="N44" s="16">
        <f>'2011'!J5</f>
        <v>35112</v>
      </c>
      <c r="O44" s="16">
        <v>36873</v>
      </c>
    </row>
    <row r="45" spans="1:16" x14ac:dyDescent="0.25">
      <c r="A45" s="1" t="s">
        <v>10</v>
      </c>
      <c r="B45" s="1" t="s">
        <v>9</v>
      </c>
      <c r="C45" s="1" t="s">
        <v>11</v>
      </c>
      <c r="D45" s="2">
        <v>65531</v>
      </c>
      <c r="E45" s="16">
        <f>'2011'!D25</f>
        <v>61312</v>
      </c>
      <c r="F45" s="16">
        <f>'2011'!D6</f>
        <v>56529</v>
      </c>
      <c r="G45" s="16">
        <v>66534</v>
      </c>
      <c r="H45" s="2">
        <v>59952</v>
      </c>
      <c r="I45" s="16">
        <f>'2011'!G25</f>
        <v>54585</v>
      </c>
      <c r="J45" s="16">
        <f>'2011'!G6</f>
        <v>49554</v>
      </c>
      <c r="K45" s="16">
        <v>61350</v>
      </c>
      <c r="L45" s="2">
        <v>29291</v>
      </c>
      <c r="M45" s="16">
        <f>'2011'!J25</f>
        <v>27181</v>
      </c>
      <c r="N45" s="16">
        <f>'2011'!J6</f>
        <v>26240</v>
      </c>
      <c r="O45" s="16">
        <v>29595</v>
      </c>
    </row>
    <row r="46" spans="1:16" x14ac:dyDescent="0.25">
      <c r="A46" s="1" t="s">
        <v>12</v>
      </c>
      <c r="B46" s="1" t="s">
        <v>13</v>
      </c>
      <c r="C46" s="1" t="s">
        <v>7</v>
      </c>
      <c r="D46" s="2">
        <v>126743</v>
      </c>
      <c r="E46" s="16">
        <f>'2011'!D26</f>
        <v>143266</v>
      </c>
      <c r="F46" s="16">
        <f>'2011'!D7</f>
        <v>144509</v>
      </c>
      <c r="G46" s="16">
        <v>148148</v>
      </c>
      <c r="H46" s="2">
        <v>99602</v>
      </c>
      <c r="I46" s="16">
        <f>'2011'!G26</f>
        <v>106157</v>
      </c>
      <c r="J46" s="16">
        <f>'2011'!G7</f>
        <v>101010</v>
      </c>
      <c r="K46" s="16">
        <v>102041</v>
      </c>
      <c r="L46" s="2">
        <v>36364</v>
      </c>
      <c r="M46" s="16">
        <f>'2011'!J26</f>
        <v>35651</v>
      </c>
      <c r="N46" s="16">
        <f>'2011'!J7</f>
        <v>35804</v>
      </c>
      <c r="O46" s="16">
        <v>37216</v>
      </c>
    </row>
    <row r="47" spans="1:16" x14ac:dyDescent="0.25">
      <c r="A47" s="1" t="s">
        <v>14</v>
      </c>
      <c r="B47" s="1" t="s">
        <v>15</v>
      </c>
      <c r="C47" s="1" t="s">
        <v>7</v>
      </c>
      <c r="D47" s="2">
        <v>123305</v>
      </c>
      <c r="E47" s="16">
        <f>'2011'!D27</f>
        <v>139470</v>
      </c>
      <c r="F47" s="16">
        <f>'2011'!D8</f>
        <v>139665</v>
      </c>
      <c r="G47" s="16">
        <v>136986</v>
      </c>
      <c r="H47" s="2">
        <v>95057</v>
      </c>
      <c r="I47" s="16">
        <f>'2011'!G27</f>
        <v>100200</v>
      </c>
      <c r="J47" s="16">
        <f>'2011'!G8</f>
        <v>96899</v>
      </c>
      <c r="K47" s="16">
        <v>102880</v>
      </c>
      <c r="L47" s="2">
        <v>36996</v>
      </c>
      <c r="M47" s="16">
        <f>'2011'!J27</f>
        <v>33289</v>
      </c>
      <c r="N47" s="16">
        <f>'2011'!J8</f>
        <v>36010</v>
      </c>
      <c r="O47" s="16">
        <v>38095</v>
      </c>
    </row>
    <row r="48" spans="1:16" x14ac:dyDescent="0.25">
      <c r="D48" s="12"/>
      <c r="E48" s="13"/>
      <c r="F48" s="13"/>
      <c r="G48" s="19"/>
      <c r="H48" s="12"/>
      <c r="I48" s="13"/>
      <c r="J48" s="13"/>
      <c r="K48" s="19"/>
      <c r="L48" s="12"/>
      <c r="M48" s="13"/>
      <c r="N48" s="13"/>
      <c r="O48" s="19"/>
    </row>
    <row r="50" spans="1:15" ht="18.75" x14ac:dyDescent="0.3">
      <c r="A50" s="76" t="s">
        <v>92</v>
      </c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</row>
    <row r="51" spans="1:15" ht="45" x14ac:dyDescent="0.25">
      <c r="A51" s="1" t="s">
        <v>2</v>
      </c>
      <c r="B51" s="1" t="s">
        <v>3</v>
      </c>
      <c r="C51" s="1" t="s">
        <v>4</v>
      </c>
      <c r="D51" s="4" t="s">
        <v>78</v>
      </c>
      <c r="E51" s="4" t="s">
        <v>83</v>
      </c>
      <c r="F51" s="4" t="s">
        <v>84</v>
      </c>
      <c r="G51" s="4" t="s">
        <v>85</v>
      </c>
      <c r="H51" s="4" t="s">
        <v>79</v>
      </c>
      <c r="I51" s="4" t="s">
        <v>83</v>
      </c>
      <c r="J51" s="4" t="s">
        <v>84</v>
      </c>
      <c r="K51" s="4" t="s">
        <v>82</v>
      </c>
      <c r="L51" s="4" t="s">
        <v>80</v>
      </c>
      <c r="M51" s="4" t="s">
        <v>83</v>
      </c>
      <c r="N51" s="4" t="s">
        <v>84</v>
      </c>
      <c r="O51" s="4" t="s">
        <v>81</v>
      </c>
    </row>
    <row r="52" spans="1:15" x14ac:dyDescent="0.25">
      <c r="A52" s="1" t="s">
        <v>5</v>
      </c>
      <c r="B52" s="1" t="s">
        <v>6</v>
      </c>
      <c r="C52" s="1" t="s">
        <v>7</v>
      </c>
      <c r="D52" s="1">
        <v>147059</v>
      </c>
      <c r="E52" s="5">
        <f>(D52-'2011'!D32)/'2011'!D32</f>
        <v>-4.5585820629141439E-2</v>
      </c>
      <c r="F52" s="5">
        <f>(D52-'2011'!D13)/'2011'!D13</f>
        <v>-2.3525583989588452E-2</v>
      </c>
      <c r="G52" s="16">
        <v>149254</v>
      </c>
      <c r="H52" s="2">
        <v>91241</v>
      </c>
      <c r="I52" s="5">
        <f>(H52-'2011'!G32)/'2011'!G32</f>
        <v>-0.10583980948834291</v>
      </c>
      <c r="J52" s="5">
        <f>(H52-'2011'!G13)/'2011'!G13</f>
        <v>-0.11952483426134115</v>
      </c>
      <c r="K52" s="16">
        <v>92851</v>
      </c>
      <c r="L52">
        <v>37051</v>
      </c>
      <c r="M52" s="5">
        <f>(L52-'2011'!J32)/'2011'!J32</f>
        <v>2.4470497152021237E-2</v>
      </c>
      <c r="N52" s="5">
        <f>(L52-'2011'!J13)/'2011'!J13</f>
        <v>1.5930902111324377E-2</v>
      </c>
      <c r="O52" s="16">
        <v>37216</v>
      </c>
    </row>
    <row r="53" spans="1:15" x14ac:dyDescent="0.25">
      <c r="A53" s="1" t="s">
        <v>8</v>
      </c>
      <c r="B53" s="1" t="s">
        <v>9</v>
      </c>
      <c r="C53" s="1" t="s">
        <v>7</v>
      </c>
      <c r="D53" s="2">
        <v>141844</v>
      </c>
      <c r="E53" s="5">
        <f>(D53-'2011'!D33)/'2011'!D33</f>
        <v>-4.6811370203615352E-2</v>
      </c>
      <c r="F53" s="5">
        <f>(D53-'2011'!D14)/'2011'!D14</f>
        <v>-1.5601143713738445E-2</v>
      </c>
      <c r="G53" s="16">
        <v>146413</v>
      </c>
      <c r="H53" s="2">
        <v>80450</v>
      </c>
      <c r="I53" s="5">
        <f>(H53-'2011'!G33)/'2011'!G33</f>
        <v>-0.14481307070041352</v>
      </c>
      <c r="J53" s="5">
        <f>(H53-'2011'!G14)/'2011'!G14</f>
        <v>-0.13677478888805433</v>
      </c>
      <c r="K53" s="16">
        <v>82645</v>
      </c>
      <c r="L53" s="2">
        <v>34317</v>
      </c>
      <c r="M53" s="5">
        <f>(L53-'2011'!J33)/'2011'!J33</f>
        <v>-5.823048844081349E-3</v>
      </c>
      <c r="N53" s="5">
        <f>(L53-'2011'!J14)/'2011'!J14</f>
        <v>1.0988687249587556E-2</v>
      </c>
      <c r="O53" s="16">
        <v>35112</v>
      </c>
    </row>
    <row r="54" spans="1:15" x14ac:dyDescent="0.25">
      <c r="A54" s="1" t="s">
        <v>10</v>
      </c>
      <c r="B54" s="1" t="s">
        <v>9</v>
      </c>
      <c r="C54" s="1" t="s">
        <v>11</v>
      </c>
      <c r="D54" s="2">
        <v>84459</v>
      </c>
      <c r="E54" s="5">
        <f>(D54-'2011'!D34)/'2011'!D34</f>
        <v>-1.4365736958804994E-2</v>
      </c>
      <c r="F54" s="5">
        <f>(D54-'2011'!D15)/'2011'!D15</f>
        <v>8.4415894545801888E-3</v>
      </c>
      <c r="G54" s="16">
        <v>86655</v>
      </c>
      <c r="H54" s="2">
        <v>54025</v>
      </c>
      <c r="I54" s="5">
        <f>(H54-'2011'!G34)/'2011'!G34</f>
        <v>-0.25553611046038943</v>
      </c>
      <c r="J54" s="5">
        <f>(H54-'2011'!G15)/'2011'!G15</f>
        <v>-0.25229053062806212</v>
      </c>
      <c r="K54" s="16">
        <v>56883</v>
      </c>
      <c r="L54" s="2">
        <v>32563</v>
      </c>
      <c r="M54" s="5">
        <f>(L54-'2011'!J34)/'2011'!J34</f>
        <v>2.8002273014269479E-2</v>
      </c>
      <c r="N54" s="5">
        <f>(L54-'2011'!J15)/'2011'!J15</f>
        <v>2.8002273014269479E-2</v>
      </c>
      <c r="O54" s="16">
        <v>32884</v>
      </c>
    </row>
    <row r="55" spans="1:15" x14ac:dyDescent="0.25">
      <c r="A55" s="1" t="s">
        <v>12</v>
      </c>
      <c r="B55" s="1" t="s">
        <v>13</v>
      </c>
      <c r="C55" s="1" t="s">
        <v>11</v>
      </c>
      <c r="D55" s="2">
        <v>72886</v>
      </c>
      <c r="E55" s="5">
        <f>(D55-'2011'!D35)/'2011'!D35</f>
        <v>-1.385468813421729E-2</v>
      </c>
      <c r="F55" s="5">
        <f>(D55-'2011'!D16)/'2011'!D16</f>
        <v>-1.6768066478706038E-2</v>
      </c>
      <c r="G55" s="16">
        <v>74019</v>
      </c>
      <c r="H55" s="2">
        <v>53533</v>
      </c>
      <c r="I55" s="5">
        <f>(H55-'2011'!G35)/'2011'!G35</f>
        <v>-0.19753863680652367</v>
      </c>
      <c r="J55" s="5">
        <f>(H55-'2011'!G16)/'2011'!G16</f>
        <v>-0.2103927902414561</v>
      </c>
      <c r="K55" s="16">
        <v>54526</v>
      </c>
      <c r="L55" s="2">
        <v>31736</v>
      </c>
      <c r="M55" s="5">
        <f>(L55-'2011'!J35)/'2011'!J35</f>
        <v>1.999100083563669E-2</v>
      </c>
      <c r="N55" s="5">
        <f>(L55-'2011'!J16)/'2011'!J16</f>
        <v>-1.1739793852956747E-2</v>
      </c>
      <c r="O55" s="16">
        <v>32154</v>
      </c>
    </row>
    <row r="56" spans="1:15" x14ac:dyDescent="0.25">
      <c r="A56" s="1" t="s">
        <v>14</v>
      </c>
      <c r="B56" s="1" t="s">
        <v>15</v>
      </c>
      <c r="C56" s="1" t="s">
        <v>11</v>
      </c>
      <c r="D56" s="2">
        <v>71942</v>
      </c>
      <c r="E56" s="5">
        <f>(D56-'2011'!D36)/'2011'!D36</f>
        <v>-1.2233465599384895E-2</v>
      </c>
      <c r="F56" s="5">
        <f>(D56-'2011'!D17)/'2011'!D17</f>
        <v>1.2226865335640821E-2</v>
      </c>
      <c r="G56" s="16">
        <v>73692</v>
      </c>
      <c r="H56" s="2">
        <v>52165</v>
      </c>
      <c r="I56" s="5">
        <f>(H56-'2011'!G36)/'2011'!G36</f>
        <v>-0.23786634719340793</v>
      </c>
      <c r="J56" s="5">
        <f>(H56-'2011'!G17)/'2011'!G17</f>
        <v>-0.21804500007495015</v>
      </c>
      <c r="K56" s="20">
        <v>53735</v>
      </c>
      <c r="L56" s="2">
        <v>32584</v>
      </c>
      <c r="M56" s="5">
        <f>(L56-'2011'!J36)/'2011'!J36</f>
        <v>1.6292152101072823E-3</v>
      </c>
      <c r="N56" s="5">
        <f>(L56-'2011'!J17)/'2011'!J17</f>
        <v>3.3231861998985285E-2</v>
      </c>
      <c r="O56" s="16">
        <v>33025</v>
      </c>
    </row>
    <row r="59" spans="1:15" ht="18.75" x14ac:dyDescent="0.3">
      <c r="A59" s="76" t="s">
        <v>91</v>
      </c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</row>
    <row r="60" spans="1:15" ht="45" x14ac:dyDescent="0.25">
      <c r="A60" s="1" t="s">
        <v>2</v>
      </c>
      <c r="B60" s="1" t="s">
        <v>3</v>
      </c>
      <c r="C60" s="1" t="s">
        <v>4</v>
      </c>
      <c r="D60" s="4" t="s">
        <v>78</v>
      </c>
      <c r="E60" s="4" t="s">
        <v>83</v>
      </c>
      <c r="F60" s="4" t="s">
        <v>84</v>
      </c>
      <c r="G60" s="4" t="s">
        <v>85</v>
      </c>
      <c r="H60" s="4" t="s">
        <v>79</v>
      </c>
      <c r="I60" s="4" t="s">
        <v>83</v>
      </c>
      <c r="J60" s="4" t="s">
        <v>84</v>
      </c>
      <c r="K60" s="4" t="s">
        <v>82</v>
      </c>
      <c r="L60" s="4" t="s">
        <v>80</v>
      </c>
      <c r="M60" s="4" t="s">
        <v>83</v>
      </c>
      <c r="N60" s="4" t="s">
        <v>84</v>
      </c>
      <c r="O60" s="17" t="s">
        <v>81</v>
      </c>
    </row>
    <row r="61" spans="1:15" x14ac:dyDescent="0.25">
      <c r="A61" s="1" t="s">
        <v>5</v>
      </c>
      <c r="B61" s="1" t="s">
        <v>6</v>
      </c>
      <c r="C61" s="1" t="s">
        <v>7</v>
      </c>
      <c r="D61" s="1">
        <v>161551</v>
      </c>
      <c r="E61" s="5">
        <f>(D61-'2011'!D23)/'2011'!D23</f>
        <v>-4.8463001902473213E-2</v>
      </c>
      <c r="F61" s="5">
        <f>(D61-'2011'!D4)/'2011'!D4</f>
        <v>0.1082367791017541</v>
      </c>
      <c r="G61" s="16">
        <v>168350</v>
      </c>
      <c r="H61" s="2">
        <v>111607</v>
      </c>
      <c r="I61" s="5">
        <f>(H61-'2011'!G23)/'2011'!G23</f>
        <v>-7.8143057802748783E-3</v>
      </c>
      <c r="J61" s="5">
        <f>(H61-'2011'!G4)/'2011'!G4</f>
        <v>0.10044369946756064</v>
      </c>
      <c r="K61" s="16">
        <v>113123</v>
      </c>
      <c r="L61" s="1">
        <v>38241</v>
      </c>
      <c r="M61" s="5">
        <f>(L61-'2011'!J23)/'2011'!J23</f>
        <v>1.913493057591344E-2</v>
      </c>
      <c r="N61" s="5">
        <f>(L61-'2011'!J4)/'2011'!J4</f>
        <v>1.913493057591344E-2</v>
      </c>
      <c r="O61" s="16">
        <v>39108</v>
      </c>
    </row>
    <row r="62" spans="1:15" x14ac:dyDescent="0.25">
      <c r="A62" s="1" t="s">
        <v>8</v>
      </c>
      <c r="B62" s="1" t="s">
        <v>9</v>
      </c>
      <c r="C62" s="1" t="s">
        <v>7</v>
      </c>
      <c r="D62" s="2">
        <v>157480</v>
      </c>
      <c r="E62" s="5">
        <f>(D62-'2011'!D24)/'2011'!D24</f>
        <v>8.9759115349217003E-2</v>
      </c>
      <c r="F62" s="5">
        <f>(D62-'2011'!D5)/'2011'!D5</f>
        <v>4.5670044222520287E-2</v>
      </c>
      <c r="G62" s="16">
        <v>162866</v>
      </c>
      <c r="H62" s="2">
        <v>101112</v>
      </c>
      <c r="I62" s="5">
        <f>(H62-'2011'!G24)/'2011'!G24</f>
        <v>-2.3261205564142195E-2</v>
      </c>
      <c r="J62" s="5">
        <f>(H62-'2011'!G5)/'2011'!G5</f>
        <v>-5.0577608092417297E-3</v>
      </c>
      <c r="K62" s="16">
        <v>105042</v>
      </c>
      <c r="L62" s="1">
        <v>36536</v>
      </c>
      <c r="M62" s="5">
        <f>(L62-'2011'!J24)/'2011'!J24</f>
        <v>1.0230603329093623E-2</v>
      </c>
      <c r="N62" s="5">
        <f>(L62-'2011'!J5)/'2011'!J5</f>
        <v>4.0555935292777401E-2</v>
      </c>
      <c r="O62" s="16">
        <v>36860</v>
      </c>
    </row>
    <row r="63" spans="1:15" x14ac:dyDescent="0.25">
      <c r="A63" s="1" t="s">
        <v>10</v>
      </c>
      <c r="B63" s="1" t="s">
        <v>9</v>
      </c>
      <c r="C63" s="1" t="s">
        <v>11</v>
      </c>
      <c r="D63" s="2">
        <v>61881</v>
      </c>
      <c r="E63" s="5">
        <f>(D63-'2011'!D25)/'2011'!D25</f>
        <v>9.2804018789144054E-3</v>
      </c>
      <c r="F63" s="5">
        <f>(D63-'2011'!D6)/'2011'!D6</f>
        <v>9.467706840736613E-2</v>
      </c>
      <c r="G63" s="16">
        <v>64475</v>
      </c>
      <c r="H63" s="2">
        <v>59382</v>
      </c>
      <c r="I63" s="5">
        <f>(H63-'2011'!G25)/'2011'!G25</f>
        <v>8.7881286067600983E-2</v>
      </c>
      <c r="J63" s="5">
        <f>(H63-'2011'!G6)/'2011'!G6</f>
        <v>0.19832909553214675</v>
      </c>
      <c r="K63" s="16">
        <v>59952</v>
      </c>
      <c r="L63" s="2">
        <v>28177</v>
      </c>
      <c r="M63" s="5">
        <f>(L63-'2011'!J25)/'2011'!J25</f>
        <v>3.6643243442110299E-2</v>
      </c>
      <c r="N63" s="5">
        <f>(L63-'2011'!J6)/'2011'!J6</f>
        <v>7.3818597560975613E-2</v>
      </c>
      <c r="O63" s="16">
        <v>29429</v>
      </c>
    </row>
    <row r="64" spans="1:15" x14ac:dyDescent="0.25">
      <c r="A64" s="1" t="s">
        <v>12</v>
      </c>
      <c r="B64" s="1" t="s">
        <v>13</v>
      </c>
      <c r="C64" s="1" t="s">
        <v>7</v>
      </c>
      <c r="D64" s="2">
        <v>137741</v>
      </c>
      <c r="E64" s="5">
        <f>(D64-'2011'!D26)/'2011'!D26</f>
        <v>-3.8564628034565077E-2</v>
      </c>
      <c r="F64" s="5">
        <f>(D64-'2011'!D7)/'2011'!D7</f>
        <v>-4.6834453217446663E-2</v>
      </c>
      <c r="G64" s="16">
        <v>148368</v>
      </c>
      <c r="H64" s="2">
        <v>101215</v>
      </c>
      <c r="I64" s="5">
        <f>(H64-'2011'!G26)/'2011'!G26</f>
        <v>-4.6553689346910711E-2</v>
      </c>
      <c r="J64" s="5">
        <f>(H64-'2011'!G7)/'2011'!G7</f>
        <v>2.0295020295020296E-3</v>
      </c>
      <c r="K64" s="16">
        <v>104493</v>
      </c>
      <c r="L64" s="2">
        <v>35842</v>
      </c>
      <c r="M64" s="5">
        <f>(L64-'2011'!J26)/'2011'!J26</f>
        <v>5.3574934784438024E-3</v>
      </c>
      <c r="N64" s="5">
        <f>(L64-'2011'!J7)/'2011'!J7</f>
        <v>1.0613339291699251E-3</v>
      </c>
      <c r="O64" s="16">
        <v>36711</v>
      </c>
    </row>
    <row r="65" spans="1:16" x14ac:dyDescent="0.25">
      <c r="A65" s="1" t="s">
        <v>14</v>
      </c>
      <c r="B65" s="1" t="s">
        <v>15</v>
      </c>
      <c r="C65" s="1" t="s">
        <v>7</v>
      </c>
      <c r="D65" s="2">
        <v>130208</v>
      </c>
      <c r="E65" s="5">
        <f>(D65-'2011'!D27)/'2011'!D27</f>
        <v>-6.640854664085466E-2</v>
      </c>
      <c r="F65" s="5">
        <f>(D65-'2011'!D8)/'2011'!D8</f>
        <v>-6.7712025203164716E-2</v>
      </c>
      <c r="G65" s="16">
        <v>136426</v>
      </c>
      <c r="H65" s="2">
        <v>96805</v>
      </c>
      <c r="I65" s="5">
        <f>(H65-'2011'!G27)/'2011'!G27</f>
        <v>-3.3882235528942116E-2</v>
      </c>
      <c r="J65" s="5">
        <f>(H65-'2011'!G8)/'2011'!G8</f>
        <v>-9.7008225059082135E-4</v>
      </c>
      <c r="K65" s="16">
        <v>105820</v>
      </c>
      <c r="L65" s="2">
        <v>36873</v>
      </c>
      <c r="M65" s="5">
        <f>(L65-'2011'!J27)/'2011'!J27</f>
        <v>0.10766319204542041</v>
      </c>
      <c r="N65" s="5">
        <f>(L65-'2011'!J8)/'2011'!J8</f>
        <v>2.3965565120799778E-2</v>
      </c>
      <c r="O65" s="16">
        <v>37580</v>
      </c>
    </row>
    <row r="67" spans="1:16" ht="18.75" x14ac:dyDescent="0.3">
      <c r="A67" s="76" t="s">
        <v>92</v>
      </c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</row>
    <row r="68" spans="1:16" ht="45" x14ac:dyDescent="0.25">
      <c r="A68" s="1" t="s">
        <v>2</v>
      </c>
      <c r="B68" s="1" t="s">
        <v>3</v>
      </c>
      <c r="C68" s="1" t="s">
        <v>4</v>
      </c>
      <c r="D68" s="4" t="s">
        <v>78</v>
      </c>
      <c r="E68" s="4" t="s">
        <v>83</v>
      </c>
      <c r="F68" s="4" t="s">
        <v>84</v>
      </c>
      <c r="G68" s="4" t="s">
        <v>85</v>
      </c>
      <c r="H68" s="4" t="s">
        <v>79</v>
      </c>
      <c r="I68" s="4" t="s">
        <v>83</v>
      </c>
      <c r="J68" s="4" t="s">
        <v>84</v>
      </c>
      <c r="K68" s="4" t="s">
        <v>82</v>
      </c>
      <c r="L68" s="4" t="s">
        <v>80</v>
      </c>
      <c r="M68" s="4" t="s">
        <v>83</v>
      </c>
      <c r="N68" s="4" t="s">
        <v>84</v>
      </c>
      <c r="O68" s="4" t="s">
        <v>81</v>
      </c>
    </row>
    <row r="69" spans="1:16" x14ac:dyDescent="0.25">
      <c r="A69" s="1" t="s">
        <v>5</v>
      </c>
      <c r="B69" s="1" t="s">
        <v>6</v>
      </c>
      <c r="C69" s="1" t="s">
        <v>7</v>
      </c>
      <c r="D69" s="1">
        <v>146199</v>
      </c>
      <c r="E69" s="5">
        <f>(D69-'2011'!D32)/'2011'!D32</f>
        <v>-5.1167228052413312E-2</v>
      </c>
      <c r="F69" s="5">
        <f>(D69-'2011'!D13)/'2011'!D13</f>
        <v>-2.9235999521918701E-2</v>
      </c>
      <c r="G69" s="16">
        <v>149701</v>
      </c>
      <c r="H69" s="2">
        <v>102041</v>
      </c>
      <c r="I69" s="5">
        <f>(H69-'2011'!G32)/'2011'!G32</f>
        <v>0</v>
      </c>
      <c r="J69" s="5">
        <f>(H69-'2011'!G13)/'2011'!G13</f>
        <v>-1.530489158230963E-2</v>
      </c>
      <c r="K69" s="16">
        <v>102881</v>
      </c>
      <c r="L69">
        <v>37051</v>
      </c>
      <c r="M69" s="5">
        <f>(L69-'2011'!J32)/'2011'!J32</f>
        <v>2.4470497152021237E-2</v>
      </c>
      <c r="N69" s="5">
        <f>(L69-'2011'!J13)/'2011'!J13</f>
        <v>1.5930902111324377E-2</v>
      </c>
      <c r="O69" s="16">
        <v>37216</v>
      </c>
    </row>
    <row r="70" spans="1:16" x14ac:dyDescent="0.25">
      <c r="A70" s="1" t="s">
        <v>8</v>
      </c>
      <c r="B70" s="1" t="s">
        <v>9</v>
      </c>
      <c r="C70" s="1" t="s">
        <v>7</v>
      </c>
      <c r="D70" s="2">
        <v>141844</v>
      </c>
      <c r="E70" s="5">
        <f>(D70-'2011'!D33)/'2011'!D33</f>
        <v>-4.6811370203615352E-2</v>
      </c>
      <c r="F70" s="5">
        <f>(D70-'2011'!D14)/'2011'!D14</f>
        <v>-1.5601143713738445E-2</v>
      </c>
      <c r="G70" s="16">
        <v>142653</v>
      </c>
      <c r="H70" s="2">
        <v>93721</v>
      </c>
      <c r="I70" s="5">
        <f>(H70-'2011'!G33)/'2011'!G33</f>
        <v>-3.7417750045177682E-3</v>
      </c>
      <c r="J70" s="5">
        <f>(H70-'2011'!G14)/'2011'!G14</f>
        <v>5.6224985782804167E-3</v>
      </c>
      <c r="K70" s="16">
        <v>94967</v>
      </c>
      <c r="L70" s="2">
        <v>34880</v>
      </c>
      <c r="M70" s="5">
        <f>(L70-'2011'!J33)/'2011'!J33</f>
        <v>1.048728199779825E-2</v>
      </c>
      <c r="N70" s="5">
        <f>(L70-'2011'!J14)/'2011'!J14</f>
        <v>2.7574829130332313E-2</v>
      </c>
      <c r="O70" s="16">
        <v>35174</v>
      </c>
    </row>
    <row r="71" spans="1:16" x14ac:dyDescent="0.25">
      <c r="A71" s="1" t="s">
        <v>10</v>
      </c>
      <c r="B71" s="1" t="s">
        <v>9</v>
      </c>
      <c r="C71" s="1" t="s">
        <v>11</v>
      </c>
      <c r="D71" s="2">
        <v>83056</v>
      </c>
      <c r="E71" s="5">
        <f>(D71-'2011'!D34)/'2011'!D34</f>
        <v>-3.0738709300968607E-2</v>
      </c>
      <c r="F71" s="5">
        <f>(D71-'2011'!D15)/'2011'!D15</f>
        <v>-8.3102493074792248E-3</v>
      </c>
      <c r="G71" s="16">
        <v>86281</v>
      </c>
      <c r="H71" s="2">
        <v>72254</v>
      </c>
      <c r="I71" s="5">
        <f>(H71-'2011'!G34)/'2011'!G34</f>
        <v>-4.3406964406289186E-3</v>
      </c>
      <c r="J71" s="5">
        <f>(H71-'2011'!G15)/'2011'!G15</f>
        <v>0</v>
      </c>
      <c r="K71" s="16">
        <v>74184</v>
      </c>
      <c r="L71" s="2">
        <v>32723</v>
      </c>
      <c r="M71" s="5">
        <f>(L71-'2011'!J34)/'2011'!J34</f>
        <v>3.3053415835332743E-2</v>
      </c>
      <c r="N71" s="5">
        <f>(L71-'2011'!J15)/'2011'!J15</f>
        <v>3.3053415835332743E-2</v>
      </c>
      <c r="O71" s="16">
        <v>33003</v>
      </c>
    </row>
    <row r="72" spans="1:16" x14ac:dyDescent="0.25">
      <c r="A72" s="1" t="s">
        <v>12</v>
      </c>
      <c r="B72" s="1" t="s">
        <v>13</v>
      </c>
      <c r="C72" s="1" t="s">
        <v>11</v>
      </c>
      <c r="D72" s="2">
        <v>71994</v>
      </c>
      <c r="E72" s="5">
        <f>(D72-'2011'!D35)/'2011'!D35</f>
        <v>-2.5923420376133134E-2</v>
      </c>
      <c r="F72" s="5">
        <f>(D72-'2011'!D16)/'2011'!D16</f>
        <v>-2.8801143951759769E-2</v>
      </c>
      <c r="G72" s="16">
        <v>74683</v>
      </c>
      <c r="H72" s="2">
        <v>67159</v>
      </c>
      <c r="I72" s="5">
        <f>(H72-'2011'!G35)/'2011'!G35</f>
        <v>6.7155341697770982E-3</v>
      </c>
      <c r="J72" s="5">
        <f>(H72-'2011'!G16)/'2011'!G16</f>
        <v>-9.4104458899361334E-3</v>
      </c>
      <c r="K72" s="16">
        <v>68352</v>
      </c>
      <c r="L72" s="2">
        <v>32000</v>
      </c>
      <c r="M72" s="5">
        <f>(L72-'2011'!J35)/'2011'!J35</f>
        <v>2.8475927235328147E-2</v>
      </c>
      <c r="N72" s="5">
        <f>(L72-'2011'!J16)/'2011'!J16</f>
        <v>-3.5188241522124998E-3</v>
      </c>
      <c r="O72" s="16">
        <v>32154</v>
      </c>
    </row>
    <row r="73" spans="1:16" x14ac:dyDescent="0.25">
      <c r="A73" s="1" t="s">
        <v>14</v>
      </c>
      <c r="B73" s="1" t="s">
        <v>15</v>
      </c>
      <c r="C73" s="1" t="s">
        <v>11</v>
      </c>
      <c r="D73" s="2">
        <v>71942</v>
      </c>
      <c r="E73" s="5">
        <f>(D73-'2011'!D36)/'2011'!D36</f>
        <v>-1.2233465599384895E-2</v>
      </c>
      <c r="F73" s="5">
        <f>(D73-'2011'!D17)/'2011'!D17</f>
        <v>1.2226865335640821E-2</v>
      </c>
      <c r="G73" s="16">
        <v>73421</v>
      </c>
      <c r="H73" s="2">
        <v>67889</v>
      </c>
      <c r="I73" s="5">
        <f>(H73-'2011'!G36)/'2011'!G36</f>
        <v>-8.1378020629401283E-3</v>
      </c>
      <c r="J73" s="5">
        <f>(H73-'2011'!G17)/'2011'!G17</f>
        <v>1.7658257258922817E-2</v>
      </c>
      <c r="K73" s="20">
        <v>68918</v>
      </c>
      <c r="L73" s="2">
        <v>33025</v>
      </c>
      <c r="M73" s="5">
        <f>(L73-'2011'!J36)/'2011'!J36</f>
        <v>1.5185515354584858E-2</v>
      </c>
      <c r="N73" s="5">
        <f>(L73-'2011'!J17)/'2011'!J17</f>
        <v>4.721588026382547E-2</v>
      </c>
      <c r="O73" s="16">
        <v>33025</v>
      </c>
    </row>
    <row r="76" spans="1:16" ht="18.75" x14ac:dyDescent="0.3">
      <c r="A76" s="76" t="s">
        <v>101</v>
      </c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</row>
    <row r="77" spans="1:16" ht="45" x14ac:dyDescent="0.25">
      <c r="A77" s="1" t="s">
        <v>2</v>
      </c>
      <c r="B77" s="1" t="s">
        <v>3</v>
      </c>
      <c r="C77" s="1" t="s">
        <v>4</v>
      </c>
      <c r="D77" s="4" t="s">
        <v>78</v>
      </c>
      <c r="E77" s="4" t="s">
        <v>83</v>
      </c>
      <c r="F77" s="4" t="s">
        <v>103</v>
      </c>
      <c r="G77" s="4" t="s">
        <v>85</v>
      </c>
      <c r="H77" s="4" t="s">
        <v>79</v>
      </c>
      <c r="I77" s="4" t="s">
        <v>83</v>
      </c>
      <c r="J77" s="4" t="s">
        <v>103</v>
      </c>
      <c r="K77" s="4" t="s">
        <v>82</v>
      </c>
      <c r="L77" s="4" t="s">
        <v>80</v>
      </c>
      <c r="M77" s="4" t="s">
        <v>83</v>
      </c>
      <c r="N77" s="4" t="s">
        <v>103</v>
      </c>
      <c r="O77" s="17" t="s">
        <v>81</v>
      </c>
    </row>
    <row r="78" spans="1:16" x14ac:dyDescent="0.25">
      <c r="A78" s="1" t="s">
        <v>5</v>
      </c>
      <c r="B78" s="1" t="s">
        <v>6</v>
      </c>
      <c r="C78" s="1" t="s">
        <v>7</v>
      </c>
      <c r="D78" s="1">
        <v>162338</v>
      </c>
      <c r="E78" s="5">
        <f>(D78-'2011'!D23)/'2011'!D23</f>
        <v>-4.3827564068583277E-2</v>
      </c>
      <c r="F78" s="5">
        <f>(D78-D61)/D61</f>
        <v>4.8715266386466193E-3</v>
      </c>
      <c r="G78" s="16">
        <v>169779</v>
      </c>
      <c r="H78" s="2">
        <v>107875</v>
      </c>
      <c r="I78" s="5">
        <f>(H78-'2011'!G23)/'2011'!G23</f>
        <v>-4.0991767864445354E-2</v>
      </c>
      <c r="J78" s="5">
        <f>(H78-H61)/H61</f>
        <v>-3.3438762801616388E-2</v>
      </c>
      <c r="K78" s="16">
        <v>112108</v>
      </c>
      <c r="L78" s="1">
        <v>37679</v>
      </c>
      <c r="M78" s="5">
        <f>(L78-'2011'!J23)/'2011'!J23</f>
        <v>4.1574500972736718E-3</v>
      </c>
      <c r="N78" s="5">
        <f>(L78-L61)/L61</f>
        <v>-1.4696268403022933E-2</v>
      </c>
      <c r="O78" s="16">
        <v>38745</v>
      </c>
    </row>
    <row r="79" spans="1:16" x14ac:dyDescent="0.25">
      <c r="A79" s="1" t="s">
        <v>8</v>
      </c>
      <c r="B79" s="1" t="s">
        <v>9</v>
      </c>
      <c r="C79" s="1" t="s">
        <v>7</v>
      </c>
      <c r="D79" s="2">
        <v>148810</v>
      </c>
      <c r="E79" s="5">
        <f>(D79-'2011'!D24)/'2011'!D24</f>
        <v>2.976285214069712E-2</v>
      </c>
      <c r="F79" s="5">
        <f>(D79-D62)/D62</f>
        <v>-5.505461010922022E-2</v>
      </c>
      <c r="G79" s="16">
        <v>156495</v>
      </c>
      <c r="H79" s="2">
        <v>96805</v>
      </c>
      <c r="I79" s="5">
        <f>(H79-'2011'!G24)/'2011'!G24</f>
        <v>-6.486669242658423E-2</v>
      </c>
      <c r="J79" s="5">
        <f>(H79-H62)/H62</f>
        <v>-4.2596328823482868E-2</v>
      </c>
      <c r="K79" s="16">
        <v>101626</v>
      </c>
      <c r="L79" s="1">
        <v>34518</v>
      </c>
      <c r="M79" s="5">
        <f>(L79-'2011'!J24)/'2011'!J24</f>
        <v>-4.5567660233368355E-2</v>
      </c>
      <c r="N79" s="5">
        <f>(L79-L62)/L62</f>
        <v>-5.5233194657324285E-2</v>
      </c>
      <c r="O79" s="1">
        <v>34807</v>
      </c>
      <c r="P79" t="s">
        <v>105</v>
      </c>
    </row>
    <row r="80" spans="1:16" x14ac:dyDescent="0.25">
      <c r="A80" s="1" t="s">
        <v>10</v>
      </c>
      <c r="B80" s="1" t="s">
        <v>9</v>
      </c>
      <c r="C80" s="1" t="s">
        <v>11</v>
      </c>
      <c r="D80" s="2">
        <v>60314</v>
      </c>
      <c r="E80" s="5">
        <f>(D80-'2011'!D25)/'2011'!D25</f>
        <v>-1.6277400835073071E-2</v>
      </c>
      <c r="F80" s="5">
        <f>(D80-D63)/D63</f>
        <v>-2.5322796981302822E-2</v>
      </c>
      <c r="G80" s="16">
        <v>60606</v>
      </c>
      <c r="H80" s="2">
        <v>56915</v>
      </c>
      <c r="I80" s="5">
        <f>(H80-'2011'!G25)/'2011'!G25</f>
        <v>4.2685719520014653E-2</v>
      </c>
      <c r="J80" s="5">
        <f>(H80-H63)/H63</f>
        <v>-4.1544575797379676E-2</v>
      </c>
      <c r="K80" s="16">
        <v>57372</v>
      </c>
      <c r="L80" s="2">
        <v>27910</v>
      </c>
      <c r="M80" s="5">
        <f>(L80-'2011'!J25)/'2011'!J25</f>
        <v>2.6820205290460249E-2</v>
      </c>
      <c r="N80" s="5">
        <f>(L80-L63)/L63</f>
        <v>-9.4758136068424596E-3</v>
      </c>
      <c r="O80" s="16">
        <v>27972</v>
      </c>
    </row>
    <row r="81" spans="1:16" x14ac:dyDescent="0.25">
      <c r="A81" s="1" t="s">
        <v>12</v>
      </c>
      <c r="B81" s="1" t="s">
        <v>13</v>
      </c>
      <c r="C81" s="1" t="s">
        <v>7</v>
      </c>
      <c r="D81" s="2">
        <v>132626</v>
      </c>
      <c r="E81" s="5">
        <f>(D81-'2011'!D26)/'2011'!D26</f>
        <v>-7.4267446567922599E-2</v>
      </c>
      <c r="F81" s="5">
        <f>(D81-D64)/D64</f>
        <v>-3.7134912625870292E-2</v>
      </c>
      <c r="G81" s="16">
        <v>149477</v>
      </c>
      <c r="H81" s="2">
        <v>100301</v>
      </c>
      <c r="I81" s="5">
        <f>(H81-'2011'!G26)/'2011'!G26</f>
        <v>-5.5163578473393184E-2</v>
      </c>
      <c r="J81" s="5">
        <f>(H81-H64)/H64</f>
        <v>-9.0302820728152943E-3</v>
      </c>
      <c r="K81" s="16">
        <v>104603</v>
      </c>
      <c r="L81" s="2">
        <v>35676</v>
      </c>
      <c r="M81" s="5">
        <f>(L81-'2011'!J26)/'2011'!J26</f>
        <v>7.0124260189055002E-4</v>
      </c>
      <c r="N81" s="5">
        <f>(L81-L64)/L64</f>
        <v>-4.6314379777914177E-3</v>
      </c>
      <c r="O81" s="16">
        <v>37216</v>
      </c>
    </row>
    <row r="82" spans="1:16" x14ac:dyDescent="0.25">
      <c r="A82" s="1" t="s">
        <v>14</v>
      </c>
      <c r="B82" s="1" t="s">
        <v>15</v>
      </c>
      <c r="C82" s="1" t="s">
        <v>7</v>
      </c>
      <c r="D82" s="2">
        <v>132100</v>
      </c>
      <c r="E82" s="5">
        <f>(D82-'2011'!D27)/'2011'!D27</f>
        <v>-5.2842905284290531E-2</v>
      </c>
      <c r="F82" s="5">
        <f>(D82-D65)/D65</f>
        <v>1.4530597198328828E-2</v>
      </c>
      <c r="G82" s="16"/>
      <c r="H82" s="2">
        <v>97656</v>
      </c>
      <c r="I82" s="5">
        <f>(H82-'2011'!G27)/'2011'!G27</f>
        <v>-2.5389221556886228E-2</v>
      </c>
      <c r="J82" s="5">
        <f>(H82-H65)/H65</f>
        <v>8.7908682402768456E-3</v>
      </c>
      <c r="K82" s="16"/>
      <c r="L82" s="2">
        <v>34783</v>
      </c>
      <c r="M82" s="5">
        <f>(L82-'2011'!J27)/'2011'!J27</f>
        <v>4.4879689987683616E-2</v>
      </c>
      <c r="N82" s="5">
        <f>(L82-L65)/L65</f>
        <v>-5.6681040327610989E-2</v>
      </c>
      <c r="O82" s="16"/>
    </row>
    <row r="83" spans="1:16" x14ac:dyDescent="0.25">
      <c r="A83" s="15" t="s">
        <v>104</v>
      </c>
    </row>
    <row r="84" spans="1:16" ht="18.75" x14ac:dyDescent="0.3">
      <c r="A84" s="76" t="s">
        <v>102</v>
      </c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</row>
    <row r="85" spans="1:16" ht="45" x14ac:dyDescent="0.25">
      <c r="A85" s="1" t="s">
        <v>2</v>
      </c>
      <c r="B85" s="1" t="s">
        <v>3</v>
      </c>
      <c r="C85" s="1" t="s">
        <v>4</v>
      </c>
      <c r="D85" s="4" t="s">
        <v>78</v>
      </c>
      <c r="E85" s="4" t="s">
        <v>83</v>
      </c>
      <c r="F85" s="4" t="s">
        <v>103</v>
      </c>
      <c r="G85" s="4" t="s">
        <v>85</v>
      </c>
      <c r="H85" s="4" t="s">
        <v>79</v>
      </c>
      <c r="I85" s="4" t="s">
        <v>83</v>
      </c>
      <c r="J85" s="4" t="s">
        <v>103</v>
      </c>
      <c r="K85" s="4" t="s">
        <v>82</v>
      </c>
      <c r="L85" s="4" t="s">
        <v>80</v>
      </c>
      <c r="M85" s="4" t="s">
        <v>83</v>
      </c>
      <c r="N85" s="4" t="s">
        <v>103</v>
      </c>
      <c r="O85" s="4" t="s">
        <v>81</v>
      </c>
    </row>
    <row r="86" spans="1:16" x14ac:dyDescent="0.25">
      <c r="A86" s="1" t="s">
        <v>5</v>
      </c>
      <c r="B86" s="1" t="s">
        <v>6</v>
      </c>
      <c r="C86" s="1" t="s">
        <v>7</v>
      </c>
      <c r="D86" s="1">
        <v>145560</v>
      </c>
      <c r="E86" s="5">
        <f>(D86-'2011'!D32)/'2011'!D32</f>
        <v>-5.5314343568076949E-2</v>
      </c>
      <c r="F86" s="5">
        <f>(D86-D69)/D69</f>
        <v>-4.3707549299242809E-3</v>
      </c>
      <c r="G86" s="16">
        <v>148368</v>
      </c>
      <c r="H86" s="2">
        <v>102775</v>
      </c>
      <c r="I86" s="5">
        <f>(H86-'2011'!G32)/'2011'!G32</f>
        <v>7.1931870522633059E-3</v>
      </c>
      <c r="J86" s="5">
        <f>(H86-H69)/H69</f>
        <v>7.1931870522633059E-3</v>
      </c>
      <c r="K86" s="16">
        <v>102881</v>
      </c>
      <c r="L86">
        <v>36697</v>
      </c>
      <c r="M86" s="5">
        <f>(L86-'2011'!J32)/'2011'!J32</f>
        <v>1.4682298291212741E-2</v>
      </c>
      <c r="N86" s="5">
        <f>(L86-L69)/L69</f>
        <v>-9.5543979919570313E-3</v>
      </c>
      <c r="O86" s="16">
        <v>37216</v>
      </c>
    </row>
    <row r="87" spans="1:16" x14ac:dyDescent="0.25">
      <c r="A87" s="1" t="s">
        <v>8</v>
      </c>
      <c r="B87" s="1" t="s">
        <v>9</v>
      </c>
      <c r="C87" s="1" t="s">
        <v>7</v>
      </c>
      <c r="D87" s="2">
        <v>140056</v>
      </c>
      <c r="E87" s="5">
        <f>(D87-'2011'!D33)/'2011'!D33</f>
        <v>-5.8826691754586387E-2</v>
      </c>
      <c r="F87" s="5">
        <f>(D87-D70)/D70</f>
        <v>-1.2605397478920505E-2</v>
      </c>
      <c r="G87" s="16">
        <v>143678</v>
      </c>
      <c r="H87" s="2">
        <v>91996</v>
      </c>
      <c r="I87" s="5">
        <f>(H87-'2011'!G33)/'2011'!G33</f>
        <v>-2.2078598535180127E-2</v>
      </c>
      <c r="J87" s="5">
        <f>(H87-H70)/H70</f>
        <v>-1.8405693494520974E-2</v>
      </c>
      <c r="K87" s="16">
        <v>93284</v>
      </c>
      <c r="L87" s="2">
        <v>33807</v>
      </c>
      <c r="M87" s="5">
        <f>(L87-'2011'!J33)/'2011'!J33</f>
        <v>-2.0597948896228055E-2</v>
      </c>
      <c r="N87" s="5">
        <f>(L87-L70)/L70</f>
        <v>-3.0762614678899083E-2</v>
      </c>
      <c r="O87" s="16">
        <v>34376</v>
      </c>
      <c r="P87" t="s">
        <v>105</v>
      </c>
    </row>
    <row r="88" spans="1:16" x14ac:dyDescent="0.25">
      <c r="A88" s="1" t="s">
        <v>10</v>
      </c>
      <c r="B88" s="1" t="s">
        <v>9</v>
      </c>
      <c r="C88" s="1" t="s">
        <v>11</v>
      </c>
      <c r="D88" s="2">
        <v>83056</v>
      </c>
      <c r="E88" s="5">
        <f>(D88-'2011'!D34)/'2011'!D34</f>
        <v>-3.0738709300968607E-2</v>
      </c>
      <c r="F88" s="5">
        <f>(D88-D71)/D71</f>
        <v>0</v>
      </c>
      <c r="G88" s="16">
        <v>84246</v>
      </c>
      <c r="H88" s="2">
        <v>67159</v>
      </c>
      <c r="I88" s="5">
        <f>(H88-'2011'!G34)/'2011'!G34</f>
        <v>-7.4549738869214122E-2</v>
      </c>
      <c r="J88" s="5">
        <f>(H88-H71)/H71</f>
        <v>-7.0515127190190166E-2</v>
      </c>
      <c r="K88" s="16">
        <v>72411</v>
      </c>
      <c r="L88" s="2">
        <v>31807</v>
      </c>
      <c r="M88" s="5">
        <f>(L88-'2011'!J34)/'2011'!J34</f>
        <v>4.1356231847455485E-3</v>
      </c>
      <c r="N88" s="5">
        <f>(L88-L71)/L71</f>
        <v>-2.7992543470953153E-2</v>
      </c>
      <c r="O88" s="16">
        <v>32404</v>
      </c>
    </row>
    <row r="89" spans="1:16" x14ac:dyDescent="0.25">
      <c r="A89" s="1" t="s">
        <v>12</v>
      </c>
      <c r="B89" s="1" t="s">
        <v>13</v>
      </c>
      <c r="C89" s="1" t="s">
        <v>11</v>
      </c>
      <c r="D89" s="2">
        <v>71994</v>
      </c>
      <c r="E89" s="5">
        <f>(D89-'2011'!D35)/'2011'!D35</f>
        <v>-2.5923420376133134E-2</v>
      </c>
      <c r="F89" s="5">
        <f>(D89-D72)/D72</f>
        <v>0</v>
      </c>
      <c r="G89" s="16">
        <v>73314</v>
      </c>
      <c r="H89" s="2">
        <v>66445</v>
      </c>
      <c r="I89" s="5">
        <f>(H89-'2011'!G35)/'2011'!G35</f>
        <v>-3.9873484133051522E-3</v>
      </c>
      <c r="J89" s="5">
        <f>(H89-H72)/H72</f>
        <v>-1.0631486472401317E-2</v>
      </c>
      <c r="K89" s="16">
        <v>67385</v>
      </c>
      <c r="L89" s="2">
        <v>31867</v>
      </c>
      <c r="M89" s="5">
        <f>(L89-'2011'!J35)/'2011'!J35</f>
        <v>2.4201324162756315E-2</v>
      </c>
      <c r="N89" s="5">
        <f>(L89-L72)/L72</f>
        <v>-4.1562500000000002E-3</v>
      </c>
      <c r="O89" s="16">
        <v>32020</v>
      </c>
    </row>
    <row r="90" spans="1:16" x14ac:dyDescent="0.25">
      <c r="A90" s="1" t="s">
        <v>14</v>
      </c>
      <c r="B90" s="1" t="s">
        <v>15</v>
      </c>
      <c r="C90" s="1" t="s">
        <v>11</v>
      </c>
      <c r="D90" s="2">
        <v>70621</v>
      </c>
      <c r="E90" s="5">
        <f>(D90-'2011'!D36)/'2011'!D36</f>
        <v>-3.0370848379168782E-2</v>
      </c>
      <c r="F90" s="5">
        <f>(D90-D73)/D73</f>
        <v>-1.8362013844485835E-2</v>
      </c>
      <c r="G90" s="16"/>
      <c r="H90" s="2">
        <v>65660</v>
      </c>
      <c r="I90" s="5">
        <f>(H90-'2011'!G36)/'2011'!G36</f>
        <v>-4.0703620372264264E-2</v>
      </c>
      <c r="J90" s="5">
        <f>(H90-H73)/H73</f>
        <v>-3.2833006819956108E-2</v>
      </c>
      <c r="K90" s="20"/>
      <c r="L90" s="2">
        <v>32531</v>
      </c>
      <c r="M90" s="5">
        <f>(L90-'2011'!J36)/'2011'!J36</f>
        <v>0</v>
      </c>
      <c r="N90" s="5">
        <f>(L90-L73)/L73</f>
        <v>-1.4958364875094625E-2</v>
      </c>
      <c r="O90" s="16"/>
    </row>
    <row r="91" spans="1:16" x14ac:dyDescent="0.25">
      <c r="A91" s="15" t="s">
        <v>104</v>
      </c>
    </row>
    <row r="92" spans="1:16" x14ac:dyDescent="0.25">
      <c r="A92" s="15"/>
    </row>
  </sheetData>
  <mergeCells count="13">
    <mergeCell ref="D41:G41"/>
    <mergeCell ref="H41:K41"/>
    <mergeCell ref="L41:O41"/>
    <mergeCell ref="A1:O1"/>
    <mergeCell ref="A9:O9"/>
    <mergeCell ref="A17:O17"/>
    <mergeCell ref="A25:O25"/>
    <mergeCell ref="A33:O33"/>
    <mergeCell ref="A76:O76"/>
    <mergeCell ref="A84:O84"/>
    <mergeCell ref="A59:O59"/>
    <mergeCell ref="A67:O67"/>
    <mergeCell ref="A50:O50"/>
  </mergeCells>
  <conditionalFormatting sqref="E3:F7 I3:J7 M3:N7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1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2:E15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1:I15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1:M15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1:F15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1:J15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1:N15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F7 E11:F15 I3:J7 I11:J15 M3:N7 M11:N14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9:F23 I19:J23 M19:N23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7:E31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8:E31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7:I31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7:M31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1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7:J31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7:N31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9:F23 E27:F31 I19:J23 I27:J31 M19:N23 M27:N31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7:E31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1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2:F56 E35:F40 I35:J40 I52:J56 M52:N56 M35:N40 M48:N48 I48:J48 E48:F48">
    <cfRule type="colorScale" priority="10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61:F65 I61:J65 M61:N65">
    <cfRule type="colorScale" priority="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69:F73 I69:J73 M69:N73">
    <cfRule type="colorScale" priority="3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78:F82 I78:J82 M78:N82">
    <cfRule type="colorScale" priority="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86:F90 I86:J90 M86:N90">
    <cfRule type="colorScale" priority="1">
      <colorScale>
        <cfvo type="min"/>
        <cfvo type="num" val="0"/>
        <cfvo type="max"/>
        <color rgb="FFF8696B"/>
        <color theme="0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95"/>
  <sheetViews>
    <sheetView topLeftCell="A70" workbookViewId="0">
      <selection activeCell="D90" sqref="D90"/>
    </sheetView>
  </sheetViews>
  <sheetFormatPr defaultRowHeight="15" x14ac:dyDescent="0.25"/>
  <cols>
    <col min="2" max="2" width="14.85546875" customWidth="1"/>
    <col min="3" max="3" width="9.85546875" customWidth="1"/>
    <col min="6" max="6" width="9.140625" customWidth="1"/>
  </cols>
  <sheetData>
    <row r="1" spans="1:16" ht="19.5" thickBot="1" x14ac:dyDescent="0.35">
      <c r="A1" s="76" t="s">
        <v>106</v>
      </c>
      <c r="B1" s="76"/>
      <c r="C1" s="76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</row>
    <row r="2" spans="1:16" ht="45" x14ac:dyDescent="0.25">
      <c r="A2" s="1" t="s">
        <v>2</v>
      </c>
      <c r="B2" s="1" t="s">
        <v>3</v>
      </c>
      <c r="C2" s="32" t="s">
        <v>4</v>
      </c>
      <c r="D2" s="22" t="s">
        <v>78</v>
      </c>
      <c r="E2" s="23" t="s">
        <v>83</v>
      </c>
      <c r="F2" s="23" t="s">
        <v>107</v>
      </c>
      <c r="G2" s="24" t="s">
        <v>85</v>
      </c>
      <c r="H2" s="22" t="s">
        <v>79</v>
      </c>
      <c r="I2" s="23" t="s">
        <v>83</v>
      </c>
      <c r="J2" s="23" t="s">
        <v>107</v>
      </c>
      <c r="K2" s="24" t="s">
        <v>82</v>
      </c>
      <c r="L2" s="22" t="s">
        <v>80</v>
      </c>
      <c r="M2" s="23" t="s">
        <v>83</v>
      </c>
      <c r="N2" s="23" t="s">
        <v>107</v>
      </c>
      <c r="O2" s="24" t="s">
        <v>81</v>
      </c>
    </row>
    <row r="3" spans="1:16" x14ac:dyDescent="0.25">
      <c r="A3" s="1" t="s">
        <v>5</v>
      </c>
      <c r="B3" s="1" t="s">
        <v>6</v>
      </c>
      <c r="C3" s="32" t="s">
        <v>7</v>
      </c>
      <c r="D3" s="33">
        <v>148368</v>
      </c>
      <c r="E3" s="5">
        <f>(D3-'2011'!D23)/'2011'!D23</f>
        <v>-0.12611100312759529</v>
      </c>
      <c r="F3" s="5">
        <f>(D3-'2012'!D78)/'2012'!D78</f>
        <v>-8.6055021005556315E-2</v>
      </c>
      <c r="G3" s="26">
        <v>176056</v>
      </c>
      <c r="H3" s="27">
        <v>111607</v>
      </c>
      <c r="I3" s="5">
        <f>(H3-'2011'!G23)/'2011'!G23</f>
        <v>-7.8143057802748783E-3</v>
      </c>
      <c r="J3" s="5">
        <f>(H3-'2012'!H78)/'2012'!H78</f>
        <v>3.4595596755504054E-2</v>
      </c>
      <c r="K3" s="26">
        <v>113636</v>
      </c>
      <c r="L3" s="33">
        <v>38745</v>
      </c>
      <c r="M3" s="5">
        <f>(L3-'2011'!J23)/'2011'!J23</f>
        <v>3.2566692428643768E-2</v>
      </c>
      <c r="N3" s="5">
        <f>(L3-'2012'!L78)/'2012'!L78</f>
        <v>2.8291621327529923E-2</v>
      </c>
      <c r="O3" s="26">
        <v>39093</v>
      </c>
    </row>
    <row r="4" spans="1:16" x14ac:dyDescent="0.25">
      <c r="A4" s="1" t="s">
        <v>8</v>
      </c>
      <c r="B4" s="1" t="s">
        <v>9</v>
      </c>
      <c r="C4" s="32" t="s">
        <v>7</v>
      </c>
      <c r="D4" s="27">
        <v>143678</v>
      </c>
      <c r="E4" s="5">
        <f>(D4-'2011'!D24)/'2011'!D24</f>
        <v>-5.7505068888442932E-3</v>
      </c>
      <c r="F4" s="5">
        <f>(D4-'2012'!D79)/'2012'!D79</f>
        <v>-3.4486929641825148E-2</v>
      </c>
      <c r="G4" s="26">
        <v>171233</v>
      </c>
      <c r="H4" s="27">
        <v>101626</v>
      </c>
      <c r="I4" s="5">
        <f>(H4-'2011'!G24)/'2011'!G24</f>
        <v>-1.829598145285935E-2</v>
      </c>
      <c r="J4" s="5">
        <f>(H4-'2012'!H79)/'2012'!H79</f>
        <v>4.9801146634987865E-2</v>
      </c>
      <c r="K4" s="26">
        <v>106724</v>
      </c>
      <c r="L4" s="33">
        <v>35336</v>
      </c>
      <c r="M4" s="5">
        <f>(L4-'2011'!J24)/'2011'!J24</f>
        <v>-2.2949731792291102E-2</v>
      </c>
      <c r="N4" s="5">
        <f>(L4-'2012'!L79)/'2012'!L79</f>
        <v>2.3697780867952951E-2</v>
      </c>
      <c r="O4" s="34">
        <v>37397</v>
      </c>
    </row>
    <row r="5" spans="1:16" x14ac:dyDescent="0.25">
      <c r="A5" s="1" t="s">
        <v>10</v>
      </c>
      <c r="B5" s="1" t="s">
        <v>9</v>
      </c>
      <c r="C5" s="32" t="s">
        <v>11</v>
      </c>
      <c r="D5" s="27">
        <v>63573</v>
      </c>
      <c r="E5" s="5">
        <f>(D5-'2011'!D25)/'2011'!D25</f>
        <v>3.6876957202505216E-2</v>
      </c>
      <c r="F5" s="5">
        <f>(D5-'2012'!D80)/'2012'!D80</f>
        <v>5.4033889312597408E-2</v>
      </c>
      <c r="G5" s="26">
        <v>63939</v>
      </c>
      <c r="H5" s="27">
        <v>57937</v>
      </c>
      <c r="I5" s="5">
        <f>(H5-'2011'!G25)/'2011'!G25</f>
        <v>6.1408811944673444E-2</v>
      </c>
      <c r="J5" s="5">
        <f>(H5-'2012'!H80)/'2012'!H80</f>
        <v>1.7956601950276728E-2</v>
      </c>
      <c r="K5" s="26">
        <v>59880</v>
      </c>
      <c r="L5" s="27">
        <v>28433</v>
      </c>
      <c r="M5" s="5">
        <f>(L5-'2011'!J25)/'2011'!J25</f>
        <v>4.6061587138074393E-2</v>
      </c>
      <c r="N5" s="5">
        <f>(L5-'2012'!L80)/'2012'!L80</f>
        <v>1.8738803296309565E-2</v>
      </c>
      <c r="O5" s="26">
        <v>28994</v>
      </c>
    </row>
    <row r="6" spans="1:16" x14ac:dyDescent="0.25">
      <c r="A6" s="1" t="s">
        <v>12</v>
      </c>
      <c r="B6" s="1" t="s">
        <v>13</v>
      </c>
      <c r="C6" s="32" t="s">
        <v>7</v>
      </c>
      <c r="D6" s="27">
        <v>121212</v>
      </c>
      <c r="E6" s="5">
        <f>(D6-'2011'!D26)/'2011'!D26</f>
        <v>-0.15393743107227115</v>
      </c>
      <c r="F6" s="5">
        <f>(D6-'2012'!D81)/'2012'!D81</f>
        <v>-8.6061556557537736E-2</v>
      </c>
      <c r="G6" s="26">
        <v>163399</v>
      </c>
      <c r="H6" s="27">
        <v>107875</v>
      </c>
      <c r="I6" s="5">
        <f>(H6-'2011'!G26)/'2011'!G26</f>
        <v>1.6183577154591785E-2</v>
      </c>
      <c r="J6" s="5">
        <f>(H6-'2012'!H81)/'2012'!H81</f>
        <v>7.5512706752674449E-2</v>
      </c>
      <c r="K6" s="26">
        <v>109529</v>
      </c>
      <c r="L6" s="27">
        <v>37369</v>
      </c>
      <c r="M6" s="5">
        <f>(L6-'2011'!J26)/'2011'!J26</f>
        <v>4.8189391601918596E-2</v>
      </c>
      <c r="N6" s="5">
        <f>(L6-'2012'!L81)/'2012'!L81</f>
        <v>4.7454871622379192E-2</v>
      </c>
      <c r="O6" s="26">
        <v>37397</v>
      </c>
    </row>
    <row r="7" spans="1:16" ht="15.75" thickBot="1" x14ac:dyDescent="0.3">
      <c r="A7" s="1" t="s">
        <v>14</v>
      </c>
      <c r="B7" s="1" t="s">
        <v>15</v>
      </c>
      <c r="C7" s="32" t="s">
        <v>7</v>
      </c>
      <c r="D7" s="28">
        <v>134590</v>
      </c>
      <c r="E7" s="29">
        <f>(D7-'2011'!D27)/'2011'!D27</f>
        <v>-3.4989603498960353E-2</v>
      </c>
      <c r="F7" s="29">
        <f>(D7-'2012'!D82)/'2012'!D82</f>
        <v>1.8849356548069643E-2</v>
      </c>
      <c r="G7" s="30">
        <v>141844</v>
      </c>
      <c r="H7" s="28">
        <v>82576</v>
      </c>
      <c r="I7" s="29">
        <f>(H7-'2011'!G27)/'2011'!G27</f>
        <v>-0.17588822355289421</v>
      </c>
      <c r="J7" s="29">
        <f>(H7-'2012'!H82)/'2012'!H82</f>
        <v>-0.15441959531416399</v>
      </c>
      <c r="K7" s="30">
        <v>95057</v>
      </c>
      <c r="L7" s="28">
        <v>35436</v>
      </c>
      <c r="M7" s="29">
        <f>(L7-'2011'!J27)/'2011'!J27</f>
        <v>6.4495779386584157E-2</v>
      </c>
      <c r="N7" s="29">
        <f>(L7-'2012'!L82)/'2012'!L82</f>
        <v>1.8773538797688526E-2</v>
      </c>
      <c r="O7" s="30">
        <v>36219</v>
      </c>
    </row>
    <row r="8" spans="1:16" x14ac:dyDescent="0.25">
      <c r="A8" s="15" t="s">
        <v>104</v>
      </c>
      <c r="C8" s="21" t="s">
        <v>109</v>
      </c>
    </row>
    <row r="9" spans="1:16" x14ac:dyDescent="0.25">
      <c r="A9" s="15" t="s">
        <v>111</v>
      </c>
      <c r="B9" s="13">
        <f>AVERAGE(F3:F7,J3:J7,N3:N7)</f>
        <v>1.778854089792475E-3</v>
      </c>
      <c r="C9" s="21"/>
    </row>
    <row r="10" spans="1:16" ht="19.5" thickBot="1" x14ac:dyDescent="0.35">
      <c r="A10" s="76" t="s">
        <v>108</v>
      </c>
      <c r="B10" s="76"/>
      <c r="C10" s="76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</row>
    <row r="11" spans="1:16" ht="45" x14ac:dyDescent="0.25">
      <c r="A11" s="1" t="s">
        <v>2</v>
      </c>
      <c r="B11" s="1" t="s">
        <v>3</v>
      </c>
      <c r="C11" s="32" t="s">
        <v>4</v>
      </c>
      <c r="D11" s="22" t="s">
        <v>78</v>
      </c>
      <c r="E11" s="23" t="s">
        <v>83</v>
      </c>
      <c r="F11" s="23" t="s">
        <v>107</v>
      </c>
      <c r="G11" s="24" t="s">
        <v>85</v>
      </c>
      <c r="H11" s="22" t="s">
        <v>79</v>
      </c>
      <c r="I11" s="23" t="s">
        <v>83</v>
      </c>
      <c r="J11" s="23" t="s">
        <v>107</v>
      </c>
      <c r="K11" s="24" t="s">
        <v>82</v>
      </c>
      <c r="L11" s="22" t="s">
        <v>80</v>
      </c>
      <c r="M11" s="23" t="s">
        <v>83</v>
      </c>
      <c r="N11" s="23" t="s">
        <v>107</v>
      </c>
      <c r="O11" s="24" t="s">
        <v>81</v>
      </c>
    </row>
    <row r="12" spans="1:16" x14ac:dyDescent="0.25">
      <c r="A12" s="1" t="s">
        <v>5</v>
      </c>
      <c r="B12" s="1" t="s">
        <v>6</v>
      </c>
      <c r="C12" s="32" t="s">
        <v>7</v>
      </c>
      <c r="D12" s="33">
        <v>157729</v>
      </c>
      <c r="E12" s="5">
        <f>(D12-'2011'!D32)/'2011'!D32</f>
        <v>2.3662571471220056E-2</v>
      </c>
      <c r="F12" s="5">
        <f>(D12-'2012'!D86)/'2012'!D86</f>
        <v>8.3601264083539434E-2</v>
      </c>
      <c r="G12" s="26">
        <v>160000</v>
      </c>
      <c r="H12" s="27">
        <v>104493</v>
      </c>
      <c r="I12" s="5">
        <f>(H12-'2011'!G32)/'2011'!G32</f>
        <v>2.4029556746797857E-2</v>
      </c>
      <c r="J12" s="5">
        <f>(H12-'2012'!H86)/'2012'!H86</f>
        <v>1.6716127462904403E-2</v>
      </c>
      <c r="K12" s="26">
        <v>105374</v>
      </c>
      <c r="L12" s="25">
        <v>37369</v>
      </c>
      <c r="M12" s="5">
        <f>(L12-'2011'!J32)/'2011'!J32</f>
        <v>3.3263285959188191E-2</v>
      </c>
      <c r="N12" s="5">
        <f>(L12-'2012'!L86)/'2012'!L86</f>
        <v>1.8312123606834346E-2</v>
      </c>
      <c r="O12" s="26">
        <v>37552</v>
      </c>
    </row>
    <row r="13" spans="1:16" x14ac:dyDescent="0.25">
      <c r="A13" s="1" t="s">
        <v>8</v>
      </c>
      <c r="B13" s="1" t="s">
        <v>9</v>
      </c>
      <c r="C13" s="32" t="s">
        <v>7</v>
      </c>
      <c r="D13" s="27">
        <v>152905</v>
      </c>
      <c r="E13" s="5">
        <f>(D13-'2011'!D33)/'2011'!D33</f>
        <v>2.7518311941401787E-2</v>
      </c>
      <c r="F13" s="5">
        <f>(D13-'2012'!D87)/'2012'!D87</f>
        <v>9.1741874678699945E-2</v>
      </c>
      <c r="G13" s="26">
        <v>155763</v>
      </c>
      <c r="H13" s="27">
        <v>97087</v>
      </c>
      <c r="I13" s="5">
        <f>(H13-'2011'!G33)/'2011'!G33</f>
        <v>3.2038948476183389E-2</v>
      </c>
      <c r="J13" s="5">
        <f>(H13-'2012'!H87)/'2012'!H87</f>
        <v>5.533936258098178E-2</v>
      </c>
      <c r="K13" s="26">
        <v>97087</v>
      </c>
      <c r="L13" s="27">
        <v>35174</v>
      </c>
      <c r="M13" s="5">
        <f>(L13-'2011'!J33)/'2011'!J33</f>
        <v>1.900457732197694E-2</v>
      </c>
      <c r="N13" s="5">
        <f>(L13-'2012'!L87)/'2012'!L87</f>
        <v>4.0435412784334608E-2</v>
      </c>
      <c r="O13" s="26">
        <v>35753</v>
      </c>
    </row>
    <row r="14" spans="1:16" x14ac:dyDescent="0.25">
      <c r="A14" s="1" t="s">
        <v>10</v>
      </c>
      <c r="B14" s="1" t="s">
        <v>9</v>
      </c>
      <c r="C14" s="32" t="s">
        <v>11</v>
      </c>
      <c r="D14" s="27">
        <v>89047</v>
      </c>
      <c r="E14" s="5">
        <f>(D14-'2011'!D34)/'2011'!D34</f>
        <v>3.9176099894970243E-2</v>
      </c>
      <c r="F14" s="5">
        <f>(D14-'2012'!D88)/'2012'!D88</f>
        <v>7.213205548063957E-2</v>
      </c>
      <c r="G14" s="26">
        <v>90744</v>
      </c>
      <c r="H14" s="27">
        <v>72886</v>
      </c>
      <c r="I14" s="5">
        <f>(H14-'2011'!G34)/'2011'!G34</f>
        <v>4.3682564180297376E-3</v>
      </c>
      <c r="J14" s="5">
        <f>(H14-'2012'!H88)/'2012'!H88</f>
        <v>8.5275242335353413E-2</v>
      </c>
      <c r="K14" s="26">
        <v>75301</v>
      </c>
      <c r="L14" s="27">
        <v>33167</v>
      </c>
      <c r="M14" s="5">
        <f>(L14-'2011'!J34)/'2011'!J34</f>
        <v>4.7070337163783303E-2</v>
      </c>
      <c r="N14" s="5">
        <f>(L14-'2012'!L88)/'2012'!L88</f>
        <v>4.2757883484767507E-2</v>
      </c>
      <c r="O14" s="26">
        <v>33167</v>
      </c>
    </row>
    <row r="15" spans="1:16" x14ac:dyDescent="0.25">
      <c r="A15" s="1" t="s">
        <v>12</v>
      </c>
      <c r="B15" s="1" t="s">
        <v>13</v>
      </c>
      <c r="C15" s="32" t="s">
        <v>11</v>
      </c>
      <c r="D15" s="27">
        <v>75245</v>
      </c>
      <c r="E15" s="5">
        <f>(D15-'2011'!D35)/'2011'!D35</f>
        <v>1.8062508456230551E-2</v>
      </c>
      <c r="F15" s="5">
        <f>(D15-'2012'!D89)/'2012'!D89</f>
        <v>4.5156540822846349E-2</v>
      </c>
      <c r="G15" s="26">
        <v>77042</v>
      </c>
      <c r="H15" s="27">
        <v>70126</v>
      </c>
      <c r="I15" s="5">
        <f>(H15-'2011'!G35)/'2011'!G35</f>
        <v>5.1190958012921409E-2</v>
      </c>
      <c r="J15" s="5">
        <f>(H15-'2012'!H89)/'2012'!H89</f>
        <v>5.5399202347806459E-2</v>
      </c>
      <c r="K15" s="26">
        <v>70621</v>
      </c>
      <c r="L15" s="27">
        <v>32404</v>
      </c>
      <c r="M15" s="5">
        <f>(L15-'2011'!J35)/'2011'!J35</f>
        <v>4.1460435816674163E-2</v>
      </c>
      <c r="N15" s="5">
        <f>(L15-'2012'!L89)/'2012'!L89</f>
        <v>1.6851288166441773E-2</v>
      </c>
      <c r="O15" s="26">
        <v>32520</v>
      </c>
    </row>
    <row r="16" spans="1:16" ht="15.75" thickBot="1" x14ac:dyDescent="0.3">
      <c r="A16" s="1" t="s">
        <v>14</v>
      </c>
      <c r="B16" s="1" t="s">
        <v>15</v>
      </c>
      <c r="C16" s="32" t="s">
        <v>11</v>
      </c>
      <c r="D16" s="28">
        <v>74906</v>
      </c>
      <c r="E16" s="29">
        <f>(D16-'2011'!D36)/'2011'!D36</f>
        <v>2.8462372825504921E-2</v>
      </c>
      <c r="F16" s="29">
        <f>(D16-'2012'!D90)/'2012'!D90</f>
        <v>6.0676002888659181E-2</v>
      </c>
      <c r="G16" s="30">
        <v>75529</v>
      </c>
      <c r="H16" s="28">
        <v>52854</v>
      </c>
      <c r="I16" s="29">
        <f>(H16-'2011'!G36)/'2011'!G36</f>
        <v>-0.22780001753206908</v>
      </c>
      <c r="J16" s="29">
        <f>(H16-'2012'!H90)/'2012'!H90</f>
        <v>-0.19503502893694791</v>
      </c>
      <c r="K16" s="31">
        <v>53419</v>
      </c>
      <c r="L16" s="30">
        <v>30703</v>
      </c>
      <c r="M16" s="29">
        <f>(L16-'2011'!J36)/'2011'!J36</f>
        <v>-5.6192554793888905E-2</v>
      </c>
      <c r="N16" s="29">
        <f>(L16-'2012'!L90)/'2012'!L90</f>
        <v>-5.6192554793888905E-2</v>
      </c>
      <c r="O16" s="30">
        <v>32268</v>
      </c>
      <c r="P16" t="s">
        <v>113</v>
      </c>
    </row>
    <row r="17" spans="1:15" x14ac:dyDescent="0.25">
      <c r="A17" s="15" t="s">
        <v>104</v>
      </c>
      <c r="C17" s="21" t="s">
        <v>110</v>
      </c>
    </row>
    <row r="18" spans="1:15" x14ac:dyDescent="0.25">
      <c r="A18" s="15" t="s">
        <v>112</v>
      </c>
      <c r="B18" s="13">
        <f>AVERAGE(F12:F16,J12:J16,N12:N16)</f>
        <v>2.8877786466198131E-2</v>
      </c>
    </row>
    <row r="20" spans="1:15" x14ac:dyDescent="0.25">
      <c r="C20" t="s">
        <v>114</v>
      </c>
      <c r="D20">
        <v>2012</v>
      </c>
      <c r="E20">
        <v>2013</v>
      </c>
    </row>
    <row r="21" spans="1:15" x14ac:dyDescent="0.25">
      <c r="C21" t="s">
        <v>115</v>
      </c>
      <c r="D21">
        <v>154559</v>
      </c>
      <c r="E21">
        <v>159236</v>
      </c>
    </row>
    <row r="22" spans="1:15" x14ac:dyDescent="0.25">
      <c r="C22" t="s">
        <v>116</v>
      </c>
      <c r="D22">
        <v>114548</v>
      </c>
      <c r="E22">
        <v>129701</v>
      </c>
    </row>
    <row r="23" spans="1:15" x14ac:dyDescent="0.25">
      <c r="C23" t="s">
        <v>117</v>
      </c>
      <c r="D23">
        <v>99404</v>
      </c>
      <c r="E23">
        <v>103413</v>
      </c>
    </row>
    <row r="24" spans="1:15" x14ac:dyDescent="0.25">
      <c r="C24" t="s">
        <v>118</v>
      </c>
      <c r="E24">
        <v>67613</v>
      </c>
    </row>
    <row r="26" spans="1:15" ht="19.5" thickBot="1" x14ac:dyDescent="0.35">
      <c r="A26" s="76" t="s">
        <v>119</v>
      </c>
      <c r="B26" s="76"/>
      <c r="C26" s="76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</row>
    <row r="27" spans="1:15" ht="45" x14ac:dyDescent="0.25">
      <c r="A27" s="1" t="s">
        <v>2</v>
      </c>
      <c r="B27" s="1" t="s">
        <v>3</v>
      </c>
      <c r="C27" s="32" t="s">
        <v>4</v>
      </c>
      <c r="D27" s="22" t="s">
        <v>78</v>
      </c>
      <c r="E27" s="23" t="s">
        <v>83</v>
      </c>
      <c r="F27" s="23" t="s">
        <v>107</v>
      </c>
      <c r="G27" s="24" t="s">
        <v>85</v>
      </c>
      <c r="H27" s="22" t="s">
        <v>79</v>
      </c>
      <c r="I27" s="23" t="s">
        <v>83</v>
      </c>
      <c r="J27" s="23" t="s">
        <v>107</v>
      </c>
      <c r="K27" s="24" t="s">
        <v>82</v>
      </c>
      <c r="L27" s="22" t="s">
        <v>80</v>
      </c>
      <c r="M27" s="23" t="s">
        <v>83</v>
      </c>
      <c r="N27" s="23" t="s">
        <v>107</v>
      </c>
      <c r="O27" s="24" t="s">
        <v>81</v>
      </c>
    </row>
    <row r="28" spans="1:15" x14ac:dyDescent="0.25">
      <c r="A28" s="1" t="s">
        <v>5</v>
      </c>
      <c r="B28" s="1" t="s">
        <v>6</v>
      </c>
      <c r="C28" s="32" t="s">
        <v>7</v>
      </c>
      <c r="D28" s="33">
        <v>173611</v>
      </c>
      <c r="E28" s="5">
        <f>(D28-'2011'!D23)/'2011'!D23</f>
        <v>2.2570518144175662E-2</v>
      </c>
      <c r="F28" s="5">
        <f>(D28-'2012'!D78)/'2012'!D78</f>
        <v>6.9441535561606038E-2</v>
      </c>
      <c r="G28" s="26">
        <v>179211</v>
      </c>
      <c r="H28" s="27">
        <v>108696</v>
      </c>
      <c r="I28" s="5">
        <f>(H28-'2011'!G23)/'2011'!G23</f>
        <v>-3.3693081805735825E-2</v>
      </c>
      <c r="J28" s="5">
        <f>(H28-'2012'!H78)/'2012'!H78</f>
        <v>7.6106604866743918E-3</v>
      </c>
      <c r="K28" s="26">
        <v>114025</v>
      </c>
      <c r="L28" s="33">
        <v>39277</v>
      </c>
      <c r="M28" s="5">
        <f>(L28-'2011'!J23)/'2011'!J23</f>
        <v>4.674466327319244E-2</v>
      </c>
      <c r="N28" s="5">
        <f>(L28-'2012'!L78)/'2012'!L78</f>
        <v>4.2410892008811277E-2</v>
      </c>
      <c r="O28" s="26">
        <v>39463</v>
      </c>
    </row>
    <row r="29" spans="1:15" x14ac:dyDescent="0.25">
      <c r="A29" s="1" t="s">
        <v>8</v>
      </c>
      <c r="B29" s="1" t="s">
        <v>9</v>
      </c>
      <c r="C29" s="32" t="s">
        <v>7</v>
      </c>
      <c r="D29" s="27">
        <v>171821</v>
      </c>
      <c r="E29" s="5">
        <f>(D29-'2011'!D24)/'2011'!D24</f>
        <v>0.18899860908317129</v>
      </c>
      <c r="F29" s="5">
        <f>(D29-'2012'!D79)/'2012'!D79</f>
        <v>0.15463342517303943</v>
      </c>
      <c r="G29" s="26">
        <v>172414</v>
      </c>
      <c r="H29" s="27">
        <v>103199</v>
      </c>
      <c r="I29" s="5">
        <f>(H29-'2011'!G24)/'2011'!G24</f>
        <v>-3.1008500772797525E-3</v>
      </c>
      <c r="J29" s="5">
        <f>(H29-'2012'!H79)/'2012'!H79</f>
        <v>6.6050307318836834E-2</v>
      </c>
      <c r="K29" s="26">
        <v>107411</v>
      </c>
      <c r="L29" s="33">
        <v>37216</v>
      </c>
      <c r="M29" s="5">
        <f>(L29-'2011'!J24)/'2011'!J24</f>
        <v>2.9032793231211634E-2</v>
      </c>
      <c r="N29" s="5">
        <f>(L29-'2012'!L79)/'2012'!L79</f>
        <v>7.8162118315081991E-2</v>
      </c>
      <c r="O29" s="34">
        <v>37552</v>
      </c>
    </row>
    <row r="30" spans="1:15" x14ac:dyDescent="0.25">
      <c r="A30" s="1" t="s">
        <v>10</v>
      </c>
      <c r="B30" s="1" t="s">
        <v>9</v>
      </c>
      <c r="C30" s="32" t="s">
        <v>11</v>
      </c>
      <c r="D30" s="27">
        <v>64061</v>
      </c>
      <c r="E30" s="5">
        <f>(D30-'2011'!D25)/'2011'!D25</f>
        <v>4.4836247390396662E-2</v>
      </c>
      <c r="F30" s="5">
        <f>(D30-'2012'!D80)/'2012'!D80</f>
        <v>6.2124879795735652E-2</v>
      </c>
      <c r="G30" s="26">
        <v>66534</v>
      </c>
      <c r="H30" s="27">
        <v>57937</v>
      </c>
      <c r="I30" s="5">
        <f>(H30-'2011'!G25)/'2011'!G25</f>
        <v>6.1408811944673444E-2</v>
      </c>
      <c r="J30" s="5">
        <f>(H30-'2012'!H80)/'2012'!H80</f>
        <v>1.7956601950276728E-2</v>
      </c>
      <c r="K30" s="26">
        <v>59880</v>
      </c>
      <c r="L30" s="27">
        <v>29394</v>
      </c>
      <c r="M30" s="5">
        <f>(L30-'2011'!J25)/'2011'!J25</f>
        <v>8.1417166403002103E-2</v>
      </c>
      <c r="N30" s="5">
        <f>(L30-'2012'!L80)/'2012'!L80</f>
        <v>5.317090648513078E-2</v>
      </c>
      <c r="O30" s="26">
        <v>29429</v>
      </c>
    </row>
    <row r="31" spans="1:15" x14ac:dyDescent="0.25">
      <c r="A31" s="1" t="s">
        <v>12</v>
      </c>
      <c r="B31" s="1" t="s">
        <v>13</v>
      </c>
      <c r="C31" s="32" t="s">
        <v>7</v>
      </c>
      <c r="D31" s="27">
        <v>152207</v>
      </c>
      <c r="E31" s="5">
        <f>(D31-'2011'!D26)/'2011'!D26</f>
        <v>6.2408387195845488E-2</v>
      </c>
      <c r="F31" s="5">
        <f>(D31-'2012'!D81)/'2012'!D81</f>
        <v>0.14764073409437065</v>
      </c>
      <c r="G31" s="26">
        <v>159744</v>
      </c>
      <c r="H31" s="27">
        <v>100000</v>
      </c>
      <c r="I31" s="5">
        <f>(H31-'2011'!G26)/'2011'!G26</f>
        <v>-5.7999001478941568E-2</v>
      </c>
      <c r="J31" s="5">
        <f>(H31-'2012'!H81)/'2012'!H81</f>
        <v>-3.0009670890619234E-3</v>
      </c>
      <c r="K31" s="26">
        <v>107411</v>
      </c>
      <c r="L31" s="27">
        <v>36023</v>
      </c>
      <c r="M31" s="5">
        <f>(L31-'2011'!J26)/'2011'!J26</f>
        <v>1.0434489916131384E-2</v>
      </c>
      <c r="N31" s="5">
        <f>(L31-'2012'!L81)/'2012'!L81</f>
        <v>9.7264267294539745E-3</v>
      </c>
      <c r="O31" s="26">
        <v>38095</v>
      </c>
    </row>
    <row r="32" spans="1:15" ht="15.75" thickBot="1" x14ac:dyDescent="0.3">
      <c r="A32" s="1" t="s">
        <v>14</v>
      </c>
      <c r="B32" s="1" t="s">
        <v>15</v>
      </c>
      <c r="C32" s="32" t="s">
        <v>7</v>
      </c>
      <c r="D32" s="28"/>
      <c r="E32" s="5">
        <f>(D32-'2011'!D27)/'2011'!D27</f>
        <v>-1</v>
      </c>
      <c r="F32" s="5">
        <f>(D32-'2012'!D82)/'2012'!D82</f>
        <v>-1</v>
      </c>
      <c r="G32" s="30"/>
      <c r="H32" s="28"/>
      <c r="I32" s="5">
        <f>(H32-'2011'!G27)/'2011'!G27</f>
        <v>-1</v>
      </c>
      <c r="J32" s="5">
        <f>(H32-'2012'!H82)/'2012'!H82</f>
        <v>-1</v>
      </c>
      <c r="K32" s="30"/>
      <c r="L32" s="28"/>
      <c r="M32" s="5">
        <f>(L32-'2011'!J27)/'2011'!J27</f>
        <v>-1</v>
      </c>
      <c r="N32" s="5">
        <f>(L32-'2012'!L82)/'2012'!L82</f>
        <v>-1</v>
      </c>
      <c r="O32" s="30"/>
    </row>
    <row r="33" spans="1:18" x14ac:dyDescent="0.25">
      <c r="A33" s="15" t="s">
        <v>104</v>
      </c>
      <c r="C33" s="21" t="s">
        <v>121</v>
      </c>
    </row>
    <row r="34" spans="1:18" x14ac:dyDescent="0.25">
      <c r="A34" s="15" t="s">
        <v>111</v>
      </c>
      <c r="B34" s="13">
        <f>AVERAGE(F28:F32,J28:J32,N28:N32)</f>
        <v>-0.15293816527800297</v>
      </c>
      <c r="C34" s="21"/>
    </row>
    <row r="35" spans="1:18" ht="19.5" thickBot="1" x14ac:dyDescent="0.35">
      <c r="A35" s="76" t="s">
        <v>120</v>
      </c>
      <c r="B35" s="76"/>
      <c r="C35" s="76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</row>
    <row r="36" spans="1:18" ht="45" x14ac:dyDescent="0.25">
      <c r="A36" s="1" t="s">
        <v>2</v>
      </c>
      <c r="B36" s="1" t="s">
        <v>3</v>
      </c>
      <c r="C36" s="32" t="s">
        <v>4</v>
      </c>
      <c r="D36" s="22" t="s">
        <v>78</v>
      </c>
      <c r="E36" s="23" t="s">
        <v>83</v>
      </c>
      <c r="F36" s="23" t="s">
        <v>107</v>
      </c>
      <c r="G36" s="24" t="s">
        <v>85</v>
      </c>
      <c r="H36" s="22" t="s">
        <v>79</v>
      </c>
      <c r="I36" s="23" t="s">
        <v>83</v>
      </c>
      <c r="J36" s="23" t="s">
        <v>107</v>
      </c>
      <c r="K36" s="24" t="s">
        <v>82</v>
      </c>
      <c r="L36" s="22" t="s">
        <v>80</v>
      </c>
      <c r="M36" s="23" t="s">
        <v>83</v>
      </c>
      <c r="N36" s="23" t="s">
        <v>107</v>
      </c>
      <c r="O36" s="24" t="s">
        <v>81</v>
      </c>
    </row>
    <row r="37" spans="1:18" x14ac:dyDescent="0.25">
      <c r="A37" s="1" t="s">
        <v>5</v>
      </c>
      <c r="B37" s="1" t="s">
        <v>6</v>
      </c>
      <c r="C37" s="32" t="s">
        <v>7</v>
      </c>
      <c r="D37" s="33">
        <v>154799</v>
      </c>
      <c r="E37" s="5">
        <f>(D37-'2011'!D32)/'2011'!D32</f>
        <v>4.6468461803054195E-3</v>
      </c>
      <c r="F37" s="5">
        <f>(D37-'2012'!D86)/'2012'!D86</f>
        <v>6.3472107721901622E-2</v>
      </c>
      <c r="G37" s="26">
        <v>157233</v>
      </c>
      <c r="H37" s="27">
        <v>100402</v>
      </c>
      <c r="I37" s="5">
        <f>(H37-'2011'!G32)/'2011'!G32</f>
        <v>-1.6062171088092041E-2</v>
      </c>
      <c r="J37" s="5">
        <f>(H37-'2012'!H86)/'2012'!H86</f>
        <v>-2.3089272683045489E-2</v>
      </c>
      <c r="K37" s="26">
        <v>104932</v>
      </c>
      <c r="L37" s="25">
        <v>37216</v>
      </c>
      <c r="M37" s="5">
        <f>(L37-'2011'!J32)/'2011'!J32</f>
        <v>2.9032793231211634E-2</v>
      </c>
      <c r="N37" s="5">
        <f>(L37-'2012'!L86)/'2012'!L86</f>
        <v>1.4142845464206884E-2</v>
      </c>
      <c r="O37" s="26">
        <v>37552</v>
      </c>
    </row>
    <row r="38" spans="1:18" x14ac:dyDescent="0.25">
      <c r="A38" s="1" t="s">
        <v>8</v>
      </c>
      <c r="B38" s="1" t="s">
        <v>9</v>
      </c>
      <c r="C38" s="32" t="s">
        <v>7</v>
      </c>
      <c r="D38" s="27">
        <v>151976</v>
      </c>
      <c r="E38" s="5">
        <f>(D38-'2011'!D33)/'2011'!D33</f>
        <v>2.1275451918553862E-2</v>
      </c>
      <c r="F38" s="5">
        <f>(D38-'2012'!D87)/'2012'!D87</f>
        <v>8.5108813617410184E-2</v>
      </c>
      <c r="G38" s="26">
        <v>153374</v>
      </c>
      <c r="H38" s="27">
        <v>94073</v>
      </c>
      <c r="I38" s="5">
        <f>(H38-'2011'!G33)/'2011'!G33</f>
        <v>0</v>
      </c>
      <c r="J38" s="5">
        <f>(H38-'2012'!H87)/'2012'!H87</f>
        <v>2.2577068568198619E-2</v>
      </c>
      <c r="K38" s="26">
        <v>97087</v>
      </c>
      <c r="L38" s="27">
        <v>35398</v>
      </c>
      <c r="M38" s="5">
        <f>(L38-'2011'!J33)/'2011'!J33</f>
        <v>2.5493945188017845E-2</v>
      </c>
      <c r="N38" s="5">
        <f>(L38-'2012'!L87)/'2012'!L87</f>
        <v>4.70612595024699E-2</v>
      </c>
      <c r="O38" s="26">
        <v>35753</v>
      </c>
    </row>
    <row r="39" spans="1:18" x14ac:dyDescent="0.25">
      <c r="A39" s="1" t="s">
        <v>10</v>
      </c>
      <c r="B39" s="1" t="s">
        <v>9</v>
      </c>
      <c r="C39" s="32" t="s">
        <v>11</v>
      </c>
      <c r="D39" s="27">
        <v>85837</v>
      </c>
      <c r="E39" s="5">
        <f>(D39-'2011'!D34)/'2011'!D34</f>
        <v>1.715486054382075E-3</v>
      </c>
      <c r="F39" s="5">
        <f>(D39-'2012'!D88)/'2012'!D88</f>
        <v>3.3483432864573302E-2</v>
      </c>
      <c r="G39" s="26">
        <v>87951</v>
      </c>
      <c r="H39" s="27">
        <v>70077</v>
      </c>
      <c r="I39" s="5">
        <f>(H39-'2011'!G34)/'2011'!G34</f>
        <v>-3.433973184141989E-2</v>
      </c>
      <c r="J39" s="5">
        <f>(H39-'2012'!H88)/'2012'!H88</f>
        <v>4.3449128188329189E-2</v>
      </c>
      <c r="K39" s="26">
        <v>73965</v>
      </c>
      <c r="L39" s="27">
        <v>32478</v>
      </c>
      <c r="M39" s="5">
        <f>(L39-'2011'!J34)/'2011'!J34</f>
        <v>2.531885339057962E-2</v>
      </c>
      <c r="N39" s="5">
        <f>(L39-'2012'!L88)/'2012'!L88</f>
        <v>2.1095985160499261E-2</v>
      </c>
      <c r="O39" s="26">
        <v>33289</v>
      </c>
    </row>
    <row r="40" spans="1:18" x14ac:dyDescent="0.25">
      <c r="A40" s="1" t="s">
        <v>12</v>
      </c>
      <c r="B40" s="1" t="s">
        <v>13</v>
      </c>
      <c r="C40" s="32" t="s">
        <v>11</v>
      </c>
      <c r="D40" s="27">
        <v>76278</v>
      </c>
      <c r="E40" s="5">
        <f>(D40-'2011'!D35)/'2011'!D35</f>
        <v>3.2038966310377483E-2</v>
      </c>
      <c r="F40" s="5">
        <f>(D40-'2012'!D89)/'2012'!D89</f>
        <v>5.9504958746562212E-2</v>
      </c>
      <c r="G40" s="26">
        <v>76628</v>
      </c>
      <c r="H40" s="27">
        <v>69252</v>
      </c>
      <c r="I40" s="5">
        <f>(H40-'2011'!G35)/'2011'!G35</f>
        <v>3.8089670369204479E-2</v>
      </c>
      <c r="J40" s="5">
        <f>(H40-'2012'!H89)/'2012'!H89</f>
        <v>4.2245466175031984E-2</v>
      </c>
      <c r="K40" s="26">
        <v>69930</v>
      </c>
      <c r="L40" s="27">
        <v>32584</v>
      </c>
      <c r="M40" s="5">
        <f>(L40-'2011'!J35)/'2011'!J35</f>
        <v>4.7245612907372884E-2</v>
      </c>
      <c r="N40" s="5">
        <f>(L40-'2012'!L89)/'2012'!L89</f>
        <v>2.2499764646813317E-2</v>
      </c>
      <c r="O40" s="26">
        <v>32723</v>
      </c>
    </row>
    <row r="41" spans="1:18" ht="15.75" thickBot="1" x14ac:dyDescent="0.3">
      <c r="A41" s="1" t="s">
        <v>14</v>
      </c>
      <c r="B41" s="1" t="s">
        <v>15</v>
      </c>
      <c r="C41" s="32" t="s">
        <v>11</v>
      </c>
      <c r="D41" s="28"/>
      <c r="E41" s="5">
        <f>(D41-'2011'!D36)/'2011'!D36</f>
        <v>-1</v>
      </c>
      <c r="F41" s="5">
        <f>(D41-'2012'!D90)/'2012'!D90</f>
        <v>-1</v>
      </c>
      <c r="G41" s="30"/>
      <c r="H41" s="28"/>
      <c r="I41" s="5">
        <f>(H41-'2011'!G36)/'2011'!G36</f>
        <v>-1</v>
      </c>
      <c r="J41" s="5">
        <f>(H41-'2012'!H90)/'2012'!H90</f>
        <v>-1</v>
      </c>
      <c r="K41" s="31"/>
      <c r="L41" s="30"/>
      <c r="M41" s="5">
        <f>(L41-'2011'!J36)/'2011'!J36</f>
        <v>-1</v>
      </c>
      <c r="N41" s="5">
        <f>(L41-'2012'!L90)/'2012'!L90</f>
        <v>-1</v>
      </c>
      <c r="O41" s="30"/>
    </row>
    <row r="42" spans="1:18" x14ac:dyDescent="0.25">
      <c r="A42" s="15" t="s">
        <v>104</v>
      </c>
      <c r="C42" s="21" t="s">
        <v>122</v>
      </c>
    </row>
    <row r="43" spans="1:18" x14ac:dyDescent="0.25">
      <c r="A43" s="15" t="s">
        <v>112</v>
      </c>
      <c r="B43" s="13">
        <f>AVERAGE(F37:F41,J37:J41,N37:N41)</f>
        <v>-0.17122989613513659</v>
      </c>
      <c r="C43" t="s">
        <v>126</v>
      </c>
    </row>
    <row r="45" spans="1:18" ht="19.5" thickBot="1" x14ac:dyDescent="0.35">
      <c r="A45" s="76" t="s">
        <v>124</v>
      </c>
      <c r="B45" s="76"/>
      <c r="C45" s="76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Q45" t="s">
        <v>129</v>
      </c>
    </row>
    <row r="46" spans="1:18" ht="45" x14ac:dyDescent="0.25">
      <c r="A46" s="1" t="s">
        <v>2</v>
      </c>
      <c r="B46" s="1" t="s">
        <v>3</v>
      </c>
      <c r="C46" s="32" t="s">
        <v>4</v>
      </c>
      <c r="D46" s="22" t="s">
        <v>78</v>
      </c>
      <c r="E46" s="23" t="s">
        <v>83</v>
      </c>
      <c r="F46" s="23" t="s">
        <v>107</v>
      </c>
      <c r="G46" s="24" t="s">
        <v>85</v>
      </c>
      <c r="H46" s="22" t="s">
        <v>79</v>
      </c>
      <c r="I46" s="23" t="s">
        <v>83</v>
      </c>
      <c r="J46" s="23" t="s">
        <v>107</v>
      </c>
      <c r="K46" s="24" t="s">
        <v>82</v>
      </c>
      <c r="L46" s="22" t="s">
        <v>80</v>
      </c>
      <c r="M46" s="23" t="s">
        <v>83</v>
      </c>
      <c r="N46" s="23" t="s">
        <v>107</v>
      </c>
      <c r="O46" s="24" t="s">
        <v>81</v>
      </c>
      <c r="Q46" s="18" t="s">
        <v>16</v>
      </c>
      <c r="R46" s="18" t="s">
        <v>17</v>
      </c>
    </row>
    <row r="47" spans="1:18" x14ac:dyDescent="0.25">
      <c r="A47" s="1" t="s">
        <v>5</v>
      </c>
      <c r="B47" s="1" t="s">
        <v>6</v>
      </c>
      <c r="C47" s="32" t="s">
        <v>7</v>
      </c>
      <c r="D47" s="33">
        <v>165017</v>
      </c>
      <c r="E47" s="5">
        <f>(D47-'2011'!D23)/'2011'!D23</f>
        <v>-2.8048227401504307E-2</v>
      </c>
      <c r="F47" s="5">
        <f>(D47-'2012'!D78)/'2012'!D78</f>
        <v>1.6502605674580197E-2</v>
      </c>
      <c r="G47" s="26">
        <v>173611</v>
      </c>
      <c r="H47" s="27">
        <v>105820</v>
      </c>
      <c r="I47" s="5">
        <f>(H47-'2011'!G23)/'2011'!G23</f>
        <v>-5.9260707999217684E-2</v>
      </c>
      <c r="J47" s="5">
        <f>(H47-'2012'!H78)/'2012'!H78</f>
        <v>-1.9049826187717264E-2</v>
      </c>
      <c r="K47" s="26">
        <v>108578</v>
      </c>
      <c r="L47" s="33">
        <v>38595</v>
      </c>
      <c r="M47" s="5">
        <f>(L47-'2011'!J23)/'2011'!J23</f>
        <v>2.8569144258188312E-2</v>
      </c>
      <c r="N47" s="5">
        <f>(L47-'2012'!L78)/'2012'!L78</f>
        <v>2.4310623954988189E-2</v>
      </c>
      <c r="O47" s="26">
        <v>39463</v>
      </c>
    </row>
    <row r="48" spans="1:18" x14ac:dyDescent="0.25">
      <c r="A48" s="1" t="s">
        <v>8</v>
      </c>
      <c r="B48" s="1" t="s">
        <v>9</v>
      </c>
      <c r="C48" s="32" t="s">
        <v>7</v>
      </c>
      <c r="D48" s="27">
        <v>168067</v>
      </c>
      <c r="E48" s="5">
        <f>(D48-'2011'!D24)/'2011'!D24</f>
        <v>0.16302098831214665</v>
      </c>
      <c r="F48" s="5">
        <f>(D48-'2012'!D79)/'2012'!D79</f>
        <v>0.12940662589879712</v>
      </c>
      <c r="G48" s="26">
        <v>170068</v>
      </c>
      <c r="H48" s="27">
        <v>91575</v>
      </c>
      <c r="I48" s="5">
        <f>(H48-'2011'!G24)/'2011'!G24</f>
        <v>-0.11538833075734158</v>
      </c>
      <c r="J48" s="5">
        <f>(H48-'2012'!H79)/'2012'!H79</f>
        <v>-5.4026135013687311E-2</v>
      </c>
      <c r="K48" s="26">
        <v>97087</v>
      </c>
      <c r="L48" s="33">
        <v>36900</v>
      </c>
      <c r="M48" s="5">
        <f>(L48-'2011'!J24)/'2011'!J24</f>
        <v>2.0295304982580323E-2</v>
      </c>
      <c r="N48" s="5">
        <f>(L48-'2012'!L79)/'2012'!L79</f>
        <v>6.9007474361202845E-2</v>
      </c>
      <c r="O48" s="34">
        <v>37397</v>
      </c>
      <c r="R48">
        <v>103199</v>
      </c>
    </row>
    <row r="49" spans="1:18" x14ac:dyDescent="0.25">
      <c r="A49" s="1" t="s">
        <v>10</v>
      </c>
      <c r="B49" s="1" t="s">
        <v>9</v>
      </c>
      <c r="C49" s="32" t="s">
        <v>11</v>
      </c>
      <c r="D49" s="27">
        <v>63371</v>
      </c>
      <c r="E49" s="5">
        <f>(D49-'2011'!D25)/'2011'!D25</f>
        <v>3.3582332985386223E-2</v>
      </c>
      <c r="F49" s="5">
        <f>(D49-'2012'!D80)/'2012'!D80</f>
        <v>5.0684749809331166E-2</v>
      </c>
      <c r="G49" s="26">
        <v>63654</v>
      </c>
      <c r="H49" s="27">
        <v>45045</v>
      </c>
      <c r="I49" s="5">
        <f>(H49-'2011'!G25)/'2011'!G25</f>
        <v>-0.17477328936521022</v>
      </c>
      <c r="J49" s="5">
        <f>(H49-'2012'!H80)/'2012'!H80</f>
        <v>-0.20855661952033736</v>
      </c>
      <c r="K49" s="26">
        <v>45434</v>
      </c>
      <c r="L49" s="27">
        <v>26903</v>
      </c>
      <c r="M49" s="5">
        <f>(L49-'2011'!J25)/'2011'!J25</f>
        <v>-1.0227732607336006E-2</v>
      </c>
      <c r="N49" s="5">
        <f>(L49-'2012'!L80)/'2012'!L80</f>
        <v>-3.6080257972053026E-2</v>
      </c>
      <c r="O49" s="26">
        <v>27840</v>
      </c>
      <c r="Q49">
        <v>64516</v>
      </c>
      <c r="R49">
        <v>57803</v>
      </c>
    </row>
    <row r="50" spans="1:18" x14ac:dyDescent="0.25">
      <c r="A50" s="1" t="s">
        <v>12</v>
      </c>
      <c r="B50" s="1" t="s">
        <v>13</v>
      </c>
      <c r="C50" s="32" t="s">
        <v>7</v>
      </c>
      <c r="D50" s="27">
        <v>131926</v>
      </c>
      <c r="E50" s="5">
        <f>(D50-'2011'!D26)/'2011'!D26</f>
        <v>-7.9153462789496462E-2</v>
      </c>
      <c r="F50" s="5">
        <f>(D50-'2012'!D81)/'2012'!D81</f>
        <v>-5.2779997888800084E-3</v>
      </c>
      <c r="G50" s="26">
        <v>157978</v>
      </c>
      <c r="H50" s="27">
        <v>98912</v>
      </c>
      <c r="I50" s="5">
        <f>(H50-'2011'!G26)/'2011'!G26</f>
        <v>-6.8247972342850682E-2</v>
      </c>
      <c r="J50" s="5">
        <f>(H50-'2012'!H81)/'2012'!H81</f>
        <v>-1.384831656713293E-2</v>
      </c>
      <c r="K50" s="26">
        <v>101937</v>
      </c>
      <c r="L50" s="27">
        <v>37369</v>
      </c>
      <c r="M50" s="5">
        <f>(L50-'2011'!J26)/'2011'!J26</f>
        <v>4.8189391601918596E-2</v>
      </c>
      <c r="N50" s="5">
        <f>(L50-'2012'!L81)/'2012'!L81</f>
        <v>4.7454871622379192E-2</v>
      </c>
      <c r="O50" s="26">
        <v>37908</v>
      </c>
      <c r="R50">
        <v>101112</v>
      </c>
    </row>
    <row r="51" spans="1:18" ht="15.75" thickBot="1" x14ac:dyDescent="0.3">
      <c r="A51" s="1" t="s">
        <v>14</v>
      </c>
      <c r="B51" s="1" t="s">
        <v>15</v>
      </c>
      <c r="C51" s="32" t="s">
        <v>7</v>
      </c>
      <c r="D51" s="28">
        <v>133869</v>
      </c>
      <c r="E51" s="5">
        <f>(D51-'2011'!D27)/'2011'!D27</f>
        <v>-4.0159174015917398E-2</v>
      </c>
      <c r="F51" s="5">
        <f>(D51-'2012'!D82)/'2012'!D82</f>
        <v>1.3391370174110523E-2</v>
      </c>
      <c r="G51" s="30">
        <v>136986</v>
      </c>
      <c r="H51" s="28">
        <v>90498</v>
      </c>
      <c r="I51" s="5">
        <f>(H51-'2011'!G27)/'2011'!G27</f>
        <v>-9.6826347305389221E-2</v>
      </c>
      <c r="J51" s="5">
        <f>(H51-'2012'!H82)/'2012'!H82</f>
        <v>-7.3298107643155572E-2</v>
      </c>
      <c r="K51" s="30">
        <v>96432</v>
      </c>
      <c r="L51" s="28">
        <v>36563</v>
      </c>
      <c r="M51" s="5">
        <f>(L51-'2011'!J27)/'2011'!J27</f>
        <v>9.8350806572741742E-2</v>
      </c>
      <c r="N51" s="5">
        <f>(L51-'2012'!L82)/'2012'!L82</f>
        <v>5.1174424287726762E-2</v>
      </c>
      <c r="O51" s="30">
        <v>37951</v>
      </c>
    </row>
    <row r="52" spans="1:18" x14ac:dyDescent="0.25">
      <c r="A52" s="15" t="s">
        <v>104</v>
      </c>
      <c r="C52" s="21" t="s">
        <v>128</v>
      </c>
    </row>
    <row r="53" spans="1:18" ht="19.5" thickBot="1" x14ac:dyDescent="0.35">
      <c r="A53" s="76" t="s">
        <v>125</v>
      </c>
      <c r="B53" s="76"/>
      <c r="C53" s="76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Q53" t="s">
        <v>129</v>
      </c>
    </row>
    <row r="54" spans="1:18" ht="45" x14ac:dyDescent="0.25">
      <c r="A54" s="1" t="s">
        <v>2</v>
      </c>
      <c r="B54" s="1" t="s">
        <v>3</v>
      </c>
      <c r="C54" s="32" t="s">
        <v>4</v>
      </c>
      <c r="D54" s="22" t="s">
        <v>78</v>
      </c>
      <c r="E54" s="23" t="s">
        <v>83</v>
      </c>
      <c r="F54" s="23" t="s">
        <v>107</v>
      </c>
      <c r="G54" s="24" t="s">
        <v>85</v>
      </c>
      <c r="H54" s="22" t="s">
        <v>79</v>
      </c>
      <c r="I54" s="23" t="s">
        <v>83</v>
      </c>
      <c r="J54" s="23" t="s">
        <v>107</v>
      </c>
      <c r="K54" s="24" t="s">
        <v>82</v>
      </c>
      <c r="L54" s="22" t="s">
        <v>80</v>
      </c>
      <c r="M54" s="23" t="s">
        <v>83</v>
      </c>
      <c r="N54" s="23" t="s">
        <v>107</v>
      </c>
      <c r="O54" s="24" t="s">
        <v>81</v>
      </c>
      <c r="Q54" s="18" t="s">
        <v>16</v>
      </c>
      <c r="R54" s="18" t="s">
        <v>17</v>
      </c>
    </row>
    <row r="55" spans="1:18" x14ac:dyDescent="0.25">
      <c r="A55" s="1" t="s">
        <v>5</v>
      </c>
      <c r="B55" s="1" t="s">
        <v>6</v>
      </c>
      <c r="C55" s="32" t="s">
        <v>7</v>
      </c>
      <c r="D55" s="33">
        <v>154321</v>
      </c>
      <c r="E55" s="5">
        <f>(D55-'2011'!D32)/'2011'!D32</f>
        <v>1.5446220543473322E-3</v>
      </c>
      <c r="F55" s="5">
        <f>(D55-'2012'!D86)/'2012'!D86</f>
        <v>6.0188238527067874E-2</v>
      </c>
      <c r="G55" s="26">
        <v>156986</v>
      </c>
      <c r="H55" s="27">
        <v>94340</v>
      </c>
      <c r="I55" s="5">
        <f>(H55-'2011'!G32)/'2011'!G32</f>
        <v>-7.5469664154604515E-2</v>
      </c>
      <c r="J55" s="5">
        <f>(H55-'2012'!H86)/'2012'!H86</f>
        <v>-8.2072488445633668E-2</v>
      </c>
      <c r="K55" s="26">
        <v>95420</v>
      </c>
      <c r="L55" s="25">
        <v>37189</v>
      </c>
      <c r="M55" s="5">
        <f>(L55-'2011'!J32)/'2011'!J32</f>
        <v>2.8286235690980478E-2</v>
      </c>
      <c r="N55" s="5">
        <f>(L55-'2012'!L86)/'2012'!L86</f>
        <v>1.340709049786086E-2</v>
      </c>
      <c r="O55" s="26">
        <v>37552</v>
      </c>
    </row>
    <row r="56" spans="1:18" x14ac:dyDescent="0.25">
      <c r="A56" s="1" t="s">
        <v>8</v>
      </c>
      <c r="B56" s="1" t="s">
        <v>9</v>
      </c>
      <c r="C56" s="32" t="s">
        <v>7</v>
      </c>
      <c r="D56" s="27">
        <v>151057</v>
      </c>
      <c r="E56" s="5">
        <f>(D56-'2011'!D33)/'2011'!D33</f>
        <v>1.5099791680666622E-2</v>
      </c>
      <c r="F56" s="5">
        <f>(D56-'2012'!D87)/'2012'!D87</f>
        <v>7.8547152567544409E-2</v>
      </c>
      <c r="G56" s="26">
        <v>151286</v>
      </c>
      <c r="H56" s="27">
        <v>86207</v>
      </c>
      <c r="I56" s="5">
        <f>(H56-'2011'!G33)/'2011'!G33</f>
        <v>-8.3615915299820348E-2</v>
      </c>
      <c r="J56" s="5">
        <f>(H56-'2012'!H87)/'2012'!H87</f>
        <v>-6.2926648984738473E-2</v>
      </c>
      <c r="K56" s="26">
        <v>87032</v>
      </c>
      <c r="L56" s="27">
        <v>35461</v>
      </c>
      <c r="M56" s="5">
        <f>(L56-'2011'!J33)/'2011'!J33</f>
        <v>2.7319079900341849E-2</v>
      </c>
      <c r="N56" s="5">
        <f>(L56-'2012'!L87)/'2012'!L87</f>
        <v>4.8924778891945457E-2</v>
      </c>
      <c r="O56" s="26">
        <v>35689</v>
      </c>
      <c r="R56">
        <v>95057</v>
      </c>
    </row>
    <row r="57" spans="1:18" x14ac:dyDescent="0.25">
      <c r="A57" s="1" t="s">
        <v>10</v>
      </c>
      <c r="B57" s="1" t="s">
        <v>9</v>
      </c>
      <c r="C57" s="32" t="s">
        <v>11</v>
      </c>
      <c r="D57" s="27">
        <v>84531</v>
      </c>
      <c r="E57" s="5">
        <f>(D57-'2011'!D34)/'2011'!D34</f>
        <v>-1.3525498891352549E-2</v>
      </c>
      <c r="F57" s="5">
        <f>(D57-'2012'!D88)/'2012'!D88</f>
        <v>1.7759102292429205E-2</v>
      </c>
      <c r="G57" s="26">
        <v>90253</v>
      </c>
      <c r="H57" s="27">
        <v>56338</v>
      </c>
      <c r="I57" s="5">
        <f>(H57-'2011'!G34)/'2011'!G34</f>
        <v>-0.22366299659634278</v>
      </c>
      <c r="J57" s="5">
        <f>(H57-'2012'!H88)/'2012'!H88</f>
        <v>-0.16112509120147708</v>
      </c>
      <c r="K57" s="26">
        <v>57013</v>
      </c>
      <c r="L57" s="27">
        <v>33289</v>
      </c>
      <c r="M57" s="5">
        <f>(L57-'2011'!J34)/'2011'!J34</f>
        <v>5.0921833564844046E-2</v>
      </c>
      <c r="N57" s="5">
        <f>(L57-'2012'!L88)/'2012'!L88</f>
        <v>4.6593517150312826E-2</v>
      </c>
      <c r="O57" s="26">
        <v>33456</v>
      </c>
      <c r="Q57">
        <v>85251</v>
      </c>
      <c r="R57">
        <v>70621</v>
      </c>
    </row>
    <row r="58" spans="1:18" x14ac:dyDescent="0.25">
      <c r="A58" s="1" t="s">
        <v>12</v>
      </c>
      <c r="B58" s="1" t="s">
        <v>13</v>
      </c>
      <c r="C58" s="32" t="s">
        <v>11</v>
      </c>
      <c r="D58" s="27">
        <v>75930</v>
      </c>
      <c r="E58" s="5">
        <f>(D58-'2011'!D35)/'2011'!D35</f>
        <v>2.7330537139764577E-2</v>
      </c>
      <c r="F58" s="5">
        <f>(D58-'2012'!D89)/'2012'!D89</f>
        <v>5.4671222601883493E-2</v>
      </c>
      <c r="G58" s="26">
        <v>76923</v>
      </c>
      <c r="H58" s="27">
        <v>55066</v>
      </c>
      <c r="I58" s="5">
        <f>(H58-'2011'!G35)/'2011'!G35</f>
        <v>-0.17455891831931766</v>
      </c>
      <c r="J58" s="5">
        <f>(H58-'2012'!H89)/'2012'!H89</f>
        <v>-0.17125442094965762</v>
      </c>
      <c r="K58" s="26">
        <v>55340</v>
      </c>
      <c r="L58" s="27">
        <v>32425</v>
      </c>
      <c r="M58" s="5">
        <f>(L58-'2011'!J35)/'2011'!J35</f>
        <v>4.213537314392235E-2</v>
      </c>
      <c r="N58" s="5">
        <f>(L58-'2012'!L89)/'2012'!L89</f>
        <v>1.7510277089151788E-2</v>
      </c>
      <c r="O58" s="26">
        <v>32723</v>
      </c>
      <c r="R58">
        <v>68776</v>
      </c>
    </row>
    <row r="59" spans="1:18" ht="15.75" thickBot="1" x14ac:dyDescent="0.3">
      <c r="A59" s="1" t="s">
        <v>14</v>
      </c>
      <c r="B59" s="1" t="s">
        <v>15</v>
      </c>
      <c r="C59" s="32" t="s">
        <v>11</v>
      </c>
      <c r="D59" s="28">
        <v>75245</v>
      </c>
      <c r="E59" s="5">
        <f>(D59-'2011'!D36)/'2011'!D36</f>
        <v>3.3116856370052038E-2</v>
      </c>
      <c r="F59" s="5">
        <f>(D59-'2012'!D90)/'2012'!D90</f>
        <v>6.5476274762464426E-2</v>
      </c>
      <c r="G59" s="30">
        <v>76336</v>
      </c>
      <c r="H59" s="28">
        <v>53850</v>
      </c>
      <c r="I59" s="5">
        <f>(H59-'2011'!G36)/'2011'!G36</f>
        <v>-0.21324840019869679</v>
      </c>
      <c r="J59" s="5">
        <f>(H59-'2012'!H90)/'2012'!H90</f>
        <v>-0.17986597624124276</v>
      </c>
      <c r="K59" s="31">
        <v>54142</v>
      </c>
      <c r="L59" s="30">
        <v>32787</v>
      </c>
      <c r="M59" s="5">
        <f>(L59-'2011'!J36)/'2011'!J36</f>
        <v>7.8694168639144198E-3</v>
      </c>
      <c r="N59" s="5">
        <f>(L59-'2012'!L90)/'2012'!L90</f>
        <v>7.8694168639144198E-3</v>
      </c>
      <c r="O59" s="30">
        <v>33445</v>
      </c>
    </row>
    <row r="60" spans="1:18" x14ac:dyDescent="0.25">
      <c r="A60" s="15" t="s">
        <v>104</v>
      </c>
      <c r="C60" s="21" t="s">
        <v>123</v>
      </c>
    </row>
    <row r="61" spans="1:18" x14ac:dyDescent="0.25">
      <c r="C61" t="s">
        <v>127</v>
      </c>
    </row>
    <row r="63" spans="1:18" ht="19.5" thickBot="1" x14ac:dyDescent="0.35">
      <c r="A63" s="76" t="s">
        <v>130</v>
      </c>
      <c r="B63" s="76"/>
      <c r="C63" s="76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</row>
    <row r="64" spans="1:18" ht="45" x14ac:dyDescent="0.25">
      <c r="A64" s="1" t="s">
        <v>2</v>
      </c>
      <c r="B64" s="1" t="s">
        <v>3</v>
      </c>
      <c r="C64" s="32" t="s">
        <v>4</v>
      </c>
      <c r="D64" s="22" t="s">
        <v>78</v>
      </c>
      <c r="E64" s="23" t="s">
        <v>83</v>
      </c>
      <c r="F64" s="23" t="s">
        <v>107</v>
      </c>
      <c r="G64" s="24" t="s">
        <v>85</v>
      </c>
      <c r="H64" s="22" t="s">
        <v>79</v>
      </c>
      <c r="I64" s="23" t="s">
        <v>83</v>
      </c>
      <c r="J64" s="23" t="s">
        <v>107</v>
      </c>
      <c r="K64" s="24" t="s">
        <v>82</v>
      </c>
      <c r="L64" s="22" t="s">
        <v>80</v>
      </c>
      <c r="M64" s="23" t="s">
        <v>83</v>
      </c>
      <c r="N64" s="23" t="s">
        <v>107</v>
      </c>
      <c r="O64" s="24" t="s">
        <v>81</v>
      </c>
    </row>
    <row r="65" spans="1:15" x14ac:dyDescent="0.25">
      <c r="A65" s="1" t="s">
        <v>5</v>
      </c>
      <c r="B65" s="1" t="s">
        <v>6</v>
      </c>
      <c r="C65" s="32" t="s">
        <v>7</v>
      </c>
      <c r="D65" s="33">
        <v>170358</v>
      </c>
      <c r="E65" s="5">
        <f>(D65-'2011'!D23)/'2011'!D23</f>
        <v>3.4103157634336402E-3</v>
      </c>
      <c r="F65" s="5">
        <f>(D65-'2012'!D78)/'2012'!D78</f>
        <v>4.9403097241557739E-2</v>
      </c>
      <c r="G65" s="26">
        <v>173611</v>
      </c>
      <c r="H65" s="27">
        <v>110619</v>
      </c>
      <c r="I65" s="5">
        <f>(H65-'2011'!G23)/'2011'!G23</f>
        <v>-1.6597621037284641E-2</v>
      </c>
      <c r="J65" s="5">
        <f>(H65-'2012'!H78)/'2012'!H78</f>
        <v>2.5436848203939745E-2</v>
      </c>
      <c r="K65" s="26">
        <v>112613</v>
      </c>
      <c r="L65" s="33">
        <v>39093</v>
      </c>
      <c r="M65" s="5">
        <f>(L65-'2011'!J23)/'2011'!J23</f>
        <v>4.1841004184100417E-2</v>
      </c>
      <c r="N65" s="5">
        <f>(L65-'2012'!L78)/'2012'!L78</f>
        <v>3.7527535231826746E-2</v>
      </c>
      <c r="O65" s="26">
        <v>39277</v>
      </c>
    </row>
    <row r="66" spans="1:15" x14ac:dyDescent="0.25">
      <c r="A66" s="1" t="s">
        <v>8</v>
      </c>
      <c r="B66" s="1" t="s">
        <v>9</v>
      </c>
      <c r="C66" s="32" t="s">
        <v>7</v>
      </c>
      <c r="D66" s="27">
        <v>167224</v>
      </c>
      <c r="E66" s="5">
        <f>(D66-'2011'!D24)/'2011'!D24</f>
        <v>0.15718744161263312</v>
      </c>
      <c r="F66" s="5">
        <f>(D66-'2012'!D79)/'2012'!D79</f>
        <v>0.12374168402661112</v>
      </c>
      <c r="G66" s="26">
        <v>170649</v>
      </c>
      <c r="H66" s="27">
        <v>104932</v>
      </c>
      <c r="I66" s="5">
        <f>(H66-'2011'!G24)/'2011'!G24</f>
        <v>1.3639876352395672E-2</v>
      </c>
      <c r="J66" s="5">
        <f>(H66-'2012'!H79)/'2012'!H79</f>
        <v>8.3952275192397091E-2</v>
      </c>
      <c r="K66" s="26">
        <v>105042</v>
      </c>
      <c r="L66" s="33">
        <v>36860</v>
      </c>
      <c r="M66" s="5">
        <f>(L66-'2011'!J24)/'2011'!J24</f>
        <v>1.91892938118675E-2</v>
      </c>
      <c r="N66" s="5">
        <f>(L66-'2012'!L79)/'2012'!L79</f>
        <v>6.7848658670838405E-2</v>
      </c>
      <c r="O66" s="34">
        <v>37216</v>
      </c>
    </row>
    <row r="67" spans="1:15" x14ac:dyDescent="0.25">
      <c r="A67" s="1" t="s">
        <v>10</v>
      </c>
      <c r="B67" s="1" t="s">
        <v>9</v>
      </c>
      <c r="C67" s="32" t="s">
        <v>11</v>
      </c>
      <c r="D67" s="27">
        <v>64516</v>
      </c>
      <c r="E67" s="5">
        <f>(D67-'2011'!D25)/'2011'!D25</f>
        <v>5.2257306889352817E-2</v>
      </c>
      <c r="F67" s="5">
        <f>(D67-'2012'!D80)/'2012'!D80</f>
        <v>6.9668733627350196E-2</v>
      </c>
      <c r="G67" s="26">
        <v>65062</v>
      </c>
      <c r="H67" s="27">
        <v>57405</v>
      </c>
      <c r="I67" s="5">
        <f>(H67-'2011'!G25)/'2011'!G25</f>
        <v>5.1662544655125035E-2</v>
      </c>
      <c r="J67" s="5">
        <f>(H67-'2012'!H80)/'2012'!H80</f>
        <v>8.609329702187472E-3</v>
      </c>
      <c r="K67" s="26">
        <v>58480</v>
      </c>
      <c r="L67" s="27">
        <v>28498</v>
      </c>
      <c r="M67" s="5">
        <f>(L67-'2011'!J25)/'2011'!J25</f>
        <v>4.8452963467127776E-2</v>
      </c>
      <c r="N67" s="5">
        <f>(L67-'2012'!L80)/'2012'!L80</f>
        <v>2.1067717663919742E-2</v>
      </c>
      <c r="O67" s="26">
        <v>28686</v>
      </c>
    </row>
    <row r="68" spans="1:15" x14ac:dyDescent="0.25">
      <c r="A68" s="1" t="s">
        <v>12</v>
      </c>
      <c r="B68" s="1" t="s">
        <v>13</v>
      </c>
      <c r="C68" s="32" t="s">
        <v>7</v>
      </c>
      <c r="D68" s="27">
        <v>124224</v>
      </c>
      <c r="E68" s="5">
        <f>(D68-'2011'!D26)/'2011'!D26</f>
        <v>-0.13291360127315624</v>
      </c>
      <c r="F68" s="5">
        <f>(D68-'2012'!D81)/'2012'!D81</f>
        <v>-6.3351077465956904E-2</v>
      </c>
      <c r="G68" s="26">
        <v>156495</v>
      </c>
      <c r="H68" s="27">
        <v>106496</v>
      </c>
      <c r="I68" s="5">
        <f>(H68-'2011'!G26)/'2011'!G26</f>
        <v>3.193383384986388E-3</v>
      </c>
      <c r="J68" s="5">
        <f>(H68-'2012'!H81)/'2012'!H81</f>
        <v>6.1764090088832616E-2</v>
      </c>
      <c r="K68" s="26">
        <v>108108</v>
      </c>
      <c r="L68" s="27">
        <v>37552</v>
      </c>
      <c r="M68" s="5">
        <f>(L68-'2011'!J26)/'2011'!J26</f>
        <v>5.3322487447757423E-2</v>
      </c>
      <c r="N68" s="5">
        <f>(L68-'2012'!L81)/'2012'!L81</f>
        <v>5.2584370445117164E-2</v>
      </c>
      <c r="O68" s="26">
        <v>37736</v>
      </c>
    </row>
    <row r="69" spans="1:15" ht="15.75" thickBot="1" x14ac:dyDescent="0.3">
      <c r="A69" s="1" t="s">
        <v>14</v>
      </c>
      <c r="B69" s="1" t="s">
        <v>15</v>
      </c>
      <c r="C69" s="32" t="s">
        <v>7</v>
      </c>
      <c r="D69" s="28">
        <v>135870</v>
      </c>
      <c r="E69" s="5">
        <f>(D69-'2011'!D27)/'2011'!D27</f>
        <v>-2.5812002581200259E-2</v>
      </c>
      <c r="F69" s="5">
        <f>(D69-'2012'!D82)/'2012'!D82</f>
        <v>2.853898561695685E-2</v>
      </c>
      <c r="G69" s="28">
        <v>136986</v>
      </c>
      <c r="H69" s="28">
        <v>82988</v>
      </c>
      <c r="I69" s="5">
        <f>(H69-'2011'!G27)/'2011'!G27</f>
        <v>-0.17177644710578843</v>
      </c>
      <c r="J69" s="5">
        <f>(H69-'2012'!H82)/'2012'!H82</f>
        <v>-0.15020070451380355</v>
      </c>
      <c r="K69" s="30">
        <v>104058</v>
      </c>
      <c r="L69" s="28">
        <v>37411</v>
      </c>
      <c r="M69" s="5">
        <f>(L69-'2011'!J27)/'2011'!J27</f>
        <v>0.12382468683348855</v>
      </c>
      <c r="N69" s="5">
        <f>(L69-'2012'!L82)/'2012'!L82</f>
        <v>7.5554150015812324E-2</v>
      </c>
      <c r="O69" s="30">
        <v>37580</v>
      </c>
    </row>
    <row r="70" spans="1:15" x14ac:dyDescent="0.25">
      <c r="A70" s="15" t="s">
        <v>104</v>
      </c>
      <c r="C70" s="21" t="s">
        <v>133</v>
      </c>
    </row>
    <row r="71" spans="1:15" ht="19.5" thickBot="1" x14ac:dyDescent="0.35">
      <c r="A71" s="76" t="s">
        <v>131</v>
      </c>
      <c r="B71" s="76"/>
      <c r="C71" s="76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</row>
    <row r="72" spans="1:15" ht="45" x14ac:dyDescent="0.25">
      <c r="A72" s="1" t="s">
        <v>2</v>
      </c>
      <c r="B72" s="1" t="s">
        <v>3</v>
      </c>
      <c r="C72" s="32" t="s">
        <v>4</v>
      </c>
      <c r="D72" s="22" t="s">
        <v>78</v>
      </c>
      <c r="E72" s="23" t="s">
        <v>83</v>
      </c>
      <c r="F72" s="23" t="s">
        <v>107</v>
      </c>
      <c r="G72" s="24" t="s">
        <v>85</v>
      </c>
      <c r="H72" s="22" t="s">
        <v>79</v>
      </c>
      <c r="I72" s="23" t="s">
        <v>83</v>
      </c>
      <c r="J72" s="23" t="s">
        <v>107</v>
      </c>
      <c r="K72" s="24" t="s">
        <v>82</v>
      </c>
      <c r="L72" s="22" t="s">
        <v>80</v>
      </c>
      <c r="M72" s="23" t="s">
        <v>83</v>
      </c>
      <c r="N72" s="23" t="s">
        <v>107</v>
      </c>
      <c r="O72" s="24" t="s">
        <v>81</v>
      </c>
    </row>
    <row r="73" spans="1:15" x14ac:dyDescent="0.25">
      <c r="A73" s="1" t="s">
        <v>5</v>
      </c>
      <c r="B73" s="1" t="s">
        <v>6</v>
      </c>
      <c r="C73" s="32" t="s">
        <v>7</v>
      </c>
      <c r="D73" s="33">
        <v>149254</v>
      </c>
      <c r="E73" s="5">
        <f>(D73-'2011'!D32)/'2011'!D32</f>
        <v>-3.1340251682534737E-2</v>
      </c>
      <c r="F73" s="5">
        <f>(D73-'2012'!D86)/'2012'!D86</f>
        <v>2.5377851057982962E-2</v>
      </c>
      <c r="G73" s="26">
        <v>154321</v>
      </c>
      <c r="H73" s="27">
        <v>102459</v>
      </c>
      <c r="I73" s="5">
        <f>(H73-'2011'!G32)/'2011'!G32</f>
        <v>4.0963926264932721E-3</v>
      </c>
      <c r="J73" s="5">
        <f>(H73-'2012'!H86)/'2012'!H86</f>
        <v>-3.0746776939917296E-3</v>
      </c>
      <c r="K73" s="26">
        <v>104058</v>
      </c>
      <c r="L73" s="25">
        <v>36860</v>
      </c>
      <c r="M73" s="5">
        <f>(L73-'2011'!J32)/'2011'!J32</f>
        <v>1.91892938118675E-2</v>
      </c>
      <c r="N73" s="5">
        <f>(L73-'2012'!L86)/'2012'!L86</f>
        <v>4.441779982014879E-3</v>
      </c>
      <c r="O73" s="26">
        <v>37051</v>
      </c>
    </row>
    <row r="74" spans="1:15" x14ac:dyDescent="0.25">
      <c r="A74" s="1" t="s">
        <v>8</v>
      </c>
      <c r="B74" s="1" t="s">
        <v>9</v>
      </c>
      <c r="C74" s="32" t="s">
        <v>7</v>
      </c>
      <c r="D74" s="27">
        <v>144928</v>
      </c>
      <c r="E74" s="5">
        <f>(D74-'2011'!D33)/'2011'!D33</f>
        <v>-2.6086956521739129E-2</v>
      </c>
      <c r="F74" s="5">
        <f>(D74-'2012'!D87)/'2012'!D87</f>
        <v>3.4786085565773693E-2</v>
      </c>
      <c r="G74" s="26">
        <v>146843</v>
      </c>
      <c r="H74" s="27">
        <v>96154</v>
      </c>
      <c r="I74" s="5">
        <f>(H74-'2011'!G33)/'2011'!G33</f>
        <v>2.2121118705686008E-2</v>
      </c>
      <c r="J74" s="5">
        <f>(H74-'2012'!H87)/'2012'!H87</f>
        <v>4.5197617287708158E-2</v>
      </c>
      <c r="K74" s="26">
        <v>97087</v>
      </c>
      <c r="L74" s="27">
        <v>34831</v>
      </c>
      <c r="M74" s="5">
        <f>(L74-'2011'!J33)/'2011'!J33</f>
        <v>9.0677327771018015E-3</v>
      </c>
      <c r="N74" s="5">
        <f>(L74-'2012'!L87)/'2012'!L87</f>
        <v>3.0289584997189933E-2</v>
      </c>
      <c r="O74" s="26">
        <v>35174</v>
      </c>
    </row>
    <row r="75" spans="1:15" x14ac:dyDescent="0.25">
      <c r="A75" s="1" t="s">
        <v>10</v>
      </c>
      <c r="B75" s="1" t="s">
        <v>9</v>
      </c>
      <c r="C75" s="32" t="s">
        <v>11</v>
      </c>
      <c r="D75" s="27">
        <v>83472</v>
      </c>
      <c r="E75" s="5">
        <f>(D75-'2011'!D34)/'2011'!D34</f>
        <v>-2.5884000466798927E-2</v>
      </c>
      <c r="F75" s="5">
        <f>(D75-'2012'!D88)/'2012'!D88</f>
        <v>5.0086688499325757E-3</v>
      </c>
      <c r="G75" s="26">
        <v>86580</v>
      </c>
      <c r="H75" s="27">
        <v>73153</v>
      </c>
      <c r="I75" s="5">
        <f>(H75-'2011'!G34)/'2011'!G34</f>
        <v>8.047513401039012E-3</v>
      </c>
      <c r="J75" s="5">
        <f>(H75-'2012'!H88)/'2012'!H88</f>
        <v>8.9250882234696766E-2</v>
      </c>
      <c r="K75" s="26">
        <v>73529</v>
      </c>
      <c r="L75" s="27">
        <v>33124</v>
      </c>
      <c r="M75" s="5">
        <f>(L75-'2011'!J34)/'2011'!J34</f>
        <v>4.5712842530622556E-2</v>
      </c>
      <c r="N75" s="5">
        <f>(L75-'2012'!L88)/'2012'!L88</f>
        <v>4.1405979815763827E-2</v>
      </c>
      <c r="O75" s="26">
        <v>33167</v>
      </c>
    </row>
    <row r="76" spans="1:15" x14ac:dyDescent="0.25">
      <c r="A76" s="1" t="s">
        <v>12</v>
      </c>
      <c r="B76" s="1" t="s">
        <v>13</v>
      </c>
      <c r="C76" s="32" t="s">
        <v>11</v>
      </c>
      <c r="D76" s="27">
        <v>75643</v>
      </c>
      <c r="E76" s="5">
        <f>(D76-'2011'!D35)/'2011'!D35</f>
        <v>2.3447436070897037E-2</v>
      </c>
      <c r="F76" s="5">
        <f>(D76-'2012'!D89)/'2012'!D89</f>
        <v>5.0684779287162821E-2</v>
      </c>
      <c r="G76" s="26">
        <v>75988</v>
      </c>
      <c r="H76" s="27">
        <v>69396</v>
      </c>
      <c r="I76" s="5">
        <f>(H76-'2011'!G35)/'2011'!G35</f>
        <v>4.0248234923775689E-2</v>
      </c>
      <c r="J76" s="5">
        <f>(H76-'2012'!H89)/'2012'!H89</f>
        <v>4.4412672134848369E-2</v>
      </c>
      <c r="K76" s="26">
        <v>69784</v>
      </c>
      <c r="L76" s="27">
        <v>32310</v>
      </c>
      <c r="M76" s="5">
        <f>(L76-'2011'!J35)/'2011'!J35</f>
        <v>3.8439287780420391E-2</v>
      </c>
      <c r="N76" s="5">
        <f>(L76-'2012'!L89)/'2012'!L89</f>
        <v>1.3901528226692189E-2</v>
      </c>
      <c r="O76" s="26">
        <v>32425</v>
      </c>
    </row>
    <row r="77" spans="1:15" ht="15.75" thickBot="1" x14ac:dyDescent="0.3">
      <c r="A77" s="1" t="s">
        <v>14</v>
      </c>
      <c r="B77" s="1" t="s">
        <v>15</v>
      </c>
      <c r="C77" s="32" t="s">
        <v>11</v>
      </c>
      <c r="D77" s="28">
        <v>72516</v>
      </c>
      <c r="E77" s="5">
        <f>(D77-'2011'!D36)/'2011'!D36</f>
        <v>-4.352422665549957E-3</v>
      </c>
      <c r="F77" s="5">
        <f>(D77-'2012'!D90)/'2012'!D90</f>
        <v>2.6833378173631073E-2</v>
      </c>
      <c r="G77" s="28">
        <v>74516</v>
      </c>
      <c r="H77" s="28">
        <v>67476</v>
      </c>
      <c r="I77" s="5">
        <f>(H77-'2011'!G36)/'2011'!G36</f>
        <v>-1.4171755836717996E-2</v>
      </c>
      <c r="J77" s="5">
        <f>(H77-'2012'!H90)/'2012'!H90</f>
        <v>2.7657630216265612E-2</v>
      </c>
      <c r="K77" s="31">
        <v>69061</v>
      </c>
      <c r="L77" s="30">
        <v>32584</v>
      </c>
      <c r="M77" s="5">
        <f>(L77-'2011'!J36)/'2011'!J36</f>
        <v>1.6292152101072823E-3</v>
      </c>
      <c r="N77" s="5">
        <f>(L77-'2012'!L90)/'2012'!L90</f>
        <v>1.6292152101072823E-3</v>
      </c>
      <c r="O77" s="30">
        <v>32701</v>
      </c>
    </row>
    <row r="78" spans="1:15" x14ac:dyDescent="0.25">
      <c r="A78" s="15" t="s">
        <v>104</v>
      </c>
      <c r="C78" s="21" t="s">
        <v>132</v>
      </c>
    </row>
    <row r="80" spans="1:15" ht="19.5" thickBot="1" x14ac:dyDescent="0.35">
      <c r="A80" s="76" t="s">
        <v>135</v>
      </c>
      <c r="B80" s="76"/>
      <c r="C80" s="76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</row>
    <row r="81" spans="1:15" ht="45" x14ac:dyDescent="0.25">
      <c r="A81" s="1" t="s">
        <v>2</v>
      </c>
      <c r="B81" s="1" t="s">
        <v>3</v>
      </c>
      <c r="C81" s="32" t="s">
        <v>4</v>
      </c>
      <c r="D81" s="22" t="s">
        <v>78</v>
      </c>
      <c r="E81" s="23" t="s">
        <v>107</v>
      </c>
      <c r="F81" s="23" t="s">
        <v>134</v>
      </c>
      <c r="G81" s="24" t="s">
        <v>85</v>
      </c>
      <c r="H81" s="22" t="s">
        <v>79</v>
      </c>
      <c r="I81" s="23" t="s">
        <v>107</v>
      </c>
      <c r="J81" s="23" t="s">
        <v>134</v>
      </c>
      <c r="K81" s="24" t="s">
        <v>82</v>
      </c>
      <c r="L81" s="22" t="s">
        <v>80</v>
      </c>
      <c r="M81" s="23" t="s">
        <v>107</v>
      </c>
      <c r="N81" s="23" t="s">
        <v>134</v>
      </c>
      <c r="O81" s="24" t="s">
        <v>81</v>
      </c>
    </row>
    <row r="82" spans="1:15" x14ac:dyDescent="0.25">
      <c r="A82" s="1" t="s">
        <v>5</v>
      </c>
      <c r="B82" s="1" t="s">
        <v>6</v>
      </c>
      <c r="C82" s="32" t="s">
        <v>7</v>
      </c>
      <c r="D82" s="33">
        <v>166667</v>
      </c>
      <c r="E82" s="5">
        <f>(D82-'2012'!D78)/'2012'!D78</f>
        <v>2.6666584533504172E-2</v>
      </c>
      <c r="F82" s="5">
        <f>(D82-D65)/D65</f>
        <v>-2.1666138367437984E-2</v>
      </c>
      <c r="G82" s="26">
        <v>172414</v>
      </c>
      <c r="H82" s="27">
        <v>110988</v>
      </c>
      <c r="I82" s="5">
        <f>(H82-'2012'!H78)/'2012'!H78</f>
        <v>2.8857473928157591E-2</v>
      </c>
      <c r="J82" s="5">
        <f>(H82-H65)/H65</f>
        <v>3.3357741436823691E-3</v>
      </c>
      <c r="K82" s="26">
        <v>112108</v>
      </c>
      <c r="L82" s="33">
        <v>38373</v>
      </c>
      <c r="M82" s="5">
        <f>(L82-'2012'!L78)/'2012'!L78</f>
        <v>1.8418747843626425E-2</v>
      </c>
      <c r="N82" s="5">
        <f>(L82-L65)/L65</f>
        <v>-1.8417619522676693E-2</v>
      </c>
      <c r="O82" s="26">
        <v>38745</v>
      </c>
    </row>
    <row r="83" spans="1:15" x14ac:dyDescent="0.25">
      <c r="A83" s="1" t="s">
        <v>8</v>
      </c>
      <c r="B83" s="1" t="s">
        <v>9</v>
      </c>
      <c r="C83" s="32" t="s">
        <v>7</v>
      </c>
      <c r="D83" s="27">
        <v>167224</v>
      </c>
      <c r="E83" s="5">
        <f>(D83-'2012'!D79)/'2012'!D79</f>
        <v>0.12374168402661112</v>
      </c>
      <c r="F83" s="5">
        <f>(D83-D66)/D66</f>
        <v>0</v>
      </c>
      <c r="G83" s="26">
        <v>167504</v>
      </c>
      <c r="H83" s="27">
        <v>101215</v>
      </c>
      <c r="I83" s="5">
        <f>(H83-'2012'!H79)/'2012'!H79</f>
        <v>4.5555498166417026E-2</v>
      </c>
      <c r="J83" s="5">
        <f>(H83-H66)/H66</f>
        <v>-3.5422940571036482E-2</v>
      </c>
      <c r="K83" s="26">
        <v>104932</v>
      </c>
      <c r="L83" s="33">
        <v>36350</v>
      </c>
      <c r="M83" s="5">
        <f>(L83-'2012'!L79)/'2012'!L79</f>
        <v>5.3073758618691694E-2</v>
      </c>
      <c r="N83" s="5">
        <f>(L83-L66)/L66</f>
        <v>-1.3836136733586543E-2</v>
      </c>
      <c r="O83" s="34">
        <v>36873</v>
      </c>
    </row>
    <row r="84" spans="1:15" x14ac:dyDescent="0.25">
      <c r="A84" s="1" t="s">
        <v>10</v>
      </c>
      <c r="B84" s="1" t="s">
        <v>9</v>
      </c>
      <c r="C84" s="32" t="s">
        <v>11</v>
      </c>
      <c r="D84" s="27">
        <v>65020</v>
      </c>
      <c r="E84" s="5">
        <f>(D84-'2012'!D80)/'2012'!D80</f>
        <v>7.8025002486984782E-2</v>
      </c>
      <c r="F84" s="5">
        <f>(D84-D67)/D67</f>
        <v>7.812015624031248E-3</v>
      </c>
      <c r="G84" s="26">
        <v>65531</v>
      </c>
      <c r="H84" s="27">
        <v>57208</v>
      </c>
      <c r="I84" s="5">
        <f>(H84-'2012'!H80)/'2012'!H80</f>
        <v>5.1480277606957741E-3</v>
      </c>
      <c r="J84" s="5">
        <f>(H84-H67)/H67</f>
        <v>-3.4317568156083966E-3</v>
      </c>
      <c r="K84" s="26">
        <v>59032</v>
      </c>
      <c r="L84" s="27">
        <v>28686</v>
      </c>
      <c r="M84" s="5">
        <f>(L84-'2012'!L80)/'2012'!L80</f>
        <v>2.7803654604084557E-2</v>
      </c>
      <c r="N84" s="5">
        <f>(L84-L67)/L67</f>
        <v>6.5969541722226124E-3</v>
      </c>
      <c r="O84" s="26">
        <v>28827</v>
      </c>
    </row>
    <row r="85" spans="1:15" x14ac:dyDescent="0.25">
      <c r="A85" s="1" t="s">
        <v>12</v>
      </c>
      <c r="B85" s="1" t="s">
        <v>13</v>
      </c>
      <c r="C85" s="32" t="s">
        <v>7</v>
      </c>
      <c r="D85" s="27">
        <v>144718</v>
      </c>
      <c r="E85" s="5">
        <f>(D85-'2012'!D81)/'2012'!D81</f>
        <v>9.1173676353052943E-2</v>
      </c>
      <c r="F85" s="5">
        <f>(D85-D68)/D68</f>
        <v>0.16497617207624934</v>
      </c>
      <c r="G85" s="26">
        <v>164474</v>
      </c>
      <c r="H85" s="27">
        <v>96805</v>
      </c>
      <c r="I85" s="5">
        <f>(H85-'2012'!H81)/'2012'!H81</f>
        <v>-3.4855086190566396E-2</v>
      </c>
      <c r="J85" s="5">
        <f>(H85-H68)/H68</f>
        <v>-9.0998722956730768E-2</v>
      </c>
      <c r="K85" s="26">
        <v>106045</v>
      </c>
      <c r="L85" s="27">
        <v>36711</v>
      </c>
      <c r="M85" s="5">
        <f>(L85-'2012'!L81)/'2012'!L81</f>
        <v>2.9011099899091827E-2</v>
      </c>
      <c r="N85" s="5">
        <f>(L85-L68)/L68</f>
        <v>-2.2395611418832551E-2</v>
      </c>
      <c r="O85" s="26">
        <v>37397</v>
      </c>
    </row>
    <row r="86" spans="1:15" ht="15.75" thickBot="1" x14ac:dyDescent="0.3">
      <c r="A86" s="1" t="s">
        <v>14</v>
      </c>
      <c r="B86" s="1" t="s">
        <v>15</v>
      </c>
      <c r="C86" s="32" t="s">
        <v>7</v>
      </c>
      <c r="D86" s="28">
        <v>132100</v>
      </c>
      <c r="E86" s="5">
        <f>(D86-'2012'!D82)/'2012'!D82</f>
        <v>0</v>
      </c>
      <c r="F86" s="5">
        <f>(D86-D69)/D69</f>
        <v>-2.774711120924413E-2</v>
      </c>
      <c r="G86" s="28">
        <v>141243</v>
      </c>
      <c r="H86" s="28">
        <v>104058</v>
      </c>
      <c r="I86" s="5">
        <f>(H86-'2012'!H82)/'2012'!H82</f>
        <v>6.5556647825018438E-2</v>
      </c>
      <c r="J86" s="5">
        <f>(H86-H69)/H69</f>
        <v>0.25389212898250352</v>
      </c>
      <c r="K86" s="30">
        <v>105820</v>
      </c>
      <c r="L86" s="28">
        <v>36576</v>
      </c>
      <c r="M86" s="5">
        <f>(L86-'2012'!L82)/'2012'!L82</f>
        <v>5.1548170083086563E-2</v>
      </c>
      <c r="N86" s="5">
        <f>(L86-L69)/L69</f>
        <v>-2.2319638608965277E-2</v>
      </c>
      <c r="O86" s="30">
        <v>37258</v>
      </c>
    </row>
    <row r="87" spans="1:15" x14ac:dyDescent="0.25">
      <c r="A87" s="15" t="s">
        <v>104</v>
      </c>
      <c r="C87" s="21" t="s">
        <v>137</v>
      </c>
    </row>
    <row r="88" spans="1:15" ht="19.5" thickBot="1" x14ac:dyDescent="0.35">
      <c r="A88" s="76" t="s">
        <v>136</v>
      </c>
      <c r="B88" s="76"/>
      <c r="C88" s="76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</row>
    <row r="89" spans="1:15" ht="45" x14ac:dyDescent="0.25">
      <c r="A89" s="1" t="s">
        <v>2</v>
      </c>
      <c r="B89" s="1" t="s">
        <v>3</v>
      </c>
      <c r="C89" s="32" t="s">
        <v>4</v>
      </c>
      <c r="D89" s="22" t="s">
        <v>78</v>
      </c>
      <c r="E89" s="23" t="s">
        <v>107</v>
      </c>
      <c r="F89" s="23" t="s">
        <v>134</v>
      </c>
      <c r="G89" s="24" t="s">
        <v>85</v>
      </c>
      <c r="H89" s="22" t="s">
        <v>79</v>
      </c>
      <c r="I89" s="23" t="s">
        <v>107</v>
      </c>
      <c r="J89" s="23" t="s">
        <v>134</v>
      </c>
      <c r="K89" s="24" t="s">
        <v>82</v>
      </c>
      <c r="L89" s="22" t="s">
        <v>80</v>
      </c>
      <c r="M89" s="23" t="s">
        <v>107</v>
      </c>
      <c r="N89" s="23" t="s">
        <v>134</v>
      </c>
      <c r="O89" s="24" t="s">
        <v>81</v>
      </c>
    </row>
    <row r="90" spans="1:15" x14ac:dyDescent="0.25">
      <c r="A90" s="1" t="s">
        <v>5</v>
      </c>
      <c r="B90" s="1" t="s">
        <v>6</v>
      </c>
      <c r="C90" s="32" t="s">
        <v>7</v>
      </c>
      <c r="D90" s="33">
        <v>148368</v>
      </c>
      <c r="E90" s="5">
        <f>(D90-'2012'!D86)/'2012'!D86</f>
        <v>1.9291014014839243E-2</v>
      </c>
      <c r="F90" s="5">
        <f>(D90-D73)/D73</f>
        <v>-5.936189314859233E-3</v>
      </c>
      <c r="G90" s="26">
        <v>149254</v>
      </c>
      <c r="H90" s="27">
        <v>102354</v>
      </c>
      <c r="I90" s="5">
        <f>(H90-'2012'!H86)/'2012'!H86</f>
        <v>-4.0963269277548044E-3</v>
      </c>
      <c r="J90" s="5">
        <f>(H90-H73)/H73</f>
        <v>-1.0248001639680262E-3</v>
      </c>
      <c r="K90" s="26">
        <v>103306</v>
      </c>
      <c r="L90" s="25">
        <v>37397</v>
      </c>
      <c r="M90" s="5">
        <f>(L90-'2012'!L86)/'2012'!L86</f>
        <v>1.9075128757119111E-2</v>
      </c>
      <c r="N90" s="5">
        <f>(L90-L73)/L73</f>
        <v>1.4568638090070538E-2</v>
      </c>
      <c r="O90" s="26">
        <v>37397</v>
      </c>
    </row>
    <row r="91" spans="1:15" x14ac:dyDescent="0.25">
      <c r="A91" s="1" t="s">
        <v>8</v>
      </c>
      <c r="B91" s="1" t="s">
        <v>9</v>
      </c>
      <c r="C91" s="32" t="s">
        <v>7</v>
      </c>
      <c r="D91" s="27">
        <v>146199</v>
      </c>
      <c r="E91" s="5">
        <f>(D91-'2012'!D87)/'2012'!D87</f>
        <v>4.3861027017764322E-2</v>
      </c>
      <c r="F91" s="5">
        <f>(D91-D74)/D74</f>
        <v>8.7698719364098041E-3</v>
      </c>
      <c r="G91" s="26">
        <v>148148</v>
      </c>
      <c r="H91" s="27">
        <v>94607</v>
      </c>
      <c r="I91" s="5">
        <f>(H91-'2012'!H87)/'2012'!H87</f>
        <v>2.8381668768207313E-2</v>
      </c>
      <c r="J91" s="5">
        <f>(H91-H74)/H74</f>
        <v>-1.6088774257961187E-2</v>
      </c>
      <c r="K91" s="26">
        <v>95420</v>
      </c>
      <c r="L91" s="27">
        <v>34941</v>
      </c>
      <c r="M91" s="5">
        <f>(L91-'2012'!L87)/'2012'!L87</f>
        <v>3.3543349010559942E-2</v>
      </c>
      <c r="N91" s="5">
        <f>(L91-L74)/L74</f>
        <v>3.1581062846315062E-3</v>
      </c>
      <c r="O91" s="26">
        <v>35174</v>
      </c>
    </row>
    <row r="92" spans="1:15" x14ac:dyDescent="0.25">
      <c r="A92" s="1" t="s">
        <v>10</v>
      </c>
      <c r="B92" s="1" t="s">
        <v>9</v>
      </c>
      <c r="C92" s="32" t="s">
        <v>11</v>
      </c>
      <c r="D92" s="27">
        <v>85616</v>
      </c>
      <c r="E92" s="5">
        <f>(D92-'2012'!D88)/'2012'!D88</f>
        <v>3.0822577538046618E-2</v>
      </c>
      <c r="F92" s="5">
        <f>(D92-D75)/D75</f>
        <v>2.568525972781292E-2</v>
      </c>
      <c r="G92" s="26">
        <v>88339</v>
      </c>
      <c r="H92" s="27">
        <v>71378</v>
      </c>
      <c r="I92" s="5">
        <f>(H92-'2012'!H88)/'2012'!H88</f>
        <v>6.2821066424455396E-2</v>
      </c>
      <c r="J92" s="5">
        <f>(H92-H75)/H75</f>
        <v>-2.4264213361037824E-2</v>
      </c>
      <c r="K92" s="26">
        <v>73855</v>
      </c>
      <c r="L92" s="27">
        <v>32884</v>
      </c>
      <c r="M92" s="5">
        <f>(L92-'2012'!L88)/'2012'!L88</f>
        <v>3.3860470965510737E-2</v>
      </c>
      <c r="N92" s="5">
        <f>(L92-L75)/L75</f>
        <v>-7.2455017509962562E-3</v>
      </c>
      <c r="O92" s="26">
        <v>33289</v>
      </c>
    </row>
    <row r="93" spans="1:15" x14ac:dyDescent="0.25">
      <c r="A93" s="1" t="s">
        <v>12</v>
      </c>
      <c r="B93" s="1" t="s">
        <v>13</v>
      </c>
      <c r="C93" s="32" t="s">
        <v>11</v>
      </c>
      <c r="D93" s="27">
        <v>76278</v>
      </c>
      <c r="E93" s="5">
        <f>(D93-'2012'!D89)/'2012'!D89</f>
        <v>5.9504958746562212E-2</v>
      </c>
      <c r="F93" s="5">
        <f>(D93-D76)/D76</f>
        <v>8.3946961384397771E-3</v>
      </c>
      <c r="G93" s="26">
        <v>77761</v>
      </c>
      <c r="H93" s="27">
        <v>69784</v>
      </c>
      <c r="I93" s="5">
        <f>(H93-'2012'!H89)/'2012'!H89</f>
        <v>5.0252088193242533E-2</v>
      </c>
      <c r="J93" s="5">
        <f>(H93-H76)/H76</f>
        <v>5.5911003516052795E-3</v>
      </c>
      <c r="K93" s="26">
        <v>70274</v>
      </c>
      <c r="L93" s="27">
        <v>32425</v>
      </c>
      <c r="M93" s="5">
        <f>(L93-'2012'!L89)/'2012'!L89</f>
        <v>1.7510277089151788E-2</v>
      </c>
      <c r="N93" s="5">
        <f>(L93-L76)/L76</f>
        <v>3.5592695759826677E-3</v>
      </c>
      <c r="O93" s="26">
        <v>32584</v>
      </c>
    </row>
    <row r="94" spans="1:15" ht="15.75" thickBot="1" x14ac:dyDescent="0.3">
      <c r="A94" s="1" t="s">
        <v>14</v>
      </c>
      <c r="B94" s="1" t="s">
        <v>15</v>
      </c>
      <c r="C94" s="32" t="s">
        <v>11</v>
      </c>
      <c r="D94" s="28">
        <v>75245</v>
      </c>
      <c r="E94" s="5">
        <f>(D94-'2012'!D90)/'2012'!D90</f>
        <v>6.5476274762464426E-2</v>
      </c>
      <c r="F94" s="5">
        <f>(D94-D77)/D77</f>
        <v>3.7633074080202993E-2</v>
      </c>
      <c r="G94" s="28">
        <v>75529</v>
      </c>
      <c r="H94" s="28">
        <v>68074</v>
      </c>
      <c r="I94" s="5">
        <f>(H94-'2012'!H90)/'2012'!H90</f>
        <v>3.6765153822723121E-2</v>
      </c>
      <c r="J94" s="5">
        <f>(H94-H77)/H77</f>
        <v>8.8624103384907227E-3</v>
      </c>
      <c r="K94" s="31">
        <v>70077</v>
      </c>
      <c r="L94" s="30">
        <v>32584</v>
      </c>
      <c r="M94" s="5">
        <f>(L94-'2012'!L90)/'2012'!L90</f>
        <v>1.6292152101072823E-3</v>
      </c>
      <c r="N94" s="5">
        <f>(L94-L77)/L77</f>
        <v>0</v>
      </c>
      <c r="O94" s="30">
        <v>33025</v>
      </c>
    </row>
    <row r="95" spans="1:15" x14ac:dyDescent="0.25">
      <c r="A95" s="15" t="s">
        <v>104</v>
      </c>
      <c r="C95" s="21" t="s">
        <v>138</v>
      </c>
    </row>
  </sheetData>
  <mergeCells count="10">
    <mergeCell ref="A1:O1"/>
    <mergeCell ref="A10:O10"/>
    <mergeCell ref="A26:O26"/>
    <mergeCell ref="A35:O35"/>
    <mergeCell ref="A45:O45"/>
    <mergeCell ref="A80:O80"/>
    <mergeCell ref="A88:O88"/>
    <mergeCell ref="A63:O63"/>
    <mergeCell ref="A71:O71"/>
    <mergeCell ref="A53:O53"/>
  </mergeCells>
  <conditionalFormatting sqref="E3:F7 I3:J7 M3:N7">
    <cfRule type="colorScale" priority="2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2:F16 I12:J16 M12:N16">
    <cfRule type="colorScale" priority="23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8:F32 I28:J32 M28:N32">
    <cfRule type="colorScale" priority="2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37:F41 I37:J41 M37:N41">
    <cfRule type="colorScale" priority="21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I28">
    <cfRule type="colorScale" priority="20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I29:I32">
    <cfRule type="colorScale" priority="19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47:F51 I47:J51 M47:N51">
    <cfRule type="colorScale" priority="18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55:F59 I55:J59 M55:N59">
    <cfRule type="colorScale" priority="17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I47">
    <cfRule type="colorScale" priority="16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I48:I51">
    <cfRule type="colorScale" priority="1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65:F69 I65:J69 M65:N69">
    <cfRule type="colorScale" priority="1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73:F77 I73:J77 M73:N77">
    <cfRule type="colorScale" priority="11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I65">
    <cfRule type="colorScale" priority="10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I66:I69">
    <cfRule type="colorScale" priority="9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I66:I69">
    <cfRule type="colorScale" priority="8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I66:I69">
    <cfRule type="colorScale" priority="7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82:F86 I82:J86 M82:N86">
    <cfRule type="colorScale" priority="6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90:F94 I90:J94 M90:N94">
    <cfRule type="colorScale" priority="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I82">
    <cfRule type="colorScale" priority="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I83:I86">
    <cfRule type="colorScale" priority="3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I83:I86">
    <cfRule type="colorScale" priority="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I83:I86">
    <cfRule type="colorScale" priority="1">
      <colorScale>
        <cfvo type="min"/>
        <cfvo type="num" val="0"/>
        <cfvo type="max"/>
        <color rgb="FFF8696B"/>
        <color theme="0"/>
        <color rgb="FF63BE7B"/>
      </colorScale>
    </cfRule>
  </conditionalFormatting>
  <hyperlinks>
    <hyperlink ref="C8" r:id="rId1" xr:uid="{00000000-0004-0000-0600-000000000000}"/>
    <hyperlink ref="C17" r:id="rId2" xr:uid="{00000000-0004-0000-0600-000001000000}"/>
    <hyperlink ref="C33" r:id="rId3" xr:uid="{00000000-0004-0000-0600-000002000000}"/>
    <hyperlink ref="C42" r:id="rId4" xr:uid="{00000000-0004-0000-0600-000003000000}"/>
    <hyperlink ref="C60" r:id="rId5" xr:uid="{00000000-0004-0000-0600-000004000000}"/>
    <hyperlink ref="C78" r:id="rId6" xr:uid="{00000000-0004-0000-0600-000005000000}"/>
    <hyperlink ref="C70" r:id="rId7" xr:uid="{00000000-0004-0000-0600-000006000000}"/>
    <hyperlink ref="C95" r:id="rId8" xr:uid="{00000000-0004-0000-0600-000007000000}"/>
    <hyperlink ref="C87" r:id="rId9" xr:uid="{00000000-0004-0000-0600-000008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80"/>
  <sheetViews>
    <sheetView topLeftCell="A19" workbookViewId="0">
      <selection activeCell="D75" sqref="D75"/>
    </sheetView>
  </sheetViews>
  <sheetFormatPr defaultRowHeight="15" x14ac:dyDescent="0.25"/>
  <cols>
    <col min="2" max="2" width="14.85546875" customWidth="1"/>
    <col min="3" max="3" width="9.85546875" customWidth="1"/>
    <col min="6" max="6" width="9.140625" customWidth="1"/>
  </cols>
  <sheetData>
    <row r="1" spans="1:15" ht="19.5" thickBot="1" x14ac:dyDescent="0.35">
      <c r="A1" s="76" t="s">
        <v>141</v>
      </c>
      <c r="B1" s="76"/>
      <c r="C1" s="76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</row>
    <row r="2" spans="1:15" ht="45" x14ac:dyDescent="0.25">
      <c r="A2" s="1" t="s">
        <v>2</v>
      </c>
      <c r="B2" s="1" t="s">
        <v>3</v>
      </c>
      <c r="C2" s="32" t="s">
        <v>4</v>
      </c>
      <c r="D2" s="22" t="s">
        <v>78</v>
      </c>
      <c r="E2" s="23" t="s">
        <v>139</v>
      </c>
      <c r="F2" s="23" t="s">
        <v>107</v>
      </c>
      <c r="G2" s="24" t="s">
        <v>85</v>
      </c>
      <c r="H2" s="22" t="s">
        <v>79</v>
      </c>
      <c r="I2" s="23" t="s">
        <v>139</v>
      </c>
      <c r="J2" s="23" t="s">
        <v>107</v>
      </c>
      <c r="K2" s="24" t="s">
        <v>82</v>
      </c>
      <c r="L2" s="22" t="s">
        <v>80</v>
      </c>
      <c r="M2" s="23" t="s">
        <v>139</v>
      </c>
      <c r="N2" s="23" t="s">
        <v>107</v>
      </c>
      <c r="O2" s="24" t="s">
        <v>81</v>
      </c>
    </row>
    <row r="3" spans="1:15" x14ac:dyDescent="0.25">
      <c r="A3" s="1" t="s">
        <v>5</v>
      </c>
      <c r="B3" s="1" t="s">
        <v>6</v>
      </c>
      <c r="C3" s="32" t="s">
        <v>7</v>
      </c>
      <c r="D3" s="33">
        <v>165017</v>
      </c>
      <c r="E3" s="5">
        <f>(D3-'2013'!D82)/'2013'!D82</f>
        <v>-9.8999802000396004E-3</v>
      </c>
      <c r="F3" s="5">
        <f>(D3-'2012'!D78)/'2012'!D78</f>
        <v>1.6502605674580197E-2</v>
      </c>
      <c r="G3" s="26">
        <v>171821</v>
      </c>
      <c r="H3" s="27">
        <v>110619</v>
      </c>
      <c r="I3" s="5">
        <f>(H3-'2013'!H82)/'2013'!H82</f>
        <v>-3.3246837495945506E-3</v>
      </c>
      <c r="J3" s="5">
        <f>(H3-'2012'!H78)/'2012'!H78</f>
        <v>2.5436848203939745E-2</v>
      </c>
      <c r="K3" s="26">
        <v>112108</v>
      </c>
      <c r="L3" s="33">
        <v>38775</v>
      </c>
      <c r="M3" s="5">
        <f>(L3-'2013'!L82)/'2013'!L82</f>
        <v>1.0476116019075913E-2</v>
      </c>
      <c r="N3" s="5">
        <f>(L3-'2012'!L78)/'2012'!L78</f>
        <v>2.9087820802038269E-2</v>
      </c>
      <c r="O3" s="26">
        <v>38926</v>
      </c>
    </row>
    <row r="4" spans="1:15" x14ac:dyDescent="0.25">
      <c r="A4" s="1" t="s">
        <v>8</v>
      </c>
      <c r="B4" s="1" t="s">
        <v>9</v>
      </c>
      <c r="C4" s="32" t="s">
        <v>7</v>
      </c>
      <c r="D4" s="27">
        <v>165837</v>
      </c>
      <c r="E4" s="5">
        <f>(D4-'2013'!D83)/'2013'!D83</f>
        <v>-8.2942639812467103E-3</v>
      </c>
      <c r="F4" s="5">
        <f>(D4-'2012'!D79)/'2012'!D79</f>
        <v>0.11442107385256367</v>
      </c>
      <c r="G4" s="26">
        <v>167785</v>
      </c>
      <c r="H4" s="27">
        <v>104493</v>
      </c>
      <c r="I4" s="5">
        <f>(H4-'2013'!H83)/'2013'!H83</f>
        <v>3.2386503976683301E-2</v>
      </c>
      <c r="J4" s="5">
        <f>(H4-'2012'!H79)/'2012'!H79</f>
        <v>7.941738546562678E-2</v>
      </c>
      <c r="K4" s="26">
        <v>105042</v>
      </c>
      <c r="L4" s="33">
        <v>35855</v>
      </c>
      <c r="M4" s="5">
        <f>(L4-'2013'!L83)/'2013'!L83</f>
        <v>-1.3617606602475928E-2</v>
      </c>
      <c r="N4" s="5">
        <f>(L4-'2012'!L79)/'2012'!L79</f>
        <v>3.8733414450431658E-2</v>
      </c>
      <c r="O4" s="34">
        <v>37037</v>
      </c>
    </row>
    <row r="5" spans="1:15" x14ac:dyDescent="0.25">
      <c r="A5" s="1" t="s">
        <v>10</v>
      </c>
      <c r="B5" s="1" t="s">
        <v>9</v>
      </c>
      <c r="C5" s="32" t="s">
        <v>11</v>
      </c>
      <c r="D5" s="27">
        <v>65833</v>
      </c>
      <c r="E5" s="5">
        <f>(D5-'2013'!D84)/'2013'!D84</f>
        <v>1.2503844970778222E-2</v>
      </c>
      <c r="F5" s="5">
        <f>(D5-'2012'!D80)/'2012'!D80</f>
        <v>9.1504459992704845E-2</v>
      </c>
      <c r="G5" s="26">
        <v>66225</v>
      </c>
      <c r="H5" s="27">
        <v>58005</v>
      </c>
      <c r="I5" s="5">
        <f>(H5-'2013'!H84)/'2013'!H84</f>
        <v>1.3931617955530695E-2</v>
      </c>
      <c r="J5" s="5">
        <f>(H5-'2012'!H80)/'2012'!H80</f>
        <v>1.915136607221295E-2</v>
      </c>
      <c r="K5" s="26">
        <v>58480</v>
      </c>
      <c r="L5" s="27">
        <v>28777</v>
      </c>
      <c r="M5" s="5">
        <f>(L5-'2013'!L84)/'2013'!L84</f>
        <v>3.1722791605661299E-3</v>
      </c>
      <c r="N5" s="5">
        <f>(L5-'2012'!L80)/'2012'!L80</f>
        <v>3.1064134718738805E-2</v>
      </c>
      <c r="O5" s="26">
        <v>29163</v>
      </c>
    </row>
    <row r="6" spans="1:15" x14ac:dyDescent="0.25">
      <c r="A6" s="1" t="s">
        <v>12</v>
      </c>
      <c r="B6" s="1" t="s">
        <v>13</v>
      </c>
      <c r="C6" s="32" t="s">
        <v>7</v>
      </c>
      <c r="D6" s="27">
        <v>156006</v>
      </c>
      <c r="E6" s="5">
        <f>(D6-'2013'!D85)/'2013'!D85</f>
        <v>7.7999972360038139E-2</v>
      </c>
      <c r="F6" s="5">
        <f>(D6-'2012'!D81)/'2012'!D81</f>
        <v>0.1762851929485923</v>
      </c>
      <c r="G6" s="26">
        <v>161031</v>
      </c>
      <c r="H6" s="27">
        <v>104932</v>
      </c>
      <c r="I6" s="5">
        <f>(H6-'2013'!H85)/'2013'!H85</f>
        <v>8.3952275192397091E-2</v>
      </c>
      <c r="J6" s="5">
        <f>(H6-'2012'!H81)/'2012'!H81</f>
        <v>4.6171025214105543E-2</v>
      </c>
      <c r="K6" s="26">
        <v>108342</v>
      </c>
      <c r="L6" s="27">
        <v>37722</v>
      </c>
      <c r="M6" s="5">
        <f>(L6-'2013'!L85)/'2013'!L85</f>
        <v>2.7539429598757867E-2</v>
      </c>
      <c r="N6" s="5">
        <f>(L6-'2012'!L81)/'2012'!L81</f>
        <v>5.7349478641103263E-2</v>
      </c>
      <c r="O6" s="26">
        <v>38095</v>
      </c>
    </row>
    <row r="7" spans="1:15" ht="15.75" thickBot="1" x14ac:dyDescent="0.3">
      <c r="A7" s="1" t="s">
        <v>14</v>
      </c>
      <c r="B7" s="1" t="s">
        <v>15</v>
      </c>
      <c r="C7" s="32" t="s">
        <v>7</v>
      </c>
      <c r="D7" s="28">
        <v>137552</v>
      </c>
      <c r="E7" s="5">
        <f>(D7-'2013'!D86)/'2013'!D86</f>
        <v>4.1271763815291448E-2</v>
      </c>
      <c r="F7" s="29">
        <f>(D7-'2012'!D82)/'2012'!D82</f>
        <v>4.1271763815291448E-2</v>
      </c>
      <c r="G7" s="30">
        <v>139470</v>
      </c>
      <c r="H7" s="28">
        <v>99405</v>
      </c>
      <c r="I7" s="5">
        <f>(H7-'2013'!H86)/'2013'!H86</f>
        <v>-4.4715447154471545E-2</v>
      </c>
      <c r="J7" s="29">
        <f>(H7-'2012'!H82)/'2012'!H82</f>
        <v>1.7909805849102973E-2</v>
      </c>
      <c r="K7" s="30">
        <v>105485</v>
      </c>
      <c r="L7" s="28">
        <v>36914</v>
      </c>
      <c r="M7" s="5">
        <f>(L7-'2013'!L86)/'2013'!L86</f>
        <v>9.2410323709536304E-3</v>
      </c>
      <c r="N7" s="29">
        <f>(L7-'2012'!L82)/'2012'!L82</f>
        <v>6.1265560762441419E-2</v>
      </c>
      <c r="O7" s="30">
        <v>37764</v>
      </c>
    </row>
    <row r="8" spans="1:15" x14ac:dyDescent="0.25">
      <c r="A8" s="15" t="s">
        <v>104</v>
      </c>
      <c r="C8" s="21" t="s">
        <v>140</v>
      </c>
    </row>
    <row r="9" spans="1:15" x14ac:dyDescent="0.25">
      <c r="A9" s="15"/>
      <c r="B9" s="13"/>
      <c r="C9" s="21"/>
    </row>
    <row r="10" spans="1:15" ht="19.5" thickBot="1" x14ac:dyDescent="0.35">
      <c r="A10" s="76" t="s">
        <v>142</v>
      </c>
      <c r="B10" s="76"/>
      <c r="C10" s="76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</row>
    <row r="11" spans="1:15" ht="45" x14ac:dyDescent="0.25">
      <c r="A11" s="1" t="s">
        <v>2</v>
      </c>
      <c r="B11" s="1" t="s">
        <v>3</v>
      </c>
      <c r="C11" s="32" t="s">
        <v>4</v>
      </c>
      <c r="D11" s="22" t="s">
        <v>78</v>
      </c>
      <c r="E11" s="23" t="s">
        <v>139</v>
      </c>
      <c r="F11" s="23" t="s">
        <v>107</v>
      </c>
      <c r="G11" s="24" t="s">
        <v>85</v>
      </c>
      <c r="H11" s="22" t="s">
        <v>79</v>
      </c>
      <c r="I11" s="23" t="s">
        <v>139</v>
      </c>
      <c r="J11" s="23" t="s">
        <v>107</v>
      </c>
      <c r="K11" s="24" t="s">
        <v>82</v>
      </c>
      <c r="L11" s="22" t="s">
        <v>80</v>
      </c>
      <c r="M11" s="23" t="s">
        <v>139</v>
      </c>
      <c r="N11" s="23" t="s">
        <v>107</v>
      </c>
      <c r="O11" s="24" t="s">
        <v>81</v>
      </c>
    </row>
    <row r="12" spans="1:15" x14ac:dyDescent="0.25">
      <c r="A12" s="1" t="s">
        <v>5</v>
      </c>
      <c r="B12" s="1" t="s">
        <v>6</v>
      </c>
      <c r="C12" s="32" t="s">
        <v>7</v>
      </c>
      <c r="D12" s="33">
        <v>152672</v>
      </c>
      <c r="E12" s="5">
        <f>(D12-'2013'!D90)/'2013'!D90</f>
        <v>2.900895071713577E-2</v>
      </c>
      <c r="F12" s="5">
        <f>(D12-'2012'!D86)/'2012'!D86</f>
        <v>4.8859576806815061E-2</v>
      </c>
      <c r="G12" s="26">
        <v>154083</v>
      </c>
      <c r="H12" s="27">
        <v>100806</v>
      </c>
      <c r="I12" s="5">
        <f>(H12-'2013'!H90)/'2013'!H90</f>
        <v>-1.5123981476053696E-2</v>
      </c>
      <c r="J12" s="5">
        <f>(H12-'2012'!H86)/'2012'!H86</f>
        <v>-1.9158355631233276E-2</v>
      </c>
      <c r="K12" s="26">
        <v>103627</v>
      </c>
      <c r="L12" s="25">
        <v>36873</v>
      </c>
      <c r="M12" s="5">
        <f>(L12-'2013'!L90)/'2013'!L90</f>
        <v>-1.4011819129876727E-2</v>
      </c>
      <c r="N12" s="5">
        <f>(L12-'2012'!L86)/'2012'!L86</f>
        <v>4.796032373218519E-3</v>
      </c>
      <c r="O12" s="26">
        <v>37552</v>
      </c>
    </row>
    <row r="13" spans="1:15" x14ac:dyDescent="0.25">
      <c r="A13" s="1" t="s">
        <v>8</v>
      </c>
      <c r="B13" s="1" t="s">
        <v>9</v>
      </c>
      <c r="C13" s="32" t="s">
        <v>7</v>
      </c>
      <c r="D13" s="27">
        <v>144928</v>
      </c>
      <c r="E13" s="5">
        <f>(D13-'2013'!D91)/'2013'!D91</f>
        <v>-8.6936299153892987E-3</v>
      </c>
      <c r="F13" s="5">
        <f>(D13-'2012'!D87)/'2012'!D87</f>
        <v>3.4786085565773693E-2</v>
      </c>
      <c r="G13" s="26">
        <v>147492</v>
      </c>
      <c r="H13" s="27">
        <v>95057</v>
      </c>
      <c r="I13" s="5">
        <f>(H13-'2013'!H91)/'2013'!H91</f>
        <v>4.7565190736414851E-3</v>
      </c>
      <c r="J13" s="5">
        <f>(H13-'2012'!H87)/'2012'!H87</f>
        <v>3.3273185790686555E-2</v>
      </c>
      <c r="K13" s="26">
        <v>95420</v>
      </c>
      <c r="L13" s="27">
        <v>35174</v>
      </c>
      <c r="M13" s="5">
        <f>(L13-'2013'!L91)/'2013'!L91</f>
        <v>6.6683838470564666E-3</v>
      </c>
      <c r="N13" s="5">
        <f>(L13-'2012'!L87)/'2012'!L87</f>
        <v>4.0435412784334608E-2</v>
      </c>
      <c r="O13" s="26">
        <v>35286</v>
      </c>
    </row>
    <row r="14" spans="1:15" x14ac:dyDescent="0.25">
      <c r="A14" s="1" t="s">
        <v>10</v>
      </c>
      <c r="B14" s="1" t="s">
        <v>9</v>
      </c>
      <c r="C14" s="32" t="s">
        <v>11</v>
      </c>
      <c r="D14" s="27">
        <v>82508</v>
      </c>
      <c r="E14" s="5">
        <f>(D14-'2013'!D92)/'2013'!D92</f>
        <v>-3.6301625864324429E-2</v>
      </c>
      <c r="F14" s="5">
        <f>(D14-'2012'!D88)/'2012'!D88</f>
        <v>-6.5979580042381048E-3</v>
      </c>
      <c r="G14" s="26">
        <v>86059</v>
      </c>
      <c r="H14" s="27">
        <v>71073</v>
      </c>
      <c r="I14" s="5">
        <f>(H14-'2013'!H92)/'2013'!H92</f>
        <v>-4.273025301913755E-3</v>
      </c>
      <c r="J14" s="5">
        <f>(H14-'2012'!H88)/'2012'!H88</f>
        <v>5.8279605116216743E-2</v>
      </c>
      <c r="K14" s="26">
        <v>73099</v>
      </c>
      <c r="L14" s="27">
        <v>32680</v>
      </c>
      <c r="M14" s="5">
        <f>(L14-'2013'!L92)/'2013'!L92</f>
        <v>-6.2036248631553341E-3</v>
      </c>
      <c r="N14" s="5">
        <f>(L14-'2012'!L88)/'2012'!L88</f>
        <v>2.7446788442795612E-2</v>
      </c>
      <c r="O14" s="26">
        <v>32884</v>
      </c>
    </row>
    <row r="15" spans="1:15" x14ac:dyDescent="0.25">
      <c r="A15" s="1" t="s">
        <v>12</v>
      </c>
      <c r="B15" s="1" t="s">
        <v>13</v>
      </c>
      <c r="C15" s="32" t="s">
        <v>11</v>
      </c>
      <c r="D15" s="27">
        <v>75131</v>
      </c>
      <c r="E15" s="5">
        <f>(D15-'2013'!D93)/'2013'!D93</f>
        <v>-1.5037101130076825E-2</v>
      </c>
      <c r="F15" s="5">
        <f>(D15-'2012'!D89)/'2012'!D89</f>
        <v>4.3573075534072282E-2</v>
      </c>
      <c r="G15" s="26">
        <v>76982</v>
      </c>
      <c r="H15" s="27">
        <v>69784</v>
      </c>
      <c r="I15" s="5">
        <f>(H15-'2013'!H93)/'2013'!H93</f>
        <v>0</v>
      </c>
      <c r="J15" s="5">
        <f>(H15-'2012'!H89)/'2012'!H89</f>
        <v>5.0252088193242533E-2</v>
      </c>
      <c r="K15" s="26">
        <v>69930</v>
      </c>
      <c r="L15" s="27">
        <v>32425</v>
      </c>
      <c r="M15" s="5">
        <f>(L15-'2013'!L93)/'2013'!L93</f>
        <v>0</v>
      </c>
      <c r="N15" s="5">
        <f>(L15-'2012'!L89)/'2012'!L89</f>
        <v>1.7510277089151788E-2</v>
      </c>
      <c r="O15" s="26">
        <v>32584</v>
      </c>
    </row>
    <row r="16" spans="1:15" ht="15.75" thickBot="1" x14ac:dyDescent="0.3">
      <c r="A16" s="1" t="s">
        <v>14</v>
      </c>
      <c r="B16" s="1" t="s">
        <v>15</v>
      </c>
      <c r="C16" s="32" t="s">
        <v>11</v>
      </c>
      <c r="D16" s="28">
        <v>73801</v>
      </c>
      <c r="E16" s="5">
        <f>(D16-'2013'!D94)/'2013'!D94</f>
        <v>-1.9190643896604426E-2</v>
      </c>
      <c r="F16" s="29">
        <f>(D16-'2012'!D90)/'2012'!D90</f>
        <v>4.5029098993217317E-2</v>
      </c>
      <c r="G16" s="30">
        <v>73855</v>
      </c>
      <c r="H16" s="28">
        <v>67751</v>
      </c>
      <c r="I16" s="5">
        <f>(H16-'2013'!H94)/'2013'!H94</f>
        <v>-4.7448365014542996E-3</v>
      </c>
      <c r="J16" s="29">
        <f>(H16-'2012'!H90)/'2012'!H90</f>
        <v>3.1845872677429179E-2</v>
      </c>
      <c r="K16" s="31">
        <v>70077</v>
      </c>
      <c r="L16" s="30">
        <v>32830</v>
      </c>
      <c r="M16" s="5">
        <f>(L16-'2013'!L94)/'2013'!L94</f>
        <v>7.5497176528357473E-3</v>
      </c>
      <c r="N16" s="29">
        <f>(L16-'2012'!L90)/'2012'!L90</f>
        <v>9.1912329777750455E-3</v>
      </c>
      <c r="O16" s="30">
        <v>33156</v>
      </c>
    </row>
    <row r="17" spans="1:15" x14ac:dyDescent="0.25">
      <c r="A17" s="15" t="s">
        <v>104</v>
      </c>
      <c r="C17" s="21" t="s">
        <v>143</v>
      </c>
    </row>
    <row r="19" spans="1:15" ht="19.5" thickBot="1" x14ac:dyDescent="0.35">
      <c r="A19" s="35" t="s">
        <v>148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7"/>
    </row>
    <row r="20" spans="1:15" ht="45" x14ac:dyDescent="0.25">
      <c r="A20" s="1" t="s">
        <v>2</v>
      </c>
      <c r="B20" s="1" t="s">
        <v>3</v>
      </c>
      <c r="C20" s="32" t="s">
        <v>4</v>
      </c>
      <c r="D20" s="22" t="s">
        <v>78</v>
      </c>
      <c r="E20" s="23" t="s">
        <v>139</v>
      </c>
      <c r="F20" s="23" t="s">
        <v>107</v>
      </c>
      <c r="G20" s="24" t="s">
        <v>85</v>
      </c>
      <c r="H20" s="22" t="s">
        <v>79</v>
      </c>
      <c r="I20" s="23" t="s">
        <v>139</v>
      </c>
      <c r="J20" s="23" t="s">
        <v>107</v>
      </c>
      <c r="K20" s="24" t="s">
        <v>82</v>
      </c>
      <c r="L20" s="22" t="s">
        <v>80</v>
      </c>
      <c r="M20" s="23" t="s">
        <v>139</v>
      </c>
      <c r="N20" s="23" t="s">
        <v>107</v>
      </c>
      <c r="O20" s="24" t="s">
        <v>81</v>
      </c>
    </row>
    <row r="21" spans="1:15" x14ac:dyDescent="0.25">
      <c r="A21" s="1" t="s">
        <v>5</v>
      </c>
      <c r="B21" s="1" t="s">
        <v>6</v>
      </c>
      <c r="C21" s="32" t="s">
        <v>7</v>
      </c>
      <c r="D21" s="33">
        <v>166667</v>
      </c>
      <c r="E21" s="5">
        <f>(D21-'2013'!D82)/'2013'!D82</f>
        <v>0</v>
      </c>
      <c r="F21" s="5">
        <f>(D21-'2012'!D78)/'2012'!D78</f>
        <v>2.6666584533504172E-2</v>
      </c>
      <c r="G21" s="26">
        <v>168634</v>
      </c>
      <c r="H21" s="27">
        <v>110132</v>
      </c>
      <c r="I21" s="5">
        <f>(H21-'2013'!H82)/'2013'!H82</f>
        <v>-7.7125455004144593E-3</v>
      </c>
      <c r="J21" s="5">
        <f>(H21-'2012'!H78)/'2012'!H78</f>
        <v>2.092236384704519E-2</v>
      </c>
      <c r="K21" s="26">
        <v>112108</v>
      </c>
      <c r="L21" s="33">
        <v>38595</v>
      </c>
      <c r="M21" s="5">
        <f>(L21-'2013'!L82)/'2013'!L82</f>
        <v>5.7853178015792352E-3</v>
      </c>
      <c r="N21" s="5">
        <f>(L21-'2012'!L78)/'2012'!L78</f>
        <v>2.4310623954988189E-2</v>
      </c>
      <c r="O21" s="26">
        <v>38775</v>
      </c>
    </row>
    <row r="22" spans="1:15" x14ac:dyDescent="0.25">
      <c r="A22" s="1" t="s">
        <v>8</v>
      </c>
      <c r="B22" s="1" t="s">
        <v>9</v>
      </c>
      <c r="C22" s="32" t="s">
        <v>7</v>
      </c>
      <c r="D22" s="27">
        <v>159236</v>
      </c>
      <c r="E22" s="5">
        <f>(D22-'2013'!D83)/'2013'!D83</f>
        <v>-4.7768262928766209E-2</v>
      </c>
      <c r="F22" s="5">
        <f>(D22-'2012'!D79)/'2012'!D79</f>
        <v>7.0062495800013447E-2</v>
      </c>
      <c r="G22" s="26">
        <v>162866</v>
      </c>
      <c r="H22" s="27">
        <v>104493</v>
      </c>
      <c r="I22" s="5">
        <f>(H22-'2013'!H83)/'2013'!H83</f>
        <v>3.2386503976683301E-2</v>
      </c>
      <c r="J22" s="5">
        <f>(H22-'2012'!H79)/'2012'!H79</f>
        <v>7.941738546562678E-2</v>
      </c>
      <c r="K22" s="26">
        <v>105374</v>
      </c>
      <c r="L22" s="33">
        <v>36711</v>
      </c>
      <c r="M22" s="5">
        <f>(L22-'2013'!L83)/'2013'!L83</f>
        <v>9.9312242090784045E-3</v>
      </c>
      <c r="N22" s="5">
        <f>(L22-'2012'!L79)/'2012'!L79</f>
        <v>6.3532070224230838E-2</v>
      </c>
      <c r="O22" s="34">
        <v>37037</v>
      </c>
    </row>
    <row r="23" spans="1:15" x14ac:dyDescent="0.25">
      <c r="A23" s="1" t="s">
        <v>10</v>
      </c>
      <c r="B23" s="1" t="s">
        <v>9</v>
      </c>
      <c r="C23" s="32" t="s">
        <v>11</v>
      </c>
      <c r="D23" s="27">
        <v>64516</v>
      </c>
      <c r="E23" s="5">
        <f>(D23-'2013'!D84)/'2013'!D84</f>
        <v>-7.7514610888957244E-3</v>
      </c>
      <c r="F23" s="5">
        <f>(D23-'2012'!D80)/'2012'!D80</f>
        <v>6.9668733627350196E-2</v>
      </c>
      <c r="G23" s="26">
        <v>58480</v>
      </c>
      <c r="H23" s="27">
        <v>58479</v>
      </c>
      <c r="I23" s="5">
        <f>(H23-'2013'!H84)/'2013'!H84</f>
        <v>2.2217172423437282E-2</v>
      </c>
      <c r="J23" s="5">
        <f>(H23-'2012'!H80)/'2012'!H80</f>
        <v>2.7479574804533075E-2</v>
      </c>
      <c r="K23" s="26">
        <v>59952</v>
      </c>
      <c r="L23" s="27">
        <v>31566</v>
      </c>
      <c r="M23" s="5">
        <f>(L23-'2013'!L84)/'2013'!L84</f>
        <v>0.10039740640033466</v>
      </c>
      <c r="N23" s="5">
        <f>(L23-'2012'!L80)/'2012'!L80</f>
        <v>0.13099247581512002</v>
      </c>
      <c r="O23" s="26">
        <v>31847</v>
      </c>
    </row>
    <row r="24" spans="1:15" x14ac:dyDescent="0.25">
      <c r="A24" s="1" t="s">
        <v>12</v>
      </c>
      <c r="B24" s="1" t="s">
        <v>13</v>
      </c>
      <c r="C24" s="32" t="s">
        <v>7</v>
      </c>
      <c r="D24" s="27">
        <v>130208</v>
      </c>
      <c r="E24" s="5">
        <f>(D24-'2013'!D85)/'2013'!D85</f>
        <v>-0.10026396163573294</v>
      </c>
      <c r="F24" s="5">
        <f>(D24-'2012'!D81)/'2012'!D81</f>
        <v>-1.8231719270731229E-2</v>
      </c>
      <c r="G24" s="26">
        <v>156250</v>
      </c>
      <c r="H24" s="27">
        <v>105374</v>
      </c>
      <c r="I24" s="5">
        <f>(H24-'2013'!H85)/'2013'!H85</f>
        <v>8.8518155053974479E-2</v>
      </c>
      <c r="J24" s="5">
        <f>(H24-'2012'!H81)/'2012'!H81</f>
        <v>5.0577760939571892E-2</v>
      </c>
      <c r="K24" s="26">
        <v>106724</v>
      </c>
      <c r="L24" s="27">
        <v>36377</v>
      </c>
      <c r="M24" s="5">
        <f>(L24-'2013'!L85)/'2013'!L85</f>
        <v>-9.0980904905886527E-3</v>
      </c>
      <c r="N24" s="5">
        <f>(L24-'2012'!L81)/'2012'!L81</f>
        <v>1.964906379638973E-2</v>
      </c>
      <c r="O24" s="26">
        <v>37397</v>
      </c>
    </row>
    <row r="25" spans="1:15" ht="15.75" thickBot="1" x14ac:dyDescent="0.3">
      <c r="A25" s="1" t="s">
        <v>14</v>
      </c>
      <c r="B25" s="1" t="s">
        <v>15</v>
      </c>
      <c r="C25" s="32" t="s">
        <v>7</v>
      </c>
      <c r="D25" s="28">
        <v>136612</v>
      </c>
      <c r="E25" s="5">
        <f>(D25-'2013'!D86)/'2013'!D86</f>
        <v>3.4155942467827403E-2</v>
      </c>
      <c r="F25" s="5">
        <f>(D25-'2012'!D82)/'2012'!D82</f>
        <v>3.4155942467827403E-2</v>
      </c>
      <c r="G25" s="30">
        <v>139665</v>
      </c>
      <c r="H25" s="28">
        <v>99108</v>
      </c>
      <c r="I25" s="5">
        <f>(H25-'2013'!H86)/'2013'!H86</f>
        <v>-4.7569624632416534E-2</v>
      </c>
      <c r="J25" s="5">
        <f>(H25-'2012'!H82)/'2012'!H82</f>
        <v>1.4868518063406243E-2</v>
      </c>
      <c r="K25" s="30">
        <v>105485</v>
      </c>
      <c r="L25" s="28">
        <v>37580</v>
      </c>
      <c r="M25" s="5">
        <f>(L25-'2013'!L86)/'2013'!L86</f>
        <v>2.7449693788276466E-2</v>
      </c>
      <c r="N25" s="5">
        <f>(L25-'2012'!L82)/'2012'!L82</f>
        <v>8.0412845355489745E-2</v>
      </c>
      <c r="O25" s="30">
        <v>37951</v>
      </c>
    </row>
    <row r="26" spans="1:15" hidden="1" x14ac:dyDescent="0.25">
      <c r="A26" s="15" t="s">
        <v>104</v>
      </c>
      <c r="C26" s="21" t="s">
        <v>145</v>
      </c>
      <c r="D26" t="s">
        <v>144</v>
      </c>
    </row>
    <row r="27" spans="1:15" hidden="1" x14ac:dyDescent="0.25">
      <c r="A27" s="15"/>
      <c r="B27" s="13"/>
      <c r="C27" s="21"/>
    </row>
    <row r="28" spans="1:15" ht="19.5" thickBot="1" x14ac:dyDescent="0.35">
      <c r="A28" s="35" t="s">
        <v>149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7"/>
    </row>
    <row r="29" spans="1:15" ht="45" x14ac:dyDescent="0.25">
      <c r="A29" s="1" t="s">
        <v>2</v>
      </c>
      <c r="B29" s="1" t="s">
        <v>3</v>
      </c>
      <c r="C29" s="32" t="s">
        <v>4</v>
      </c>
      <c r="D29" s="22" t="s">
        <v>78</v>
      </c>
      <c r="E29" s="23" t="s">
        <v>139</v>
      </c>
      <c r="F29" s="23" t="s">
        <v>107</v>
      </c>
      <c r="G29" s="24" t="s">
        <v>85</v>
      </c>
      <c r="H29" s="22" t="s">
        <v>79</v>
      </c>
      <c r="I29" s="23" t="s">
        <v>139</v>
      </c>
      <c r="J29" s="23" t="s">
        <v>107</v>
      </c>
      <c r="K29" s="24" t="s">
        <v>82</v>
      </c>
      <c r="L29" s="22" t="s">
        <v>80</v>
      </c>
      <c r="M29" s="23" t="s">
        <v>139</v>
      </c>
      <c r="N29" s="23" t="s">
        <v>107</v>
      </c>
      <c r="O29" s="24" t="s">
        <v>81</v>
      </c>
    </row>
    <row r="30" spans="1:15" x14ac:dyDescent="0.25">
      <c r="A30" s="1" t="s">
        <v>5</v>
      </c>
      <c r="B30" s="1" t="s">
        <v>6</v>
      </c>
      <c r="C30" s="32" t="s">
        <v>7</v>
      </c>
      <c r="D30" s="33">
        <v>151745</v>
      </c>
      <c r="E30" s="5">
        <f>(D30-'2013'!D90)/'2013'!D90</f>
        <v>2.276097271648873E-2</v>
      </c>
      <c r="F30" s="5">
        <f>(D30-'2012'!D86)/'2012'!D86</f>
        <v>4.2491068974993128E-2</v>
      </c>
      <c r="G30" s="26">
        <v>153139</v>
      </c>
      <c r="H30" s="27">
        <v>103306</v>
      </c>
      <c r="I30" s="5">
        <f>(H30-'2013'!H90)/'2013'!H90</f>
        <v>9.3010532074955538E-3</v>
      </c>
      <c r="J30" s="5">
        <f>(H30-'2012'!H86)/'2012'!H86</f>
        <v>5.1666261250304059E-3</v>
      </c>
      <c r="K30" s="26">
        <v>104167</v>
      </c>
      <c r="L30" s="25">
        <v>36711</v>
      </c>
      <c r="M30" s="5">
        <f>(L30-'2013'!L90)/'2013'!L90</f>
        <v>-1.8343717410487473E-2</v>
      </c>
      <c r="N30" s="5">
        <f>(L30-'2012'!L86)/'2012'!L86</f>
        <v>3.8150257514238221E-4</v>
      </c>
      <c r="O30" s="26">
        <v>37216</v>
      </c>
    </row>
    <row r="31" spans="1:15" x14ac:dyDescent="0.25">
      <c r="A31" s="1" t="s">
        <v>8</v>
      </c>
      <c r="B31" s="1" t="s">
        <v>9</v>
      </c>
      <c r="C31" s="32" t="s">
        <v>7</v>
      </c>
      <c r="D31" s="27">
        <v>147059</v>
      </c>
      <c r="E31" s="5">
        <f>(D31-'2013'!D91)/'2013'!D91</f>
        <v>5.8823931764239151E-3</v>
      </c>
      <c r="F31" s="5">
        <f>(D31-'2012'!D87)/'2012'!D87</f>
        <v>5.0001428000228477E-2</v>
      </c>
      <c r="G31" s="26">
        <v>147493</v>
      </c>
      <c r="H31" s="27">
        <v>94607</v>
      </c>
      <c r="I31" s="5">
        <f>(H31-'2013'!H91)/'2013'!H91</f>
        <v>0</v>
      </c>
      <c r="J31" s="5">
        <f>(H31-'2012'!H87)/'2012'!H87</f>
        <v>2.8381668768207313E-2</v>
      </c>
      <c r="K31" s="26">
        <v>95420</v>
      </c>
      <c r="L31" s="27">
        <v>34710</v>
      </c>
      <c r="M31" s="5">
        <f>(L31-'2013'!L91)/'2013'!L91</f>
        <v>-6.6111445007298016E-3</v>
      </c>
      <c r="N31" s="5">
        <f>(L31-'2012'!L87)/'2012'!L87</f>
        <v>2.6710444582482919E-2</v>
      </c>
      <c r="O31" s="26">
        <v>35002</v>
      </c>
    </row>
    <row r="32" spans="1:15" x14ac:dyDescent="0.25">
      <c r="A32" s="1" t="s">
        <v>10</v>
      </c>
      <c r="B32" s="1" t="s">
        <v>9</v>
      </c>
      <c r="C32" s="32" t="s">
        <v>11</v>
      </c>
      <c r="D32" s="27">
        <v>83893</v>
      </c>
      <c r="E32" s="5">
        <f>(D32-'2013'!D92)/'2013'!D92</f>
        <v>-2.0124743038684358E-2</v>
      </c>
      <c r="F32" s="5">
        <f>(D32-'2012'!D88)/'2012'!D88</f>
        <v>1.0077538046619148E-2</v>
      </c>
      <c r="G32" s="26">
        <v>87719</v>
      </c>
      <c r="H32" s="27">
        <v>69109</v>
      </c>
      <c r="I32" s="5">
        <f>(H32-'2013'!H92)/'2013'!H92</f>
        <v>-3.1788506262433805E-2</v>
      </c>
      <c r="J32" s="5">
        <f>(H32-'2012'!H88)/'2012'!H88</f>
        <v>2.9035572298575025E-2</v>
      </c>
      <c r="K32" s="26">
        <v>70922</v>
      </c>
      <c r="L32" s="27">
        <v>31807</v>
      </c>
      <c r="M32" s="5">
        <f>(L32-'2013'!L92)/'2013'!L92</f>
        <v>-3.2751490086364188E-2</v>
      </c>
      <c r="N32" s="5">
        <f>(L32-'2012'!L88)/'2012'!L88</f>
        <v>0</v>
      </c>
      <c r="O32" s="26">
        <v>32723</v>
      </c>
    </row>
    <row r="33" spans="1:18" x14ac:dyDescent="0.25">
      <c r="A33" s="1" t="s">
        <v>12</v>
      </c>
      <c r="B33" s="1" t="s">
        <v>13</v>
      </c>
      <c r="C33" s="32" t="s">
        <v>11</v>
      </c>
      <c r="D33" s="27">
        <v>72886</v>
      </c>
      <c r="E33" s="5">
        <f>(D33-'2013'!D93)/'2013'!D93</f>
        <v>-4.4468916332363197E-2</v>
      </c>
      <c r="F33" s="5">
        <f>(D33-'2012'!D89)/'2012'!D89</f>
        <v>1.2389921382337417E-2</v>
      </c>
      <c r="G33" s="26">
        <v>74850</v>
      </c>
      <c r="H33" s="27">
        <v>67705</v>
      </c>
      <c r="I33" s="5">
        <f>(H33-'2013'!H93)/'2013'!H93</f>
        <v>-2.9791929382093317E-2</v>
      </c>
      <c r="J33" s="5">
        <f>(H33-'2012'!H89)/'2012'!H89</f>
        <v>1.896305214839341E-2</v>
      </c>
      <c r="K33" s="26">
        <v>68353</v>
      </c>
      <c r="L33" s="27">
        <v>31736</v>
      </c>
      <c r="M33" s="5">
        <f>(L33-'2013'!L93)/'2013'!L93</f>
        <v>-2.1249036237471087E-2</v>
      </c>
      <c r="N33" s="5">
        <f>(L33-'2012'!L89)/'2012'!L89</f>
        <v>-4.1108356607148459E-3</v>
      </c>
      <c r="O33" s="26">
        <v>32154</v>
      </c>
    </row>
    <row r="34" spans="1:18" ht="15.75" thickBot="1" x14ac:dyDescent="0.3">
      <c r="A34" s="1" t="s">
        <v>14</v>
      </c>
      <c r="B34" s="1" t="s">
        <v>15</v>
      </c>
      <c r="C34" s="32" t="s">
        <v>11</v>
      </c>
      <c r="D34" s="28">
        <v>72464</v>
      </c>
      <c r="E34" s="5">
        <f>(D34-'2013'!D94)/'2013'!D94</f>
        <v>-3.6959266396438303E-2</v>
      </c>
      <c r="F34" s="5">
        <f>(D34-'2012'!D90)/'2012'!D90</f>
        <v>2.6097053284433808E-2</v>
      </c>
      <c r="G34" s="30">
        <v>75529</v>
      </c>
      <c r="H34" s="28">
        <v>65920</v>
      </c>
      <c r="I34" s="5">
        <f>(H34-'2013'!H94)/'2013'!H94</f>
        <v>-3.1642036607221556E-2</v>
      </c>
      <c r="J34" s="5">
        <f>(H34-'2012'!H90)/'2012'!H90</f>
        <v>3.9597928723728295E-3</v>
      </c>
      <c r="K34" s="31">
        <v>67613</v>
      </c>
      <c r="L34" s="30">
        <v>27586</v>
      </c>
      <c r="M34" s="5">
        <f>(L34-'2013'!L94)/'2013'!L94</f>
        <v>-0.15338816597102872</v>
      </c>
      <c r="N34" s="5">
        <f>(L34-'2012'!L90)/'2012'!L90</f>
        <v>-0.15200885309397191</v>
      </c>
      <c r="O34" s="30">
        <v>31766</v>
      </c>
    </row>
    <row r="35" spans="1:18" x14ac:dyDescent="0.25">
      <c r="A35" s="15" t="s">
        <v>104</v>
      </c>
      <c r="C35" s="21" t="s">
        <v>146</v>
      </c>
    </row>
    <row r="36" spans="1:18" x14ac:dyDescent="0.25">
      <c r="A36" s="15"/>
      <c r="B36" s="13"/>
    </row>
    <row r="38" spans="1:18" ht="19.5" thickBot="1" x14ac:dyDescent="0.35">
      <c r="A38" s="76" t="s">
        <v>150</v>
      </c>
      <c r="B38" s="76"/>
      <c r="C38" s="76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</row>
    <row r="39" spans="1:18" ht="45" x14ac:dyDescent="0.25">
      <c r="A39" s="1" t="s">
        <v>2</v>
      </c>
      <c r="B39" s="1" t="s">
        <v>3</v>
      </c>
      <c r="C39" s="32" t="s">
        <v>4</v>
      </c>
      <c r="D39" s="22" t="s">
        <v>78</v>
      </c>
      <c r="E39" s="23" t="s">
        <v>147</v>
      </c>
      <c r="F39" s="23" t="s">
        <v>107</v>
      </c>
      <c r="G39" s="24" t="s">
        <v>85</v>
      </c>
      <c r="H39" s="22" t="s">
        <v>79</v>
      </c>
      <c r="I39" s="23" t="s">
        <v>147</v>
      </c>
      <c r="J39" s="23" t="s">
        <v>107</v>
      </c>
      <c r="K39" s="24" t="s">
        <v>82</v>
      </c>
      <c r="L39" s="22" t="s">
        <v>80</v>
      </c>
      <c r="M39" s="23" t="s">
        <v>147</v>
      </c>
      <c r="N39" s="23" t="s">
        <v>107</v>
      </c>
      <c r="O39" s="24" t="s">
        <v>81</v>
      </c>
      <c r="Q39" s="18"/>
      <c r="R39" s="18"/>
    </row>
    <row r="40" spans="1:18" x14ac:dyDescent="0.25">
      <c r="A40" s="1" t="s">
        <v>5</v>
      </c>
      <c r="B40" s="1" t="s">
        <v>6</v>
      </c>
      <c r="C40" s="32" t="s">
        <v>7</v>
      </c>
      <c r="D40" s="33">
        <v>70522</v>
      </c>
      <c r="E40" s="5">
        <f>(D40-'2013'!D82)/'2013'!D82</f>
        <v>-0.5768688462623075</v>
      </c>
      <c r="F40" s="5">
        <f>(D40-'2012'!D78)/'2012'!D78</f>
        <v>-0.56558538358240218</v>
      </c>
      <c r="G40" s="26">
        <v>87642</v>
      </c>
      <c r="H40" s="27">
        <v>55772</v>
      </c>
      <c r="I40" s="5">
        <f>(H40-'2013'!H82)/'2013'!H82</f>
        <v>-0.49749522470897756</v>
      </c>
      <c r="J40" s="5">
        <f>(H40-'2012'!H78)/'2012'!H78</f>
        <v>-0.48299420625724215</v>
      </c>
      <c r="K40" s="26">
        <v>77760.5</v>
      </c>
      <c r="L40" s="33">
        <v>35997</v>
      </c>
      <c r="M40" s="5">
        <f>(L40-'2013'!L82)/'2013'!L82</f>
        <v>-6.1918536470956138E-2</v>
      </c>
      <c r="N40" s="5">
        <f>(L40-'2012'!L78)/'2012'!L78</f>
        <v>-4.4640250537434645E-2</v>
      </c>
      <c r="O40" s="26">
        <v>36337</v>
      </c>
    </row>
    <row r="41" spans="1:18" x14ac:dyDescent="0.25">
      <c r="A41" s="1" t="s">
        <v>8</v>
      </c>
      <c r="B41" s="1" t="s">
        <v>9</v>
      </c>
      <c r="C41" s="32" t="s">
        <v>7</v>
      </c>
      <c r="D41" s="27">
        <v>71994</v>
      </c>
      <c r="E41" s="5">
        <f>(D41-'2013'!D83)/'2013'!D83</f>
        <v>-0.56947567334832316</v>
      </c>
      <c r="F41" s="5">
        <f>(D41-'2012'!D79)/'2012'!D79</f>
        <v>-0.51620186815402191</v>
      </c>
      <c r="G41" s="26">
        <v>81967</v>
      </c>
      <c r="H41" s="27">
        <v>59524</v>
      </c>
      <c r="I41" s="5">
        <f>(H41-'2013'!H83)/'2013'!H83</f>
        <v>-0.41190534999753003</v>
      </c>
      <c r="J41" s="5">
        <f>(H41-'2012'!H79)/'2012'!H79</f>
        <v>-0.38511440524766283</v>
      </c>
      <c r="K41" s="26">
        <v>66313</v>
      </c>
      <c r="L41" s="33">
        <v>34602</v>
      </c>
      <c r="M41" s="5">
        <f>(L41-'2013'!L83)/'2013'!L83</f>
        <v>-4.8088033012379641E-2</v>
      </c>
      <c r="N41" s="5">
        <f>(L41-'2012'!L79)/'2012'!L79</f>
        <v>2.4335129497653398E-3</v>
      </c>
      <c r="O41" s="34">
        <v>34880</v>
      </c>
    </row>
    <row r="42" spans="1:18" x14ac:dyDescent="0.25">
      <c r="A42" s="1" t="s">
        <v>10</v>
      </c>
      <c r="B42" s="1" t="s">
        <v>9</v>
      </c>
      <c r="C42" s="32" t="s">
        <v>11</v>
      </c>
      <c r="D42" s="27">
        <v>19227</v>
      </c>
      <c r="E42" s="5">
        <f>(D42-'2013'!D84)/'2013'!D84</f>
        <v>-0.70429098738849583</v>
      </c>
      <c r="F42" s="5">
        <f>(D42-'2012'!D80)/'2012'!D80</f>
        <v>-0.68121829094405939</v>
      </c>
      <c r="G42" s="26">
        <v>20016</v>
      </c>
      <c r="H42" s="27">
        <v>18416</v>
      </c>
      <c r="I42" s="5">
        <f>(H42-'2013'!H84)/'2013'!H84</f>
        <v>-0.67808698084184027</v>
      </c>
      <c r="J42" s="5">
        <f>(H42-'2012'!H80)/'2012'!H80</f>
        <v>-0.6764297636826847</v>
      </c>
      <c r="K42" s="26">
        <v>18972</v>
      </c>
      <c r="L42" s="27">
        <v>15728</v>
      </c>
      <c r="M42" s="5">
        <f>(L42-'2013'!L84)/'2013'!L84</f>
        <v>-0.45171860838039463</v>
      </c>
      <c r="N42" s="5">
        <f>(L42-'2012'!L80)/'2012'!L80</f>
        <v>-0.43647438194195631</v>
      </c>
      <c r="O42" s="26">
        <v>16044</v>
      </c>
    </row>
    <row r="43" spans="1:18" x14ac:dyDescent="0.25">
      <c r="A43" s="1" t="s">
        <v>12</v>
      </c>
      <c r="B43" s="1" t="s">
        <v>13</v>
      </c>
      <c r="C43" s="32" t="s">
        <v>7</v>
      </c>
      <c r="D43" s="27">
        <v>73046</v>
      </c>
      <c r="E43" s="5">
        <f>(D43-'2013'!D85)/'2013'!D85</f>
        <v>-0.49525283655108554</v>
      </c>
      <c r="F43" s="5">
        <f>(D43-'2012'!D81)/'2012'!D81</f>
        <v>-0.4492331820306727</v>
      </c>
      <c r="G43" s="26">
        <v>85763</v>
      </c>
      <c r="H43" s="27">
        <v>59952</v>
      </c>
      <c r="I43" s="5">
        <f>(H43-'2013'!H85)/'2013'!H85</f>
        <v>-0.38069314601518517</v>
      </c>
      <c r="J43" s="5">
        <f>(H43-'2012'!H81)/'2012'!H81</f>
        <v>-0.40227913978923441</v>
      </c>
      <c r="K43" s="26">
        <v>65104</v>
      </c>
      <c r="L43" s="27">
        <v>30003</v>
      </c>
      <c r="M43" s="5">
        <f>(L43-'2013'!L85)/'2013'!L85</f>
        <v>-0.18272452398463676</v>
      </c>
      <c r="N43" s="5">
        <f>(L43-'2012'!L81)/'2012'!L81</f>
        <v>-0.15901446350487722</v>
      </c>
      <c r="O43" s="26">
        <v>33580</v>
      </c>
    </row>
    <row r="44" spans="1:18" ht="15.75" thickBot="1" x14ac:dyDescent="0.3">
      <c r="A44" s="1" t="s">
        <v>14</v>
      </c>
      <c r="B44" s="1" t="s">
        <v>15</v>
      </c>
      <c r="C44" s="32" t="s">
        <v>7</v>
      </c>
      <c r="D44" s="28">
        <v>74683</v>
      </c>
      <c r="E44" s="5">
        <f>(D44-'2013'!D86)/'2013'!D86</f>
        <v>-0.43464799394398185</v>
      </c>
      <c r="F44" s="5">
        <f>(D44-'2012'!D82)/'2012'!D82</f>
        <v>-0.43464799394398185</v>
      </c>
      <c r="G44" s="30">
        <v>76570</v>
      </c>
      <c r="H44" s="28">
        <v>64226</v>
      </c>
      <c r="I44" s="5">
        <f>(H44-'2013'!H86)/'2013'!H86</f>
        <v>-0.38278652290068998</v>
      </c>
      <c r="J44" s="5">
        <f>(H44-'2012'!H82)/'2012'!H82</f>
        <v>-0.34232407634963546</v>
      </c>
      <c r="K44" s="30">
        <v>67204</v>
      </c>
      <c r="L44" s="28">
        <v>34843</v>
      </c>
      <c r="M44" s="5">
        <f>(L44-'2013'!L86)/'2013'!L86</f>
        <v>-4.7380796150481193E-2</v>
      </c>
      <c r="N44" s="5">
        <f>(L44-'2012'!L82)/'2012'!L82</f>
        <v>1.7249805939683178E-3</v>
      </c>
      <c r="O44" s="30">
        <v>35361</v>
      </c>
    </row>
    <row r="45" spans="1:18" x14ac:dyDescent="0.25">
      <c r="A45" s="15" t="s">
        <v>104</v>
      </c>
      <c r="C45" s="21"/>
    </row>
    <row r="48" spans="1:18" ht="19.5" thickBot="1" x14ac:dyDescent="0.35">
      <c r="A48" s="76" t="s">
        <v>152</v>
      </c>
      <c r="B48" s="76"/>
      <c r="C48" s="76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</row>
    <row r="49" spans="1:15" ht="45" x14ac:dyDescent="0.25">
      <c r="A49" s="1" t="s">
        <v>2</v>
      </c>
      <c r="B49" s="1" t="s">
        <v>3</v>
      </c>
      <c r="C49" s="32" t="s">
        <v>4</v>
      </c>
      <c r="D49" s="22" t="s">
        <v>78</v>
      </c>
      <c r="E49" s="23" t="s">
        <v>139</v>
      </c>
      <c r="F49" s="23" t="s">
        <v>107</v>
      </c>
      <c r="G49" s="24" t="s">
        <v>85</v>
      </c>
      <c r="H49" s="22" t="s">
        <v>79</v>
      </c>
      <c r="I49" s="23" t="s">
        <v>139</v>
      </c>
      <c r="J49" s="23" t="s">
        <v>107</v>
      </c>
      <c r="K49" s="24" t="s">
        <v>82</v>
      </c>
      <c r="L49" s="22" t="s">
        <v>80</v>
      </c>
      <c r="M49" s="23" t="s">
        <v>139</v>
      </c>
      <c r="N49" s="23" t="s">
        <v>107</v>
      </c>
      <c r="O49" s="24" t="s">
        <v>81</v>
      </c>
    </row>
    <row r="50" spans="1:15" x14ac:dyDescent="0.25">
      <c r="A50" s="1" t="s">
        <v>5</v>
      </c>
      <c r="B50" s="1" t="s">
        <v>6</v>
      </c>
      <c r="C50" s="32" t="s">
        <v>7</v>
      </c>
      <c r="D50" s="33">
        <v>168350</v>
      </c>
      <c r="E50" s="5">
        <f>(D50-'2013'!D82)/'2013'!D82</f>
        <v>1.0097979804040392E-2</v>
      </c>
      <c r="F50" s="5">
        <f>(D50-'2012'!D78)/'2012'!D78</f>
        <v>3.7033842969606622E-2</v>
      </c>
      <c r="G50" s="26">
        <v>170648</v>
      </c>
      <c r="H50" s="27">
        <v>110011</v>
      </c>
      <c r="I50" s="5">
        <f>(H50-'2013'!H82)/'2013'!H82</f>
        <v>-8.8027534508235122E-3</v>
      </c>
      <c r="J50" s="5">
        <f>(H50-'2012'!H78)/'2012'!H78</f>
        <v>1.9800695249130938E-2</v>
      </c>
      <c r="K50" s="26">
        <v>112108</v>
      </c>
      <c r="L50" s="33">
        <v>38910</v>
      </c>
      <c r="M50" s="5">
        <f>(L50-'2013'!L82)/'2013'!L82</f>
        <v>1.3994214682198421E-2</v>
      </c>
      <c r="N50" s="5">
        <f>(L50-'2012'!L78)/'2012'!L78</f>
        <v>3.267071843732583E-2</v>
      </c>
      <c r="O50" s="26">
        <v>39108</v>
      </c>
    </row>
    <row r="51" spans="1:15" x14ac:dyDescent="0.25">
      <c r="A51" s="1" t="s">
        <v>8</v>
      </c>
      <c r="B51" s="1" t="s">
        <v>9</v>
      </c>
      <c r="C51" s="32" t="s">
        <v>7</v>
      </c>
      <c r="D51" s="27">
        <v>161812</v>
      </c>
      <c r="E51" s="5">
        <f>(D51-'2013'!D83)/'2013'!D83</f>
        <v>-3.2363775534612255E-2</v>
      </c>
      <c r="F51" s="5">
        <f>(D51-'2012'!D79)/'2012'!D79</f>
        <v>8.7373160405886705E-2</v>
      </c>
      <c r="G51" s="26">
        <v>165837</v>
      </c>
      <c r="H51" s="27">
        <v>103199</v>
      </c>
      <c r="I51" s="5">
        <f>(H51-'2013'!H83)/'2013'!H83</f>
        <v>1.9601837672281776E-2</v>
      </c>
      <c r="J51" s="5">
        <f>(H51-'2012'!H79)/'2012'!H79</f>
        <v>6.6050307318836834E-2</v>
      </c>
      <c r="K51" s="26">
        <v>105042</v>
      </c>
      <c r="L51" s="33">
        <v>36350</v>
      </c>
      <c r="M51" s="5">
        <f>(L51-'2013'!L83)/'2013'!L83</f>
        <v>0</v>
      </c>
      <c r="N51" s="5">
        <f>(L51-'2012'!L79)/'2012'!L79</f>
        <v>5.3073758618691694E-2</v>
      </c>
      <c r="O51" s="34">
        <v>37037</v>
      </c>
    </row>
    <row r="52" spans="1:15" x14ac:dyDescent="0.25">
      <c r="A52" s="1" t="s">
        <v>10</v>
      </c>
      <c r="B52" s="1" t="s">
        <v>9</v>
      </c>
      <c r="C52" s="32" t="s">
        <v>11</v>
      </c>
      <c r="D52" s="27">
        <v>63091</v>
      </c>
      <c r="E52" s="5">
        <f>(D52-'2013'!D84)/'2013'!D84</f>
        <v>-2.9667794524761613E-2</v>
      </c>
      <c r="F52" s="5">
        <f>(D52-'2012'!D80)/'2012'!D80</f>
        <v>4.6042378220645289E-2</v>
      </c>
      <c r="G52" s="26">
        <v>64516</v>
      </c>
      <c r="H52" s="27">
        <v>55494</v>
      </c>
      <c r="I52" s="5">
        <f>(H52-'2013'!H84)/'2013'!H84</f>
        <v>-2.9960844637113692E-2</v>
      </c>
      <c r="J52" s="5">
        <f>(H52-'2012'!H80)/'2012'!H80</f>
        <v>-2.496705613634367E-2</v>
      </c>
      <c r="K52" s="26">
        <v>58005</v>
      </c>
      <c r="L52" s="27">
        <v>28498</v>
      </c>
      <c r="M52" s="5">
        <f>(L52-'2013'!L84)/'2013'!L84</f>
        <v>-6.55371958446629E-3</v>
      </c>
      <c r="N52" s="5">
        <f>(L52-'2012'!L80)/'2012'!L80</f>
        <v>2.1067717663919742E-2</v>
      </c>
      <c r="O52" s="26">
        <v>28588</v>
      </c>
    </row>
    <row r="53" spans="1:15" x14ac:dyDescent="0.25">
      <c r="A53" s="1" t="s">
        <v>12</v>
      </c>
      <c r="B53" s="1" t="s">
        <v>13</v>
      </c>
      <c r="C53" s="32" t="s">
        <v>7</v>
      </c>
      <c r="D53" s="27">
        <v>138696</v>
      </c>
      <c r="E53" s="5">
        <f>(D53-'2013'!D85)/'2013'!D85</f>
        <v>-4.1611962575491643E-2</v>
      </c>
      <c r="F53" s="5">
        <f>(D53-'2012'!D81)/'2012'!D81</f>
        <v>4.5767798169288075E-2</v>
      </c>
      <c r="G53" s="26">
        <v>154321</v>
      </c>
      <c r="H53" s="27">
        <v>106496</v>
      </c>
      <c r="I53" s="5">
        <f>(H53-'2013'!H85)/'2013'!H85</f>
        <v>0.10010846547182481</v>
      </c>
      <c r="J53" s="5">
        <f>(H53-'2012'!H81)/'2012'!H81</f>
        <v>6.1764090088832616E-2</v>
      </c>
      <c r="K53" s="26">
        <v>108225</v>
      </c>
      <c r="L53" s="27">
        <v>37552</v>
      </c>
      <c r="M53" s="5">
        <f>(L53-'2013'!L85)/'2013'!L85</f>
        <v>2.2908664977799569E-2</v>
      </c>
      <c r="N53" s="5">
        <f>(L53-'2012'!L81)/'2012'!L81</f>
        <v>5.2584370445117164E-2</v>
      </c>
      <c r="O53" s="26">
        <v>37736</v>
      </c>
    </row>
    <row r="54" spans="1:15" ht="15.75" thickBot="1" x14ac:dyDescent="0.3">
      <c r="A54" s="1" t="s">
        <v>14</v>
      </c>
      <c r="B54" s="1" t="s">
        <v>15</v>
      </c>
      <c r="C54" s="32" t="s">
        <v>7</v>
      </c>
      <c r="D54" s="28">
        <v>136240</v>
      </c>
      <c r="E54" s="5">
        <f>(D54-'2013'!D86)/'2013'!D86</f>
        <v>3.1339894019682062E-2</v>
      </c>
      <c r="F54" s="5">
        <f>(D54-'2012'!D82)/'2012'!D82</f>
        <v>3.1339894019682062E-2</v>
      </c>
      <c r="G54" s="28">
        <v>143678</v>
      </c>
      <c r="H54" s="28">
        <v>103306</v>
      </c>
      <c r="I54" s="5">
        <f>(H54-'2013'!H86)/'2013'!H86</f>
        <v>-7.2267389340560069E-3</v>
      </c>
      <c r="J54" s="5">
        <f>(H54-'2012'!H82)/'2012'!H82</f>
        <v>5.7856148111739163E-2</v>
      </c>
      <c r="K54" s="30">
        <v>106270</v>
      </c>
      <c r="L54" s="28">
        <v>37230</v>
      </c>
      <c r="M54" s="5">
        <f>(L54-'2013'!L86)/'2013'!L86</f>
        <v>1.7880577427821523E-2</v>
      </c>
      <c r="N54" s="5">
        <f>(L54-'2012'!L82)/'2012'!L82</f>
        <v>7.0350458557341233E-2</v>
      </c>
      <c r="O54" s="30">
        <v>37722</v>
      </c>
    </row>
    <row r="55" spans="1:15" x14ac:dyDescent="0.25">
      <c r="A55" s="15" t="s">
        <v>104</v>
      </c>
      <c r="C55" s="21" t="s">
        <v>151</v>
      </c>
    </row>
    <row r="56" spans="1:15" ht="19.5" thickBot="1" x14ac:dyDescent="0.35">
      <c r="A56" s="76" t="s">
        <v>153</v>
      </c>
      <c r="B56" s="76"/>
      <c r="C56" s="76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</row>
    <row r="57" spans="1:15" ht="45" x14ac:dyDescent="0.25">
      <c r="A57" s="1" t="s">
        <v>2</v>
      </c>
      <c r="B57" s="1" t="s">
        <v>3</v>
      </c>
      <c r="C57" s="32" t="s">
        <v>4</v>
      </c>
      <c r="D57" s="22" t="s">
        <v>78</v>
      </c>
      <c r="E57" s="23" t="s">
        <v>139</v>
      </c>
      <c r="F57" s="23" t="s">
        <v>107</v>
      </c>
      <c r="G57" s="24" t="s">
        <v>85</v>
      </c>
      <c r="H57" s="22" t="s">
        <v>79</v>
      </c>
      <c r="I57" s="23" t="s">
        <v>139</v>
      </c>
      <c r="J57" s="23" t="s">
        <v>107</v>
      </c>
      <c r="K57" s="24" t="s">
        <v>82</v>
      </c>
      <c r="L57" s="22" t="s">
        <v>80</v>
      </c>
      <c r="M57" s="23" t="s">
        <v>139</v>
      </c>
      <c r="N57" s="23" t="s">
        <v>107</v>
      </c>
      <c r="O57" s="24" t="s">
        <v>81</v>
      </c>
    </row>
    <row r="58" spans="1:15" x14ac:dyDescent="0.25">
      <c r="A58" s="1" t="s">
        <v>5</v>
      </c>
      <c r="B58" s="1" t="s">
        <v>6</v>
      </c>
      <c r="C58" s="32" t="s">
        <v>7</v>
      </c>
      <c r="D58" s="33">
        <v>155763</v>
      </c>
      <c r="E58" s="5">
        <f>(D58-'2013'!D90)/'2013'!D90</f>
        <v>4.9842284050469102E-2</v>
      </c>
      <c r="F58" s="5">
        <f>(D58-'2012'!D86)/'2012'!D86</f>
        <v>7.009480626545754E-2</v>
      </c>
      <c r="G58" s="26">
        <v>157233</v>
      </c>
      <c r="H58" s="27">
        <v>102354</v>
      </c>
      <c r="I58" s="5">
        <f>(H58-'2013'!H90)/'2013'!H90</f>
        <v>0</v>
      </c>
      <c r="J58" s="5">
        <f>(H58-'2012'!H86)/'2012'!H86</f>
        <v>-4.0963269277548044E-3</v>
      </c>
      <c r="K58" s="26">
        <v>104493</v>
      </c>
      <c r="L58" s="25">
        <v>37397</v>
      </c>
      <c r="M58" s="5">
        <f>(L58-'2013'!L90)/'2013'!L90</f>
        <v>0</v>
      </c>
      <c r="N58" s="5">
        <f>(L58-'2012'!L86)/'2012'!L86</f>
        <v>1.9075128757119111E-2</v>
      </c>
      <c r="O58" s="26">
        <v>37397</v>
      </c>
    </row>
    <row r="59" spans="1:15" x14ac:dyDescent="0.25">
      <c r="A59" s="1" t="s">
        <v>8</v>
      </c>
      <c r="B59" s="1" t="s">
        <v>9</v>
      </c>
      <c r="C59" s="32" t="s">
        <v>7</v>
      </c>
      <c r="D59" s="27">
        <v>149254</v>
      </c>
      <c r="E59" s="5">
        <f>(D59-'2013'!D91)/'2013'!D91</f>
        <v>2.0896175760436116E-2</v>
      </c>
      <c r="F59" s="5">
        <f>(D59-'2012'!D87)/'2012'!D87</f>
        <v>6.5673730507796887E-2</v>
      </c>
      <c r="G59" s="26">
        <v>153374</v>
      </c>
      <c r="H59" s="27">
        <v>94967</v>
      </c>
      <c r="I59" s="5">
        <f>(H59-'2013'!H91)/'2013'!H91</f>
        <v>3.8052152589131884E-3</v>
      </c>
      <c r="J59" s="5">
        <f>(H59-'2012'!H87)/'2012'!H87</f>
        <v>3.2294882386190701E-2</v>
      </c>
      <c r="K59" s="26">
        <v>96154</v>
      </c>
      <c r="L59" s="27">
        <v>34376</v>
      </c>
      <c r="M59" s="5">
        <f>(L59-'2013'!L91)/'2013'!L91</f>
        <v>-1.617011533728285E-2</v>
      </c>
      <c r="N59" s="5">
        <f>(L59-'2012'!L87)/'2012'!L87</f>
        <v>1.6830833850977608E-2</v>
      </c>
      <c r="O59" s="26">
        <v>34880</v>
      </c>
    </row>
    <row r="60" spans="1:15" x14ac:dyDescent="0.25">
      <c r="A60" s="1" t="s">
        <v>10</v>
      </c>
      <c r="B60" s="1" t="s">
        <v>9</v>
      </c>
      <c r="C60" s="32" t="s">
        <v>11</v>
      </c>
      <c r="D60" s="27">
        <v>80450</v>
      </c>
      <c r="E60" s="5">
        <f>(D60-'2013'!D92)/'2013'!D92</f>
        <v>-6.0339188936647359E-2</v>
      </c>
      <c r="F60" s="5">
        <f>(D60-'2012'!D88)/'2012'!D88</f>
        <v>-3.1376420728183398E-2</v>
      </c>
      <c r="G60" s="26">
        <v>81433</v>
      </c>
      <c r="H60" s="27">
        <v>67568</v>
      </c>
      <c r="I60" s="5">
        <f>(H60-'2013'!H92)/'2013'!H92</f>
        <v>-5.3377791476365267E-2</v>
      </c>
      <c r="J60" s="5">
        <f>(H60-'2012'!H88)/'2012'!H88</f>
        <v>6.0900251641626589E-3</v>
      </c>
      <c r="K60" s="26">
        <v>68027</v>
      </c>
      <c r="L60" s="27">
        <v>31506</v>
      </c>
      <c r="M60" s="5">
        <f>(L60-'2013'!L92)/'2013'!L92</f>
        <v>-4.1904877752098287E-2</v>
      </c>
      <c r="N60" s="5">
        <f>(L60-'2012'!L88)/'2012'!L88</f>
        <v>-9.4633256830257487E-3</v>
      </c>
      <c r="O60" s="26">
        <v>31566</v>
      </c>
    </row>
    <row r="61" spans="1:15" x14ac:dyDescent="0.25">
      <c r="A61" s="1" t="s">
        <v>12</v>
      </c>
      <c r="B61" s="1" t="s">
        <v>13</v>
      </c>
      <c r="C61" s="32" t="s">
        <v>11</v>
      </c>
      <c r="D61" s="27">
        <v>75988</v>
      </c>
      <c r="E61" s="5">
        <f>(D61-'2013'!D93)/'2013'!D93</f>
        <v>-3.8018825873777497E-3</v>
      </c>
      <c r="F61" s="5">
        <f>(D61-'2012'!D89)/'2012'!D89</f>
        <v>5.5476845292663279E-2</v>
      </c>
      <c r="G61" s="26">
        <v>76628</v>
      </c>
      <c r="H61" s="27">
        <v>68776</v>
      </c>
      <c r="I61" s="5">
        <f>(H61-'2013'!H93)/'2013'!H93</f>
        <v>-1.4444571821621002E-2</v>
      </c>
      <c r="J61" s="5">
        <f>(H61-'2012'!H89)/'2012'!H89</f>
        <v>3.5081646474527807E-2</v>
      </c>
      <c r="K61" s="26">
        <v>69541</v>
      </c>
      <c r="L61" s="27">
        <v>32310</v>
      </c>
      <c r="M61" s="5">
        <f>(L61-'2013'!L93)/'2013'!L93</f>
        <v>-3.5466461063993833E-3</v>
      </c>
      <c r="N61" s="5">
        <f>(L61-'2012'!L89)/'2012'!L89</f>
        <v>1.3901528226692189E-2</v>
      </c>
      <c r="O61" s="26">
        <v>32310</v>
      </c>
    </row>
    <row r="62" spans="1:15" ht="15.75" thickBot="1" x14ac:dyDescent="0.3">
      <c r="A62" s="1" t="s">
        <v>14</v>
      </c>
      <c r="B62" s="1" t="s">
        <v>15</v>
      </c>
      <c r="C62" s="32" t="s">
        <v>11</v>
      </c>
      <c r="D62" s="28">
        <v>74516</v>
      </c>
      <c r="E62" s="5">
        <f>(D62-'2013'!D94)/'2013'!D94</f>
        <v>-9.6883513854741175E-3</v>
      </c>
      <c r="F62" s="5">
        <f>(D62-'2012'!D90)/'2012'!D90</f>
        <v>5.5153566219679699E-2</v>
      </c>
      <c r="G62" s="28">
        <v>75358</v>
      </c>
      <c r="H62" s="28">
        <v>67159</v>
      </c>
      <c r="I62" s="5">
        <f>(H62-'2013'!H94)/'2013'!H94</f>
        <v>-1.344125510473896E-2</v>
      </c>
      <c r="J62" s="5">
        <f>(H62-'2012'!H90)/'2012'!H90</f>
        <v>2.2829728906487969E-2</v>
      </c>
      <c r="K62" s="31">
        <v>70077</v>
      </c>
      <c r="L62" s="30">
        <v>31766</v>
      </c>
      <c r="M62" s="5">
        <f>(L62-'2013'!L94)/'2013'!L94</f>
        <v>-2.5104345691136756E-2</v>
      </c>
      <c r="N62" s="5">
        <f>(L62-'2012'!L90)/'2012'!L90</f>
        <v>-2.3516030862869262E-2</v>
      </c>
      <c r="O62" s="30">
        <v>31766</v>
      </c>
    </row>
    <row r="63" spans="1:15" x14ac:dyDescent="0.25">
      <c r="A63" s="15" t="s">
        <v>104</v>
      </c>
      <c r="C63" s="21" t="s">
        <v>154</v>
      </c>
    </row>
    <row r="65" spans="1:15" ht="19.5" thickBot="1" x14ac:dyDescent="0.35">
      <c r="A65" s="76" t="s">
        <v>157</v>
      </c>
      <c r="B65" s="76"/>
      <c r="C65" s="76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</row>
    <row r="66" spans="1:15" ht="45" x14ac:dyDescent="0.25">
      <c r="A66" s="1" t="s">
        <v>2</v>
      </c>
      <c r="B66" s="1" t="s">
        <v>3</v>
      </c>
      <c r="C66" s="32" t="s">
        <v>4</v>
      </c>
      <c r="D66" s="22" t="s">
        <v>78</v>
      </c>
      <c r="E66" s="23" t="s">
        <v>139</v>
      </c>
      <c r="F66" s="23" t="s">
        <v>156</v>
      </c>
      <c r="G66" s="24" t="s">
        <v>85</v>
      </c>
      <c r="H66" s="22" t="s">
        <v>79</v>
      </c>
      <c r="I66" s="23" t="s">
        <v>139</v>
      </c>
      <c r="J66" s="23" t="s">
        <v>156</v>
      </c>
      <c r="K66" s="24" t="s">
        <v>82</v>
      </c>
      <c r="L66" s="22" t="s">
        <v>80</v>
      </c>
      <c r="M66" s="23" t="s">
        <v>139</v>
      </c>
      <c r="N66" s="23" t="s">
        <v>156</v>
      </c>
      <c r="O66" s="24" t="s">
        <v>81</v>
      </c>
    </row>
    <row r="67" spans="1:15" x14ac:dyDescent="0.25">
      <c r="A67" s="1" t="s">
        <v>5</v>
      </c>
      <c r="B67" s="1" t="s">
        <v>6</v>
      </c>
      <c r="C67" s="32" t="s">
        <v>7</v>
      </c>
      <c r="D67" s="33">
        <v>161812</v>
      </c>
      <c r="E67" s="5">
        <f>(D67-'2013'!D82)/'2013'!D82</f>
        <v>-2.912994174011652E-2</v>
      </c>
      <c r="F67" s="5">
        <f>(D67-D50)/D50</f>
        <v>-3.8835758835758835E-2</v>
      </c>
      <c r="G67" s="26">
        <v>165016</v>
      </c>
      <c r="H67" s="27">
        <v>109649</v>
      </c>
      <c r="I67" s="5">
        <f>(H67-'2013'!H82)/'2013'!H82</f>
        <v>-1.206436731898944E-2</v>
      </c>
      <c r="J67" s="5">
        <f>(H67-H50)/H50</f>
        <v>-3.2905800329058005E-3</v>
      </c>
      <c r="K67" s="26">
        <v>110988</v>
      </c>
      <c r="L67" s="33">
        <v>37369</v>
      </c>
      <c r="M67" s="5">
        <f>(L67-'2013'!L82)/'2013'!L82</f>
        <v>-2.6164230057592577E-2</v>
      </c>
      <c r="N67" s="5">
        <f>(L67-L50)/L50</f>
        <v>-3.960421485479311E-2</v>
      </c>
      <c r="O67" s="26">
        <v>37721</v>
      </c>
    </row>
    <row r="68" spans="1:15" x14ac:dyDescent="0.25">
      <c r="A68" s="1" t="s">
        <v>8</v>
      </c>
      <c r="B68" s="1" t="s">
        <v>9</v>
      </c>
      <c r="C68" s="32" t="s">
        <v>7</v>
      </c>
      <c r="D68" s="27">
        <v>157480</v>
      </c>
      <c r="E68" s="5">
        <f>(D68-'2013'!D83)/'2013'!D83</f>
        <v>-5.8269147969191026E-2</v>
      </c>
      <c r="F68" s="5">
        <f>(D68-D51)/D51</f>
        <v>-2.6771809260129037E-2</v>
      </c>
      <c r="G68" s="26">
        <v>162074</v>
      </c>
      <c r="H68" s="27">
        <v>100705</v>
      </c>
      <c r="I68" s="5">
        <f>(H68-'2013'!H83)/'2013'!H83</f>
        <v>-5.0387788371288843E-3</v>
      </c>
      <c r="J68" s="5">
        <f>(H68-H51)/H51</f>
        <v>-2.4166900842062421E-2</v>
      </c>
      <c r="K68" s="26">
        <v>102459</v>
      </c>
      <c r="L68" s="33">
        <v>35223</v>
      </c>
      <c r="M68" s="5">
        <f>(L68-'2013'!L83)/'2013'!L83</f>
        <v>-3.1004126547455296E-2</v>
      </c>
      <c r="N68" s="5">
        <f>(L68-L51)/L51</f>
        <v>-3.1004126547455296E-2</v>
      </c>
      <c r="O68" s="34">
        <v>35689</v>
      </c>
    </row>
    <row r="69" spans="1:15" x14ac:dyDescent="0.25">
      <c r="A69" s="1" t="s">
        <v>10</v>
      </c>
      <c r="B69" s="1" t="s">
        <v>9</v>
      </c>
      <c r="C69" s="32" t="s">
        <v>11</v>
      </c>
      <c r="D69" s="27">
        <v>62035</v>
      </c>
      <c r="E69" s="5">
        <f>(D69-'2013'!D84)/'2013'!D84</f>
        <v>-4.5908951091971704E-2</v>
      </c>
      <c r="F69" s="5">
        <f>(D69-D52)/D52</f>
        <v>-1.6737728043619535E-2</v>
      </c>
      <c r="G69" s="26">
        <v>63012</v>
      </c>
      <c r="H69" s="27">
        <v>55897</v>
      </c>
      <c r="I69" s="5">
        <f>(H69-'2013'!H84)/'2013'!H84</f>
        <v>-2.2916375332121382E-2</v>
      </c>
      <c r="J69" s="5">
        <f>(H69-H52)/H52</f>
        <v>7.2620463473528673E-3</v>
      </c>
      <c r="K69" s="26">
        <v>55897</v>
      </c>
      <c r="L69" s="27">
        <v>28082</v>
      </c>
      <c r="M69" s="5">
        <f>(L69-'2013'!L84)/'2013'!L84</f>
        <v>-2.105556717562574E-2</v>
      </c>
      <c r="N69" s="5">
        <f>(L69-L52)/L52</f>
        <v>-1.4597515615130886E-2</v>
      </c>
      <c r="O69" s="26">
        <v>28122</v>
      </c>
    </row>
    <row r="70" spans="1:15" x14ac:dyDescent="0.25">
      <c r="A70" s="1" t="s">
        <v>12</v>
      </c>
      <c r="B70" s="1" t="s">
        <v>13</v>
      </c>
      <c r="C70" s="32" t="s">
        <v>7</v>
      </c>
      <c r="D70" s="27">
        <v>142450</v>
      </c>
      <c r="E70" s="5">
        <f>(D70-'2013'!D85)/'2013'!D85</f>
        <v>-1.5671858372835447E-2</v>
      </c>
      <c r="F70" s="5">
        <f>(D70-D53)/D53</f>
        <v>2.7066389802157236E-2</v>
      </c>
      <c r="G70" s="26">
        <v>151286</v>
      </c>
      <c r="H70" s="27">
        <v>102775</v>
      </c>
      <c r="I70" s="5">
        <f>(H70-'2013'!H85)/'2013'!H85</f>
        <v>6.1670368266101956E-2</v>
      </c>
      <c r="J70" s="5">
        <f>(H70-H53)/H53</f>
        <v>-3.4940279447115384E-2</v>
      </c>
      <c r="K70" s="26">
        <v>104058</v>
      </c>
      <c r="L70" s="27">
        <v>35398</v>
      </c>
      <c r="M70" s="5">
        <f>(L70-'2013'!L85)/'2013'!L85</f>
        <v>-3.5765846748930838E-2</v>
      </c>
      <c r="N70" s="5">
        <f>(L70-L53)/L53</f>
        <v>-5.7360460161908822E-2</v>
      </c>
      <c r="O70" s="26">
        <v>36166</v>
      </c>
    </row>
    <row r="71" spans="1:15" ht="15.75" thickBot="1" x14ac:dyDescent="0.3">
      <c r="A71" s="1" t="s">
        <v>14</v>
      </c>
      <c r="B71" s="1" t="s">
        <v>15</v>
      </c>
      <c r="C71" s="32" t="s">
        <v>7</v>
      </c>
      <c r="D71" s="28">
        <v>127551</v>
      </c>
      <c r="E71" s="5">
        <f>(D71-'2013'!D86)/'2013'!D86</f>
        <v>-3.4436033308099925E-2</v>
      </c>
      <c r="F71" s="5">
        <f>(D71-D54)/D54</f>
        <v>-6.3777157956547273E-2</v>
      </c>
      <c r="G71" s="28">
        <v>131062</v>
      </c>
      <c r="H71" s="28">
        <v>101112</v>
      </c>
      <c r="I71" s="5">
        <f>(H71-'2013'!H86)/'2013'!H86</f>
        <v>-2.8311134175171539E-2</v>
      </c>
      <c r="J71" s="5">
        <f>(H71-H54)/H54</f>
        <v>-2.1237875825218282E-2</v>
      </c>
      <c r="K71" s="30">
        <v>103734</v>
      </c>
      <c r="L71" s="28">
        <v>36403</v>
      </c>
      <c r="M71" s="5">
        <f>(L71-'2013'!L86)/'2013'!L86</f>
        <v>-4.7298775153105863E-3</v>
      </c>
      <c r="N71" s="5">
        <f>(L71-L54)/L54</f>
        <v>-2.2213268869191512E-2</v>
      </c>
      <c r="O71" s="30">
        <v>36738</v>
      </c>
    </row>
    <row r="72" spans="1:15" x14ac:dyDescent="0.25">
      <c r="A72" s="15" t="s">
        <v>104</v>
      </c>
      <c r="C72" s="21" t="s">
        <v>155</v>
      </c>
    </row>
    <row r="73" spans="1:15" ht="19.5" thickBot="1" x14ac:dyDescent="0.35">
      <c r="A73" s="76" t="s">
        <v>158</v>
      </c>
      <c r="B73" s="76"/>
      <c r="C73" s="76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</row>
    <row r="74" spans="1:15" ht="45" x14ac:dyDescent="0.25">
      <c r="A74" s="1" t="s">
        <v>2</v>
      </c>
      <c r="B74" s="1" t="s">
        <v>3</v>
      </c>
      <c r="C74" s="32" t="s">
        <v>4</v>
      </c>
      <c r="D74" s="22" t="s">
        <v>78</v>
      </c>
      <c r="E74" s="23" t="s">
        <v>139</v>
      </c>
      <c r="F74" s="23" t="s">
        <v>156</v>
      </c>
      <c r="G74" s="24" t="s">
        <v>85</v>
      </c>
      <c r="H74" s="22" t="s">
        <v>79</v>
      </c>
      <c r="I74" s="23" t="s">
        <v>139</v>
      </c>
      <c r="J74" s="23" t="s">
        <v>156</v>
      </c>
      <c r="K74" s="24" t="s">
        <v>82</v>
      </c>
      <c r="L74" s="22" t="s">
        <v>80</v>
      </c>
      <c r="M74" s="23" t="s">
        <v>139</v>
      </c>
      <c r="N74" s="23" t="s">
        <v>156</v>
      </c>
      <c r="O74" s="24" t="s">
        <v>81</v>
      </c>
    </row>
    <row r="75" spans="1:15" x14ac:dyDescent="0.25">
      <c r="A75" s="1" t="s">
        <v>5</v>
      </c>
      <c r="B75" s="1" t="s">
        <v>6</v>
      </c>
      <c r="C75" s="32" t="s">
        <v>7</v>
      </c>
      <c r="D75" s="33">
        <v>146412</v>
      </c>
      <c r="E75" s="5">
        <f>(D75-'2013'!D90)/'2013'!D90</f>
        <v>-1.3183435781300551E-2</v>
      </c>
      <c r="F75" s="5">
        <f>(D75-D58)/D58</f>
        <v>-6.0033512451609178E-2</v>
      </c>
      <c r="G75" s="26">
        <v>149476</v>
      </c>
      <c r="H75" s="27">
        <v>100300</v>
      </c>
      <c r="I75" s="5">
        <f>(H75-'2013'!H90)/'2013'!H90</f>
        <v>-2.0067608496004065E-2</v>
      </c>
      <c r="J75" s="5">
        <f>(H75-H58)/H58</f>
        <v>-2.0067608496004065E-2</v>
      </c>
      <c r="K75" s="26">
        <v>101214</v>
      </c>
      <c r="L75" s="25">
        <v>36443</v>
      </c>
      <c r="M75" s="5">
        <f>(L75-'2013'!L90)/'2013'!L90</f>
        <v>-2.5510067652485494E-2</v>
      </c>
      <c r="N75" s="5">
        <f>(L75-L58)/L58</f>
        <v>-2.5510067652485494E-2</v>
      </c>
      <c r="O75" s="26">
        <v>36616</v>
      </c>
    </row>
    <row r="76" spans="1:15" x14ac:dyDescent="0.25">
      <c r="A76" s="1" t="s">
        <v>8</v>
      </c>
      <c r="B76" s="1" t="s">
        <v>9</v>
      </c>
      <c r="C76" s="32" t="s">
        <v>7</v>
      </c>
      <c r="D76" s="27">
        <v>140646</v>
      </c>
      <c r="E76" s="5">
        <f>(D76-'2013'!D91)/'2013'!D91</f>
        <v>-3.7982475940327907E-2</v>
      </c>
      <c r="F76" s="5">
        <f>(D76-D59)/D59</f>
        <v>-5.7673496187706862E-2</v>
      </c>
      <c r="G76" s="26">
        <v>143266</v>
      </c>
      <c r="H76" s="27">
        <v>88495</v>
      </c>
      <c r="I76" s="5">
        <f>(H76-'2013'!H91)/'2013'!H91</f>
        <v>-6.4604099062437234E-2</v>
      </c>
      <c r="J76" s="5">
        <f>(H76-H59)/H59</f>
        <v>-6.8149988943527751E-2</v>
      </c>
      <c r="K76" s="26">
        <v>91575</v>
      </c>
      <c r="L76" s="27">
        <v>33990</v>
      </c>
      <c r="M76" s="5">
        <f>(L76-'2013'!L91)/'2013'!L91</f>
        <v>-2.7217309178329183E-2</v>
      </c>
      <c r="N76" s="5">
        <f>(L76-L59)/L59</f>
        <v>-1.122876425413079E-2</v>
      </c>
      <c r="O76" s="26">
        <v>34153</v>
      </c>
    </row>
    <row r="77" spans="1:15" x14ac:dyDescent="0.25">
      <c r="A77" s="1" t="s">
        <v>10</v>
      </c>
      <c r="B77" s="1" t="s">
        <v>9</v>
      </c>
      <c r="C77" s="32" t="s">
        <v>11</v>
      </c>
      <c r="D77" s="27">
        <v>79872</v>
      </c>
      <c r="E77" s="5">
        <f>(D77-'2013'!D92)/'2013'!D92</f>
        <v>-6.7090263502149125E-2</v>
      </c>
      <c r="F77" s="5">
        <f>(D77-D60)/D60</f>
        <v>-7.1845866998135489E-3</v>
      </c>
      <c r="G77" s="26">
        <v>83822</v>
      </c>
      <c r="H77" s="27">
        <v>67750</v>
      </c>
      <c r="I77" s="5">
        <f>(H77-'2013'!H92)/'2013'!H92</f>
        <v>-5.082798621423968E-2</v>
      </c>
      <c r="J77" s="5">
        <f>(H77-H60)/H60</f>
        <v>2.6935827610703291E-3</v>
      </c>
      <c r="K77" s="26">
        <v>69930</v>
      </c>
      <c r="L77" s="27">
        <v>32000</v>
      </c>
      <c r="M77" s="5">
        <f>(L77-'2013'!L92)/'2013'!L92</f>
        <v>-2.6882374407006446E-2</v>
      </c>
      <c r="N77" s="5">
        <f>(L77-L60)/L60</f>
        <v>1.5679553100996637E-2</v>
      </c>
      <c r="O77" s="26">
        <v>32154</v>
      </c>
    </row>
    <row r="78" spans="1:15" x14ac:dyDescent="0.25">
      <c r="A78" s="1" t="s">
        <v>12</v>
      </c>
      <c r="B78" s="1" t="s">
        <v>13</v>
      </c>
      <c r="C78" s="32" t="s">
        <v>11</v>
      </c>
      <c r="D78" s="27">
        <v>71377</v>
      </c>
      <c r="E78" s="5">
        <f>(D78-'2013'!D93)/'2013'!D93</f>
        <v>-6.4251815726683967E-2</v>
      </c>
      <c r="F78" s="5">
        <f>(D78-D61)/D61</f>
        <v>-6.0680633784281728E-2</v>
      </c>
      <c r="G78" s="26">
        <v>71839</v>
      </c>
      <c r="H78" s="27">
        <v>65316</v>
      </c>
      <c r="I78" s="5">
        <f>(H78-'2013'!H93)/'2013'!H93</f>
        <v>-6.4026137796629606E-2</v>
      </c>
      <c r="J78" s="5">
        <f>(H78-H61)/H61</f>
        <v>-5.0308247062928926E-2</v>
      </c>
      <c r="K78" s="26">
        <v>65659</v>
      </c>
      <c r="L78" s="27">
        <v>31289</v>
      </c>
      <c r="M78" s="5">
        <f>(L78-'2013'!L93)/'2013'!L93</f>
        <v>-3.5034695451040862E-2</v>
      </c>
      <c r="N78" s="5">
        <f>(L78-L61)/L61</f>
        <v>-3.1600123800680904E-2</v>
      </c>
      <c r="O78" s="26">
        <v>31735</v>
      </c>
    </row>
    <row r="79" spans="1:15" ht="15.75" thickBot="1" x14ac:dyDescent="0.3">
      <c r="A79" s="1" t="s">
        <v>14</v>
      </c>
      <c r="B79" s="1" t="s">
        <v>15</v>
      </c>
      <c r="C79" s="32" t="s">
        <v>11</v>
      </c>
      <c r="D79" s="28">
        <v>68870</v>
      </c>
      <c r="E79" s="5">
        <f>(D79-'2013'!D94)/'2013'!D94</f>
        <v>-8.4723237424413581E-2</v>
      </c>
      <c r="F79" s="5">
        <f>(D79-D62)/D62</f>
        <v>-7.5768962370497614E-2</v>
      </c>
      <c r="G79" s="28">
        <v>71942</v>
      </c>
      <c r="H79" s="28">
        <v>65919</v>
      </c>
      <c r="I79" s="5">
        <f>(H79-'2013'!H94)/'2013'!H94</f>
        <v>-3.1656726503510882E-2</v>
      </c>
      <c r="J79" s="5">
        <f>(H79-H62)/H62</f>
        <v>-1.8463645974478478E-2</v>
      </c>
      <c r="K79" s="31">
        <v>65963</v>
      </c>
      <c r="L79" s="30">
        <v>31426</v>
      </c>
      <c r="M79" s="5">
        <f>(L79-'2013'!L94)/'2013'!L94</f>
        <v>-3.553891480481218E-2</v>
      </c>
      <c r="N79" s="5">
        <f>(L79-L62)/L62</f>
        <v>-1.0703267644651513E-2</v>
      </c>
      <c r="O79" s="30">
        <v>31595</v>
      </c>
    </row>
    <row r="80" spans="1:15" x14ac:dyDescent="0.25">
      <c r="A80" s="15" t="s">
        <v>104</v>
      </c>
      <c r="C80" s="21" t="s">
        <v>159</v>
      </c>
    </row>
  </sheetData>
  <mergeCells count="7">
    <mergeCell ref="A48:O48"/>
    <mergeCell ref="A56:O56"/>
    <mergeCell ref="A65:O65"/>
    <mergeCell ref="A73:O73"/>
    <mergeCell ref="A1:O1"/>
    <mergeCell ref="A10:O10"/>
    <mergeCell ref="A38:O38"/>
  </mergeCells>
  <conditionalFormatting sqref="E3:F7 I3:J7 M3:N7">
    <cfRule type="colorScale" priority="2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2:F16 I12:J16 M12:N16">
    <cfRule type="colorScale" priority="23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1:F25 I21:J25 M21:N25">
    <cfRule type="colorScale" priority="2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30:F34 I30:J34 M30:N34">
    <cfRule type="colorScale" priority="21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I21">
    <cfRule type="colorScale" priority="20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I22:I25">
    <cfRule type="colorScale" priority="19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40:F44 I40:J44 M40:N44">
    <cfRule type="colorScale" priority="18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I40">
    <cfRule type="colorScale" priority="16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I41:I44">
    <cfRule type="colorScale" priority="1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50:F54 I50:J54 M50:N54">
    <cfRule type="colorScale" priority="1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58:F62 I58:J62 M58:N62">
    <cfRule type="colorScale" priority="13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I50">
    <cfRule type="colorScale" priority="1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I51:I54">
    <cfRule type="colorScale" priority="11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67:F71 I67:J71 M67:N71">
    <cfRule type="colorScale" priority="8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75:F79 I75:J79 M75:N79">
    <cfRule type="colorScale" priority="7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I67">
    <cfRule type="colorScale" priority="6">
      <colorScale>
        <cfvo type="min"/>
        <cfvo type="num" val="0"/>
        <cfvo type="max"/>
        <color rgb="FFF8696B"/>
        <color theme="0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16"/>
  <sheetViews>
    <sheetView topLeftCell="A103" workbookViewId="0">
      <selection activeCell="I14" sqref="I14"/>
    </sheetView>
  </sheetViews>
  <sheetFormatPr defaultRowHeight="15" x14ac:dyDescent="0.25"/>
  <cols>
    <col min="2" max="2" width="14.85546875" customWidth="1"/>
    <col min="3" max="3" width="9.85546875" customWidth="1"/>
    <col min="4" max="4" width="12" customWidth="1"/>
    <col min="5" max="5" width="13.42578125" bestFit="1" customWidth="1"/>
    <col min="6" max="6" width="9.140625" customWidth="1"/>
    <col min="7" max="7" width="11.28515625" customWidth="1"/>
    <col min="8" max="8" width="12.42578125" customWidth="1"/>
    <col min="9" max="10" width="13.42578125" bestFit="1" customWidth="1"/>
    <col min="11" max="11" width="12.140625" customWidth="1"/>
    <col min="12" max="12" width="10.42578125" customWidth="1"/>
    <col min="13" max="14" width="12.7109375" bestFit="1" customWidth="1"/>
    <col min="15" max="15" width="11.7109375" customWidth="1"/>
  </cols>
  <sheetData>
    <row r="1" spans="1:16" ht="18.75" x14ac:dyDescent="0.3">
      <c r="A1" s="76" t="s">
        <v>165</v>
      </c>
      <c r="B1" s="76"/>
      <c r="C1" s="76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</row>
    <row r="2" spans="1:16" ht="45" x14ac:dyDescent="0.25">
      <c r="A2" s="1" t="s">
        <v>2</v>
      </c>
      <c r="B2" s="1" t="s">
        <v>3</v>
      </c>
      <c r="C2" s="32" t="s">
        <v>4</v>
      </c>
      <c r="D2" s="4" t="s">
        <v>78</v>
      </c>
      <c r="E2" s="4" t="s">
        <v>139</v>
      </c>
      <c r="F2" s="4" t="s">
        <v>164</v>
      </c>
      <c r="G2" s="4" t="s">
        <v>85</v>
      </c>
      <c r="H2" s="4" t="s">
        <v>79</v>
      </c>
      <c r="I2" s="4" t="s">
        <v>139</v>
      </c>
      <c r="J2" s="4" t="s">
        <v>164</v>
      </c>
      <c r="K2" s="4" t="s">
        <v>82</v>
      </c>
      <c r="L2" s="4" t="s">
        <v>80</v>
      </c>
      <c r="M2" s="4" t="s">
        <v>139</v>
      </c>
      <c r="N2" s="4" t="s">
        <v>164</v>
      </c>
      <c r="O2" s="4" t="s">
        <v>81</v>
      </c>
    </row>
    <row r="3" spans="1:16" x14ac:dyDescent="0.25">
      <c r="A3" s="1" t="s">
        <v>5</v>
      </c>
      <c r="B3" s="1" t="s">
        <v>6</v>
      </c>
      <c r="C3" s="32" t="s">
        <v>7</v>
      </c>
      <c r="D3" s="42">
        <v>149925</v>
      </c>
      <c r="E3" s="41">
        <f>(D3-'2013'!D82)/'2013'!D82</f>
        <v>-0.10045179909640181</v>
      </c>
      <c r="F3" s="41">
        <f>(D3-'2014'!D67)/'2014'!D67</f>
        <v>-7.3461795169703109E-2</v>
      </c>
      <c r="G3" s="42">
        <v>157728</v>
      </c>
      <c r="H3" s="42">
        <v>106951</v>
      </c>
      <c r="I3" s="41">
        <f>(H3-'2013'!H82)/'2013'!H82</f>
        <v>-3.6373301618192959E-2</v>
      </c>
      <c r="J3" s="41">
        <f>(H3-'2014'!H67)/'2014'!H67</f>
        <v>-2.4605787558482067E-2</v>
      </c>
      <c r="K3" s="42">
        <v>109170</v>
      </c>
      <c r="L3" s="42">
        <v>37735</v>
      </c>
      <c r="M3" s="41">
        <f>(L3-'2013'!L82)/'2013'!L82</f>
        <v>-1.6626273682016E-2</v>
      </c>
      <c r="N3" s="41">
        <f>(L3-'2014'!L67)/'2014'!L67</f>
        <v>9.7942144558323743E-3</v>
      </c>
      <c r="O3" s="42">
        <v>38095</v>
      </c>
    </row>
    <row r="4" spans="1:16" x14ac:dyDescent="0.25">
      <c r="A4" s="1" t="s">
        <v>8</v>
      </c>
      <c r="B4" s="1" t="s">
        <v>9</v>
      </c>
      <c r="C4" s="32" t="s">
        <v>7</v>
      </c>
      <c r="D4" s="42">
        <v>149253</v>
      </c>
      <c r="E4" s="41">
        <f>(D4-'2013'!D83)/'2013'!D83</f>
        <v>-0.10746663158398316</v>
      </c>
      <c r="F4" s="41">
        <f>(D4-'2014'!D68)/'2014'!D68</f>
        <v>-5.2241554483108965E-2</v>
      </c>
      <c r="G4" s="42">
        <v>153609</v>
      </c>
      <c r="H4" s="42">
        <v>102880</v>
      </c>
      <c r="I4" s="41">
        <f>(H4-'2013'!H83)/'2013'!H83</f>
        <v>1.6450130909450179E-2</v>
      </c>
      <c r="J4" s="41">
        <f>(H4-'2014'!H68)/'2014'!H68</f>
        <v>2.1597735961471624E-2</v>
      </c>
      <c r="K4" s="42">
        <v>102880</v>
      </c>
      <c r="L4" s="42">
        <v>35752</v>
      </c>
      <c r="M4" s="41">
        <f>(L4-'2013'!L83)/'2013'!L83</f>
        <v>-1.6451169188445667E-2</v>
      </c>
      <c r="N4" s="41">
        <f>(L4-'2014'!L68)/'2014'!L68</f>
        <v>1.5018595803878147E-2</v>
      </c>
      <c r="O4" s="42">
        <v>35868</v>
      </c>
    </row>
    <row r="5" spans="1:16" x14ac:dyDescent="0.25">
      <c r="A5" s="1" t="s">
        <v>10</v>
      </c>
      <c r="B5" s="1" t="s">
        <v>9</v>
      </c>
      <c r="C5" s="32" t="s">
        <v>11</v>
      </c>
      <c r="D5" s="42">
        <v>61199</v>
      </c>
      <c r="E5" s="41">
        <f>(D5-'2013'!D84)/'2013'!D84</f>
        <v>-5.8766533374346355E-2</v>
      </c>
      <c r="F5" s="41">
        <f>(D5-'2014'!D69)/'2014'!D69</f>
        <v>-1.3476263399693721E-2</v>
      </c>
      <c r="G5" s="42">
        <v>63011</v>
      </c>
      <c r="H5" s="42">
        <v>54112</v>
      </c>
      <c r="I5" s="41">
        <f>(H5-'2013'!H84)/'2013'!H84</f>
        <v>-5.4118305132149352E-2</v>
      </c>
      <c r="J5" s="41">
        <f>(H5-'2014'!H69)/'2014'!H69</f>
        <v>-3.1933735263073151E-2</v>
      </c>
      <c r="K5" s="42">
        <v>55897</v>
      </c>
      <c r="L5" s="42">
        <v>28042</v>
      </c>
      <c r="M5" s="41">
        <f>(L5-'2013'!L84)/'2013'!L84</f>
        <v>-2.2449975597852612E-2</v>
      </c>
      <c r="N5" s="41">
        <f>(L5-'2014'!L69)/'2014'!L69</f>
        <v>-1.4243999715120006E-3</v>
      </c>
      <c r="O5" s="42">
        <v>28587</v>
      </c>
    </row>
    <row r="6" spans="1:16" x14ac:dyDescent="0.25">
      <c r="A6" s="1" t="s">
        <v>12</v>
      </c>
      <c r="B6" s="1" t="s">
        <v>13</v>
      </c>
      <c r="C6" s="32" t="s">
        <v>7</v>
      </c>
      <c r="D6" s="42">
        <v>127064</v>
      </c>
      <c r="E6" s="41">
        <f>(D6-'2013'!D85)/'2013'!D85</f>
        <v>-0.12198897165521912</v>
      </c>
      <c r="F6" s="41">
        <f>(D6-'2014'!D70)/'2014'!D70</f>
        <v>-0.10800982800982802</v>
      </c>
      <c r="G6" s="42">
        <v>134228</v>
      </c>
      <c r="H6" s="42">
        <v>103199</v>
      </c>
      <c r="I6" s="41">
        <f>(H6-'2013'!H85)/'2013'!H85</f>
        <v>6.6050307318836834E-2</v>
      </c>
      <c r="J6" s="41">
        <f>(H6-'2014'!H70)/'2014'!H70</f>
        <v>4.125516905862321E-3</v>
      </c>
      <c r="K6" s="42">
        <v>104166</v>
      </c>
      <c r="L6" s="42">
        <v>36697</v>
      </c>
      <c r="M6" s="41">
        <f>(L6-'2013'!L85)/'2013'!L85</f>
        <v>-3.8135708643185964E-4</v>
      </c>
      <c r="N6" s="41">
        <f>(L6-'2014'!L70)/'2014'!L70</f>
        <v>3.6696988530425446E-2</v>
      </c>
      <c r="O6" s="42">
        <v>36710</v>
      </c>
    </row>
    <row r="7" spans="1:16" x14ac:dyDescent="0.25">
      <c r="A7" s="1" t="s">
        <v>14</v>
      </c>
      <c r="B7" s="1" t="s">
        <v>15</v>
      </c>
      <c r="C7" s="32" t="s">
        <v>7</v>
      </c>
      <c r="D7" s="42">
        <v>128534</v>
      </c>
      <c r="E7" s="41">
        <f>(D7-'2013'!D86)/'2013'!D86</f>
        <v>-2.6994700984102952E-2</v>
      </c>
      <c r="F7" s="41">
        <f>(D7-'2014'!D71)/'2014'!D71</f>
        <v>7.7067212330753972E-3</v>
      </c>
      <c r="G7" s="42">
        <v>131578</v>
      </c>
      <c r="H7" s="42">
        <v>99800</v>
      </c>
      <c r="I7" s="41">
        <f>(H7-'2013'!H86)/'2013'!H86</f>
        <v>-4.0919487209056485E-2</v>
      </c>
      <c r="J7" s="41">
        <f>(H7-'2014'!H71)/'2014'!H71</f>
        <v>-1.2975710103647441E-2</v>
      </c>
      <c r="K7" s="42">
        <v>104058</v>
      </c>
      <c r="L7" s="42">
        <v>36469</v>
      </c>
      <c r="M7" s="41">
        <f>(L7-'2013'!L86)/'2013'!L86</f>
        <v>-2.9254155730533684E-3</v>
      </c>
      <c r="N7" s="41">
        <f>(L7-'2014'!L71)/'2014'!L71</f>
        <v>1.8130373870285416E-3</v>
      </c>
      <c r="O7" s="42">
        <v>36576</v>
      </c>
    </row>
    <row r="8" spans="1:16" x14ac:dyDescent="0.25">
      <c r="A8" s="15" t="s">
        <v>104</v>
      </c>
      <c r="C8" s="21" t="s">
        <v>162</v>
      </c>
    </row>
    <row r="9" spans="1:16" x14ac:dyDescent="0.25">
      <c r="A9" s="15"/>
      <c r="B9" s="13"/>
      <c r="C9" s="21"/>
    </row>
    <row r="10" spans="1:16" ht="18.75" x14ac:dyDescent="0.3">
      <c r="A10" s="76" t="s">
        <v>166</v>
      </c>
      <c r="B10" s="76"/>
      <c r="C10" s="76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</row>
    <row r="11" spans="1:16" ht="45" x14ac:dyDescent="0.25">
      <c r="A11" s="1" t="s">
        <v>2</v>
      </c>
      <c r="B11" s="1" t="s">
        <v>3</v>
      </c>
      <c r="C11" s="32" t="s">
        <v>4</v>
      </c>
      <c r="D11" s="4" t="s">
        <v>78</v>
      </c>
      <c r="E11" s="4" t="s">
        <v>139</v>
      </c>
      <c r="F11" s="4" t="s">
        <v>164</v>
      </c>
      <c r="G11" s="4" t="s">
        <v>85</v>
      </c>
      <c r="H11" s="4" t="s">
        <v>79</v>
      </c>
      <c r="I11" s="4" t="s">
        <v>139</v>
      </c>
      <c r="J11" s="4" t="s">
        <v>164</v>
      </c>
      <c r="K11" s="4" t="s">
        <v>82</v>
      </c>
      <c r="L11" s="4" t="s">
        <v>80</v>
      </c>
      <c r="M11" s="4" t="s">
        <v>139</v>
      </c>
      <c r="N11" s="4" t="s">
        <v>164</v>
      </c>
      <c r="O11" s="4" t="s">
        <v>81</v>
      </c>
    </row>
    <row r="12" spans="1:16" x14ac:dyDescent="0.25">
      <c r="A12" s="1" t="s">
        <v>5</v>
      </c>
      <c r="B12" s="1" t="s">
        <v>6</v>
      </c>
      <c r="C12" s="32" t="s">
        <v>7</v>
      </c>
      <c r="D12" s="42">
        <v>144300</v>
      </c>
      <c r="E12" s="41">
        <f>(D12-'2013'!D90)/'2013'!D90</f>
        <v>-2.7418311226140409E-2</v>
      </c>
      <c r="F12" s="41">
        <f>(D12-'2014'!D75)/'2014'!D75</f>
        <v>-1.4425047127284648E-2</v>
      </c>
      <c r="G12" s="42">
        <v>146198</v>
      </c>
      <c r="H12" s="42">
        <v>100300</v>
      </c>
      <c r="I12" s="41">
        <f>(H12-'2013'!H90)/'2013'!H90</f>
        <v>-2.0067608496004065E-2</v>
      </c>
      <c r="J12" s="41">
        <f>(H12-'2014'!H75)/'2014'!H75</f>
        <v>0</v>
      </c>
      <c r="K12" s="42">
        <v>101626</v>
      </c>
      <c r="L12" s="42">
        <v>35460</v>
      </c>
      <c r="M12" s="41">
        <f>(L12-'2013'!L90)/'2013'!L90</f>
        <v>-5.1795598577425994E-2</v>
      </c>
      <c r="N12" s="41">
        <f>(L12-'2014'!L75)/'2014'!L75</f>
        <v>-2.6973630052410612E-2</v>
      </c>
      <c r="O12" s="42">
        <v>36271</v>
      </c>
    </row>
    <row r="13" spans="1:16" x14ac:dyDescent="0.25">
      <c r="A13" s="1" t="s">
        <v>8</v>
      </c>
      <c r="B13" s="1" t="s">
        <v>9</v>
      </c>
      <c r="C13" s="32" t="s">
        <v>7</v>
      </c>
      <c r="D13" s="42">
        <v>138121</v>
      </c>
      <c r="E13" s="41">
        <f>(D13-'2013'!D91)/'2013'!D91</f>
        <v>-5.525345590599115E-2</v>
      </c>
      <c r="F13" s="41">
        <f>(D13-'2014'!D76)/'2014'!D76</f>
        <v>-1.7952874592949676E-2</v>
      </c>
      <c r="G13" s="42">
        <v>141442</v>
      </c>
      <c r="H13" s="42">
        <v>91240</v>
      </c>
      <c r="I13" s="41">
        <f>(H13-'2013'!H91)/'2013'!H91</f>
        <v>-3.5589332713224182E-2</v>
      </c>
      <c r="J13" s="41">
        <f>(H13-'2014'!H76)/'2014'!H76</f>
        <v>3.1018701621560542E-2</v>
      </c>
      <c r="K13" s="42">
        <v>92506</v>
      </c>
      <c r="L13" s="42">
        <v>34036</v>
      </c>
      <c r="M13" s="41">
        <f>(L13-'2013'!L91)/'2013'!L91</f>
        <v>-2.5900804212815889E-2</v>
      </c>
      <c r="N13" s="41">
        <f>(L13-'2014'!L76)/'2014'!L76</f>
        <v>1.3533392174168873E-3</v>
      </c>
      <c r="O13" s="42">
        <v>34036</v>
      </c>
    </row>
    <row r="14" spans="1:16" x14ac:dyDescent="0.25">
      <c r="A14" s="1" t="s">
        <v>10</v>
      </c>
      <c r="B14" s="1" t="s">
        <v>9</v>
      </c>
      <c r="C14" s="32" t="s">
        <v>11</v>
      </c>
      <c r="D14" s="42">
        <v>77279</v>
      </c>
      <c r="E14" s="41">
        <f>(D14-'2013'!D92)/'2013'!D92</f>
        <v>-9.737665856849187E-2</v>
      </c>
      <c r="F14" s="41">
        <f>(D14-'2014'!D77)/'2014'!D77</f>
        <v>-3.246444310897436E-2</v>
      </c>
      <c r="G14" s="42">
        <v>78003</v>
      </c>
      <c r="H14" s="42">
        <v>64516</v>
      </c>
      <c r="I14" s="41">
        <f>(H14-'2013'!H92)/'2013'!H92</f>
        <v>-9.6136064333548155E-2</v>
      </c>
      <c r="J14" s="41">
        <f>(H14-'2014'!H77)/'2014'!H77</f>
        <v>-4.7734317343173432E-2</v>
      </c>
      <c r="K14" s="42">
        <v>64808</v>
      </c>
      <c r="L14" s="42">
        <v>30978</v>
      </c>
      <c r="M14" s="41">
        <f>(L14-'2013'!L92)/'2013'!L92</f>
        <v>-5.7961318574382678E-2</v>
      </c>
      <c r="N14" s="41">
        <f>(L14-'2014'!L77)/'2014'!L77</f>
        <v>-3.1937500000000001E-2</v>
      </c>
      <c r="O14" s="42">
        <v>31436</v>
      </c>
    </row>
    <row r="15" spans="1:16" ht="18" x14ac:dyDescent="0.25">
      <c r="A15" s="1" t="s">
        <v>12</v>
      </c>
      <c r="B15" s="1" t="s">
        <v>13</v>
      </c>
      <c r="C15" s="32" t="s">
        <v>11</v>
      </c>
      <c r="D15" s="42">
        <v>69783</v>
      </c>
      <c r="E15" s="41">
        <f>(D15-'2013'!D93)/'2013'!D93</f>
        <v>-8.5149060017305114E-2</v>
      </c>
      <c r="F15" s="41">
        <f>(D15-'2014'!D78)/'2014'!D78</f>
        <v>-2.233212379337882E-2</v>
      </c>
      <c r="G15" s="42">
        <v>70921</v>
      </c>
      <c r="H15" s="42">
        <v>64766</v>
      </c>
      <c r="I15" s="41">
        <f>(H15-'2013'!H93)/'2013'!H93</f>
        <v>-7.1907600596125193E-2</v>
      </c>
      <c r="J15" s="41">
        <f>(H15-'2014'!H78)/'2014'!H78</f>
        <v>-8.4206013840406636E-3</v>
      </c>
      <c r="K15" s="42">
        <v>65061</v>
      </c>
      <c r="L15" s="42">
        <v>31133</v>
      </c>
      <c r="M15" s="41">
        <f>(L15-'2013'!L93)/'2013'!L93</f>
        <v>-3.9845797995373938E-2</v>
      </c>
      <c r="N15" s="41">
        <f>(L15-'2014'!L78)/'2014'!L78</f>
        <v>-4.9857777493687878E-3</v>
      </c>
      <c r="O15" s="42">
        <v>31436</v>
      </c>
      <c r="P15" s="40"/>
    </row>
    <row r="16" spans="1:16" x14ac:dyDescent="0.25">
      <c r="A16" s="1" t="s">
        <v>14</v>
      </c>
      <c r="B16" s="1" t="s">
        <v>15</v>
      </c>
      <c r="C16" s="32" t="s">
        <v>11</v>
      </c>
      <c r="D16" s="42">
        <v>69108</v>
      </c>
      <c r="E16" s="41">
        <f>(D16-'2013'!D94)/'2013'!D94</f>
        <v>-8.1560236560568808E-2</v>
      </c>
      <c r="F16" s="41">
        <f>(D16-'2014'!D79)/'2014'!D79</f>
        <v>3.4557862639756063E-3</v>
      </c>
      <c r="G16" s="42">
        <v>70077</v>
      </c>
      <c r="H16" s="42">
        <v>62383</v>
      </c>
      <c r="I16" s="41">
        <f>(H16-'2013'!H94)/'2013'!H94</f>
        <v>-8.3600199782589535E-2</v>
      </c>
      <c r="J16" s="41">
        <f>(H16-'2014'!H79)/'2014'!H79</f>
        <v>-5.3641590436748134E-2</v>
      </c>
      <c r="K16" s="42">
        <v>64432</v>
      </c>
      <c r="L16" s="42">
        <v>31298</v>
      </c>
      <c r="M16" s="41">
        <f>(L16-'2013'!L94)/'2013'!L94</f>
        <v>-3.9467223177019395E-2</v>
      </c>
      <c r="N16" s="41">
        <f>(L16-'2014'!L79)/'2014'!L79</f>
        <v>-4.0730605231337107E-3</v>
      </c>
      <c r="O16" s="42">
        <v>31595</v>
      </c>
    </row>
    <row r="17" spans="1:15" x14ac:dyDescent="0.25">
      <c r="A17" s="15" t="s">
        <v>104</v>
      </c>
      <c r="C17" s="21" t="s">
        <v>163</v>
      </c>
    </row>
    <row r="19" spans="1:15" ht="18.75" x14ac:dyDescent="0.3">
      <c r="A19" s="35" t="s">
        <v>167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7"/>
    </row>
    <row r="20" spans="1:15" ht="45" x14ac:dyDescent="0.25">
      <c r="A20" s="1" t="s">
        <v>2</v>
      </c>
      <c r="B20" s="1" t="s">
        <v>3</v>
      </c>
      <c r="C20" s="32" t="s">
        <v>4</v>
      </c>
      <c r="D20" s="4" t="s">
        <v>78</v>
      </c>
      <c r="E20" s="4" t="s">
        <v>139</v>
      </c>
      <c r="F20" s="4" t="s">
        <v>164</v>
      </c>
      <c r="G20" s="4" t="s">
        <v>85</v>
      </c>
      <c r="H20" s="4" t="s">
        <v>79</v>
      </c>
      <c r="I20" s="4" t="s">
        <v>139</v>
      </c>
      <c r="J20" s="4" t="s">
        <v>164</v>
      </c>
      <c r="K20" s="4" t="s">
        <v>82</v>
      </c>
      <c r="L20" s="4" t="s">
        <v>80</v>
      </c>
      <c r="M20" s="4" t="s">
        <v>139</v>
      </c>
      <c r="N20" s="4" t="s">
        <v>164</v>
      </c>
      <c r="O20" s="4" t="s">
        <v>81</v>
      </c>
    </row>
    <row r="21" spans="1:15" x14ac:dyDescent="0.25">
      <c r="A21" s="1" t="s">
        <v>5</v>
      </c>
      <c r="B21" s="1" t="s">
        <v>6</v>
      </c>
      <c r="C21" s="32" t="s">
        <v>7</v>
      </c>
      <c r="D21" s="38">
        <v>160771</v>
      </c>
      <c r="E21" s="5">
        <f>(D21-'2013'!D82)/'2013'!D82</f>
        <v>-3.5375929248141501E-2</v>
      </c>
      <c r="F21" s="5">
        <f>(D21-'2014'!D67)/'2014'!D67</f>
        <v>-6.4333918374409813E-3</v>
      </c>
      <c r="G21" s="38">
        <v>162866</v>
      </c>
      <c r="H21" s="39">
        <v>109529</v>
      </c>
      <c r="I21" s="5">
        <f>(H21-'2013'!H82)/'2013'!H82</f>
        <v>-1.3145565286337261E-2</v>
      </c>
      <c r="J21" s="5">
        <f>(H21-'2014'!H67)/'2014'!H67</f>
        <v>-1.0944012257293727E-3</v>
      </c>
      <c r="K21" s="39">
        <v>111607</v>
      </c>
      <c r="L21" s="39">
        <v>36900</v>
      </c>
      <c r="M21" s="5">
        <f>(L21-'2013'!L82)/'2013'!L82</f>
        <v>-3.8386365413181141E-2</v>
      </c>
      <c r="N21" s="5">
        <f>(L21-'2014'!L67)/'2014'!L67</f>
        <v>-1.2550509780834381E-2</v>
      </c>
      <c r="O21" s="39">
        <v>37735</v>
      </c>
    </row>
    <row r="22" spans="1:15" x14ac:dyDescent="0.25">
      <c r="A22" s="1" t="s">
        <v>8</v>
      </c>
      <c r="B22" s="1" t="s">
        <v>9</v>
      </c>
      <c r="C22" s="32" t="s">
        <v>7</v>
      </c>
      <c r="D22" s="39">
        <v>147928</v>
      </c>
      <c r="E22" s="5">
        <f>(D22-'2013'!D83)/'2013'!D83</f>
        <v>-0.11539013538726499</v>
      </c>
      <c r="F22" s="5">
        <f>(D22-'2014'!D68)/'2014'!D68</f>
        <v>-6.0655321310642621E-2</v>
      </c>
      <c r="G22" s="39">
        <v>160513</v>
      </c>
      <c r="H22" s="39">
        <v>99304</v>
      </c>
      <c r="I22" s="5">
        <f>(H22-'2013'!H83)/'2013'!H83</f>
        <v>-1.8880600701477054E-2</v>
      </c>
      <c r="J22" s="5">
        <f>(H22-'2014'!H68)/'2014'!H68</f>
        <v>-1.3911920957251378E-2</v>
      </c>
      <c r="K22" s="39">
        <v>101214</v>
      </c>
      <c r="L22" s="39">
        <v>35574</v>
      </c>
      <c r="M22" s="5">
        <f>(L22-'2013'!L83)/'2013'!L83</f>
        <v>-2.1348005502063273E-2</v>
      </c>
      <c r="N22" s="5">
        <f>(L22-'2014'!L68)/'2014'!L68</f>
        <v>9.9650796354654632E-3</v>
      </c>
      <c r="O22" s="39">
        <v>36036</v>
      </c>
    </row>
    <row r="23" spans="1:15" x14ac:dyDescent="0.25">
      <c r="A23" s="1" t="s">
        <v>10</v>
      </c>
      <c r="B23" s="1" t="s">
        <v>9</v>
      </c>
      <c r="C23" s="32" t="s">
        <v>11</v>
      </c>
      <c r="D23" s="39">
        <v>62421</v>
      </c>
      <c r="E23" s="5">
        <f>(D23-'2013'!D84)/'2013'!D84</f>
        <v>-3.9972316210396798E-2</v>
      </c>
      <c r="F23" s="5">
        <f>(D23-'2014'!D69)/'2014'!D69</f>
        <v>6.2222938663657615E-3</v>
      </c>
      <c r="G23" s="39">
        <v>62932</v>
      </c>
      <c r="H23" s="39">
        <v>54854</v>
      </c>
      <c r="I23" s="5">
        <f>(H23-'2013'!H84)/'2013'!H84</f>
        <v>-4.114809117605929E-2</v>
      </c>
      <c r="J23" s="5">
        <f>(H23-'2014'!H69)/'2014'!H69</f>
        <v>-1.8659319820383921E-2</v>
      </c>
      <c r="K23" s="39">
        <v>55865</v>
      </c>
      <c r="L23" s="39">
        <v>28409</v>
      </c>
      <c r="M23" s="5">
        <f>(L23-'2013'!L84)/'2013'!L84</f>
        <v>-9.6562783239210765E-3</v>
      </c>
      <c r="N23" s="5">
        <f>(L23-'2014'!L69)/'2014'!L69</f>
        <v>1.1644469767110605E-2</v>
      </c>
      <c r="O23" s="39">
        <v>28546</v>
      </c>
    </row>
    <row r="24" spans="1:15" x14ac:dyDescent="0.25">
      <c r="A24" s="1" t="s">
        <v>12</v>
      </c>
      <c r="B24" s="1" t="s">
        <v>13</v>
      </c>
      <c r="C24" s="32" t="s">
        <v>7</v>
      </c>
      <c r="D24" s="39">
        <v>135501</v>
      </c>
      <c r="E24" s="5">
        <f>(D24-'2013'!D85)/'2013'!D85</f>
        <v>-6.3689382108652687E-2</v>
      </c>
      <c r="F24" s="5">
        <f>(D24-'2014'!D70)/'2014'!D70</f>
        <v>-4.878202878202878E-2</v>
      </c>
      <c r="G24" s="39">
        <v>141643</v>
      </c>
      <c r="H24" s="39">
        <v>101522</v>
      </c>
      <c r="I24" s="5">
        <f>(H24-'2013'!H85)/'2013'!H85</f>
        <v>4.8726821961675534E-2</v>
      </c>
      <c r="J24" s="5">
        <f>(H24-'2014'!H70)/'2014'!H70</f>
        <v>-1.2191680856239357E-2</v>
      </c>
      <c r="K24" s="39">
        <v>104058</v>
      </c>
      <c r="L24" s="39">
        <v>36536</v>
      </c>
      <c r="M24" s="5">
        <f>(L24-'2013'!L85)/'2013'!L85</f>
        <v>-4.7669635803982459E-3</v>
      </c>
      <c r="N24" s="5">
        <f>(L24-'2014'!L70)/'2014'!L70</f>
        <v>3.2148708966608285E-2</v>
      </c>
      <c r="O24" s="39">
        <v>36859</v>
      </c>
    </row>
    <row r="25" spans="1:15" x14ac:dyDescent="0.25">
      <c r="A25" s="1" t="s">
        <v>14</v>
      </c>
      <c r="B25" s="1" t="s">
        <v>15</v>
      </c>
      <c r="C25" s="32" t="s">
        <v>7</v>
      </c>
      <c r="D25" s="39">
        <v>134408</v>
      </c>
      <c r="E25" s="5">
        <f>(D25-'2013'!D86)/'2013'!D86</f>
        <v>1.7471612414837245E-2</v>
      </c>
      <c r="F25" s="5">
        <f>(D25-'2014'!D71)/'2014'!D71</f>
        <v>5.3758888601422174E-2</v>
      </c>
      <c r="G25" s="39">
        <v>137174</v>
      </c>
      <c r="H25" s="39">
        <v>100401</v>
      </c>
      <c r="I25" s="5">
        <f>(H25-'2013'!H86)/'2013'!H86</f>
        <v>-3.5143862076918643E-2</v>
      </c>
      <c r="J25" s="5">
        <f>(H25-'2014'!H71)/'2014'!H71</f>
        <v>-7.0318063137906478E-3</v>
      </c>
      <c r="K25" s="39">
        <v>106496</v>
      </c>
      <c r="L25" s="39">
        <v>36549</v>
      </c>
      <c r="M25" s="5">
        <f>(L25-'2013'!L86)/'2013'!L86</f>
        <v>-7.3818897637795275E-4</v>
      </c>
      <c r="N25" s="5">
        <f>(L25-'2014'!L71)/'2014'!L71</f>
        <v>4.0106584622146522E-3</v>
      </c>
      <c r="O25" s="39">
        <v>36724</v>
      </c>
    </row>
    <row r="26" spans="1:15" x14ac:dyDescent="0.25">
      <c r="A26" s="15" t="s">
        <v>104</v>
      </c>
      <c r="C26" s="21" t="s">
        <v>161</v>
      </c>
    </row>
    <row r="27" spans="1:15" x14ac:dyDescent="0.25">
      <c r="A27" s="15"/>
      <c r="B27" s="13"/>
      <c r="C27" s="21"/>
    </row>
    <row r="28" spans="1:15" ht="18.75" x14ac:dyDescent="0.3">
      <c r="A28" s="35" t="s">
        <v>168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7"/>
    </row>
    <row r="29" spans="1:15" ht="45" x14ac:dyDescent="0.25">
      <c r="A29" s="1" t="s">
        <v>2</v>
      </c>
      <c r="B29" s="1" t="s">
        <v>3</v>
      </c>
      <c r="C29" s="32" t="s">
        <v>4</v>
      </c>
      <c r="D29" s="4" t="s">
        <v>78</v>
      </c>
      <c r="E29" s="4" t="s">
        <v>139</v>
      </c>
      <c r="F29" s="4" t="s">
        <v>164</v>
      </c>
      <c r="G29" s="4" t="s">
        <v>85</v>
      </c>
      <c r="H29" s="4" t="s">
        <v>79</v>
      </c>
      <c r="I29" s="4" t="s">
        <v>139</v>
      </c>
      <c r="J29" s="4" t="s">
        <v>164</v>
      </c>
      <c r="K29" s="4" t="s">
        <v>82</v>
      </c>
      <c r="L29" s="4" t="s">
        <v>80</v>
      </c>
      <c r="M29" s="4" t="s">
        <v>139</v>
      </c>
      <c r="N29" s="4" t="s">
        <v>164</v>
      </c>
      <c r="O29" s="4" t="s">
        <v>81</v>
      </c>
    </row>
    <row r="30" spans="1:15" x14ac:dyDescent="0.25">
      <c r="A30" s="1" t="s">
        <v>5</v>
      </c>
      <c r="B30" s="1" t="s">
        <v>6</v>
      </c>
      <c r="C30" s="32" t="s">
        <v>7</v>
      </c>
      <c r="D30" s="39">
        <v>137551</v>
      </c>
      <c r="E30" s="5">
        <f>(D30-'2013'!D90)/'2013'!D90</f>
        <v>-7.2906556669901867E-2</v>
      </c>
      <c r="F30" s="5">
        <f>(D30-'2014'!D75)/'2014'!D75</f>
        <v>-6.0520995546813103E-2</v>
      </c>
      <c r="G30" s="39">
        <v>140646</v>
      </c>
      <c r="H30" s="39">
        <v>98328</v>
      </c>
      <c r="I30" s="5">
        <f>(H30-'2013'!H90)/'2013'!H90</f>
        <v>-3.9334075854387716E-2</v>
      </c>
      <c r="J30" s="5">
        <f>(H30-'2014'!H75)/'2014'!H75</f>
        <v>-1.9661016949152541E-2</v>
      </c>
      <c r="K30" s="39">
        <v>101214</v>
      </c>
      <c r="L30" s="39">
        <v>36036</v>
      </c>
      <c r="M30" s="5">
        <f>(L30-'2013'!L90)/'2013'!L90</f>
        <v>-3.6393293579698907E-2</v>
      </c>
      <c r="N30" s="5">
        <f>(L30-'2014'!L75)/'2014'!L75</f>
        <v>-1.1168125565952309E-2</v>
      </c>
      <c r="O30" s="39">
        <v>36166</v>
      </c>
    </row>
    <row r="31" spans="1:15" x14ac:dyDescent="0.25">
      <c r="A31" s="1" t="s">
        <v>8</v>
      </c>
      <c r="B31" s="1" t="s">
        <v>9</v>
      </c>
      <c r="C31" s="32" t="s">
        <v>7</v>
      </c>
      <c r="D31" s="39">
        <v>134228</v>
      </c>
      <c r="E31" s="5">
        <f>(D31-'2013'!D91)/'2013'!D91</f>
        <v>-8.1881545017407784E-2</v>
      </c>
      <c r="F31" s="5">
        <f>(D31-'2014'!D76)/'2014'!D76</f>
        <v>-4.5632296688139014E-2</v>
      </c>
      <c r="G31" s="39">
        <v>136986</v>
      </c>
      <c r="H31" s="39">
        <v>90497</v>
      </c>
      <c r="I31" s="5">
        <f>(H31-'2013'!H91)/'2013'!H91</f>
        <v>-4.3442874205925568E-2</v>
      </c>
      <c r="J31" s="5">
        <f>(H31-'2014'!H76)/'2014'!H76</f>
        <v>2.2622747047855812E-2</v>
      </c>
      <c r="K31" s="39">
        <v>92081</v>
      </c>
      <c r="L31" s="39">
        <v>33715</v>
      </c>
      <c r="M31" s="5">
        <f>(L31-'2013'!L91)/'2013'!L91</f>
        <v>-3.5087719298245612E-2</v>
      </c>
      <c r="N31" s="5">
        <f>(L31-'2014'!L76)/'2014'!L76</f>
        <v>-8.0906148867313909E-3</v>
      </c>
      <c r="O31" s="39">
        <v>34036</v>
      </c>
    </row>
    <row r="32" spans="1:15" x14ac:dyDescent="0.25">
      <c r="A32" s="1" t="s">
        <v>10</v>
      </c>
      <c r="B32" s="1" t="s">
        <v>9</v>
      </c>
      <c r="C32" s="32" t="s">
        <v>11</v>
      </c>
      <c r="D32" s="39">
        <v>79872</v>
      </c>
      <c r="E32" s="5">
        <f>(D32-'2013'!D92)/'2013'!D92</f>
        <v>-6.7090263502149125E-2</v>
      </c>
      <c r="F32" s="5">
        <f>(D32-'2014'!D77)/'2014'!D77</f>
        <v>0</v>
      </c>
      <c r="G32" s="39">
        <v>83472</v>
      </c>
      <c r="H32" s="39">
        <v>65530</v>
      </c>
      <c r="I32" s="5">
        <f>(H32-'2013'!H92)/'2013'!H92</f>
        <v>-8.1930006444562747E-2</v>
      </c>
      <c r="J32" s="5">
        <f>(H32-'2014'!H77)/'2014'!H77</f>
        <v>-3.2767527675276756E-2</v>
      </c>
      <c r="K32" s="39">
        <v>68119</v>
      </c>
      <c r="L32" s="39">
        <v>31133</v>
      </c>
      <c r="M32" s="5">
        <f>(L32-'2013'!L92)/'2013'!L92</f>
        <v>-5.3247780075416619E-2</v>
      </c>
      <c r="N32" s="5">
        <f>(L32-'2014'!L77)/'2014'!L77</f>
        <v>-2.709375E-2</v>
      </c>
      <c r="O32" s="39">
        <v>31289</v>
      </c>
    </row>
    <row r="33" spans="1:15" x14ac:dyDescent="0.25">
      <c r="A33" s="1" t="s">
        <v>12</v>
      </c>
      <c r="B33" s="1" t="s">
        <v>13</v>
      </c>
      <c r="C33" s="32" t="s">
        <v>11</v>
      </c>
      <c r="D33" s="39">
        <v>71326</v>
      </c>
      <c r="E33" s="5">
        <f>(D33-'2013'!D93)/'2013'!D93</f>
        <v>-6.4920422664464197E-2</v>
      </c>
      <c r="F33" s="5">
        <f>(D33-'2014'!D78)/'2014'!D78</f>
        <v>-7.1451588046569621E-4</v>
      </c>
      <c r="G33" s="39">
        <v>72463</v>
      </c>
      <c r="H33" s="39">
        <v>64184</v>
      </c>
      <c r="I33" s="5">
        <f>(H33-'2013'!H93)/'2013'!H93</f>
        <v>-8.0247621231227792E-2</v>
      </c>
      <c r="J33" s="5">
        <f>(H33-'2014'!H78)/'2014'!H78</f>
        <v>-1.7331128666789149E-2</v>
      </c>
      <c r="K33" s="39">
        <v>65231</v>
      </c>
      <c r="L33" s="39">
        <v>31133</v>
      </c>
      <c r="M33" s="5">
        <f>(L33-'2013'!L93)/'2013'!L93</f>
        <v>-3.9845797995373938E-2</v>
      </c>
      <c r="N33" s="5">
        <f>(L33-'2014'!L78)/'2014'!L78</f>
        <v>-4.9857777493687878E-3</v>
      </c>
      <c r="O33" s="39">
        <v>31436</v>
      </c>
    </row>
    <row r="34" spans="1:15" x14ac:dyDescent="0.25">
      <c r="A34" s="1" t="s">
        <v>14</v>
      </c>
      <c r="B34" s="1" t="s">
        <v>15</v>
      </c>
      <c r="C34" s="32" t="s">
        <v>11</v>
      </c>
      <c r="D34" s="39">
        <v>69783</v>
      </c>
      <c r="E34" s="5">
        <f>(D34-'2013'!D94)/'2013'!D94</f>
        <v>-7.2589540833277955E-2</v>
      </c>
      <c r="F34" s="5">
        <f>(D34-'2014'!D79)/'2014'!D79</f>
        <v>1.3256860752141716E-2</v>
      </c>
      <c r="G34" s="39">
        <v>71839</v>
      </c>
      <c r="H34" s="39">
        <v>62073</v>
      </c>
      <c r="I34" s="5">
        <f>(H34-'2013'!H94)/'2013'!H94</f>
        <v>-8.8154067632282521E-2</v>
      </c>
      <c r="J34" s="5">
        <f>(H34-'2014'!H79)/'2014'!H79</f>
        <v>-5.8344331679788829E-2</v>
      </c>
      <c r="K34" s="39">
        <v>64432</v>
      </c>
      <c r="L34" s="39">
        <v>31123</v>
      </c>
      <c r="M34" s="5">
        <f>(L34-'2013'!L94)/'2013'!L94</f>
        <v>-4.483795727964645E-2</v>
      </c>
      <c r="N34" s="5">
        <f>(L34-'2014'!L79)/'2014'!L79</f>
        <v>-9.6416979571055817E-3</v>
      </c>
      <c r="O34" s="39">
        <v>31407</v>
      </c>
    </row>
    <row r="35" spans="1:15" x14ac:dyDescent="0.25">
      <c r="A35" s="15" t="s">
        <v>104</v>
      </c>
      <c r="C35" s="21" t="s">
        <v>160</v>
      </c>
    </row>
    <row r="36" spans="1:15" x14ac:dyDescent="0.25">
      <c r="A36" s="15"/>
      <c r="B36" s="13"/>
    </row>
    <row r="37" spans="1:15" ht="18.75" x14ac:dyDescent="0.3">
      <c r="A37" s="35" t="s">
        <v>168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7"/>
    </row>
    <row r="38" spans="1:15" ht="45" x14ac:dyDescent="0.25">
      <c r="A38" s="1" t="s">
        <v>2</v>
      </c>
      <c r="B38" s="1" t="s">
        <v>3</v>
      </c>
      <c r="C38" s="32" t="s">
        <v>4</v>
      </c>
      <c r="D38" s="4" t="s">
        <v>78</v>
      </c>
      <c r="E38" s="4" t="s">
        <v>139</v>
      </c>
      <c r="F38" s="4" t="s">
        <v>164</v>
      </c>
      <c r="G38" s="4" t="s">
        <v>85</v>
      </c>
      <c r="H38" s="4" t="s">
        <v>79</v>
      </c>
      <c r="I38" s="4" t="s">
        <v>139</v>
      </c>
      <c r="J38" s="4" t="s">
        <v>164</v>
      </c>
      <c r="K38" s="4" t="s">
        <v>82</v>
      </c>
      <c r="L38" s="4" t="s">
        <v>80</v>
      </c>
      <c r="M38" s="4" t="s">
        <v>139</v>
      </c>
      <c r="N38" s="4" t="s">
        <v>164</v>
      </c>
      <c r="O38" s="4" t="s">
        <v>81</v>
      </c>
    </row>
    <row r="39" spans="1:15" x14ac:dyDescent="0.25">
      <c r="A39" s="1" t="s">
        <v>5</v>
      </c>
      <c r="B39" s="1" t="s">
        <v>6</v>
      </c>
      <c r="C39" s="32" t="s">
        <v>7</v>
      </c>
      <c r="D39" s="32">
        <v>142653</v>
      </c>
      <c r="E39" s="5">
        <f>(D39-'2013'!D90)/'2013'!D90</f>
        <v>-3.8519087673891943E-2</v>
      </c>
      <c r="F39" s="5">
        <f>(D39-'2014'!D75)/'2014'!D75</f>
        <v>-2.5674125071715435E-2</v>
      </c>
      <c r="G39" s="32">
        <v>148588</v>
      </c>
      <c r="H39" s="32">
        <v>98814</v>
      </c>
      <c r="I39" s="5">
        <f>(H39-'2013'!H90)/'2013'!H90</f>
        <v>-3.4585849111905737E-2</v>
      </c>
      <c r="J39" s="5">
        <f>(H39-'2014'!H75)/'2014'!H75</f>
        <v>-1.481555333998006E-2</v>
      </c>
      <c r="K39" s="32">
        <v>102040</v>
      </c>
      <c r="L39" s="32">
        <v>35688</v>
      </c>
      <c r="M39" s="5">
        <f>(L39-'2013'!L90)/'2013'!L90</f>
        <v>-4.5698852849159026E-2</v>
      </c>
      <c r="N39" s="5">
        <f>(L39-'2014'!L75)/'2014'!L75</f>
        <v>-2.0717284526520868E-2</v>
      </c>
      <c r="O39" s="32">
        <v>36036</v>
      </c>
    </row>
    <row r="40" spans="1:15" x14ac:dyDescent="0.25">
      <c r="A40" s="1" t="s">
        <v>8</v>
      </c>
      <c r="B40" s="1" t="s">
        <v>9</v>
      </c>
      <c r="C40" s="32" t="s">
        <v>7</v>
      </c>
      <c r="D40" s="32">
        <v>139470</v>
      </c>
      <c r="E40" s="5">
        <f>(D40-'2013'!D91)/'2013'!D91</f>
        <v>-4.6026306609484334E-2</v>
      </c>
      <c r="F40" s="5">
        <f>(D40-'2014'!D76)/'2014'!D76</f>
        <v>-8.3614180282411167E-3</v>
      </c>
      <c r="G40" s="32">
        <v>141242</v>
      </c>
      <c r="H40" s="32">
        <v>89445</v>
      </c>
      <c r="I40" s="5">
        <f>(H40-'2013'!H91)/'2013'!H91</f>
        <v>-5.456255879586077E-2</v>
      </c>
      <c r="J40" s="5">
        <f>(H40-'2014'!H76)/'2014'!H76</f>
        <v>1.0735069777953557E-2</v>
      </c>
      <c r="K40" s="32">
        <v>92850</v>
      </c>
      <c r="L40" s="32">
        <v>33875</v>
      </c>
      <c r="M40" s="5">
        <f>(L40-'2013'!L91)/'2013'!L91</f>
        <v>-3.0508571592112416E-2</v>
      </c>
      <c r="N40" s="5">
        <f>(L40-'2014'!L76)/'2014'!L76</f>
        <v>-3.3833480435422184E-3</v>
      </c>
      <c r="O40" s="32">
        <v>34036</v>
      </c>
    </row>
    <row r="41" spans="1:15" x14ac:dyDescent="0.25">
      <c r="A41" s="1" t="s">
        <v>10</v>
      </c>
      <c r="B41" s="1" t="s">
        <v>9</v>
      </c>
      <c r="C41" s="32" t="s">
        <v>11</v>
      </c>
      <c r="D41" s="32">
        <v>79808</v>
      </c>
      <c r="E41" s="5">
        <f>(D41-'2013'!D92)/'2013'!D92</f>
        <v>-6.7837787329471128E-2</v>
      </c>
      <c r="F41" s="5">
        <f>(D41-'2014'!D77)/'2014'!D77</f>
        <v>-8.0128205128205125E-4</v>
      </c>
      <c r="G41" s="32">
        <v>81103</v>
      </c>
      <c r="H41" s="32">
        <v>64935</v>
      </c>
      <c r="I41" s="5">
        <f>(H41-'2013'!H92)/'2013'!H92</f>
        <v>-9.026590826305024E-2</v>
      </c>
      <c r="J41" s="5">
        <f>(H41-'2014'!H77)/'2014'!H77</f>
        <v>-4.1549815498154979E-2</v>
      </c>
      <c r="K41" s="32">
        <v>67294</v>
      </c>
      <c r="L41" s="32">
        <v>30674</v>
      </c>
      <c r="M41" s="5">
        <f>(L41-'2013'!L92)/'2013'!L92</f>
        <v>-6.7205936017516121E-2</v>
      </c>
      <c r="N41" s="5">
        <f>(L41-'2014'!L77)/'2014'!L77</f>
        <v>-4.1437500000000002E-2</v>
      </c>
      <c r="O41" s="32">
        <v>31436</v>
      </c>
    </row>
    <row r="42" spans="1:15" x14ac:dyDescent="0.25">
      <c r="A42" s="1" t="s">
        <v>12</v>
      </c>
      <c r="B42" s="1" t="s">
        <v>13</v>
      </c>
      <c r="C42" s="32" t="s">
        <v>11</v>
      </c>
      <c r="D42" s="32">
        <v>70571</v>
      </c>
      <c r="E42" s="5">
        <f>(D42-'2013'!D93)/'2013'!D93</f>
        <v>-7.4818427331602821E-2</v>
      </c>
      <c r="F42" s="5">
        <f>(D42-'2014'!D78)/'2014'!D78</f>
        <v>-1.129215293441865E-2</v>
      </c>
      <c r="G42" s="32">
        <v>71377</v>
      </c>
      <c r="H42" s="32">
        <v>63492</v>
      </c>
      <c r="I42" s="5">
        <f>(H42-'2013'!H93)/'2013'!H93</f>
        <v>-9.0163934426229511E-2</v>
      </c>
      <c r="J42" s="5">
        <f>(H42-'2014'!H78)/'2014'!H78</f>
        <v>-2.7925776226345764E-2</v>
      </c>
      <c r="K42" s="32">
        <v>65231</v>
      </c>
      <c r="L42" s="32">
        <v>31133</v>
      </c>
      <c r="M42" s="5">
        <f>(L42-'2013'!L93)/'2013'!L93</f>
        <v>-3.9845797995373938E-2</v>
      </c>
      <c r="N42" s="5">
        <f>(L42-'2014'!L78)/'2014'!L78</f>
        <v>-4.9857777493687878E-3</v>
      </c>
      <c r="O42" s="32">
        <v>31436</v>
      </c>
    </row>
    <row r="43" spans="1:15" x14ac:dyDescent="0.25">
      <c r="A43" s="1" t="s">
        <v>14</v>
      </c>
      <c r="B43" s="1" t="s">
        <v>15</v>
      </c>
      <c r="C43" s="32" t="s">
        <v>11</v>
      </c>
      <c r="D43" s="32">
        <v>68540</v>
      </c>
      <c r="E43" s="5">
        <f>(D43-'2013'!D94)/'2013'!D94</f>
        <v>-8.9108910891089105E-2</v>
      </c>
      <c r="F43" s="5">
        <f>(D43-'2014'!D79)/'2014'!D79</f>
        <v>-4.7916364164367646E-3</v>
      </c>
      <c r="G43" s="32">
        <v>69204</v>
      </c>
      <c r="H43" s="32">
        <v>63291</v>
      </c>
      <c r="I43" s="5">
        <f>(H43-'2013'!H94)/'2013'!H94</f>
        <v>-7.0261773951875897E-2</v>
      </c>
      <c r="J43" s="5">
        <f>(H43-'2014'!H79)/'2014'!H79</f>
        <v>-3.9867109634551492E-2</v>
      </c>
      <c r="K43" s="32">
        <v>64766</v>
      </c>
      <c r="L43" s="32">
        <v>30998</v>
      </c>
      <c r="M43" s="5">
        <f>(L43-'2013'!L94)/'2013'!L94</f>
        <v>-4.8674195924380062E-2</v>
      </c>
      <c r="N43" s="5">
        <f>(L43-'2014'!L79)/'2014'!L79</f>
        <v>-1.3619296124228346E-2</v>
      </c>
      <c r="O43" s="32">
        <v>31446</v>
      </c>
    </row>
    <row r="44" spans="1:15" x14ac:dyDescent="0.25">
      <c r="A44" s="15" t="s">
        <v>104</v>
      </c>
      <c r="C44" s="21" t="s">
        <v>169</v>
      </c>
    </row>
    <row r="45" spans="1:15" x14ac:dyDescent="0.25">
      <c r="D45" s="12"/>
      <c r="E45" s="13"/>
      <c r="F45" s="13"/>
      <c r="G45" s="12"/>
      <c r="H45" s="12"/>
      <c r="I45" s="13"/>
      <c r="J45" s="13"/>
      <c r="K45" s="19"/>
      <c r="L45" s="12"/>
      <c r="M45" s="13"/>
      <c r="N45" s="13"/>
      <c r="O45" s="19"/>
    </row>
    <row r="46" spans="1:15" ht="18.75" x14ac:dyDescent="0.3">
      <c r="A46" s="76" t="s">
        <v>170</v>
      </c>
      <c r="B46" s="76"/>
      <c r="C46" s="76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</row>
    <row r="47" spans="1:15" ht="45" x14ac:dyDescent="0.25">
      <c r="A47" s="1" t="s">
        <v>2</v>
      </c>
      <c r="B47" s="1" t="s">
        <v>3</v>
      </c>
      <c r="C47" s="32" t="s">
        <v>4</v>
      </c>
      <c r="D47" s="4" t="s">
        <v>78</v>
      </c>
      <c r="E47" s="4" t="s">
        <v>139</v>
      </c>
      <c r="F47" s="4" t="s">
        <v>164</v>
      </c>
      <c r="G47" s="4" t="s">
        <v>85</v>
      </c>
      <c r="H47" s="4" t="s">
        <v>79</v>
      </c>
      <c r="I47" s="4" t="s">
        <v>139</v>
      </c>
      <c r="J47" s="4" t="s">
        <v>164</v>
      </c>
      <c r="K47" s="4" t="s">
        <v>82</v>
      </c>
      <c r="L47" s="4" t="s">
        <v>80</v>
      </c>
      <c r="M47" s="4" t="s">
        <v>139</v>
      </c>
      <c r="N47" s="4" t="s">
        <v>164</v>
      </c>
      <c r="O47" s="4" t="s">
        <v>81</v>
      </c>
    </row>
    <row r="48" spans="1:15" x14ac:dyDescent="0.25">
      <c r="A48" s="1" t="s">
        <v>5</v>
      </c>
      <c r="B48" s="1" t="s">
        <v>6</v>
      </c>
      <c r="C48" s="32" t="s">
        <v>7</v>
      </c>
      <c r="D48" s="42">
        <v>158730</v>
      </c>
      <c r="E48" s="41">
        <f>(D48-'2013'!D82)/'2013'!D82</f>
        <v>-4.7621904756190485E-2</v>
      </c>
      <c r="F48" s="41">
        <f>(D48-'2014'!D67)/'2014'!D67</f>
        <v>-1.9046795046102884E-2</v>
      </c>
      <c r="G48" s="42">
        <v>167504</v>
      </c>
      <c r="H48" s="42">
        <v>109051</v>
      </c>
      <c r="I48" s="41">
        <f>(H48-'2013'!H82)/'2013'!H82</f>
        <v>-1.7452337189606083E-2</v>
      </c>
      <c r="J48" s="41">
        <f>(H48-'2014'!H67)/'2014'!H67</f>
        <v>-5.4537661082180409E-3</v>
      </c>
      <c r="K48" s="42">
        <v>110011</v>
      </c>
      <c r="L48" s="42">
        <v>36023</v>
      </c>
      <c r="M48" s="41">
        <f>(L48-'2013'!L82)/'2013'!L82</f>
        <v>-6.1240976728428841E-2</v>
      </c>
      <c r="N48" s="41">
        <f>(L48-'2014'!L67)/'2014'!L67</f>
        <v>-3.6019160266531083E-2</v>
      </c>
      <c r="O48" s="42">
        <v>38051</v>
      </c>
    </row>
    <row r="49" spans="1:15" x14ac:dyDescent="0.25">
      <c r="A49" s="1" t="s">
        <v>8</v>
      </c>
      <c r="B49" s="1" t="s">
        <v>9</v>
      </c>
      <c r="C49" s="32" t="s">
        <v>7</v>
      </c>
      <c r="D49" s="42">
        <v>155520</v>
      </c>
      <c r="E49" s="41">
        <f>(D49-'2013'!D83)/'2013'!D83</f>
        <v>-6.998995359517772E-2</v>
      </c>
      <c r="F49" s="41">
        <f>(D49-'2014'!D68)/'2014'!D68</f>
        <v>-1.2446024892049785E-2</v>
      </c>
      <c r="G49" s="42">
        <v>158227</v>
      </c>
      <c r="H49" s="42">
        <v>101214</v>
      </c>
      <c r="I49" s="41">
        <f>(H49-'2013'!H83)/'2013'!H83</f>
        <v>-9.8799585041742818E-6</v>
      </c>
      <c r="J49" s="41">
        <f>(H49-'2014'!H68)/'2014'!H68</f>
        <v>5.0543667146616357E-3</v>
      </c>
      <c r="K49" s="42">
        <v>101626</v>
      </c>
      <c r="L49" s="42">
        <v>34602</v>
      </c>
      <c r="M49" s="41">
        <f>(L49-'2013'!L83)/'2013'!L83</f>
        <v>-4.8088033012379641E-2</v>
      </c>
      <c r="N49" s="41">
        <f>(L49-'2014'!L68)/'2014'!L68</f>
        <v>-1.7630525508900433E-2</v>
      </c>
      <c r="O49" s="42">
        <v>35398</v>
      </c>
    </row>
    <row r="50" spans="1:15" x14ac:dyDescent="0.25">
      <c r="A50" s="1" t="s">
        <v>10</v>
      </c>
      <c r="B50" s="1" t="s">
        <v>9</v>
      </c>
      <c r="C50" s="32" t="s">
        <v>11</v>
      </c>
      <c r="D50" s="42">
        <v>62111</v>
      </c>
      <c r="E50" s="41">
        <f>(D50-'2013'!D84)/'2013'!D84</f>
        <v>-4.4740079975392186E-2</v>
      </c>
      <c r="F50" s="41">
        <f>(D50-'2014'!D69)/'2014'!D69</f>
        <v>1.225114854517611E-3</v>
      </c>
      <c r="G50" s="42">
        <v>63051</v>
      </c>
      <c r="H50" s="42">
        <v>53248</v>
      </c>
      <c r="I50" s="41">
        <f>(H50-'2013'!H84)/'2013'!H84</f>
        <v>-6.922108795972591E-2</v>
      </c>
      <c r="J50" s="41">
        <f>(H50-'2014'!H69)/'2014'!H69</f>
        <v>-4.7390736533266545E-2</v>
      </c>
      <c r="K50" s="42">
        <v>54854</v>
      </c>
      <c r="L50" s="42">
        <v>27563</v>
      </c>
      <c r="M50" s="41">
        <f>(L50-'2013'!L84)/'2013'!L84</f>
        <v>-3.9148016454019385E-2</v>
      </c>
      <c r="N50" s="41">
        <f>(L50-'2014'!L69)/'2014'!L69</f>
        <v>-1.8481589630368209E-2</v>
      </c>
      <c r="O50" s="42">
        <v>27839</v>
      </c>
    </row>
    <row r="51" spans="1:15" x14ac:dyDescent="0.25">
      <c r="A51" s="1" t="s">
        <v>12</v>
      </c>
      <c r="B51" s="1" t="s">
        <v>13</v>
      </c>
      <c r="C51" s="32" t="s">
        <v>7</v>
      </c>
      <c r="D51" s="42">
        <v>131752</v>
      </c>
      <c r="E51" s="41">
        <f>(D51-'2013'!D85)/'2013'!D85</f>
        <v>-8.9594936358987826E-2</v>
      </c>
      <c r="F51" s="41">
        <f>(D51-'2014'!D70)/'2014'!D70</f>
        <v>-7.5100035100035101E-2</v>
      </c>
      <c r="G51" s="42">
        <v>142857</v>
      </c>
      <c r="H51" s="42">
        <v>96805</v>
      </c>
      <c r="I51" s="41">
        <f>(H51-'2013'!H85)/'2013'!H85</f>
        <v>0</v>
      </c>
      <c r="J51" s="41">
        <f>(H51-'2014'!H70)/'2014'!H70</f>
        <v>-5.8088056433957674E-2</v>
      </c>
      <c r="K51" s="42">
        <v>105820</v>
      </c>
      <c r="L51" s="42">
        <v>35676</v>
      </c>
      <c r="M51" s="41">
        <f>(L51-'2013'!L85)/'2013'!L85</f>
        <v>-2.8193184604069624E-2</v>
      </c>
      <c r="N51" s="41">
        <f>(L51-'2014'!L70)/'2014'!L70</f>
        <v>7.8535510480818131E-3</v>
      </c>
      <c r="O51" s="42">
        <v>36337</v>
      </c>
    </row>
    <row r="52" spans="1:15" x14ac:dyDescent="0.25">
      <c r="A52" s="1" t="s">
        <v>14</v>
      </c>
      <c r="B52" s="1" t="s">
        <v>15</v>
      </c>
      <c r="C52" s="32" t="s">
        <v>7</v>
      </c>
      <c r="D52" s="42">
        <v>129533</v>
      </c>
      <c r="E52" s="41">
        <f>(D52-'2013'!D86)/'2013'!D86</f>
        <v>-1.9432248296744892E-2</v>
      </c>
      <c r="F52" s="41">
        <f>(D52-'2014'!D71)/'2014'!D71</f>
        <v>1.5538882486221197E-2</v>
      </c>
      <c r="G52" s="42">
        <v>137174</v>
      </c>
      <c r="H52" s="42">
        <v>101626</v>
      </c>
      <c r="I52" s="41">
        <f>(H52-'2013'!H86)/'2013'!H86</f>
        <v>-2.3371581233542833E-2</v>
      </c>
      <c r="J52" s="41">
        <f>(H52-'2014'!H71)/'2014'!H71</f>
        <v>5.0834717936545613E-3</v>
      </c>
      <c r="K52" s="42">
        <v>103842</v>
      </c>
      <c r="L52" s="42">
        <v>35198</v>
      </c>
      <c r="M52" s="41">
        <f>(L52-'2013'!L86)/'2013'!L86</f>
        <v>-3.7674978127734036E-2</v>
      </c>
      <c r="N52" s="41">
        <f>(L52-'2014'!L71)/'2014'!L71</f>
        <v>-3.3101667444990795E-2</v>
      </c>
      <c r="O52" s="42">
        <v>37078</v>
      </c>
    </row>
    <row r="53" spans="1:15" x14ac:dyDescent="0.25">
      <c r="A53" s="79" t="s">
        <v>171</v>
      </c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</row>
    <row r="54" spans="1:15" x14ac:dyDescent="0.25">
      <c r="A54" s="15"/>
      <c r="B54" s="13"/>
      <c r="C54" s="21"/>
    </row>
    <row r="55" spans="1:15" ht="18.75" x14ac:dyDescent="0.3">
      <c r="A55" s="76" t="s">
        <v>172</v>
      </c>
      <c r="B55" s="76"/>
      <c r="C55" s="76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</row>
    <row r="56" spans="1:15" ht="45" x14ac:dyDescent="0.25">
      <c r="A56" s="1" t="s">
        <v>2</v>
      </c>
      <c r="B56" s="1" t="s">
        <v>3</v>
      </c>
      <c r="C56" s="32" t="s">
        <v>4</v>
      </c>
      <c r="D56" s="4" t="s">
        <v>78</v>
      </c>
      <c r="E56" s="4" t="s">
        <v>139</v>
      </c>
      <c r="F56" s="4" t="s">
        <v>164</v>
      </c>
      <c r="G56" s="4" t="s">
        <v>85</v>
      </c>
      <c r="H56" s="4" t="s">
        <v>79</v>
      </c>
      <c r="I56" s="4" t="s">
        <v>139</v>
      </c>
      <c r="J56" s="4" t="s">
        <v>164</v>
      </c>
      <c r="K56" s="4" t="s">
        <v>82</v>
      </c>
      <c r="L56" s="4" t="s">
        <v>80</v>
      </c>
      <c r="M56" s="4" t="s">
        <v>139</v>
      </c>
      <c r="N56" s="4" t="s">
        <v>164</v>
      </c>
      <c r="O56" s="4" t="s">
        <v>81</v>
      </c>
    </row>
    <row r="57" spans="1:15" x14ac:dyDescent="0.25">
      <c r="A57" s="1" t="s">
        <v>5</v>
      </c>
      <c r="B57" s="1" t="s">
        <v>6</v>
      </c>
      <c r="C57" s="32" t="s">
        <v>7</v>
      </c>
      <c r="D57" s="42">
        <v>144300</v>
      </c>
      <c r="E57" s="41">
        <f>(D57-'2013'!D90)/'2013'!D90</f>
        <v>-2.7418311226140409E-2</v>
      </c>
      <c r="F57" s="41">
        <f>(D57-'2014'!D75)/'2014'!D75</f>
        <v>-1.4425047127284648E-2</v>
      </c>
      <c r="G57" s="42">
        <v>147492</v>
      </c>
      <c r="H57" s="42">
        <v>97465</v>
      </c>
      <c r="I57" s="41">
        <f>(H57-'2013'!H90)/'2013'!H90</f>
        <v>-4.7765597827148912E-2</v>
      </c>
      <c r="J57" s="41">
        <f>(H57-'2014'!H75)/'2014'!H75</f>
        <v>-2.8265204386839483E-2</v>
      </c>
      <c r="K57" s="42">
        <v>100300</v>
      </c>
      <c r="L57" s="42">
        <v>35574</v>
      </c>
      <c r="M57" s="41">
        <f>(L57-'2013'!L90)/'2013'!L90</f>
        <v>-4.8747225713292514E-2</v>
      </c>
      <c r="N57" s="41">
        <f>(L57-'2014'!L75)/'2014'!L75</f>
        <v>-2.384545728946574E-2</v>
      </c>
      <c r="O57" s="42">
        <v>36337</v>
      </c>
    </row>
    <row r="58" spans="1:15" x14ac:dyDescent="0.25">
      <c r="A58" s="1" t="s">
        <v>8</v>
      </c>
      <c r="B58" s="1" t="s">
        <v>9</v>
      </c>
      <c r="C58" s="32" t="s">
        <v>7</v>
      </c>
      <c r="D58" s="42">
        <v>142450</v>
      </c>
      <c r="E58" s="41">
        <f>(D58-'2013'!D91)/'2013'!D91</f>
        <v>-2.5643130253968905E-2</v>
      </c>
      <c r="F58" s="41">
        <f>(D58-'2014'!D76)/'2014'!D76</f>
        <v>1.2826529016111372E-2</v>
      </c>
      <c r="G58" s="42">
        <v>143061</v>
      </c>
      <c r="H58" s="42">
        <v>88652</v>
      </c>
      <c r="I58" s="41">
        <f>(H58-'2013'!H91)/'2013'!H91</f>
        <v>-6.2944602407855654E-2</v>
      </c>
      <c r="J58" s="41">
        <f>(H58-'2014'!H76)/'2014'!H76</f>
        <v>1.7741115317249563E-3</v>
      </c>
      <c r="K58" s="42">
        <v>92850</v>
      </c>
      <c r="L58" s="42">
        <v>34270</v>
      </c>
      <c r="M58" s="41">
        <f>(L58-'2013'!L91)/'2013'!L91</f>
        <v>-1.9203800692596092E-2</v>
      </c>
      <c r="N58" s="41">
        <f>(L58-'2014'!L76)/'2014'!L76</f>
        <v>8.2377169755810525E-3</v>
      </c>
      <c r="O58" s="42">
        <v>34435</v>
      </c>
    </row>
    <row r="59" spans="1:15" x14ac:dyDescent="0.25">
      <c r="A59" s="1" t="s">
        <v>10</v>
      </c>
      <c r="B59" s="1" t="s">
        <v>9</v>
      </c>
      <c r="C59" s="32" t="s">
        <v>11</v>
      </c>
      <c r="D59" s="42">
        <v>80645</v>
      </c>
      <c r="E59" s="41">
        <f>(D59-'2013'!D92)/'2013'!D92</f>
        <v>-5.8061577275275653E-2</v>
      </c>
      <c r="F59" s="41">
        <f>(D59-'2014'!D77)/'2014'!D77</f>
        <v>9.677984775641026E-3</v>
      </c>
      <c r="G59" s="42">
        <v>81234</v>
      </c>
      <c r="H59" s="42">
        <v>67888</v>
      </c>
      <c r="I59" s="41">
        <f>(H59-'2013'!H92)/'2013'!H92</f>
        <v>-4.8894617389111494E-2</v>
      </c>
      <c r="J59" s="41">
        <f>(H59-'2014'!H77)/'2014'!H77</f>
        <v>2.0369003690036899E-3</v>
      </c>
      <c r="K59" s="42">
        <v>69060</v>
      </c>
      <c r="L59" s="42">
        <v>31416</v>
      </c>
      <c r="M59" s="41">
        <f>(L59-'2013'!L92)/'2013'!L92</f>
        <v>-4.464177107407858E-2</v>
      </c>
      <c r="N59" s="41">
        <f>(L59-'2014'!L77)/'2014'!L77</f>
        <v>-1.8249999999999999E-2</v>
      </c>
      <c r="O59" s="42">
        <v>32000</v>
      </c>
    </row>
    <row r="60" spans="1:15" x14ac:dyDescent="0.25">
      <c r="A60" s="1" t="s">
        <v>12</v>
      </c>
      <c r="B60" s="1" t="s">
        <v>13</v>
      </c>
      <c r="C60" s="32" t="s">
        <v>11</v>
      </c>
      <c r="D60" s="42">
        <v>70921</v>
      </c>
      <c r="E60" s="41">
        <f>(D60-'2013'!D93)/'2013'!D93</f>
        <v>-7.0229948346836574E-2</v>
      </c>
      <c r="F60" s="41">
        <f>(D60-'2014'!D78)/'2014'!D78</f>
        <v>-6.3886125782815191E-3</v>
      </c>
      <c r="G60" s="42">
        <v>71275</v>
      </c>
      <c r="H60" s="42">
        <v>65061</v>
      </c>
      <c r="I60" s="41">
        <f>(H60-'2013'!H93)/'2013'!H93</f>
        <v>-6.7680270549123012E-2</v>
      </c>
      <c r="J60" s="41">
        <f>(H60-'2014'!H78)/'2014'!H78</f>
        <v>-3.9040970053279443E-3</v>
      </c>
      <c r="K60" s="42">
        <v>66445</v>
      </c>
      <c r="L60" s="42">
        <v>31133</v>
      </c>
      <c r="M60" s="41">
        <f>(L60-'2013'!L93)/'2013'!L93</f>
        <v>-3.9845797995373938E-2</v>
      </c>
      <c r="N60" s="41">
        <f>(L60-'2014'!L78)/'2014'!L78</f>
        <v>-4.9857777493687878E-3</v>
      </c>
      <c r="O60" s="42">
        <v>31436</v>
      </c>
    </row>
    <row r="61" spans="1:15" x14ac:dyDescent="0.25">
      <c r="A61" s="1" t="s">
        <v>14</v>
      </c>
      <c r="B61" s="1" t="s">
        <v>15</v>
      </c>
      <c r="C61" s="32" t="s">
        <v>11</v>
      </c>
      <c r="D61" s="42">
        <v>68587</v>
      </c>
      <c r="E61" s="41">
        <f>(D61-'2013'!D94)/'2013'!D94</f>
        <v>-8.848428467007774E-2</v>
      </c>
      <c r="F61" s="41">
        <f>(D61-'2014'!D79)/'2014'!D79</f>
        <v>-4.1091912298533472E-3</v>
      </c>
      <c r="G61" s="42">
        <v>69252</v>
      </c>
      <c r="H61" s="42">
        <v>64184</v>
      </c>
      <c r="I61" s="41">
        <f>(H61-'2013'!H94)/'2013'!H94</f>
        <v>-5.714369656550225E-2</v>
      </c>
      <c r="J61" s="41">
        <f>(H61-'2014'!H79)/'2014'!H79</f>
        <v>-2.6320180827985862E-2</v>
      </c>
      <c r="K61" s="42">
        <v>65659</v>
      </c>
      <c r="L61" s="42">
        <v>31308</v>
      </c>
      <c r="M61" s="41">
        <f>(L61-'2013'!L94)/'2013'!L94</f>
        <v>-3.9160324085440706E-2</v>
      </c>
      <c r="N61" s="41">
        <f>(L61-'2014'!L79)/'2014'!L79</f>
        <v>-3.7548526697638897E-3</v>
      </c>
      <c r="O61" s="42">
        <v>31857</v>
      </c>
    </row>
    <row r="62" spans="1:15" x14ac:dyDescent="0.25">
      <c r="A62" s="81" t="s">
        <v>173</v>
      </c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</row>
    <row r="63" spans="1:15" x14ac:dyDescent="0.25">
      <c r="C63" s="21"/>
    </row>
    <row r="64" spans="1:15" ht="18.75" x14ac:dyDescent="0.3">
      <c r="A64" s="76" t="s">
        <v>206</v>
      </c>
      <c r="B64" s="76"/>
      <c r="C64" s="76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</row>
    <row r="65" spans="1:15" ht="45" x14ac:dyDescent="0.25">
      <c r="A65" s="1" t="s">
        <v>2</v>
      </c>
      <c r="B65" s="1" t="s">
        <v>3</v>
      </c>
      <c r="C65" s="32" t="s">
        <v>4</v>
      </c>
      <c r="D65" s="4" t="s">
        <v>78</v>
      </c>
      <c r="E65" s="4" t="s">
        <v>139</v>
      </c>
      <c r="F65" s="4" t="s">
        <v>164</v>
      </c>
      <c r="G65" s="4" t="s">
        <v>85</v>
      </c>
      <c r="H65" s="4" t="s">
        <v>79</v>
      </c>
      <c r="I65" s="4" t="s">
        <v>139</v>
      </c>
      <c r="J65" s="4" t="s">
        <v>164</v>
      </c>
      <c r="K65" s="4" t="s">
        <v>82</v>
      </c>
      <c r="L65" s="4" t="s">
        <v>80</v>
      </c>
      <c r="M65" s="4" t="s">
        <v>139</v>
      </c>
      <c r="N65" s="4" t="s">
        <v>164</v>
      </c>
      <c r="O65" s="4" t="s">
        <v>81</v>
      </c>
    </row>
    <row r="66" spans="1:15" x14ac:dyDescent="0.25">
      <c r="A66" s="1" t="s">
        <v>5</v>
      </c>
      <c r="B66" s="1" t="s">
        <v>6</v>
      </c>
      <c r="C66" s="32" t="s">
        <v>7</v>
      </c>
      <c r="D66" s="42">
        <v>223214</v>
      </c>
      <c r="E66" s="41"/>
      <c r="F66" s="41"/>
      <c r="G66" s="43">
        <v>224215</v>
      </c>
      <c r="H66" s="42">
        <v>127551</v>
      </c>
      <c r="I66" s="41"/>
      <c r="J66" s="41"/>
      <c r="K66" s="42">
        <v>128205</v>
      </c>
      <c r="L66" s="42">
        <v>43047</v>
      </c>
      <c r="M66" s="41"/>
      <c r="N66" s="41"/>
      <c r="O66" s="42">
        <v>43047</v>
      </c>
    </row>
    <row r="67" spans="1:15" x14ac:dyDescent="0.25">
      <c r="A67" s="1" t="s">
        <v>8</v>
      </c>
      <c r="B67" s="1" t="s">
        <v>9</v>
      </c>
      <c r="C67" s="32" t="s">
        <v>7</v>
      </c>
      <c r="D67" s="42">
        <v>215517</v>
      </c>
      <c r="E67" s="41"/>
      <c r="F67" s="41"/>
      <c r="G67" s="42">
        <v>218818</v>
      </c>
      <c r="H67" s="42">
        <v>115074</v>
      </c>
      <c r="I67" s="41"/>
      <c r="J67" s="41"/>
      <c r="K67" s="42">
        <v>118063</v>
      </c>
      <c r="L67" s="42">
        <v>41203</v>
      </c>
      <c r="M67" s="41"/>
      <c r="N67" s="41"/>
      <c r="O67" s="42">
        <v>41203</v>
      </c>
    </row>
    <row r="68" spans="1:15" x14ac:dyDescent="0.25">
      <c r="A68" s="1" t="s">
        <v>10</v>
      </c>
      <c r="B68" s="1" t="s">
        <v>9</v>
      </c>
      <c r="C68" s="32" t="s">
        <v>11</v>
      </c>
      <c r="D68" s="42">
        <v>121951</v>
      </c>
      <c r="E68" s="41"/>
      <c r="F68" s="41"/>
      <c r="G68" s="42">
        <v>122549</v>
      </c>
      <c r="H68" s="42">
        <v>74906</v>
      </c>
      <c r="I68" s="41"/>
      <c r="J68" s="41"/>
      <c r="K68" s="42">
        <v>75585</v>
      </c>
      <c r="L68" s="42">
        <v>37397</v>
      </c>
      <c r="M68" s="41"/>
      <c r="N68" s="41"/>
      <c r="O68" s="42">
        <v>37735</v>
      </c>
    </row>
    <row r="69" spans="1:15" x14ac:dyDescent="0.25">
      <c r="A69" s="1" t="s">
        <v>12</v>
      </c>
      <c r="B69" s="1" t="s">
        <v>13</v>
      </c>
      <c r="C69" s="32" t="s">
        <v>7</v>
      </c>
      <c r="D69" s="42">
        <v>99403</v>
      </c>
      <c r="E69" s="41"/>
      <c r="F69" s="41"/>
      <c r="G69" s="43">
        <v>103412</v>
      </c>
      <c r="H69" s="42">
        <v>68870</v>
      </c>
      <c r="I69" s="41"/>
      <c r="J69" s="41"/>
      <c r="K69" s="42">
        <v>69541</v>
      </c>
      <c r="L69" s="42">
        <v>36710</v>
      </c>
      <c r="M69" s="41"/>
      <c r="N69" s="41"/>
      <c r="O69" s="42">
        <v>36724</v>
      </c>
    </row>
    <row r="70" spans="1:15" x14ac:dyDescent="0.25">
      <c r="A70" s="1" t="s">
        <v>14</v>
      </c>
      <c r="B70" s="1" t="s">
        <v>15</v>
      </c>
      <c r="C70" s="32" t="s">
        <v>7</v>
      </c>
      <c r="D70" s="42">
        <v>108695</v>
      </c>
      <c r="E70" s="41"/>
      <c r="F70" s="41"/>
      <c r="G70" s="42">
        <v>111982</v>
      </c>
      <c r="H70" s="43">
        <v>75987</v>
      </c>
      <c r="I70" s="41"/>
      <c r="J70" s="41"/>
      <c r="K70" s="43">
        <v>76335</v>
      </c>
      <c r="L70" s="42">
        <v>22281</v>
      </c>
      <c r="M70" s="41"/>
      <c r="N70" s="41"/>
      <c r="O70" s="42">
        <v>37411</v>
      </c>
    </row>
    <row r="71" spans="1:15" x14ac:dyDescent="0.25">
      <c r="A71" s="79" t="s">
        <v>180</v>
      </c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</row>
    <row r="72" spans="1:15" x14ac:dyDescent="0.25">
      <c r="A72" s="15"/>
      <c r="B72" s="13"/>
      <c r="C72" s="21"/>
    </row>
    <row r="73" spans="1:15" ht="18.75" x14ac:dyDescent="0.3">
      <c r="A73" s="76" t="s">
        <v>207</v>
      </c>
      <c r="B73" s="76"/>
      <c r="C73" s="76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</row>
    <row r="74" spans="1:15" ht="45" x14ac:dyDescent="0.25">
      <c r="A74" s="1" t="s">
        <v>2</v>
      </c>
      <c r="B74" s="1" t="s">
        <v>3</v>
      </c>
      <c r="C74" s="32" t="s">
        <v>4</v>
      </c>
      <c r="D74" s="4" t="s">
        <v>78</v>
      </c>
      <c r="E74" s="4" t="s">
        <v>139</v>
      </c>
      <c r="F74" s="4" t="s">
        <v>164</v>
      </c>
      <c r="G74" s="4" t="s">
        <v>85</v>
      </c>
      <c r="H74" s="4" t="s">
        <v>79</v>
      </c>
      <c r="I74" s="4" t="s">
        <v>139</v>
      </c>
      <c r="J74" s="4" t="s">
        <v>164</v>
      </c>
      <c r="K74" s="4" t="s">
        <v>82</v>
      </c>
      <c r="L74" s="4" t="s">
        <v>80</v>
      </c>
      <c r="M74" s="4" t="s">
        <v>139</v>
      </c>
      <c r="N74" s="4" t="s">
        <v>164</v>
      </c>
      <c r="O74" s="4" t="s">
        <v>81</v>
      </c>
    </row>
    <row r="75" spans="1:15" x14ac:dyDescent="0.25">
      <c r="A75" s="1" t="s">
        <v>5</v>
      </c>
      <c r="B75" s="1" t="s">
        <v>6</v>
      </c>
      <c r="C75" s="32" t="s">
        <v>7</v>
      </c>
      <c r="D75" s="42">
        <v>218340.61135399999</v>
      </c>
      <c r="E75" s="41"/>
      <c r="F75" s="41"/>
      <c r="G75" s="42">
        <v>221729.49002200001</v>
      </c>
      <c r="H75" s="42">
        <v>127064.80305</v>
      </c>
      <c r="I75" s="41"/>
      <c r="J75" s="41"/>
      <c r="K75" s="42">
        <v>128205.128205</v>
      </c>
      <c r="L75" s="42">
        <v>43252.595156000003</v>
      </c>
      <c r="M75" s="41"/>
      <c r="N75" s="41"/>
      <c r="O75" s="42">
        <v>43252.595156000003</v>
      </c>
    </row>
    <row r="76" spans="1:15" x14ac:dyDescent="0.25">
      <c r="A76" s="1" t="s">
        <v>8</v>
      </c>
      <c r="B76" s="1" t="s">
        <v>9</v>
      </c>
      <c r="C76" s="32" t="s">
        <v>7</v>
      </c>
      <c r="D76" s="42">
        <v>216450.21645000001</v>
      </c>
      <c r="E76" s="41"/>
      <c r="F76" s="41"/>
      <c r="G76" s="42">
        <v>218340.61135399999</v>
      </c>
      <c r="H76" s="42">
        <v>116009.280742</v>
      </c>
      <c r="I76" s="41"/>
      <c r="J76" s="41"/>
      <c r="K76" s="42">
        <v>117647.05882400001</v>
      </c>
      <c r="L76" s="42">
        <v>41203.131437999997</v>
      </c>
      <c r="M76" s="41"/>
      <c r="N76" s="41"/>
      <c r="O76" s="42">
        <v>41545.492314000003</v>
      </c>
    </row>
    <row r="77" spans="1:15" x14ac:dyDescent="0.25">
      <c r="A77" s="1" t="s">
        <v>10</v>
      </c>
      <c r="B77" s="1" t="s">
        <v>9</v>
      </c>
      <c r="C77" s="32" t="s">
        <v>11</v>
      </c>
      <c r="D77" s="42">
        <v>122549.019608</v>
      </c>
      <c r="E77" s="41"/>
      <c r="F77" s="41"/>
      <c r="G77" s="42">
        <v>125000</v>
      </c>
      <c r="H77" s="42">
        <v>74183.976261000003</v>
      </c>
      <c r="I77" s="41"/>
      <c r="J77" s="41"/>
      <c r="K77" s="42">
        <v>75187.969924999998</v>
      </c>
      <c r="L77" s="42">
        <v>37537.537537999997</v>
      </c>
      <c r="M77" s="41"/>
      <c r="N77" s="41"/>
      <c r="O77" s="42">
        <v>37735.849056999999</v>
      </c>
    </row>
    <row r="78" spans="1:15" x14ac:dyDescent="0.25">
      <c r="A78" s="1" t="s">
        <v>12</v>
      </c>
      <c r="B78" s="1" t="s">
        <v>13</v>
      </c>
      <c r="C78" s="32" t="s">
        <v>11</v>
      </c>
      <c r="D78" s="42">
        <v>99800.399202000001</v>
      </c>
      <c r="E78" s="41"/>
      <c r="F78" s="41"/>
      <c r="G78" s="42">
        <v>102564.102564</v>
      </c>
      <c r="H78" s="42">
        <v>69156.293223000001</v>
      </c>
      <c r="I78" s="41"/>
      <c r="J78" s="41"/>
      <c r="K78" s="42">
        <v>69881.201956999997</v>
      </c>
      <c r="L78" s="42">
        <v>36536.353671999997</v>
      </c>
      <c r="M78" s="41"/>
      <c r="N78" s="41"/>
      <c r="O78" s="42">
        <v>36832.412522999999</v>
      </c>
    </row>
    <row r="79" spans="1:15" x14ac:dyDescent="0.25">
      <c r="A79" s="1" t="s">
        <v>14</v>
      </c>
      <c r="B79" s="1" t="s">
        <v>15</v>
      </c>
      <c r="C79" s="32" t="s">
        <v>11</v>
      </c>
      <c r="D79" s="42">
        <v>109529.025192</v>
      </c>
      <c r="E79" s="41"/>
      <c r="F79" s="41"/>
      <c r="G79" s="42">
        <v>112107.623318</v>
      </c>
      <c r="H79" s="42">
        <v>75987.841944999993</v>
      </c>
      <c r="I79" s="41"/>
      <c r="J79" s="41"/>
      <c r="K79" s="42">
        <v>76335.877863000002</v>
      </c>
      <c r="L79" s="42">
        <v>36900.369004</v>
      </c>
      <c r="M79" s="41"/>
      <c r="N79" s="41"/>
      <c r="O79" s="42">
        <v>37764.350452999999</v>
      </c>
    </row>
    <row r="80" spans="1:15" x14ac:dyDescent="0.25">
      <c r="A80" s="81" t="s">
        <v>174</v>
      </c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</row>
    <row r="82" spans="1:15" ht="18.75" x14ac:dyDescent="0.3">
      <c r="A82" s="76" t="s">
        <v>208</v>
      </c>
      <c r="B82" s="76"/>
      <c r="C82" s="76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</row>
    <row r="83" spans="1:15" ht="45" x14ac:dyDescent="0.25">
      <c r="A83" s="1" t="s">
        <v>2</v>
      </c>
      <c r="B83" s="1" t="s">
        <v>3</v>
      </c>
      <c r="C83" s="32" t="s">
        <v>4</v>
      </c>
      <c r="D83" s="4" t="s">
        <v>78</v>
      </c>
      <c r="E83" s="4" t="s">
        <v>139</v>
      </c>
      <c r="F83" s="4" t="s">
        <v>164</v>
      </c>
      <c r="G83" s="4" t="s">
        <v>85</v>
      </c>
      <c r="H83" s="4" t="s">
        <v>79</v>
      </c>
      <c r="I83" s="4" t="s">
        <v>139</v>
      </c>
      <c r="J83" s="4" t="s">
        <v>164</v>
      </c>
      <c r="K83" s="4" t="s">
        <v>82</v>
      </c>
      <c r="L83" s="4" t="s">
        <v>80</v>
      </c>
      <c r="M83" s="4" t="s">
        <v>139</v>
      </c>
      <c r="N83" s="4" t="s">
        <v>164</v>
      </c>
      <c r="O83" s="4" t="s">
        <v>81</v>
      </c>
    </row>
    <row r="84" spans="1:15" x14ac:dyDescent="0.25">
      <c r="A84" s="1" t="s">
        <v>5</v>
      </c>
      <c r="B84" s="1" t="s">
        <v>6</v>
      </c>
      <c r="C84" s="32" t="s">
        <v>7</v>
      </c>
      <c r="D84" s="42">
        <v>256410</v>
      </c>
      <c r="E84" s="41"/>
      <c r="F84" s="41"/>
      <c r="G84" s="43">
        <v>259067</v>
      </c>
      <c r="H84" s="42">
        <v>134408</v>
      </c>
      <c r="I84" s="41"/>
      <c r="J84" s="41"/>
      <c r="K84" s="42">
        <v>135501</v>
      </c>
      <c r="L84" s="42">
        <v>44464</v>
      </c>
      <c r="M84" s="41"/>
      <c r="N84" s="41"/>
      <c r="O84" s="42">
        <v>44464</v>
      </c>
    </row>
    <row r="85" spans="1:15" x14ac:dyDescent="0.25">
      <c r="A85" s="1" t="s">
        <v>8</v>
      </c>
      <c r="B85" s="1" t="s">
        <v>9</v>
      </c>
      <c r="C85" s="32" t="s">
        <v>7</v>
      </c>
      <c r="D85" s="42">
        <v>243902</v>
      </c>
      <c r="E85" s="41"/>
      <c r="F85" s="41"/>
      <c r="G85" s="42">
        <v>248756</v>
      </c>
      <c r="H85" s="42">
        <v>127064</v>
      </c>
      <c r="I85" s="41"/>
      <c r="J85" s="41"/>
      <c r="K85" s="42">
        <v>127551</v>
      </c>
      <c r="L85" s="42">
        <v>42571</v>
      </c>
      <c r="M85" s="41"/>
      <c r="N85" s="41"/>
      <c r="O85" s="42">
        <v>42918</v>
      </c>
    </row>
    <row r="86" spans="1:15" x14ac:dyDescent="0.25">
      <c r="A86" s="1" t="s">
        <v>10</v>
      </c>
      <c r="B86" s="1" t="s">
        <v>9</v>
      </c>
      <c r="C86" s="32" t="s">
        <v>11</v>
      </c>
      <c r="D86" s="42">
        <v>107296</v>
      </c>
      <c r="E86" s="41"/>
      <c r="F86" s="41"/>
      <c r="G86" s="42">
        <v>109529</v>
      </c>
      <c r="H86" s="42">
        <v>89047</v>
      </c>
      <c r="I86" s="41"/>
      <c r="J86" s="41"/>
      <c r="K86" s="42">
        <v>96805</v>
      </c>
      <c r="L86" s="42">
        <v>36023</v>
      </c>
      <c r="M86" s="41"/>
      <c r="N86" s="41"/>
      <c r="O86" s="42">
        <v>37050</v>
      </c>
    </row>
    <row r="87" spans="1:15" x14ac:dyDescent="0.25">
      <c r="A87" s="1" t="s">
        <v>12</v>
      </c>
      <c r="B87" s="1" t="s">
        <v>13</v>
      </c>
      <c r="C87" s="32" t="s">
        <v>7</v>
      </c>
      <c r="D87" s="42">
        <v>233644</v>
      </c>
      <c r="E87" s="41"/>
      <c r="F87" s="41"/>
      <c r="G87" s="43">
        <v>237529</v>
      </c>
      <c r="H87" s="42">
        <v>133333</v>
      </c>
      <c r="I87" s="41"/>
      <c r="J87" s="41"/>
      <c r="K87" s="42">
        <v>134408</v>
      </c>
      <c r="L87" s="42">
        <v>44052</v>
      </c>
      <c r="M87" s="41"/>
      <c r="N87" s="41"/>
      <c r="O87" s="42">
        <v>44464</v>
      </c>
    </row>
    <row r="88" spans="1:15" x14ac:dyDescent="0.25">
      <c r="A88" s="1" t="s">
        <v>14</v>
      </c>
      <c r="B88" s="1" t="s">
        <v>15</v>
      </c>
      <c r="C88" s="32" t="s">
        <v>7</v>
      </c>
      <c r="D88" s="42">
        <v>230946</v>
      </c>
      <c r="E88" s="41"/>
      <c r="F88" s="41"/>
      <c r="G88" s="42">
        <v>233644</v>
      </c>
      <c r="H88" s="43">
        <v>132625</v>
      </c>
      <c r="I88" s="41"/>
      <c r="J88" s="41"/>
      <c r="K88" s="43">
        <v>134408</v>
      </c>
      <c r="L88" s="42">
        <v>44286</v>
      </c>
      <c r="M88" s="41"/>
      <c r="N88" s="41"/>
      <c r="O88" s="42">
        <v>44702</v>
      </c>
    </row>
    <row r="89" spans="1:15" x14ac:dyDescent="0.25">
      <c r="A89" s="79" t="s">
        <v>180</v>
      </c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</row>
    <row r="90" spans="1:15" x14ac:dyDescent="0.25">
      <c r="A90" s="15"/>
      <c r="B90" s="13"/>
      <c r="C90" s="21"/>
    </row>
    <row r="91" spans="1:15" ht="18.75" x14ac:dyDescent="0.3">
      <c r="A91" s="76" t="s">
        <v>209</v>
      </c>
      <c r="B91" s="76"/>
      <c r="C91" s="76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</row>
    <row r="92" spans="1:15" ht="45" x14ac:dyDescent="0.25">
      <c r="A92" s="1" t="s">
        <v>2</v>
      </c>
      <c r="B92" s="1" t="s">
        <v>3</v>
      </c>
      <c r="C92" s="32" t="s">
        <v>4</v>
      </c>
      <c r="D92" s="4" t="s">
        <v>78</v>
      </c>
      <c r="E92" s="4" t="s">
        <v>139</v>
      </c>
      <c r="F92" s="4" t="s">
        <v>164</v>
      </c>
      <c r="G92" s="4" t="s">
        <v>85</v>
      </c>
      <c r="H92" s="4" t="s">
        <v>79</v>
      </c>
      <c r="I92" s="4" t="s">
        <v>139</v>
      </c>
      <c r="J92" s="4" t="s">
        <v>164</v>
      </c>
      <c r="K92" s="4" t="s">
        <v>82</v>
      </c>
      <c r="L92" s="4" t="s">
        <v>80</v>
      </c>
      <c r="M92" s="4" t="s">
        <v>139</v>
      </c>
      <c r="N92" s="4" t="s">
        <v>164</v>
      </c>
      <c r="O92" s="4" t="s">
        <v>81</v>
      </c>
    </row>
    <row r="93" spans="1:15" x14ac:dyDescent="0.25">
      <c r="A93" s="1" t="s">
        <v>5</v>
      </c>
      <c r="B93" s="1" t="s">
        <v>6</v>
      </c>
      <c r="C93" s="32" t="s">
        <v>7</v>
      </c>
      <c r="D93" s="42">
        <v>223214</v>
      </c>
      <c r="E93" s="41"/>
      <c r="F93" s="41"/>
      <c r="G93" s="42">
        <v>226244</v>
      </c>
      <c r="H93" s="42">
        <v>123762</v>
      </c>
      <c r="I93" s="41"/>
      <c r="J93" s="41"/>
      <c r="K93" s="42">
        <v>126582</v>
      </c>
      <c r="L93" s="42">
        <v>43252</v>
      </c>
      <c r="M93" s="41"/>
      <c r="N93" s="41"/>
      <c r="O93" s="42">
        <v>43252</v>
      </c>
    </row>
    <row r="94" spans="1:15" x14ac:dyDescent="0.25">
      <c r="A94" s="1" t="s">
        <v>8</v>
      </c>
      <c r="B94" s="1" t="s">
        <v>9</v>
      </c>
      <c r="C94" s="32" t="s">
        <v>7</v>
      </c>
      <c r="D94" s="42">
        <v>214132</v>
      </c>
      <c r="E94" s="41"/>
      <c r="F94" s="41"/>
      <c r="G94" s="42">
        <v>216450</v>
      </c>
      <c r="H94" s="42">
        <v>116144</v>
      </c>
      <c r="I94" s="41"/>
      <c r="J94" s="41"/>
      <c r="K94" s="42">
        <v>117096</v>
      </c>
      <c r="L94" s="42">
        <v>41203</v>
      </c>
      <c r="M94" s="41"/>
      <c r="N94" s="41"/>
      <c r="O94" s="42">
        <v>41545</v>
      </c>
    </row>
    <row r="95" spans="1:15" x14ac:dyDescent="0.25">
      <c r="A95" s="1" t="s">
        <v>10</v>
      </c>
      <c r="B95" s="1" t="s">
        <v>9</v>
      </c>
      <c r="C95" s="32" t="s">
        <v>11</v>
      </c>
      <c r="D95" s="42">
        <v>117233</v>
      </c>
      <c r="E95" s="41"/>
      <c r="F95" s="41"/>
      <c r="G95" s="42">
        <v>118623</v>
      </c>
      <c r="H95" s="42">
        <v>96993</v>
      </c>
      <c r="I95" s="41"/>
      <c r="J95" s="41"/>
      <c r="K95" s="42">
        <v>97370</v>
      </c>
      <c r="L95" s="42">
        <v>37397</v>
      </c>
      <c r="M95" s="41"/>
      <c r="N95" s="41"/>
      <c r="O95" s="42">
        <v>37551</v>
      </c>
    </row>
    <row r="96" spans="1:15" x14ac:dyDescent="0.25">
      <c r="A96" s="1" t="s">
        <v>12</v>
      </c>
      <c r="B96" s="1" t="s">
        <v>13</v>
      </c>
      <c r="C96" s="32" t="s">
        <v>11</v>
      </c>
      <c r="D96" s="42">
        <v>99304</v>
      </c>
      <c r="E96" s="41"/>
      <c r="F96" s="41"/>
      <c r="G96" s="42">
        <v>100704</v>
      </c>
      <c r="H96" s="42">
        <v>89525</v>
      </c>
      <c r="I96" s="41"/>
      <c r="J96" s="41"/>
      <c r="K96" s="42">
        <v>90744</v>
      </c>
      <c r="L96" s="42">
        <v>36683</v>
      </c>
      <c r="M96" s="41"/>
      <c r="N96" s="41"/>
      <c r="O96" s="42">
        <v>37037</v>
      </c>
    </row>
    <row r="97" spans="1:15" x14ac:dyDescent="0.25">
      <c r="A97" s="1" t="s">
        <v>14</v>
      </c>
      <c r="B97" s="1" t="s">
        <v>15</v>
      </c>
      <c r="C97" s="32" t="s">
        <v>11</v>
      </c>
      <c r="D97" s="42">
        <v>107411</v>
      </c>
      <c r="E97" s="41"/>
      <c r="F97" s="41"/>
      <c r="G97" s="42">
        <v>107874</v>
      </c>
      <c r="H97" s="42">
        <v>96153</v>
      </c>
      <c r="I97" s="41"/>
      <c r="J97" s="41"/>
      <c r="K97" s="42">
        <v>97560</v>
      </c>
      <c r="L97" s="42">
        <v>37257</v>
      </c>
      <c r="M97" s="41"/>
      <c r="N97" s="41"/>
      <c r="O97" s="42">
        <v>37411</v>
      </c>
    </row>
    <row r="98" spans="1:15" x14ac:dyDescent="0.25">
      <c r="A98" s="81" t="s">
        <v>174</v>
      </c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</row>
    <row r="100" spans="1:15" ht="18.75" x14ac:dyDescent="0.3">
      <c r="A100" s="76" t="s">
        <v>215</v>
      </c>
      <c r="B100" s="76"/>
      <c r="C100" s="76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</row>
    <row r="101" spans="1:15" ht="45" x14ac:dyDescent="0.25">
      <c r="A101" s="1" t="s">
        <v>2</v>
      </c>
      <c r="B101" s="1" t="s">
        <v>3</v>
      </c>
      <c r="C101" s="32" t="s">
        <v>4</v>
      </c>
      <c r="D101" s="4" t="s">
        <v>78</v>
      </c>
      <c r="E101" s="4" t="s">
        <v>139</v>
      </c>
      <c r="F101" s="4" t="s">
        <v>164</v>
      </c>
      <c r="G101" s="4" t="s">
        <v>85</v>
      </c>
      <c r="H101" s="4" t="s">
        <v>79</v>
      </c>
      <c r="I101" s="4" t="s">
        <v>139</v>
      </c>
      <c r="J101" s="4" t="s">
        <v>164</v>
      </c>
      <c r="K101" s="4" t="s">
        <v>82</v>
      </c>
      <c r="L101" s="4" t="s">
        <v>80</v>
      </c>
      <c r="M101" s="4" t="s">
        <v>139</v>
      </c>
      <c r="N101" s="4" t="s">
        <v>164</v>
      </c>
      <c r="O101" s="4" t="s">
        <v>81</v>
      </c>
    </row>
    <row r="102" spans="1:15" x14ac:dyDescent="0.25">
      <c r="A102" s="1" t="s">
        <v>5</v>
      </c>
      <c r="B102" s="1" t="s">
        <v>6</v>
      </c>
      <c r="C102" s="32" t="s">
        <v>7</v>
      </c>
      <c r="D102" s="42">
        <v>159235</v>
      </c>
      <c r="E102" s="41"/>
      <c r="F102" s="41"/>
      <c r="G102" s="43">
        <v>170648</v>
      </c>
      <c r="H102" s="42">
        <v>101626</v>
      </c>
      <c r="I102" s="41"/>
      <c r="J102" s="41"/>
      <c r="K102" s="42">
        <v>107758</v>
      </c>
      <c r="L102" s="42">
        <v>36900</v>
      </c>
      <c r="M102" s="41"/>
      <c r="N102" s="41"/>
      <c r="O102" s="42">
        <v>39108</v>
      </c>
    </row>
    <row r="103" spans="1:15" x14ac:dyDescent="0.25">
      <c r="A103" s="1" t="s">
        <v>8</v>
      </c>
      <c r="B103" s="1" t="s">
        <v>9</v>
      </c>
      <c r="C103" s="32" t="s">
        <v>7</v>
      </c>
      <c r="D103" s="42">
        <v>157232</v>
      </c>
      <c r="E103" s="41"/>
      <c r="F103" s="41"/>
      <c r="G103" s="42">
        <v>163398</v>
      </c>
      <c r="H103" s="42">
        <v>89445</v>
      </c>
      <c r="I103" s="41"/>
      <c r="J103" s="41"/>
      <c r="K103" s="42">
        <v>96339</v>
      </c>
      <c r="L103" s="42">
        <v>35752</v>
      </c>
      <c r="M103" s="41"/>
      <c r="N103" s="41"/>
      <c r="O103" s="42">
        <v>36710</v>
      </c>
    </row>
    <row r="104" spans="1:15" x14ac:dyDescent="0.25">
      <c r="A104" s="1" t="s">
        <v>10</v>
      </c>
      <c r="B104" s="1" t="s">
        <v>9</v>
      </c>
      <c r="C104" s="32" t="s">
        <v>11</v>
      </c>
      <c r="D104" s="42">
        <v>70126</v>
      </c>
      <c r="E104" s="41"/>
      <c r="F104" s="41"/>
      <c r="G104" s="42">
        <v>72463</v>
      </c>
      <c r="H104" s="42">
        <v>42034</v>
      </c>
      <c r="I104" s="41"/>
      <c r="J104" s="41"/>
      <c r="K104" s="42">
        <v>43956</v>
      </c>
      <c r="L104" s="42">
        <v>25614</v>
      </c>
      <c r="M104" s="41"/>
      <c r="N104" s="41"/>
      <c r="O104" s="42">
        <v>27487</v>
      </c>
    </row>
    <row r="105" spans="1:15" x14ac:dyDescent="0.25">
      <c r="A105" s="1" t="s">
        <v>12</v>
      </c>
      <c r="B105" s="1" t="s">
        <v>13</v>
      </c>
      <c r="C105" s="32" t="s">
        <v>7</v>
      </c>
      <c r="D105" s="42">
        <v>136986</v>
      </c>
      <c r="E105" s="41"/>
      <c r="F105" s="41"/>
      <c r="G105" s="43">
        <v>154083</v>
      </c>
      <c r="H105" s="42">
        <v>93196</v>
      </c>
      <c r="I105" s="41"/>
      <c r="J105" s="41"/>
      <c r="K105" s="42">
        <v>100704</v>
      </c>
      <c r="L105" s="42">
        <v>35752</v>
      </c>
      <c r="M105" s="41"/>
      <c r="N105" s="41"/>
      <c r="O105" s="42">
        <v>37397</v>
      </c>
    </row>
    <row r="106" spans="1:15" x14ac:dyDescent="0.25">
      <c r="A106" s="1" t="s">
        <v>14</v>
      </c>
      <c r="B106" s="1" t="s">
        <v>15</v>
      </c>
      <c r="C106" s="32" t="s">
        <v>7</v>
      </c>
      <c r="D106" s="42">
        <v>133868</v>
      </c>
      <c r="E106" s="41"/>
      <c r="F106" s="41"/>
      <c r="G106" s="42">
        <v>138312</v>
      </c>
      <c r="H106" s="43">
        <v>87489</v>
      </c>
      <c r="I106" s="41"/>
      <c r="J106" s="41"/>
      <c r="K106" s="43">
        <v>97943</v>
      </c>
      <c r="L106" s="42">
        <v>32164</v>
      </c>
      <c r="M106" s="41"/>
      <c r="N106" s="41"/>
      <c r="O106" s="42">
        <v>37950</v>
      </c>
    </row>
    <row r="107" spans="1:15" x14ac:dyDescent="0.25">
      <c r="A107" s="79" t="s">
        <v>214</v>
      </c>
      <c r="B107" s="80"/>
      <c r="C107" s="80"/>
      <c r="D107" s="80"/>
      <c r="E107" s="82" t="s">
        <v>216</v>
      </c>
      <c r="F107" s="82"/>
      <c r="G107" s="82"/>
      <c r="H107" s="82"/>
      <c r="I107" s="82"/>
      <c r="J107" s="82"/>
      <c r="K107" s="44"/>
      <c r="L107" s="44"/>
      <c r="M107" s="44"/>
      <c r="N107" s="44"/>
      <c r="O107" s="44"/>
    </row>
    <row r="108" spans="1:15" x14ac:dyDescent="0.25">
      <c r="A108" s="15"/>
      <c r="B108" s="13"/>
      <c r="C108" s="21"/>
    </row>
    <row r="109" spans="1:15" ht="18.75" x14ac:dyDescent="0.3">
      <c r="A109" s="76" t="s">
        <v>212</v>
      </c>
      <c r="B109" s="76"/>
      <c r="C109" s="76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</row>
    <row r="110" spans="1:15" ht="45" x14ac:dyDescent="0.25">
      <c r="A110" s="1" t="s">
        <v>2</v>
      </c>
      <c r="B110" s="1" t="s">
        <v>3</v>
      </c>
      <c r="C110" s="32" t="s">
        <v>4</v>
      </c>
      <c r="D110" s="4" t="s">
        <v>78</v>
      </c>
      <c r="E110" s="4" t="s">
        <v>139</v>
      </c>
      <c r="F110" s="4" t="s">
        <v>164</v>
      </c>
      <c r="G110" s="4" t="s">
        <v>85</v>
      </c>
      <c r="H110" s="4" t="s">
        <v>79</v>
      </c>
      <c r="I110" s="4" t="s">
        <v>139</v>
      </c>
      <c r="J110" s="4" t="s">
        <v>164</v>
      </c>
      <c r="K110" s="4" t="s">
        <v>82</v>
      </c>
      <c r="L110" s="4" t="s">
        <v>80</v>
      </c>
      <c r="M110" s="4" t="s">
        <v>139</v>
      </c>
      <c r="N110" s="4" t="s">
        <v>164</v>
      </c>
      <c r="O110" s="4" t="s">
        <v>81</v>
      </c>
    </row>
    <row r="111" spans="1:15" x14ac:dyDescent="0.25">
      <c r="A111" s="1" t="s">
        <v>5</v>
      </c>
      <c r="B111" s="1" t="s">
        <v>6</v>
      </c>
      <c r="C111" s="32" t="s">
        <v>7</v>
      </c>
      <c r="D111" s="42">
        <v>148588</v>
      </c>
      <c r="E111" s="41"/>
      <c r="F111" s="41"/>
      <c r="G111" s="42">
        <v>152439</v>
      </c>
      <c r="H111" s="42">
        <v>94966</v>
      </c>
      <c r="I111" s="41"/>
      <c r="J111" s="41"/>
      <c r="K111" s="42">
        <v>96618</v>
      </c>
      <c r="L111" s="42">
        <v>36697</v>
      </c>
      <c r="M111" s="41"/>
      <c r="N111" s="41"/>
      <c r="O111" s="42">
        <v>37397</v>
      </c>
    </row>
    <row r="112" spans="1:15" x14ac:dyDescent="0.25">
      <c r="A112" s="1" t="s">
        <v>8</v>
      </c>
      <c r="B112" s="1" t="s">
        <v>9</v>
      </c>
      <c r="C112" s="32" t="s">
        <v>7</v>
      </c>
      <c r="D112" s="42">
        <v>143884</v>
      </c>
      <c r="E112" s="41"/>
      <c r="F112" s="41"/>
      <c r="G112" s="42">
        <v>147492</v>
      </c>
      <c r="H112" s="42">
        <v>79872</v>
      </c>
      <c r="I112" s="41"/>
      <c r="J112" s="41"/>
      <c r="K112" s="42">
        <v>84602</v>
      </c>
      <c r="L112" s="42">
        <v>34831</v>
      </c>
      <c r="M112" s="41"/>
      <c r="N112" s="41"/>
      <c r="O112" s="42">
        <v>35460</v>
      </c>
    </row>
    <row r="113" spans="1:15" x14ac:dyDescent="0.25">
      <c r="A113" s="1" t="s">
        <v>10</v>
      </c>
      <c r="B113" s="1" t="s">
        <v>9</v>
      </c>
      <c r="C113" s="32" t="s">
        <v>11</v>
      </c>
      <c r="D113" s="42">
        <v>84175</v>
      </c>
      <c r="E113" s="41"/>
      <c r="F113" s="41"/>
      <c r="G113" s="42">
        <v>89847</v>
      </c>
      <c r="H113" s="42">
        <v>54141</v>
      </c>
      <c r="I113" s="41"/>
      <c r="J113" s="41"/>
      <c r="K113" s="42">
        <v>55617</v>
      </c>
      <c r="L113" s="42">
        <v>32113</v>
      </c>
      <c r="M113" s="41"/>
      <c r="N113" s="41"/>
      <c r="O113" s="42">
        <v>32583</v>
      </c>
    </row>
    <row r="114" spans="1:15" x14ac:dyDescent="0.25">
      <c r="A114" s="1" t="s">
        <v>12</v>
      </c>
      <c r="B114" s="1" t="s">
        <v>13</v>
      </c>
      <c r="C114" s="32" t="s">
        <v>11</v>
      </c>
      <c r="D114" s="42">
        <v>75930</v>
      </c>
      <c r="E114" s="41"/>
      <c r="F114" s="41"/>
      <c r="G114" s="42">
        <v>76982</v>
      </c>
      <c r="H114" s="42">
        <v>53219</v>
      </c>
      <c r="I114" s="41"/>
      <c r="J114" s="41"/>
      <c r="K114" s="42">
        <v>54854</v>
      </c>
      <c r="L114" s="42">
        <v>32000</v>
      </c>
      <c r="M114" s="41"/>
      <c r="N114" s="41"/>
      <c r="O114" s="42">
        <v>32310</v>
      </c>
    </row>
    <row r="115" spans="1:15" x14ac:dyDescent="0.25">
      <c r="A115" s="1" t="s">
        <v>14</v>
      </c>
      <c r="B115" s="1" t="s">
        <v>15</v>
      </c>
      <c r="C115" s="32" t="s">
        <v>11</v>
      </c>
      <c r="D115" s="42">
        <v>73475</v>
      </c>
      <c r="E115" s="41"/>
      <c r="F115" s="41"/>
      <c r="G115" s="42">
        <v>76628</v>
      </c>
      <c r="H115" s="42">
        <v>51921</v>
      </c>
      <c r="I115" s="41"/>
      <c r="J115" s="41"/>
      <c r="K115" s="42">
        <v>52854</v>
      </c>
      <c r="L115" s="42">
        <v>31505</v>
      </c>
      <c r="M115" s="41"/>
      <c r="N115" s="41"/>
      <c r="O115" s="42">
        <v>32446</v>
      </c>
    </row>
    <row r="116" spans="1:15" x14ac:dyDescent="0.25">
      <c r="A116" s="81" t="s">
        <v>213</v>
      </c>
      <c r="B116" s="82"/>
      <c r="C116" s="82"/>
      <c r="D116" s="82"/>
      <c r="E116" s="82" t="s">
        <v>216</v>
      </c>
      <c r="F116" s="82"/>
      <c r="G116" s="82"/>
      <c r="H116" s="82"/>
      <c r="I116" s="82"/>
      <c r="J116" s="82"/>
      <c r="K116" s="44"/>
      <c r="L116" s="44"/>
      <c r="M116" s="44"/>
      <c r="N116" s="44"/>
      <c r="O116" s="44"/>
    </row>
  </sheetData>
  <mergeCells count="20">
    <mergeCell ref="A91:O91"/>
    <mergeCell ref="A98:O98"/>
    <mergeCell ref="A107:D107"/>
    <mergeCell ref="E107:J107"/>
    <mergeCell ref="A116:D116"/>
    <mergeCell ref="E116:J116"/>
    <mergeCell ref="A100:O100"/>
    <mergeCell ref="A109:O109"/>
    <mergeCell ref="A82:O82"/>
    <mergeCell ref="A89:O89"/>
    <mergeCell ref="A80:O80"/>
    <mergeCell ref="A73:O73"/>
    <mergeCell ref="A1:O1"/>
    <mergeCell ref="A10:O10"/>
    <mergeCell ref="A46:O46"/>
    <mergeCell ref="A55:O55"/>
    <mergeCell ref="A53:O53"/>
    <mergeCell ref="A62:O62"/>
    <mergeCell ref="A64:O64"/>
    <mergeCell ref="A71:O71"/>
  </mergeCells>
  <conditionalFormatting sqref="I3:J7 M3:N7 E3:F7">
    <cfRule type="colorScale" priority="38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2:F16 I12:J16 M12:N16">
    <cfRule type="colorScale" priority="37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I21:J25 M21:N25 E21:F25">
    <cfRule type="colorScale" priority="36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30:F34 I30:J34 M30:N34">
    <cfRule type="colorScale" priority="3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I21">
    <cfRule type="colorScale" priority="3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I22:I25">
    <cfRule type="colorScale" priority="33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M44:N45 E44:F45 I44:J45">
    <cfRule type="colorScale" priority="29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I44:I45">
    <cfRule type="colorScale" priority="26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39:E43">
    <cfRule type="colorScale" priority="18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39:E43">
    <cfRule type="colorScale" priority="17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F39:F43">
    <cfRule type="colorScale" priority="16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39:E43">
    <cfRule type="colorScale" priority="1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I39">
    <cfRule type="colorScale" priority="1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I39:J43">
    <cfRule type="colorScale" priority="13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M39:N43">
    <cfRule type="colorScale" priority="1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M39:N43">
    <cfRule type="colorScale" priority="11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48:F52 I48:J52 M48:N52">
    <cfRule type="colorScale" priority="10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57:F61 I57:J61 M57:N61">
    <cfRule type="colorScale" priority="9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66:F70 I66:J70 M66:N70">
    <cfRule type="colorScale" priority="8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75:F79 I75:J79 M75:N79">
    <cfRule type="colorScale" priority="7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84:F88 I84:J88 M84:N88">
    <cfRule type="colorScale" priority="6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93:F97 I93:J97 M93:N97">
    <cfRule type="colorScale" priority="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02:F106 I102:J106 M102:N106">
    <cfRule type="colorScale" priority="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11:F115 I111:J115 M111:N115">
    <cfRule type="colorScale" priority="3">
      <colorScale>
        <cfvo type="min"/>
        <cfvo type="num" val="0"/>
        <cfvo type="max"/>
        <color rgb="FFF8696B"/>
        <color theme="0"/>
        <color rgb="FF63BE7B"/>
      </colorScale>
    </cfRule>
  </conditionalFormatting>
  <hyperlinks>
    <hyperlink ref="C35" r:id="rId1" xr:uid="{00000000-0004-0000-0800-000000000000}"/>
    <hyperlink ref="C26" r:id="rId2" xr:uid="{00000000-0004-0000-0800-000001000000}"/>
    <hyperlink ref="C8" r:id="rId3" location="TSsummary" xr:uid="{00000000-0004-0000-0800-000002000000}"/>
    <hyperlink ref="C44" display="http://us-aus-rtweb1.natinst.com/Reports/RT/2015/performance/pharlap/rtperf-8108/sp_online_poll_nosmp/2015-02-27_05-55-10/HTML/2015-02-27_06-00-57_SinglePointBenchmarks_ATS.html#test_daqmx-Benchmark.lvproj%5CRT%20Target%5CT1%20-%20AI-AO%5CTest_DAQmx_AI-AO" xr:uid="{00000000-0004-0000-0800-000003000000}"/>
    <hyperlink ref="A53:O53" r:id="rId4" display="Worst of 3 : 8108_sp_online_poll_smp_15.0rc1" xr:uid="{00000000-0004-0000-0800-000004000000}"/>
    <hyperlink ref="A62:O62" r:id="rId5" display="Worst of 3 : 8108_sp_online_poll_no_smp_15.0rc1" xr:uid="{00000000-0004-0000-0800-000005000000}"/>
    <hyperlink ref="A71:O71" r:id="rId6" display="Worst of 3 : 8135_sp_online_poll_smp_15.0" xr:uid="{00000000-0004-0000-0800-000006000000}"/>
    <hyperlink ref="A80:O80" r:id="rId7" display="Worst of 3 : 8135_sp_online_poll_no_smp_15.0" xr:uid="{00000000-0004-0000-0800-000007000000}"/>
    <hyperlink ref="A89:O89" r:id="rId8" display="Worst of 3 : 8135_sp_online_poll_smp_15.0" xr:uid="{00000000-0004-0000-0800-000008000000}"/>
    <hyperlink ref="A98:O98" r:id="rId9" display="Worst of 3 : 8135_sp_online_poll_no_smp_15.0" xr:uid="{00000000-0004-0000-0800-000009000000}"/>
    <hyperlink ref="E107:J107" r:id="rId10" display="T4 case was run again since first time it errored because of test VI issue" xr:uid="{00000000-0004-0000-0800-00000A000000}"/>
    <hyperlink ref="A107:D107" r:id="rId11" display="Worst of 10 : 8108_sp_online_poll_smp_15.0" xr:uid="{00000000-0004-0000-0800-00000B000000}"/>
    <hyperlink ref="A116:D116" r:id="rId12" display="Worst of 10 : 8108_sp_online_poll_no_smp_15.0" xr:uid="{00000000-0004-0000-0800-00000C000000}"/>
    <hyperlink ref="E116:J116" r:id="rId13" display="T4 case was run again since first time it errored because of test VI issue" xr:uid="{00000000-0004-0000-0800-00000D000000}"/>
  </hyperlinks>
  <pageMargins left="0.7" right="0.7" top="0.75" bottom="0.75" header="0.3" footer="0.3"/>
  <pageSetup orientation="portrait" r:id="rId1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34"/>
  <sheetViews>
    <sheetView topLeftCell="A175" workbookViewId="0">
      <selection activeCell="E2" sqref="E2"/>
    </sheetView>
  </sheetViews>
  <sheetFormatPr defaultRowHeight="15" x14ac:dyDescent="0.25"/>
  <cols>
    <col min="12" max="12" width="9.140625" customWidth="1"/>
  </cols>
  <sheetData>
    <row r="1" spans="1:12" ht="18.75" x14ac:dyDescent="0.3">
      <c r="A1" s="76" t="s">
        <v>182</v>
      </c>
      <c r="B1" s="76"/>
      <c r="C1" s="76"/>
      <c r="D1" s="78"/>
      <c r="E1" s="78"/>
      <c r="F1" s="78"/>
      <c r="G1" s="78"/>
      <c r="H1" s="78"/>
      <c r="I1" s="78"/>
      <c r="J1" s="78"/>
      <c r="K1" s="78"/>
      <c r="L1" s="78"/>
    </row>
    <row r="2" spans="1:12" ht="45" x14ac:dyDescent="0.25">
      <c r="A2" s="1" t="s">
        <v>2</v>
      </c>
      <c r="B2" s="1" t="s">
        <v>3</v>
      </c>
      <c r="C2" s="32" t="s">
        <v>4</v>
      </c>
      <c r="D2" s="4" t="s">
        <v>78</v>
      </c>
      <c r="E2" s="4" t="s">
        <v>176</v>
      </c>
      <c r="F2" s="4" t="s">
        <v>85</v>
      </c>
      <c r="G2" s="4" t="s">
        <v>79</v>
      </c>
      <c r="H2" s="4" t="s">
        <v>139</v>
      </c>
      <c r="I2" s="4" t="s">
        <v>82</v>
      </c>
      <c r="J2" s="4" t="s">
        <v>80</v>
      </c>
      <c r="K2" s="4" t="s">
        <v>139</v>
      </c>
      <c r="L2" s="4" t="s">
        <v>81</v>
      </c>
    </row>
    <row r="3" spans="1:12" x14ac:dyDescent="0.25">
      <c r="A3" s="1" t="s">
        <v>5</v>
      </c>
      <c r="B3" s="1" t="s">
        <v>6</v>
      </c>
      <c r="C3" s="32" t="s">
        <v>7</v>
      </c>
      <c r="D3" s="42">
        <v>251256.281407</v>
      </c>
      <c r="E3" s="41">
        <f>(D3-'2015'!D66)/'2015'!D66</f>
        <v>0.12562958150922435</v>
      </c>
      <c r="F3" s="42">
        <v>259740.25974000001</v>
      </c>
      <c r="G3" s="42">
        <v>133868.80856800001</v>
      </c>
      <c r="H3" s="41">
        <f>(G3-'2015'!H66)/'2015'!H66</f>
        <v>4.9531627098180396E-2</v>
      </c>
      <c r="I3" s="42">
        <v>134408.602151</v>
      </c>
      <c r="J3" s="42"/>
      <c r="K3" s="41">
        <f>(J3-'2015'!L66)/'2015'!L66</f>
        <v>-1</v>
      </c>
      <c r="L3" s="42"/>
    </row>
    <row r="4" spans="1:12" x14ac:dyDescent="0.25">
      <c r="A4" s="1" t="s">
        <v>8</v>
      </c>
      <c r="B4" s="1" t="s">
        <v>9</v>
      </c>
      <c r="C4" s="32" t="s">
        <v>7</v>
      </c>
      <c r="D4" s="42">
        <v>252525.25252499999</v>
      </c>
      <c r="E4" s="41">
        <f>(D4-'2015'!D67)/'2015'!D67</f>
        <v>0.17171848404070209</v>
      </c>
      <c r="F4" s="42">
        <v>254452.926209</v>
      </c>
      <c r="G4" s="42">
        <v>126582.278481</v>
      </c>
      <c r="H4" s="41">
        <f>(G4-'2015'!H67)/'2015'!H67</f>
        <v>0.10000763405287033</v>
      </c>
      <c r="I4" s="42">
        <v>127064.80305</v>
      </c>
      <c r="J4" s="42"/>
      <c r="K4" s="41">
        <f>(J4-'2015'!L67)/'2015'!L67</f>
        <v>-1</v>
      </c>
      <c r="L4" s="42"/>
    </row>
    <row r="5" spans="1:12" x14ac:dyDescent="0.25">
      <c r="A5" s="1" t="s">
        <v>10</v>
      </c>
      <c r="B5" s="1" t="s">
        <v>9</v>
      </c>
      <c r="C5" s="32" t="s">
        <v>11</v>
      </c>
      <c r="D5" s="42">
        <v>91157.702825999993</v>
      </c>
      <c r="E5" s="41">
        <f>(D5-'2015'!D68)/'2015'!D68</f>
        <v>-0.25250549133668448</v>
      </c>
      <c r="F5" s="42">
        <v>91911.764706000002</v>
      </c>
      <c r="G5" s="42">
        <v>53361.792955999998</v>
      </c>
      <c r="H5" s="41">
        <f>(G5-'2015'!H68)/'2015'!H68</f>
        <v>-0.28761657335860952</v>
      </c>
      <c r="I5" s="42">
        <v>61199.510404000001</v>
      </c>
      <c r="J5" s="42"/>
      <c r="K5" s="41">
        <f>(J5-'2015'!L68)/'2015'!L68</f>
        <v>-1</v>
      </c>
      <c r="L5" s="42"/>
    </row>
    <row r="6" spans="1:12" x14ac:dyDescent="0.25">
      <c r="A6" s="1" t="s">
        <v>12</v>
      </c>
      <c r="B6" s="1" t="s">
        <v>13</v>
      </c>
      <c r="C6" s="32" t="s">
        <v>7</v>
      </c>
      <c r="D6" s="42">
        <v>191204.58890999999</v>
      </c>
      <c r="E6" s="41">
        <f>(D6-'2015'!D69)/'2015'!D69</f>
        <v>0.92352935937547143</v>
      </c>
      <c r="F6" s="42">
        <v>234741.78403800001</v>
      </c>
      <c r="G6" s="42">
        <v>133155.792277</v>
      </c>
      <c r="H6" s="41">
        <f>(G6-'2015'!H69)/'2015'!H69</f>
        <v>0.93343679798170465</v>
      </c>
      <c r="I6" s="42">
        <v>134408.602151</v>
      </c>
      <c r="J6" s="42"/>
      <c r="K6" s="41">
        <f>(J6-'2015'!L69)/'2015'!L69</f>
        <v>-1</v>
      </c>
      <c r="L6" s="42"/>
    </row>
    <row r="7" spans="1:12" x14ac:dyDescent="0.25">
      <c r="A7" s="1" t="s">
        <v>14</v>
      </c>
      <c r="B7" s="1" t="s">
        <v>15</v>
      </c>
      <c r="C7" s="32" t="s">
        <v>7</v>
      </c>
      <c r="D7" s="42">
        <v>228832.95194500001</v>
      </c>
      <c r="E7" s="41">
        <f>(D7-'2015'!D70)/'2015'!D70</f>
        <v>1.1052757895487373</v>
      </c>
      <c r="F7" s="42">
        <v>230946.88221700001</v>
      </c>
      <c r="G7" s="42">
        <v>47393.364929000003</v>
      </c>
      <c r="H7" s="41">
        <f>(G7-'2015'!H70)/'2015'!H70</f>
        <v>-0.37629640689854837</v>
      </c>
      <c r="I7" s="42">
        <v>134408.602151</v>
      </c>
      <c r="J7" s="42"/>
      <c r="K7" s="41">
        <f>(J7-'2015'!L70)/'2015'!L70</f>
        <v>-1</v>
      </c>
      <c r="L7" s="42"/>
    </row>
    <row r="8" spans="1:12" x14ac:dyDescent="0.25">
      <c r="A8" s="79" t="s">
        <v>175</v>
      </c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</row>
    <row r="9" spans="1:12" x14ac:dyDescent="0.25">
      <c r="A9" s="15"/>
      <c r="B9" s="13"/>
      <c r="C9" s="21"/>
    </row>
    <row r="10" spans="1:12" ht="18.75" x14ac:dyDescent="0.3">
      <c r="A10" s="76" t="s">
        <v>183</v>
      </c>
      <c r="B10" s="76"/>
      <c r="C10" s="76"/>
      <c r="D10" s="78"/>
      <c r="E10" s="78"/>
      <c r="F10" s="78"/>
      <c r="G10" s="78"/>
      <c r="H10" s="78"/>
      <c r="I10" s="78"/>
      <c r="J10" s="78"/>
      <c r="K10" s="78"/>
      <c r="L10" s="78"/>
    </row>
    <row r="11" spans="1:12" ht="45" x14ac:dyDescent="0.25">
      <c r="A11" s="1" t="s">
        <v>2</v>
      </c>
      <c r="B11" s="1" t="s">
        <v>3</v>
      </c>
      <c r="C11" s="32" t="s">
        <v>4</v>
      </c>
      <c r="D11" s="4" t="s">
        <v>78</v>
      </c>
      <c r="E11" s="4" t="s">
        <v>139</v>
      </c>
      <c r="F11" s="4" t="s">
        <v>85</v>
      </c>
      <c r="G11" s="4" t="s">
        <v>79</v>
      </c>
      <c r="H11" s="4" t="s">
        <v>139</v>
      </c>
      <c r="I11" s="4" t="s">
        <v>82</v>
      </c>
      <c r="J11" s="4" t="s">
        <v>80</v>
      </c>
      <c r="K11" s="4" t="s">
        <v>139</v>
      </c>
      <c r="L11" s="4" t="s">
        <v>81</v>
      </c>
    </row>
    <row r="12" spans="1:12" x14ac:dyDescent="0.25">
      <c r="A12" s="1" t="s">
        <v>5</v>
      </c>
      <c r="B12" s="1" t="s">
        <v>6</v>
      </c>
      <c r="C12" s="32" t="s">
        <v>7</v>
      </c>
      <c r="D12" s="42">
        <v>219780</v>
      </c>
      <c r="E12" s="41">
        <f>(D12-'2015'!D75)/'2015'!D75</f>
        <v>6.5923999986713293E-3</v>
      </c>
      <c r="F12" s="42">
        <v>222222</v>
      </c>
      <c r="G12" s="42">
        <v>123762</v>
      </c>
      <c r="H12" s="41">
        <f>(G12-'2015'!H75)/'2015'!H75</f>
        <v>-2.5993060003409042E-2</v>
      </c>
      <c r="I12" s="42">
        <v>124378</v>
      </c>
      <c r="J12" s="42">
        <v>42918</v>
      </c>
      <c r="K12" s="41">
        <f>(J12-'2015'!L75)/'2015'!L75</f>
        <v>-7.7358400066680853E-3</v>
      </c>
      <c r="L12" s="42">
        <v>42918</v>
      </c>
    </row>
    <row r="13" spans="1:12" x14ac:dyDescent="0.25">
      <c r="A13" s="1" t="s">
        <v>8</v>
      </c>
      <c r="B13" s="1" t="s">
        <v>9</v>
      </c>
      <c r="C13" s="32" t="s">
        <v>7</v>
      </c>
      <c r="D13" s="42">
        <v>211864</v>
      </c>
      <c r="E13" s="41">
        <f>(D13-'2015'!D76)/'2015'!D76</f>
        <v>-2.1188319999021221E-2</v>
      </c>
      <c r="F13" s="42">
        <v>214592</v>
      </c>
      <c r="G13" s="42">
        <v>115606</v>
      </c>
      <c r="H13" s="41">
        <f>(G13-'2015'!H76)/'2015'!H76</f>
        <v>-3.476279996053789E-3</v>
      </c>
      <c r="I13" s="42">
        <v>116550</v>
      </c>
      <c r="J13" s="42">
        <v>41203</v>
      </c>
      <c r="K13" s="41">
        <f>(J13-'2015'!L76)/'2015'!L76</f>
        <v>-3.1900002599192232E-6</v>
      </c>
      <c r="L13" s="42">
        <v>41203</v>
      </c>
    </row>
    <row r="14" spans="1:12" x14ac:dyDescent="0.25">
      <c r="A14" s="1" t="s">
        <v>10</v>
      </c>
      <c r="B14" s="1" t="s">
        <v>9</v>
      </c>
      <c r="C14" s="32" t="s">
        <v>11</v>
      </c>
      <c r="D14" s="42">
        <v>118906</v>
      </c>
      <c r="E14" s="41">
        <f>(D14-'2015'!D77)/'2015'!D77</f>
        <v>-2.9727040001241968E-2</v>
      </c>
      <c r="F14" s="42">
        <v>120481</v>
      </c>
      <c r="G14" s="42">
        <v>98522</v>
      </c>
      <c r="H14" s="41">
        <f>(G14-'2015'!H77)/'2015'!H77</f>
        <v>0.32807656000228425</v>
      </c>
      <c r="I14" s="42">
        <v>100704</v>
      </c>
      <c r="J14" s="42">
        <v>37551</v>
      </c>
      <c r="K14" s="41">
        <f>(J14-'2015'!L77)/'2015'!L77</f>
        <v>3.5863998767566533E-4</v>
      </c>
      <c r="L14" s="42">
        <v>37735</v>
      </c>
    </row>
    <row r="15" spans="1:12" x14ac:dyDescent="0.25">
      <c r="A15" s="1" t="s">
        <v>12</v>
      </c>
      <c r="B15" s="1" t="s">
        <v>13</v>
      </c>
      <c r="C15" s="32" t="s">
        <v>11</v>
      </c>
      <c r="D15" s="42">
        <v>98328</v>
      </c>
      <c r="E15" s="41">
        <f>(D15-'2015'!D78)/'2015'!D78</f>
        <v>-1.4753440003980401E-2</v>
      </c>
      <c r="F15" s="42">
        <v>99403</v>
      </c>
      <c r="G15" s="42">
        <v>87796</v>
      </c>
      <c r="H15" s="41">
        <f>(G15-'2015'!H78)/'2015'!H78</f>
        <v>0.26953015999418556</v>
      </c>
      <c r="I15" s="42">
        <v>88967</v>
      </c>
      <c r="J15" s="42">
        <v>36350</v>
      </c>
      <c r="K15" s="41">
        <f>(J15-'2015'!L78)/'2015'!L78</f>
        <v>-5.1005000026264659E-3</v>
      </c>
      <c r="L15" s="42">
        <v>36710</v>
      </c>
    </row>
    <row r="16" spans="1:12" x14ac:dyDescent="0.25">
      <c r="A16" s="1" t="s">
        <v>14</v>
      </c>
      <c r="B16" s="1" t="s">
        <v>15</v>
      </c>
      <c r="C16" s="32" t="s">
        <v>11</v>
      </c>
      <c r="D16" s="42">
        <v>107642</v>
      </c>
      <c r="E16" s="41">
        <f>(D16-'2015'!D79)/'2015'!D79</f>
        <v>-1.7228540002909014E-2</v>
      </c>
      <c r="F16" s="42">
        <v>109170</v>
      </c>
      <c r="G16" s="42">
        <v>95877</v>
      </c>
      <c r="H16" s="41">
        <f>(G16-'2015'!H79)/'2015'!H79</f>
        <v>0.26174132000479472</v>
      </c>
      <c r="I16" s="42">
        <v>96805</v>
      </c>
      <c r="J16" s="42">
        <v>37411</v>
      </c>
      <c r="K16" s="41">
        <f>(J16-'2015'!L79)/'2015'!L79</f>
        <v>1.3838099991483756E-2</v>
      </c>
      <c r="L16" s="42">
        <v>37593</v>
      </c>
    </row>
    <row r="17" spans="1:12" x14ac:dyDescent="0.25">
      <c r="A17" s="81" t="s">
        <v>179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</row>
    <row r="19" spans="1:12" ht="18.75" x14ac:dyDescent="0.3">
      <c r="A19" s="76" t="s">
        <v>177</v>
      </c>
      <c r="B19" s="76"/>
      <c r="C19" s="76"/>
      <c r="D19" s="78"/>
      <c r="E19" s="78"/>
      <c r="F19" s="78"/>
      <c r="G19" s="78"/>
      <c r="H19" s="78"/>
      <c r="I19" s="78"/>
      <c r="J19" s="78"/>
      <c r="K19" s="78"/>
      <c r="L19" s="78"/>
    </row>
    <row r="20" spans="1:12" ht="45" x14ac:dyDescent="0.25">
      <c r="A20" s="1" t="s">
        <v>2</v>
      </c>
      <c r="B20" s="1" t="s">
        <v>3</v>
      </c>
      <c r="C20" s="32" t="s">
        <v>4</v>
      </c>
      <c r="D20" s="4" t="s">
        <v>78</v>
      </c>
      <c r="E20" s="4" t="s">
        <v>176</v>
      </c>
      <c r="F20" s="4" t="s">
        <v>85</v>
      </c>
      <c r="G20" s="4" t="s">
        <v>79</v>
      </c>
      <c r="H20" s="4" t="s">
        <v>139</v>
      </c>
      <c r="I20" s="4" t="s">
        <v>82</v>
      </c>
      <c r="J20" s="4" t="s">
        <v>80</v>
      </c>
      <c r="K20" s="4" t="s">
        <v>139</v>
      </c>
      <c r="L20" s="4" t="s">
        <v>81</v>
      </c>
    </row>
    <row r="21" spans="1:12" x14ac:dyDescent="0.25">
      <c r="A21" s="1" t="s">
        <v>5</v>
      </c>
      <c r="B21" s="1" t="s">
        <v>6</v>
      </c>
      <c r="C21" s="32" t="s">
        <v>7</v>
      </c>
      <c r="D21" s="42">
        <v>79491</v>
      </c>
      <c r="E21" s="41">
        <f>(D21-'2015'!D66)/'2015'!D66</f>
        <v>-0.64387986416622611</v>
      </c>
      <c r="F21" s="42">
        <v>255102</v>
      </c>
      <c r="G21" s="42">
        <v>61766</v>
      </c>
      <c r="H21" s="41">
        <f>(G21-'2015'!H66)/'2015'!H66</f>
        <v>-0.51575448252071721</v>
      </c>
      <c r="I21" s="42">
        <v>62460</v>
      </c>
      <c r="J21" s="42">
        <v>31867</v>
      </c>
      <c r="K21" s="41">
        <f>(J21-'2015'!L66)/'2015'!L66</f>
        <v>-0.25971612423629986</v>
      </c>
      <c r="L21" s="42">
        <v>32020</v>
      </c>
    </row>
    <row r="22" spans="1:12" x14ac:dyDescent="0.25">
      <c r="A22" s="1" t="s">
        <v>8</v>
      </c>
      <c r="B22" s="1" t="s">
        <v>9</v>
      </c>
      <c r="C22" s="32" t="s">
        <v>7</v>
      </c>
      <c r="D22" s="42">
        <v>78064</v>
      </c>
      <c r="E22" s="41">
        <f>(D22-'2015'!D67)/'2015'!D67</f>
        <v>-0.63778263431655047</v>
      </c>
      <c r="F22" s="42">
        <v>78431</v>
      </c>
      <c r="G22" s="42">
        <v>60350</v>
      </c>
      <c r="H22" s="41">
        <f>(G22-'2015'!H67)/'2015'!H67</f>
        <v>-0.47555486035073086</v>
      </c>
      <c r="I22" s="42">
        <v>60864</v>
      </c>
      <c r="J22" s="42">
        <v>30978</v>
      </c>
      <c r="K22" s="41">
        <f>(J22-'2015'!L67)/'2015'!L67</f>
        <v>-0.24816154163531781</v>
      </c>
      <c r="L22" s="42">
        <v>31133</v>
      </c>
    </row>
    <row r="23" spans="1:12" x14ac:dyDescent="0.25">
      <c r="A23" s="1" t="s">
        <v>10</v>
      </c>
      <c r="B23" s="1" t="s">
        <v>9</v>
      </c>
      <c r="C23" s="32" t="s">
        <v>11</v>
      </c>
      <c r="D23" s="42">
        <v>57836</v>
      </c>
      <c r="E23" s="41">
        <f>(D23-'2015'!D68)/'2015'!D68</f>
        <v>-0.52574394633910337</v>
      </c>
      <c r="F23" s="42">
        <v>58892</v>
      </c>
      <c r="G23" s="42">
        <v>54054</v>
      </c>
      <c r="H23" s="41">
        <f>(G23-'2015'!H68)/'2015'!H68</f>
        <v>-0.27837556404026381</v>
      </c>
      <c r="I23" s="42">
        <v>54824</v>
      </c>
      <c r="J23" s="42">
        <v>28360</v>
      </c>
      <c r="K23" s="41">
        <f>(J23-'2015'!L68)/'2015'!L68</f>
        <v>-0.241650399764687</v>
      </c>
      <c r="L23" s="42">
        <v>28636</v>
      </c>
    </row>
    <row r="24" spans="1:12" x14ac:dyDescent="0.25">
      <c r="A24" s="1" t="s">
        <v>12</v>
      </c>
      <c r="B24" s="1" t="s">
        <v>13</v>
      </c>
      <c r="C24" s="32" t="s">
        <v>7</v>
      </c>
      <c r="D24" s="42">
        <v>69541</v>
      </c>
      <c r="E24" s="41">
        <f>(D24-'2015'!D69)/'2015'!D69</f>
        <v>-0.30041346840638611</v>
      </c>
      <c r="F24" s="42">
        <v>70472</v>
      </c>
      <c r="G24" s="42">
        <v>48169</v>
      </c>
      <c r="H24" s="41">
        <f>(G24-'2015'!H69)/'2015'!H69</f>
        <v>-0.30058080441411356</v>
      </c>
      <c r="I24" s="42">
        <v>62034</v>
      </c>
      <c r="J24" s="42">
        <v>31436</v>
      </c>
      <c r="K24" s="41">
        <f>(J24-'2015'!L69)/'2015'!L69</f>
        <v>-0.14366657586488696</v>
      </c>
      <c r="L24" s="42">
        <v>31436</v>
      </c>
    </row>
    <row r="25" spans="1:12" x14ac:dyDescent="0.25">
      <c r="A25" s="1" t="s">
        <v>14</v>
      </c>
      <c r="B25" s="1" t="s">
        <v>15</v>
      </c>
      <c r="C25" s="32" t="s">
        <v>7</v>
      </c>
      <c r="D25" s="42">
        <v>68775</v>
      </c>
      <c r="E25" s="41">
        <f>(D25-'2015'!D70)/'2015'!D70</f>
        <v>-0.36726620359722156</v>
      </c>
      <c r="F25" s="42">
        <v>69783</v>
      </c>
      <c r="G25" s="42">
        <v>61425</v>
      </c>
      <c r="H25" s="41">
        <f>(G25-'2015'!H70)/'2015'!H70</f>
        <v>-0.19163804334952031</v>
      </c>
      <c r="I25" s="42">
        <v>61728</v>
      </c>
      <c r="J25" s="42">
        <v>31026</v>
      </c>
      <c r="K25" s="41">
        <f>(J25-'2015'!L70)/'2015'!L70</f>
        <v>0.39248687222297024</v>
      </c>
      <c r="L25" s="42">
        <v>31308</v>
      </c>
    </row>
    <row r="26" spans="1:12" x14ac:dyDescent="0.25">
      <c r="A26" s="79" t="s">
        <v>181</v>
      </c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</row>
    <row r="27" spans="1:12" x14ac:dyDescent="0.25">
      <c r="A27" s="15"/>
      <c r="B27" s="13"/>
      <c r="C27" s="21"/>
    </row>
    <row r="28" spans="1:12" ht="18.75" x14ac:dyDescent="0.3">
      <c r="A28" s="76" t="s">
        <v>178</v>
      </c>
      <c r="B28" s="76"/>
      <c r="C28" s="76"/>
      <c r="D28" s="78"/>
      <c r="E28" s="78"/>
      <c r="F28" s="78"/>
      <c r="G28" s="78"/>
      <c r="H28" s="78"/>
      <c r="I28" s="78"/>
      <c r="J28" s="78"/>
      <c r="K28" s="78"/>
      <c r="L28" s="78"/>
    </row>
    <row r="29" spans="1:12" ht="45" x14ac:dyDescent="0.25">
      <c r="A29" s="1" t="s">
        <v>2</v>
      </c>
      <c r="B29" s="1" t="s">
        <v>3</v>
      </c>
      <c r="C29" s="32" t="s">
        <v>4</v>
      </c>
      <c r="D29" s="4" t="s">
        <v>78</v>
      </c>
      <c r="E29" s="4" t="s">
        <v>139</v>
      </c>
      <c r="F29" s="4" t="s">
        <v>85</v>
      </c>
      <c r="G29" s="4" t="s">
        <v>79</v>
      </c>
      <c r="H29" s="4" t="s">
        <v>139</v>
      </c>
      <c r="I29" s="4" t="s">
        <v>82</v>
      </c>
      <c r="J29" s="4" t="s">
        <v>80</v>
      </c>
      <c r="K29" s="4" t="s">
        <v>139</v>
      </c>
      <c r="L29" s="4" t="s">
        <v>81</v>
      </c>
    </row>
    <row r="30" spans="1:12" x14ac:dyDescent="0.25">
      <c r="A30" s="1" t="s">
        <v>5</v>
      </c>
      <c r="B30" s="1" t="s">
        <v>6</v>
      </c>
      <c r="C30" s="32" t="s">
        <v>7</v>
      </c>
      <c r="D30" s="42">
        <v>219780</v>
      </c>
      <c r="E30" s="41">
        <f>(D30-'2015'!D75)/'2015'!D75</f>
        <v>6.5923999986713293E-3</v>
      </c>
      <c r="F30" s="42">
        <v>222222</v>
      </c>
      <c r="G30" s="42">
        <v>123762</v>
      </c>
      <c r="H30" s="41">
        <f>(G30-'2015'!H75)/'2015'!H75</f>
        <v>-2.5993060003409042E-2</v>
      </c>
      <c r="I30" s="42">
        <v>124378</v>
      </c>
      <c r="J30" s="42">
        <v>42918</v>
      </c>
      <c r="K30" s="41">
        <f>(J30-'2015'!L75)/'2015'!L75</f>
        <v>-7.7358400066680853E-3</v>
      </c>
      <c r="L30" s="42">
        <v>42918</v>
      </c>
    </row>
    <row r="31" spans="1:12" x14ac:dyDescent="0.25">
      <c r="A31" s="1" t="s">
        <v>8</v>
      </c>
      <c r="B31" s="1" t="s">
        <v>9</v>
      </c>
      <c r="C31" s="32" t="s">
        <v>7</v>
      </c>
      <c r="D31" s="42">
        <v>211864</v>
      </c>
      <c r="E31" s="41">
        <f>(D31-'2015'!D76)/'2015'!D76</f>
        <v>-2.1188319999021221E-2</v>
      </c>
      <c r="F31" s="42">
        <v>214592</v>
      </c>
      <c r="G31" s="42">
        <v>115606</v>
      </c>
      <c r="H31" s="41">
        <f>(G31-'2015'!H76)/'2015'!H76</f>
        <v>-3.476279996053789E-3</v>
      </c>
      <c r="I31" s="42">
        <v>116550</v>
      </c>
      <c r="J31" s="42">
        <v>41203</v>
      </c>
      <c r="K31" s="41">
        <f>(J31-'2015'!L76)/'2015'!L76</f>
        <v>-3.1900002599192232E-6</v>
      </c>
      <c r="L31" s="42">
        <v>41203</v>
      </c>
    </row>
    <row r="32" spans="1:12" x14ac:dyDescent="0.25">
      <c r="A32" s="1" t="s">
        <v>10</v>
      </c>
      <c r="B32" s="1" t="s">
        <v>9</v>
      </c>
      <c r="C32" s="32" t="s">
        <v>11</v>
      </c>
      <c r="D32" s="42">
        <v>118906</v>
      </c>
      <c r="E32" s="41">
        <f>(D32-'2015'!D77)/'2015'!D77</f>
        <v>-2.9727040001241968E-2</v>
      </c>
      <c r="F32" s="42">
        <v>120481</v>
      </c>
      <c r="G32" s="42">
        <v>98522</v>
      </c>
      <c r="H32" s="41">
        <f>(G32-'2015'!H77)/'2015'!H77</f>
        <v>0.32807656000228425</v>
      </c>
      <c r="I32" s="42">
        <v>100704</v>
      </c>
      <c r="J32" s="42">
        <v>37551</v>
      </c>
      <c r="K32" s="41">
        <f>(J32-'2015'!L77)/'2015'!L77</f>
        <v>3.5863998767566533E-4</v>
      </c>
      <c r="L32" s="42">
        <v>37735</v>
      </c>
    </row>
    <row r="33" spans="1:12" x14ac:dyDescent="0.25">
      <c r="A33" s="1" t="s">
        <v>12</v>
      </c>
      <c r="B33" s="1" t="s">
        <v>13</v>
      </c>
      <c r="C33" s="32" t="s">
        <v>11</v>
      </c>
      <c r="D33" s="42">
        <v>98328</v>
      </c>
      <c r="E33" s="41">
        <f>(D33-'2015'!D78)/'2015'!D78</f>
        <v>-1.4753440003980401E-2</v>
      </c>
      <c r="F33" s="42">
        <v>99403</v>
      </c>
      <c r="G33" s="42">
        <v>87796</v>
      </c>
      <c r="H33" s="41">
        <f>(G33-'2015'!H78)/'2015'!H78</f>
        <v>0.26953015999418556</v>
      </c>
      <c r="I33" s="42">
        <v>88967</v>
      </c>
      <c r="J33" s="42">
        <v>36350</v>
      </c>
      <c r="K33" s="41">
        <f>(J33-'2015'!L78)/'2015'!L78</f>
        <v>-5.1005000026264659E-3</v>
      </c>
      <c r="L33" s="42">
        <v>36710</v>
      </c>
    </row>
    <row r="34" spans="1:12" x14ac:dyDescent="0.25">
      <c r="A34" s="1" t="s">
        <v>14</v>
      </c>
      <c r="B34" s="1" t="s">
        <v>15</v>
      </c>
      <c r="C34" s="32" t="s">
        <v>11</v>
      </c>
      <c r="D34" s="42">
        <v>107642</v>
      </c>
      <c r="E34" s="41">
        <f>(D34-'2015'!D79)/'2015'!D79</f>
        <v>-1.7228540002909014E-2</v>
      </c>
      <c r="F34" s="42">
        <v>109170</v>
      </c>
      <c r="G34" s="42">
        <v>95877</v>
      </c>
      <c r="H34" s="41">
        <f>(G34-'2015'!H79)/'2015'!H79</f>
        <v>0.26174132000479472</v>
      </c>
      <c r="I34" s="42">
        <v>96805</v>
      </c>
      <c r="J34" s="42">
        <v>37411</v>
      </c>
      <c r="K34" s="41">
        <f>(J34-'2015'!L79)/'2015'!L79</f>
        <v>1.3838099991483756E-2</v>
      </c>
      <c r="L34" s="42">
        <v>37593</v>
      </c>
    </row>
    <row r="35" spans="1:12" x14ac:dyDescent="0.25">
      <c r="A35" s="81" t="s">
        <v>179</v>
      </c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</row>
    <row r="37" spans="1:12" ht="18.75" x14ac:dyDescent="0.3">
      <c r="A37" s="76" t="s">
        <v>184</v>
      </c>
      <c r="B37" s="76"/>
      <c r="C37" s="76"/>
      <c r="D37" s="78"/>
      <c r="E37" s="78"/>
      <c r="F37" s="78"/>
      <c r="G37" s="78"/>
      <c r="H37" s="78"/>
      <c r="I37" s="78"/>
      <c r="J37" s="78"/>
      <c r="K37" s="78"/>
      <c r="L37" s="78"/>
    </row>
    <row r="38" spans="1:12" ht="45" x14ac:dyDescent="0.25">
      <c r="A38" s="1" t="s">
        <v>2</v>
      </c>
      <c r="B38" s="1" t="s">
        <v>3</v>
      </c>
      <c r="C38" s="32" t="s">
        <v>4</v>
      </c>
      <c r="D38" s="4" t="s">
        <v>78</v>
      </c>
      <c r="E38" s="4" t="s">
        <v>176</v>
      </c>
      <c r="F38" s="4" t="s">
        <v>85</v>
      </c>
      <c r="G38" s="4" t="s">
        <v>79</v>
      </c>
      <c r="H38" s="4" t="s">
        <v>188</v>
      </c>
      <c r="I38" s="4" t="s">
        <v>82</v>
      </c>
      <c r="J38" s="4" t="s">
        <v>80</v>
      </c>
      <c r="K38" s="4" t="s">
        <v>188</v>
      </c>
      <c r="L38" s="4" t="s">
        <v>81</v>
      </c>
    </row>
    <row r="39" spans="1:12" x14ac:dyDescent="0.25">
      <c r="A39" s="1" t="s">
        <v>5</v>
      </c>
      <c r="B39" s="1" t="s">
        <v>6</v>
      </c>
      <c r="C39" s="32" t="s">
        <v>7</v>
      </c>
      <c r="D39" s="42">
        <v>265251</v>
      </c>
      <c r="E39" s="41">
        <f>(D39-'2015'!D66)/'2015'!D66</f>
        <v>0.18832600105728137</v>
      </c>
      <c r="F39" s="42">
        <v>267379</v>
      </c>
      <c r="G39" s="42">
        <v>139860</v>
      </c>
      <c r="H39" s="41">
        <f>(G39-'2015'!H66)/'2015'!H66</f>
        <v>9.6502575440412075E-2</v>
      </c>
      <c r="I39" s="42">
        <v>141242</v>
      </c>
      <c r="J39" s="42">
        <v>45289</v>
      </c>
      <c r="K39" s="41">
        <f>(J39-'2015'!L66)/'2015'!L66</f>
        <v>5.2082607382628293E-2</v>
      </c>
      <c r="L39" s="42">
        <v>45289</v>
      </c>
    </row>
    <row r="40" spans="1:12" x14ac:dyDescent="0.25">
      <c r="A40" s="1" t="s">
        <v>8</v>
      </c>
      <c r="B40" s="1" t="s">
        <v>9</v>
      </c>
      <c r="C40" s="32" t="s">
        <v>7</v>
      </c>
      <c r="D40" s="42">
        <v>252525</v>
      </c>
      <c r="E40" s="41">
        <f>(D40-'2015'!D67)/'2015'!D67</f>
        <v>0.1717173123233898</v>
      </c>
      <c r="F40" s="42">
        <v>259740</v>
      </c>
      <c r="G40" s="42">
        <v>131752</v>
      </c>
      <c r="H40" s="41">
        <f>(G40-'2015'!H67)/'2015'!H67</f>
        <v>0.14493282583381129</v>
      </c>
      <c r="I40" s="42">
        <v>132625</v>
      </c>
      <c r="J40" s="42">
        <v>43610</v>
      </c>
      <c r="K40" s="41">
        <f>(J40-'2015'!L67)/'2015'!L67</f>
        <v>5.841807635366357E-2</v>
      </c>
      <c r="L40" s="42">
        <v>43744</v>
      </c>
    </row>
    <row r="41" spans="1:12" x14ac:dyDescent="0.25">
      <c r="A41" s="1" t="s">
        <v>10</v>
      </c>
      <c r="B41" s="1" t="s">
        <v>9</v>
      </c>
      <c r="C41" s="32" t="s">
        <v>11</v>
      </c>
      <c r="D41" s="42">
        <v>92678</v>
      </c>
      <c r="E41" s="41">
        <f>(D41-'2015'!D68)/'2015'!D68</f>
        <v>-0.24003903207025773</v>
      </c>
      <c r="F41" s="42">
        <v>94876</v>
      </c>
      <c r="G41" s="42">
        <v>82236</v>
      </c>
      <c r="H41" s="41">
        <f>(G41-'2015'!H68)/'2015'!H68</f>
        <v>9.7855979494299528E-2</v>
      </c>
      <c r="I41" s="42">
        <v>82712</v>
      </c>
      <c r="J41" s="42">
        <v>33156</v>
      </c>
      <c r="K41" s="41">
        <f>(J41-'2015'!L68)/'2015'!L68</f>
        <v>-0.11340481856833436</v>
      </c>
      <c r="L41" s="42">
        <v>33658</v>
      </c>
    </row>
    <row r="42" spans="1:12" x14ac:dyDescent="0.25">
      <c r="A42" s="1" t="s">
        <v>12</v>
      </c>
      <c r="B42" s="1" t="s">
        <v>13</v>
      </c>
      <c r="C42" s="32" t="s">
        <v>7</v>
      </c>
      <c r="D42" s="42">
        <v>76335</v>
      </c>
      <c r="E42" s="41">
        <f>(D42-'2015'!D69)/'2015'!D69</f>
        <v>-0.2320654306208062</v>
      </c>
      <c r="F42" s="42">
        <v>76335</v>
      </c>
      <c r="G42" s="42">
        <v>76335</v>
      </c>
      <c r="H42" s="41">
        <f>(G42-'2015'!H69)/'2015'!H69</f>
        <v>0.10839262378394075</v>
      </c>
      <c r="I42" s="42">
        <v>76335</v>
      </c>
      <c r="J42" s="42">
        <v>39292</v>
      </c>
      <c r="K42" s="41">
        <f>(J42-'2015'!L69)/'2015'!L69</f>
        <v>7.0335058567147918E-2</v>
      </c>
      <c r="L42" s="42">
        <v>45065</v>
      </c>
    </row>
    <row r="43" spans="1:12" x14ac:dyDescent="0.25">
      <c r="A43" s="1" t="s">
        <v>14</v>
      </c>
      <c r="B43" s="1" t="s">
        <v>15</v>
      </c>
      <c r="C43" s="32" t="s">
        <v>7</v>
      </c>
      <c r="D43" s="42">
        <v>76687</v>
      </c>
      <c r="E43" s="41">
        <f>(D43-'2015'!D70)/'2015'!D70</f>
        <v>-0.2944753668522011</v>
      </c>
      <c r="F43" s="42">
        <v>119474</v>
      </c>
      <c r="G43" s="42">
        <v>52910</v>
      </c>
      <c r="H43" s="41">
        <f>(G43-'2015'!H70)/'2015'!H70</f>
        <v>-0.30369668495926933</v>
      </c>
      <c r="I43" s="42">
        <v>76687</v>
      </c>
      <c r="J43" s="42">
        <v>43917</v>
      </c>
      <c r="K43" s="41">
        <f>(J43-'2015'!L70)/'2015'!L70</f>
        <v>0.97105156860105024</v>
      </c>
      <c r="L43" s="42">
        <v>45105</v>
      </c>
    </row>
    <row r="44" spans="1:12" x14ac:dyDescent="0.25">
      <c r="A44" s="79" t="s">
        <v>186</v>
      </c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</row>
    <row r="45" spans="1:12" x14ac:dyDescent="0.25">
      <c r="A45" s="15"/>
      <c r="B45" s="13"/>
      <c r="C45" s="21"/>
    </row>
    <row r="46" spans="1:12" ht="18.75" x14ac:dyDescent="0.3">
      <c r="A46" s="76" t="s">
        <v>185</v>
      </c>
      <c r="B46" s="76"/>
      <c r="C46" s="76"/>
      <c r="D46" s="78"/>
      <c r="E46" s="78"/>
      <c r="F46" s="78"/>
      <c r="G46" s="78"/>
      <c r="H46" s="78"/>
      <c r="I46" s="78"/>
      <c r="J46" s="78"/>
      <c r="K46" s="78"/>
      <c r="L46" s="78"/>
    </row>
    <row r="47" spans="1:12" ht="45" x14ac:dyDescent="0.25">
      <c r="A47" s="1" t="s">
        <v>2</v>
      </c>
      <c r="B47" s="1" t="s">
        <v>3</v>
      </c>
      <c r="C47" s="32" t="s">
        <v>4</v>
      </c>
      <c r="D47" s="4" t="s">
        <v>78</v>
      </c>
      <c r="E47" s="4" t="s">
        <v>188</v>
      </c>
      <c r="F47" s="4" t="s">
        <v>85</v>
      </c>
      <c r="G47" s="4" t="s">
        <v>79</v>
      </c>
      <c r="H47" s="4" t="s">
        <v>188</v>
      </c>
      <c r="I47" s="4" t="s">
        <v>82</v>
      </c>
      <c r="J47" s="4" t="s">
        <v>80</v>
      </c>
      <c r="K47" s="4" t="s">
        <v>188</v>
      </c>
      <c r="L47" s="4" t="s">
        <v>81</v>
      </c>
    </row>
    <row r="48" spans="1:12" x14ac:dyDescent="0.25">
      <c r="A48" s="1" t="s">
        <v>5</v>
      </c>
      <c r="B48" s="1" t="s">
        <v>6</v>
      </c>
      <c r="C48" s="32" t="s">
        <v>7</v>
      </c>
      <c r="D48" s="42">
        <v>230414</v>
      </c>
      <c r="E48" s="41">
        <f>(D48-'2015'!D75)/'2015'!D75</f>
        <v>5.5296119998607042E-2</v>
      </c>
      <c r="F48" s="42">
        <v>233100</v>
      </c>
      <c r="G48" s="42">
        <v>130548</v>
      </c>
      <c r="H48" s="41">
        <f>(G48-'2015'!H75)/'2015'!H75</f>
        <v>2.7412759996404037E-2</v>
      </c>
      <c r="I48" s="42">
        <v>131061</v>
      </c>
      <c r="J48" s="42">
        <v>43744</v>
      </c>
      <c r="K48" s="41">
        <f>(J48-'2015'!L75)/'2015'!L75</f>
        <v>1.136127999320358E-2</v>
      </c>
      <c r="L48" s="42">
        <v>43956</v>
      </c>
    </row>
    <row r="49" spans="1:12" x14ac:dyDescent="0.25">
      <c r="A49" s="1" t="s">
        <v>8</v>
      </c>
      <c r="B49" s="1" t="s">
        <v>9</v>
      </c>
      <c r="C49" s="32" t="s">
        <v>7</v>
      </c>
      <c r="D49" s="42">
        <v>222717</v>
      </c>
      <c r="E49" s="41">
        <f>(D49-'2015'!D76)/'2015'!D76</f>
        <v>2.8952540001028919E-2</v>
      </c>
      <c r="F49" s="42">
        <v>225225</v>
      </c>
      <c r="G49" s="42">
        <v>122100</v>
      </c>
      <c r="H49" s="41">
        <f>(G49-'2015'!H76)/'2015'!H76</f>
        <v>5.2502000004167881E-2</v>
      </c>
      <c r="I49" s="42">
        <v>122699</v>
      </c>
      <c r="J49" s="42">
        <v>42229</v>
      </c>
      <c r="K49" s="41">
        <f>(J49-'2015'!L76)/'2015'!L76</f>
        <v>2.4897829999733608E-2</v>
      </c>
      <c r="L49" s="42">
        <v>42229</v>
      </c>
    </row>
    <row r="50" spans="1:12" x14ac:dyDescent="0.25">
      <c r="A50" s="1" t="s">
        <v>10</v>
      </c>
      <c r="B50" s="1" t="s">
        <v>9</v>
      </c>
      <c r="C50" s="32" t="s">
        <v>11</v>
      </c>
      <c r="D50" s="42">
        <v>122850</v>
      </c>
      <c r="E50" s="41">
        <f>(D50-'2015'!D77)/'2015'!D77</f>
        <v>2.455999998716837E-3</v>
      </c>
      <c r="F50" s="42">
        <v>124378</v>
      </c>
      <c r="G50" s="42">
        <v>100704</v>
      </c>
      <c r="H50" s="41">
        <f>(G50-'2015'!H77)/'2015'!H77</f>
        <v>0.35748992000233482</v>
      </c>
      <c r="I50" s="42">
        <v>102040</v>
      </c>
      <c r="J50" s="42">
        <v>37907</v>
      </c>
      <c r="K50" s="41">
        <f>(J50-'2015'!L77)/'2015'!L77</f>
        <v>9.8424799875588258E-3</v>
      </c>
      <c r="L50" s="42">
        <v>38095</v>
      </c>
    </row>
    <row r="51" spans="1:12" x14ac:dyDescent="0.25">
      <c r="A51" s="1" t="s">
        <v>12</v>
      </c>
      <c r="B51" s="1" t="s">
        <v>13</v>
      </c>
      <c r="C51" s="32" t="s">
        <v>11</v>
      </c>
      <c r="D51" s="42">
        <v>99403</v>
      </c>
      <c r="E51" s="41">
        <f>(D51-'2015'!D78)/'2015'!D78</f>
        <v>-3.9819400040239181E-3</v>
      </c>
      <c r="F51" s="42">
        <v>99502</v>
      </c>
      <c r="G51" s="42">
        <v>91240</v>
      </c>
      <c r="H51" s="41">
        <f>(G51-'2015'!H78)/'2015'!H78</f>
        <v>0.31933039999395746</v>
      </c>
      <c r="I51" s="42">
        <v>91659</v>
      </c>
      <c r="J51" s="42">
        <v>36710</v>
      </c>
      <c r="K51" s="41">
        <f>(J51-'2015'!L78)/'2015'!L78</f>
        <v>4.7526999973475231E-3</v>
      </c>
      <c r="L51" s="42">
        <v>37050</v>
      </c>
    </row>
    <row r="52" spans="1:12" x14ac:dyDescent="0.25">
      <c r="A52" s="1" t="s">
        <v>14</v>
      </c>
      <c r="B52" s="1" t="s">
        <v>15</v>
      </c>
      <c r="C52" s="32" t="s">
        <v>11</v>
      </c>
      <c r="D52" s="42">
        <v>109170</v>
      </c>
      <c r="E52" s="41">
        <f>(D52-'2015'!D79)/'2015'!D79</f>
        <v>-3.2779000029503061E-3</v>
      </c>
      <c r="F52" s="42">
        <v>110132</v>
      </c>
      <c r="G52" s="42">
        <v>100704</v>
      </c>
      <c r="H52" s="41">
        <f>(G52-'2015'!H79)/'2015'!H79</f>
        <v>0.32526464000503613</v>
      </c>
      <c r="I52" s="42">
        <v>100806</v>
      </c>
      <c r="J52" s="42">
        <v>38095</v>
      </c>
      <c r="K52" s="41">
        <f>(J52-'2015'!L79)/'2015'!L79</f>
        <v>3.2374499991328048E-2</v>
      </c>
      <c r="L52" s="42">
        <v>38284</v>
      </c>
    </row>
    <row r="53" spans="1:12" x14ac:dyDescent="0.25">
      <c r="A53" s="81" t="s">
        <v>187</v>
      </c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</row>
    <row r="55" spans="1:12" ht="18.75" x14ac:dyDescent="0.3">
      <c r="A55" s="76" t="s">
        <v>189</v>
      </c>
      <c r="B55" s="76"/>
      <c r="C55" s="76"/>
      <c r="D55" s="78"/>
      <c r="E55" s="78"/>
      <c r="F55" s="78"/>
      <c r="G55" s="78"/>
      <c r="H55" s="78"/>
      <c r="I55" s="78"/>
      <c r="J55" s="78"/>
      <c r="K55" s="78"/>
      <c r="L55" s="78"/>
    </row>
    <row r="56" spans="1:12" ht="45" x14ac:dyDescent="0.25">
      <c r="A56" s="1" t="s">
        <v>2</v>
      </c>
      <c r="B56" s="1" t="s">
        <v>3</v>
      </c>
      <c r="C56" s="32" t="s">
        <v>4</v>
      </c>
      <c r="D56" s="4" t="s">
        <v>78</v>
      </c>
      <c r="E56" s="4" t="s">
        <v>176</v>
      </c>
      <c r="F56" s="4" t="s">
        <v>85</v>
      </c>
      <c r="G56" s="4" t="s">
        <v>79</v>
      </c>
      <c r="H56" s="4" t="s">
        <v>188</v>
      </c>
      <c r="I56" s="4" t="s">
        <v>82</v>
      </c>
      <c r="J56" s="4" t="s">
        <v>80</v>
      </c>
      <c r="K56" s="4" t="s">
        <v>188</v>
      </c>
      <c r="L56" s="4" t="s">
        <v>81</v>
      </c>
    </row>
    <row r="57" spans="1:12" x14ac:dyDescent="0.25">
      <c r="A57" s="1" t="s">
        <v>5</v>
      </c>
      <c r="B57" s="1" t="s">
        <v>6</v>
      </c>
      <c r="C57" s="32" t="s">
        <v>7</v>
      </c>
      <c r="D57" s="42">
        <v>253164</v>
      </c>
      <c r="E57" s="41">
        <f>(D57-'2015'!D66)/'2015'!D66</f>
        <v>0.13417617174549984</v>
      </c>
      <c r="F57" s="42">
        <v>257069</v>
      </c>
      <c r="G57" s="42">
        <v>134408</v>
      </c>
      <c r="H57" s="41">
        <f>(G57-'2015'!H66)/'2015'!H66</f>
        <v>5.3758888601422174E-2</v>
      </c>
      <c r="I57" s="42">
        <v>134408</v>
      </c>
      <c r="J57" s="42">
        <v>44464</v>
      </c>
      <c r="K57" s="41">
        <f>(J57-'2015'!L66)/'2015'!L66</f>
        <v>3.2917508769484516E-2</v>
      </c>
      <c r="L57" s="42">
        <v>44662</v>
      </c>
    </row>
    <row r="58" spans="1:12" x14ac:dyDescent="0.25">
      <c r="A58" s="1" t="s">
        <v>8</v>
      </c>
      <c r="B58" s="1" t="s">
        <v>9</v>
      </c>
      <c r="C58" s="32" t="s">
        <v>7</v>
      </c>
      <c r="D58" s="42">
        <v>243902</v>
      </c>
      <c r="E58" s="41">
        <f>(D58-'2015'!D67)/'2015'!D67</f>
        <v>0.13170654751133321</v>
      </c>
      <c r="F58" s="42">
        <v>247524</v>
      </c>
      <c r="G58" s="42">
        <v>127064</v>
      </c>
      <c r="H58" s="41">
        <f>(G58-'2015'!H67)/'2015'!H67</f>
        <v>0.10419382310513235</v>
      </c>
      <c r="I58" s="42">
        <v>127551</v>
      </c>
      <c r="J58" s="42">
        <v>42918</v>
      </c>
      <c r="K58" s="41">
        <f>(J58-'2015'!L67)/'2015'!L67</f>
        <v>4.1623182777953065E-2</v>
      </c>
      <c r="L58" s="42">
        <v>43047</v>
      </c>
    </row>
    <row r="59" spans="1:12" x14ac:dyDescent="0.25">
      <c r="A59" s="1" t="s">
        <v>10</v>
      </c>
      <c r="B59" s="1" t="s">
        <v>9</v>
      </c>
      <c r="C59" s="32" t="s">
        <v>11</v>
      </c>
      <c r="D59" s="42">
        <v>111111</v>
      </c>
      <c r="E59" s="41">
        <f>(D59-'2015'!D68)/'2015'!D68</f>
        <v>-8.8888159998688002E-2</v>
      </c>
      <c r="F59" s="42">
        <v>114025</v>
      </c>
      <c r="G59" s="42">
        <v>95238</v>
      </c>
      <c r="H59" s="41">
        <f>(G59-'2015'!H68)/'2015'!H68</f>
        <v>0.2714335300242971</v>
      </c>
      <c r="I59" s="42">
        <v>96618</v>
      </c>
      <c r="J59" s="42">
        <v>35842</v>
      </c>
      <c r="K59" s="41">
        <f>(J59-'2015'!L68)/'2015'!L68</f>
        <v>-4.1580875471294486E-2</v>
      </c>
      <c r="L59" s="42">
        <v>36337</v>
      </c>
    </row>
    <row r="60" spans="1:12" x14ac:dyDescent="0.25">
      <c r="A60" s="1" t="s">
        <v>12</v>
      </c>
      <c r="B60" s="1" t="s">
        <v>13</v>
      </c>
      <c r="C60" s="32" t="s">
        <v>7</v>
      </c>
      <c r="D60" s="42">
        <v>58858</v>
      </c>
      <c r="E60" s="41">
        <f>(D60-'2015'!D69)/'2015'!D69</f>
        <v>-0.40788507389113005</v>
      </c>
      <c r="F60" s="42">
        <v>76335</v>
      </c>
      <c r="G60" s="42">
        <v>54525</v>
      </c>
      <c r="H60" s="41">
        <f>(G60-'2015'!H69)/'2015'!H69</f>
        <v>-0.20829098301147089</v>
      </c>
      <c r="I60" s="42">
        <v>99206</v>
      </c>
      <c r="J60" s="42">
        <v>30674</v>
      </c>
      <c r="K60" s="41">
        <f>(J60-'2015'!L69)/'2015'!L69</f>
        <v>-0.16442386270770906</v>
      </c>
      <c r="L60" s="42">
        <v>32299</v>
      </c>
    </row>
    <row r="61" spans="1:12" x14ac:dyDescent="0.25">
      <c r="A61" s="1" t="s">
        <v>14</v>
      </c>
      <c r="B61" s="1" t="s">
        <v>15</v>
      </c>
      <c r="C61" s="32" t="s">
        <v>7</v>
      </c>
      <c r="D61" s="42">
        <v>75414</v>
      </c>
      <c r="E61" s="41">
        <f>(D61-'2015'!D70)/'2015'!D70</f>
        <v>-0.30618703712222273</v>
      </c>
      <c r="F61" s="42">
        <v>76394</v>
      </c>
      <c r="G61" s="42">
        <v>59880</v>
      </c>
      <c r="H61" s="41">
        <f>(G61-'2015'!H70)/'2015'!H70</f>
        <v>-0.21197046863279245</v>
      </c>
      <c r="I61" s="42">
        <v>63211</v>
      </c>
      <c r="J61" s="42">
        <v>31705</v>
      </c>
      <c r="K61" s="41">
        <f>(J61-'2015'!L70)/'2015'!L70</f>
        <v>0.4229612674476011</v>
      </c>
      <c r="L61" s="42">
        <v>32456</v>
      </c>
    </row>
    <row r="62" spans="1:12" x14ac:dyDescent="0.25">
      <c r="A62" s="79" t="s">
        <v>191</v>
      </c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2" x14ac:dyDescent="0.25">
      <c r="A63" s="15"/>
      <c r="B63" s="13"/>
      <c r="C63" s="21"/>
    </row>
    <row r="64" spans="1:12" ht="18.75" x14ac:dyDescent="0.3">
      <c r="A64" s="76" t="s">
        <v>190</v>
      </c>
      <c r="B64" s="76"/>
      <c r="C64" s="76"/>
      <c r="D64" s="78"/>
      <c r="E64" s="78"/>
      <c r="F64" s="78"/>
      <c r="G64" s="78"/>
      <c r="H64" s="78"/>
      <c r="I64" s="78"/>
      <c r="J64" s="78"/>
      <c r="K64" s="78"/>
      <c r="L64" s="78"/>
    </row>
    <row r="65" spans="1:12" ht="45" x14ac:dyDescent="0.25">
      <c r="A65" s="1" t="s">
        <v>2</v>
      </c>
      <c r="B65" s="1" t="s">
        <v>3</v>
      </c>
      <c r="C65" s="32" t="s">
        <v>4</v>
      </c>
      <c r="D65" s="4" t="s">
        <v>78</v>
      </c>
      <c r="E65" s="4" t="s">
        <v>188</v>
      </c>
      <c r="F65" s="4" t="s">
        <v>85</v>
      </c>
      <c r="G65" s="4" t="s">
        <v>79</v>
      </c>
      <c r="H65" s="4" t="s">
        <v>188</v>
      </c>
      <c r="I65" s="4" t="s">
        <v>82</v>
      </c>
      <c r="J65" s="4" t="s">
        <v>80</v>
      </c>
      <c r="K65" s="4" t="s">
        <v>188</v>
      </c>
      <c r="L65" s="4" t="s">
        <v>81</v>
      </c>
    </row>
    <row r="66" spans="1:12" x14ac:dyDescent="0.25">
      <c r="A66" s="1" t="s">
        <v>5</v>
      </c>
      <c r="B66" s="1" t="s">
        <v>6</v>
      </c>
      <c r="C66" s="32" t="s">
        <v>7</v>
      </c>
      <c r="D66" s="42">
        <v>218818</v>
      </c>
      <c r="E66" s="41">
        <f>(D66-'2015'!D75)/'2015'!D75</f>
        <v>2.1864399986771445E-3</v>
      </c>
      <c r="F66" s="42">
        <v>223214</v>
      </c>
      <c r="G66" s="42">
        <v>124688</v>
      </c>
      <c r="H66" s="41">
        <f>(G66-'2015'!H75)/'2015'!H75</f>
        <v>-1.8705440003434548E-2</v>
      </c>
      <c r="I66" s="42">
        <v>125000</v>
      </c>
      <c r="J66" s="42">
        <v>43252</v>
      </c>
      <c r="K66" s="41">
        <f>(J66-'2015'!L75)/'2015'!L75</f>
        <v>-1.376000671997791E-5</v>
      </c>
      <c r="L66" s="42">
        <v>43252</v>
      </c>
    </row>
    <row r="67" spans="1:12" x14ac:dyDescent="0.25">
      <c r="A67" s="1" t="s">
        <v>8</v>
      </c>
      <c r="B67" s="1" t="s">
        <v>9</v>
      </c>
      <c r="C67" s="32" t="s">
        <v>7</v>
      </c>
      <c r="D67" s="42">
        <v>213675</v>
      </c>
      <c r="E67" s="41">
        <f>(D67-'2015'!D76)/'2015'!D76</f>
        <v>-1.2821499999012853E-2</v>
      </c>
      <c r="F67" s="42">
        <v>215982</v>
      </c>
      <c r="G67" s="42">
        <v>117096</v>
      </c>
      <c r="H67" s="41">
        <f>(G67-'2015'!H76)/'2015'!H76</f>
        <v>9.3675200039970725E-3</v>
      </c>
      <c r="I67" s="42">
        <v>117647</v>
      </c>
      <c r="J67" s="42">
        <v>41545</v>
      </c>
      <c r="K67" s="41">
        <f>(J67-'2015'!L76)/'2015'!L76</f>
        <v>8.2971499997379228E-3</v>
      </c>
      <c r="L67" s="42">
        <v>41545</v>
      </c>
    </row>
    <row r="68" spans="1:12" x14ac:dyDescent="0.25">
      <c r="A68" s="1" t="s">
        <v>10</v>
      </c>
      <c r="B68" s="1" t="s">
        <v>9</v>
      </c>
      <c r="C68" s="32" t="s">
        <v>11</v>
      </c>
      <c r="D68" s="42">
        <v>118906</v>
      </c>
      <c r="E68" s="41">
        <f>(D68-'2015'!D77)/'2015'!D77</f>
        <v>-2.9727040001241968E-2</v>
      </c>
      <c r="F68" s="42">
        <v>121654</v>
      </c>
      <c r="G68" s="42">
        <v>100401</v>
      </c>
      <c r="H68" s="41">
        <f>(G68-'2015'!H77)/'2015'!H77</f>
        <v>0.3534054800023278</v>
      </c>
      <c r="I68" s="42">
        <v>100704</v>
      </c>
      <c r="J68" s="42">
        <v>37835</v>
      </c>
      <c r="K68" s="41">
        <f>(J68-'2015'!L77)/'2015'!L77</f>
        <v>7.9243999875824554E-3</v>
      </c>
      <c r="L68" s="42">
        <v>38051</v>
      </c>
    </row>
    <row r="69" spans="1:12" x14ac:dyDescent="0.25">
      <c r="A69" s="1" t="s">
        <v>12</v>
      </c>
      <c r="B69" s="1" t="s">
        <v>13</v>
      </c>
      <c r="C69" s="32" t="s">
        <v>11</v>
      </c>
      <c r="D69" s="42">
        <v>98619</v>
      </c>
      <c r="E69" s="41">
        <f>(D69-'2015'!D78)/'2015'!D78</f>
        <v>-1.1837620003992182E-2</v>
      </c>
      <c r="F69" s="42">
        <v>99009</v>
      </c>
      <c r="G69" s="42">
        <v>89126</v>
      </c>
      <c r="H69" s="41">
        <f>(G69-'2015'!H78)/'2015'!H78</f>
        <v>0.28876195999409748</v>
      </c>
      <c r="I69" s="42">
        <v>91157</v>
      </c>
      <c r="J69" s="42">
        <v>36859</v>
      </c>
      <c r="K69" s="41">
        <f>(J69-'2015'!L78)/'2015'!L78</f>
        <v>8.8308299973367567E-3</v>
      </c>
      <c r="L69" s="42">
        <v>37050</v>
      </c>
    </row>
    <row r="70" spans="1:12" x14ac:dyDescent="0.25">
      <c r="A70" s="1" t="s">
        <v>14</v>
      </c>
      <c r="B70" s="1" t="s">
        <v>15</v>
      </c>
      <c r="C70" s="32" t="s">
        <v>11</v>
      </c>
      <c r="D70" s="42">
        <v>106837</v>
      </c>
      <c r="E70" s="41">
        <f>(D70-'2015'!D79)/'2015'!D79</f>
        <v>-2.4578190002887256E-2</v>
      </c>
      <c r="F70" s="42">
        <v>110132</v>
      </c>
      <c r="G70" s="42">
        <v>97465</v>
      </c>
      <c r="H70" s="41">
        <f>(G70-'2015'!H79)/'2015'!H79</f>
        <v>0.28263940000487414</v>
      </c>
      <c r="I70" s="42">
        <v>98039</v>
      </c>
      <c r="J70" s="42">
        <v>37907</v>
      </c>
      <c r="K70" s="41">
        <f>(J70-'2015'!L79)/'2015'!L79</f>
        <v>2.7279699991370848E-2</v>
      </c>
      <c r="L70" s="42">
        <v>38095</v>
      </c>
    </row>
    <row r="71" spans="1:12" x14ac:dyDescent="0.25">
      <c r="A71" s="81" t="s">
        <v>192</v>
      </c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2"/>
    </row>
    <row r="73" spans="1:12" ht="18.75" x14ac:dyDescent="0.3">
      <c r="A73" s="76" t="s">
        <v>193</v>
      </c>
      <c r="B73" s="76"/>
      <c r="C73" s="76"/>
      <c r="D73" s="78"/>
      <c r="E73" s="78"/>
      <c r="F73" s="78"/>
      <c r="G73" s="78"/>
      <c r="H73" s="78"/>
      <c r="I73" s="78"/>
      <c r="J73" s="78"/>
      <c r="K73" s="78"/>
      <c r="L73" s="78"/>
    </row>
    <row r="74" spans="1:12" ht="45" x14ac:dyDescent="0.25">
      <c r="A74" s="1" t="s">
        <v>2</v>
      </c>
      <c r="B74" s="1" t="s">
        <v>3</v>
      </c>
      <c r="C74" s="32" t="s">
        <v>4</v>
      </c>
      <c r="D74" s="4" t="s">
        <v>78</v>
      </c>
      <c r="E74" s="4" t="s">
        <v>176</v>
      </c>
      <c r="F74" s="4" t="s">
        <v>85</v>
      </c>
      <c r="G74" s="4" t="s">
        <v>79</v>
      </c>
      <c r="H74" s="4" t="s">
        <v>188</v>
      </c>
      <c r="I74" s="4" t="s">
        <v>82</v>
      </c>
      <c r="J74" s="4" t="s">
        <v>80</v>
      </c>
      <c r="K74" s="4" t="s">
        <v>188</v>
      </c>
      <c r="L74" s="4" t="s">
        <v>81</v>
      </c>
    </row>
    <row r="75" spans="1:12" x14ac:dyDescent="0.25">
      <c r="A75" s="1" t="s">
        <v>5</v>
      </c>
      <c r="B75" s="1" t="s">
        <v>6</v>
      </c>
      <c r="C75" s="32" t="s">
        <v>7</v>
      </c>
      <c r="D75" s="42">
        <v>77700</v>
      </c>
      <c r="E75" s="41">
        <f>(D75-'2015'!D66)/'2015'!D66</f>
        <v>-0.65190355443654968</v>
      </c>
      <c r="F75" s="42">
        <v>78125</v>
      </c>
      <c r="G75" s="42">
        <v>61728</v>
      </c>
      <c r="H75" s="41">
        <f>(G75-'2015'!H66)/'2015'!H66</f>
        <v>-0.51605240256838436</v>
      </c>
      <c r="I75" s="42">
        <v>62034</v>
      </c>
      <c r="J75" s="42">
        <v>31565</v>
      </c>
      <c r="K75" s="41">
        <f>(J75-'2015'!L66)/'2015'!L66</f>
        <v>-0.26673171184983857</v>
      </c>
      <c r="L75" s="42">
        <v>31735</v>
      </c>
    </row>
    <row r="76" spans="1:12" x14ac:dyDescent="0.25">
      <c r="A76" s="1" t="s">
        <v>8</v>
      </c>
      <c r="B76" s="1" t="s">
        <v>9</v>
      </c>
      <c r="C76" s="32" t="s">
        <v>7</v>
      </c>
      <c r="D76" s="42">
        <v>75987</v>
      </c>
      <c r="E76" s="41">
        <f>(D76-'2015'!D67)/'2015'!D67</f>
        <v>-0.6474199251103161</v>
      </c>
      <c r="F76" s="42">
        <v>77700</v>
      </c>
      <c r="G76" s="42">
        <v>59701</v>
      </c>
      <c r="H76" s="41">
        <f>(G76-'2015'!H67)/'2015'!H67</f>
        <v>-0.48119470949128385</v>
      </c>
      <c r="I76" s="42">
        <v>60060</v>
      </c>
      <c r="J76" s="42">
        <v>30562</v>
      </c>
      <c r="K76" s="41">
        <f>(J76-'2015'!L67)/'2015'!L67</f>
        <v>-0.25825789384268139</v>
      </c>
      <c r="L76" s="42">
        <v>30712</v>
      </c>
    </row>
    <row r="77" spans="1:12" x14ac:dyDescent="0.25">
      <c r="A77" s="1" t="s">
        <v>10</v>
      </c>
      <c r="B77" s="1" t="s">
        <v>9</v>
      </c>
      <c r="C77" s="32" t="s">
        <v>11</v>
      </c>
      <c r="D77" s="42">
        <v>56915</v>
      </c>
      <c r="E77" s="41">
        <f>(D77-'2015'!D68)/'2015'!D68</f>
        <v>-0.53329615993308788</v>
      </c>
      <c r="F77" s="42">
        <v>57836</v>
      </c>
      <c r="G77" s="42">
        <v>52083</v>
      </c>
      <c r="H77" s="41">
        <f>(G77-'2015'!H68)/'2015'!H68</f>
        <v>-0.30468854297386055</v>
      </c>
      <c r="I77" s="42">
        <v>53276</v>
      </c>
      <c r="J77" s="42">
        <v>27870</v>
      </c>
      <c r="K77" s="41">
        <f>(J77-'2015'!L68)/'2015'!L68</f>
        <v>-0.25475305505789236</v>
      </c>
      <c r="L77" s="42">
        <v>28216</v>
      </c>
    </row>
    <row r="78" spans="1:12" x14ac:dyDescent="0.25">
      <c r="A78" s="1" t="s">
        <v>12</v>
      </c>
      <c r="B78" s="1" t="s">
        <v>13</v>
      </c>
      <c r="C78" s="32" t="s">
        <v>7</v>
      </c>
      <c r="D78" s="42">
        <v>69686</v>
      </c>
      <c r="E78" s="41">
        <f>(D78-'2015'!D69)/'2015'!D69</f>
        <v>-0.29895475991670273</v>
      </c>
      <c r="F78" s="42">
        <v>71839</v>
      </c>
      <c r="G78" s="42">
        <v>59880</v>
      </c>
      <c r="H78" s="41">
        <f>(G78-'2015'!H69)/'2015'!H69</f>
        <v>-0.13053579207201974</v>
      </c>
      <c r="I78" s="42">
        <v>61274</v>
      </c>
      <c r="J78" s="42">
        <v>30845</v>
      </c>
      <c r="K78" s="41">
        <f>(J78-'2015'!L69)/'2015'!L69</f>
        <v>-0.15976573140833561</v>
      </c>
      <c r="L78" s="42">
        <v>31133</v>
      </c>
    </row>
    <row r="79" spans="1:12" x14ac:dyDescent="0.25">
      <c r="A79" s="1" t="s">
        <v>14</v>
      </c>
      <c r="B79" s="1" t="s">
        <v>15</v>
      </c>
      <c r="C79" s="32" t="s">
        <v>7</v>
      </c>
      <c r="D79" s="42">
        <v>69013</v>
      </c>
      <c r="E79" s="41">
        <f>(D79-'2015'!D70)/'2015'!D70</f>
        <v>-0.36507659045954277</v>
      </c>
      <c r="F79" s="42">
        <v>71428</v>
      </c>
      <c r="G79" s="42">
        <v>55897</v>
      </c>
      <c r="H79" s="41">
        <f>(G79-'2015'!H70)/'2015'!H70</f>
        <v>-0.26438732941160986</v>
      </c>
      <c r="I79" s="42">
        <v>61881</v>
      </c>
      <c r="J79" s="42">
        <v>31575</v>
      </c>
      <c r="K79" s="41">
        <f>(J79-'2015'!L70)/'2015'!L70</f>
        <v>0.41712669987882051</v>
      </c>
      <c r="L79" s="42">
        <v>31725</v>
      </c>
    </row>
    <row r="80" spans="1:12" x14ac:dyDescent="0.25">
      <c r="A80" s="79" t="s">
        <v>195</v>
      </c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2" x14ac:dyDescent="0.25">
      <c r="A81" s="15"/>
      <c r="B81" s="13"/>
      <c r="C81" s="21"/>
    </row>
    <row r="82" spans="1:12" ht="18.75" x14ac:dyDescent="0.3">
      <c r="A82" s="76" t="s">
        <v>194</v>
      </c>
      <c r="B82" s="76"/>
      <c r="C82" s="76"/>
      <c r="D82" s="78"/>
      <c r="E82" s="78"/>
      <c r="F82" s="78"/>
      <c r="G82" s="78"/>
      <c r="H82" s="78"/>
      <c r="I82" s="78"/>
      <c r="J82" s="78"/>
      <c r="K82" s="78"/>
      <c r="L82" s="78"/>
    </row>
    <row r="83" spans="1:12" ht="45" x14ac:dyDescent="0.25">
      <c r="A83" s="1" t="s">
        <v>2</v>
      </c>
      <c r="B83" s="1" t="s">
        <v>3</v>
      </c>
      <c r="C83" s="32" t="s">
        <v>4</v>
      </c>
      <c r="D83" s="4" t="s">
        <v>78</v>
      </c>
      <c r="E83" s="4" t="s">
        <v>188</v>
      </c>
      <c r="F83" s="4" t="s">
        <v>85</v>
      </c>
      <c r="G83" s="4" t="s">
        <v>79</v>
      </c>
      <c r="H83" s="4" t="s">
        <v>188</v>
      </c>
      <c r="I83" s="4" t="s">
        <v>82</v>
      </c>
      <c r="J83" s="4" t="s">
        <v>80</v>
      </c>
      <c r="K83" s="4" t="s">
        <v>188</v>
      </c>
      <c r="L83" s="4" t="s">
        <v>81</v>
      </c>
    </row>
    <row r="84" spans="1:12" x14ac:dyDescent="0.25">
      <c r="A84" s="1" t="s">
        <v>5</v>
      </c>
      <c r="B84" s="1" t="s">
        <v>6</v>
      </c>
      <c r="C84" s="32" t="s">
        <v>7</v>
      </c>
      <c r="D84" s="42">
        <v>220750</v>
      </c>
      <c r="E84" s="41">
        <f>(D84-'2015'!D75)/'2015'!D75</f>
        <v>1.1034999998665465E-2</v>
      </c>
      <c r="F84" s="42">
        <v>223214</v>
      </c>
      <c r="G84" s="42">
        <v>123152</v>
      </c>
      <c r="H84" s="41">
        <f>(G84-'2015'!H75)/'2015'!H75</f>
        <v>-3.0793760003392238E-2</v>
      </c>
      <c r="I84" s="42">
        <v>123762</v>
      </c>
      <c r="J84" s="42">
        <v>42716</v>
      </c>
      <c r="K84" s="41">
        <f>(J84-'2015'!L75)/'2015'!L75</f>
        <v>-1.2406080006636701E-2</v>
      </c>
      <c r="L84" s="42">
        <v>43047</v>
      </c>
    </row>
    <row r="85" spans="1:12" x14ac:dyDescent="0.25">
      <c r="A85" s="1" t="s">
        <v>8</v>
      </c>
      <c r="B85" s="1" t="s">
        <v>9</v>
      </c>
      <c r="C85" s="32" t="s">
        <v>7</v>
      </c>
      <c r="D85" s="42">
        <v>207900</v>
      </c>
      <c r="E85" s="41">
        <f>(D85-'2015'!D76)/'2015'!D76</f>
        <v>-3.9501999999039535E-2</v>
      </c>
      <c r="F85" s="42">
        <v>215517</v>
      </c>
      <c r="G85" s="42">
        <v>116550</v>
      </c>
      <c r="H85" s="41">
        <f>(G85-'2015'!H76)/'2015'!H76</f>
        <v>4.661000003978435E-3</v>
      </c>
      <c r="I85" s="42">
        <v>117096</v>
      </c>
      <c r="J85" s="42">
        <v>41000</v>
      </c>
      <c r="K85" s="41">
        <f>(J85-'2015'!L76)/'2015'!L76</f>
        <v>-4.930000000258639E-3</v>
      </c>
      <c r="L85" s="42">
        <v>41339</v>
      </c>
    </row>
    <row r="86" spans="1:12" x14ac:dyDescent="0.25">
      <c r="A86" s="1" t="s">
        <v>10</v>
      </c>
      <c r="B86" s="1" t="s">
        <v>9</v>
      </c>
      <c r="C86" s="32" t="s">
        <v>11</v>
      </c>
      <c r="D86" s="42">
        <v>117233</v>
      </c>
      <c r="E86" s="41">
        <f>(D86-'2015'!D77)/'2015'!D77</f>
        <v>-4.3378720001224495E-2</v>
      </c>
      <c r="F86" s="42">
        <v>119189</v>
      </c>
      <c r="G86" s="42">
        <v>98328</v>
      </c>
      <c r="H86" s="41">
        <f>(G86-'2015'!H77)/'2015'!H77</f>
        <v>0.32546144000227972</v>
      </c>
      <c r="I86" s="42">
        <v>99403</v>
      </c>
      <c r="J86" s="42">
        <v>36859</v>
      </c>
      <c r="K86" s="41">
        <f>(J86-'2015'!L77)/'2015'!L77</f>
        <v>-1.8076240012097219E-2</v>
      </c>
      <c r="L86" s="42">
        <v>37907</v>
      </c>
    </row>
    <row r="87" spans="1:12" x14ac:dyDescent="0.25">
      <c r="A87" s="1" t="s">
        <v>12</v>
      </c>
      <c r="B87" s="1" t="s">
        <v>13</v>
      </c>
      <c r="C87" s="32" t="s">
        <v>11</v>
      </c>
      <c r="D87" s="42">
        <v>98911</v>
      </c>
      <c r="E87" s="41">
        <f>(D87-'2015'!D78)/'2015'!D78</f>
        <v>-8.9117800040040013E-3</v>
      </c>
      <c r="F87" s="42">
        <v>99601</v>
      </c>
      <c r="G87" s="42">
        <v>89686</v>
      </c>
      <c r="H87" s="41">
        <f>(G87-'2015'!H78)/'2015'!H78</f>
        <v>0.29685955999406038</v>
      </c>
      <c r="I87" s="42">
        <v>90744</v>
      </c>
      <c r="J87" s="42">
        <v>36697</v>
      </c>
      <c r="K87" s="41">
        <f>(J87-'2015'!L78)/'2015'!L78</f>
        <v>4.3968899973484618E-3</v>
      </c>
      <c r="L87" s="42">
        <v>36873</v>
      </c>
    </row>
    <row r="88" spans="1:12" x14ac:dyDescent="0.25">
      <c r="A88" s="1" t="s">
        <v>14</v>
      </c>
      <c r="B88" s="1" t="s">
        <v>15</v>
      </c>
      <c r="C88" s="32" t="s">
        <v>11</v>
      </c>
      <c r="D88" s="42">
        <v>105820</v>
      </c>
      <c r="E88" s="41">
        <f>(D88-'2015'!D79)/'2015'!D79</f>
        <v>-3.386340000285977E-2</v>
      </c>
      <c r="F88" s="42">
        <v>109051</v>
      </c>
      <c r="G88" s="42">
        <v>96805</v>
      </c>
      <c r="H88" s="41">
        <f>(G88-'2015'!H79)/'2015'!H79</f>
        <v>0.27395380000484115</v>
      </c>
      <c r="I88" s="42">
        <v>96805</v>
      </c>
      <c r="J88" s="42">
        <v>37593</v>
      </c>
      <c r="K88" s="41">
        <f>(J88-'2015'!L79)/'2015'!L79</f>
        <v>1.8770299991442325E-2</v>
      </c>
      <c r="L88" s="42">
        <v>37593</v>
      </c>
    </row>
    <row r="89" spans="1:12" x14ac:dyDescent="0.25">
      <c r="A89" s="81" t="s">
        <v>196</v>
      </c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</row>
    <row r="109" spans="1:12" ht="18.75" x14ac:dyDescent="0.3">
      <c r="A109" s="76" t="s">
        <v>199</v>
      </c>
      <c r="B109" s="76"/>
      <c r="C109" s="76"/>
      <c r="D109" s="78"/>
      <c r="E109" s="78"/>
      <c r="F109" s="78"/>
      <c r="G109" s="78"/>
      <c r="H109" s="78"/>
      <c r="I109" s="78"/>
      <c r="J109" s="78"/>
      <c r="K109" s="78"/>
      <c r="L109" s="78"/>
    </row>
    <row r="110" spans="1:12" ht="45" x14ac:dyDescent="0.25">
      <c r="A110" s="1" t="s">
        <v>2</v>
      </c>
      <c r="B110" s="1" t="s">
        <v>3</v>
      </c>
      <c r="C110" s="32" t="s">
        <v>4</v>
      </c>
      <c r="D110" s="4" t="s">
        <v>78</v>
      </c>
      <c r="E110" s="4" t="s">
        <v>176</v>
      </c>
      <c r="F110" s="4" t="s">
        <v>85</v>
      </c>
      <c r="G110" s="4" t="s">
        <v>79</v>
      </c>
      <c r="H110" s="4" t="s">
        <v>188</v>
      </c>
      <c r="I110" s="4" t="s">
        <v>82</v>
      </c>
      <c r="J110" s="4" t="s">
        <v>80</v>
      </c>
      <c r="K110" s="4" t="s">
        <v>188</v>
      </c>
      <c r="L110" s="4" t="s">
        <v>81</v>
      </c>
    </row>
    <row r="111" spans="1:12" x14ac:dyDescent="0.25">
      <c r="A111" s="1" t="s">
        <v>5</v>
      </c>
      <c r="B111" s="1" t="s">
        <v>6</v>
      </c>
      <c r="C111" s="32" t="s">
        <v>7</v>
      </c>
      <c r="D111" s="42">
        <v>79113</v>
      </c>
      <c r="E111" s="41">
        <f>(D111-'2015'!D66)/'2015'!D66</f>
        <v>-0.64557330633383214</v>
      </c>
      <c r="F111" s="42">
        <v>80000</v>
      </c>
      <c r="G111" s="42">
        <v>62460</v>
      </c>
      <c r="H111" s="41">
        <f>(G111-'2015'!H66)/'2015'!H66</f>
        <v>-0.51031352165016342</v>
      </c>
      <c r="I111" s="42">
        <v>62774</v>
      </c>
      <c r="J111" s="42">
        <v>31867</v>
      </c>
      <c r="K111" s="41">
        <f>(J111-'2015'!L66)/'2015'!L66</f>
        <v>-0.25971612423629986</v>
      </c>
      <c r="L111" s="42">
        <v>32020</v>
      </c>
    </row>
    <row r="112" spans="1:12" x14ac:dyDescent="0.25">
      <c r="A112" s="1" t="s">
        <v>8</v>
      </c>
      <c r="B112" s="1" t="s">
        <v>9</v>
      </c>
      <c r="C112" s="32" t="s">
        <v>7</v>
      </c>
      <c r="D112" s="42">
        <v>77700</v>
      </c>
      <c r="E112" s="41">
        <f>(D112-'2015'!D67)/'2015'!D67</f>
        <v>-0.63947159620818772</v>
      </c>
      <c r="F112" s="42">
        <v>79491</v>
      </c>
      <c r="G112" s="42">
        <v>61050</v>
      </c>
      <c r="H112" s="41">
        <f>(G112-'2015'!H67)/'2015'!H67</f>
        <v>-0.46947181813441785</v>
      </c>
      <c r="I112" s="42">
        <v>61199</v>
      </c>
      <c r="J112" s="42">
        <v>31152</v>
      </c>
      <c r="K112" s="41">
        <f>(J112-'2015'!L67)/'2015'!L67</f>
        <v>-0.24393854816396865</v>
      </c>
      <c r="L112" s="42">
        <v>31289</v>
      </c>
    </row>
    <row r="113" spans="1:12" x14ac:dyDescent="0.25">
      <c r="A113" s="1" t="s">
        <v>10</v>
      </c>
      <c r="B113" s="1" t="s">
        <v>9</v>
      </c>
      <c r="C113" s="32" t="s">
        <v>11</v>
      </c>
      <c r="D113" s="42">
        <v>60240</v>
      </c>
      <c r="E113" s="41">
        <f>(D113-'2015'!D68)/'2015'!D68</f>
        <v>-0.5060311108559995</v>
      </c>
      <c r="F113" s="42">
        <v>62460</v>
      </c>
      <c r="G113" s="42">
        <v>42034</v>
      </c>
      <c r="H113" s="41">
        <f>(G113-'2015'!H68)/'2015'!H68</f>
        <v>-0.43884335033241662</v>
      </c>
      <c r="I113" s="42">
        <v>54288</v>
      </c>
      <c r="J113" s="42">
        <v>28352</v>
      </c>
      <c r="K113" s="41">
        <f>(J113-'2015'!L68)/'2015'!L68</f>
        <v>-0.24186432066743321</v>
      </c>
      <c r="L113" s="42">
        <v>28449</v>
      </c>
    </row>
    <row r="114" spans="1:12" x14ac:dyDescent="0.25">
      <c r="A114" s="1" t="s">
        <v>12</v>
      </c>
      <c r="B114" s="1" t="s">
        <v>13</v>
      </c>
      <c r="C114" s="32" t="s">
        <v>7</v>
      </c>
      <c r="D114" s="42">
        <v>67159</v>
      </c>
      <c r="E114" s="41">
        <f>(D114-'2015'!D69)/'2015'!D69</f>
        <v>-0.32437652787139221</v>
      </c>
      <c r="F114" s="42">
        <v>70422</v>
      </c>
      <c r="G114" s="42">
        <v>48169</v>
      </c>
      <c r="H114" s="41">
        <f>(G114-'2015'!H69)/'2015'!H69</f>
        <v>-0.30058080441411356</v>
      </c>
      <c r="I114" s="42">
        <v>60864</v>
      </c>
      <c r="J114" s="42">
        <v>30978</v>
      </c>
      <c r="K114" s="41">
        <f>(J114-'2015'!L69)/'2015'!L69</f>
        <v>-0.15614274039771178</v>
      </c>
      <c r="L114" s="42">
        <v>31133</v>
      </c>
    </row>
    <row r="115" spans="1:12" x14ac:dyDescent="0.25">
      <c r="A115" s="1" t="s">
        <v>14</v>
      </c>
      <c r="B115" s="1" t="s">
        <v>15</v>
      </c>
      <c r="C115" s="32" t="s">
        <v>7</v>
      </c>
      <c r="D115" s="42">
        <v>63856</v>
      </c>
      <c r="E115" s="41">
        <f>(D115-'2015'!D70)/'2015'!D70</f>
        <v>-0.41252127512765074</v>
      </c>
      <c r="F115" s="42">
        <v>70821</v>
      </c>
      <c r="G115" s="42">
        <v>48169</v>
      </c>
      <c r="H115" s="41">
        <f>(G115-'2015'!H70)/'2015'!H70</f>
        <v>-0.36608893626541383</v>
      </c>
      <c r="I115" s="42">
        <v>60975</v>
      </c>
      <c r="J115" s="42">
        <v>30543</v>
      </c>
      <c r="K115" s="41">
        <f>(J115-'2015'!L70)/'2015'!L70</f>
        <v>0.37080920964050085</v>
      </c>
      <c r="L115" s="42">
        <v>31152</v>
      </c>
    </row>
    <row r="116" spans="1:12" x14ac:dyDescent="0.25">
      <c r="A116" s="79" t="s">
        <v>197</v>
      </c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</row>
    <row r="117" spans="1:12" x14ac:dyDescent="0.25">
      <c r="A117" s="15"/>
      <c r="B117" s="13"/>
      <c r="C117" s="21"/>
    </row>
    <row r="118" spans="1:12" ht="18.75" x14ac:dyDescent="0.3">
      <c r="A118" s="76"/>
      <c r="B118" s="76"/>
      <c r="C118" s="76"/>
      <c r="D118" s="78"/>
      <c r="E118" s="78"/>
      <c r="F118" s="78"/>
      <c r="G118" s="78"/>
      <c r="H118" s="78"/>
      <c r="I118" s="78"/>
      <c r="J118" s="78"/>
      <c r="K118" s="78"/>
      <c r="L118" s="78"/>
    </row>
    <row r="119" spans="1:12" ht="18.75" x14ac:dyDescent="0.3">
      <c r="A119" s="76" t="s">
        <v>198</v>
      </c>
      <c r="B119" s="76"/>
      <c r="C119" s="76"/>
      <c r="D119" s="78"/>
      <c r="E119" s="78"/>
      <c r="F119" s="78"/>
      <c r="G119" s="78"/>
      <c r="H119" s="78"/>
      <c r="I119" s="78"/>
      <c r="J119" s="78"/>
      <c r="K119" s="78"/>
      <c r="L119" s="78"/>
    </row>
    <row r="120" spans="1:12" ht="45" x14ac:dyDescent="0.25">
      <c r="A120" s="1" t="s">
        <v>2</v>
      </c>
      <c r="B120" s="1" t="s">
        <v>3</v>
      </c>
      <c r="C120" s="32" t="s">
        <v>4</v>
      </c>
      <c r="D120" s="4" t="s">
        <v>78</v>
      </c>
      <c r="E120" s="4" t="s">
        <v>176</v>
      </c>
      <c r="F120" s="4" t="s">
        <v>85</v>
      </c>
      <c r="G120" s="4" t="s">
        <v>79</v>
      </c>
      <c r="H120" s="4" t="s">
        <v>188</v>
      </c>
      <c r="I120" s="4" t="s">
        <v>82</v>
      </c>
      <c r="J120" s="4" t="s">
        <v>80</v>
      </c>
      <c r="K120" s="4" t="s">
        <v>188</v>
      </c>
      <c r="L120" s="4" t="s">
        <v>81</v>
      </c>
    </row>
    <row r="121" spans="1:12" x14ac:dyDescent="0.25">
      <c r="A121" s="1" t="s">
        <v>5</v>
      </c>
      <c r="B121" s="1" t="s">
        <v>6</v>
      </c>
      <c r="C121" s="32" t="s">
        <v>7</v>
      </c>
      <c r="D121" s="42">
        <v>258397</v>
      </c>
      <c r="E121" s="41">
        <f>(D121-'2015'!D66)/'2015'!D66</f>
        <v>0.15762004175365343</v>
      </c>
      <c r="F121" s="42">
        <v>259740</v>
      </c>
      <c r="G121" s="42">
        <v>139470</v>
      </c>
      <c r="H121" s="41">
        <f>(G121-'2015'!H66)/'2015'!H66</f>
        <v>9.3444974951195997E-2</v>
      </c>
      <c r="I121" s="42">
        <v>140449</v>
      </c>
      <c r="J121" s="42">
        <v>45065</v>
      </c>
      <c r="K121" s="41">
        <f>(J121-'2015'!L66)/'2015'!L66</f>
        <v>4.6878992728877737E-2</v>
      </c>
      <c r="L121" s="42">
        <v>45289</v>
      </c>
    </row>
    <row r="122" spans="1:12" x14ac:dyDescent="0.25">
      <c r="A122" s="1" t="s">
        <v>8</v>
      </c>
      <c r="B122" s="1" t="s">
        <v>9</v>
      </c>
      <c r="C122" s="32" t="s">
        <v>7</v>
      </c>
      <c r="D122" s="42">
        <v>253164</v>
      </c>
      <c r="E122" s="41">
        <f>(D122-'2015'!D67)/'2015'!D67</f>
        <v>0.17468227564414873</v>
      </c>
      <c r="F122" s="42">
        <v>254452</v>
      </c>
      <c r="G122" s="42">
        <v>129701</v>
      </c>
      <c r="H122" s="41">
        <f>(G122-'2015'!H67)/'2015'!H67</f>
        <v>0.12710951214001426</v>
      </c>
      <c r="I122" s="42">
        <v>132100</v>
      </c>
      <c r="J122" s="42">
        <v>43610</v>
      </c>
      <c r="K122" s="41">
        <f>(J122-'2015'!L67)/'2015'!L67</f>
        <v>5.841807635366357E-2</v>
      </c>
      <c r="L122" s="42">
        <v>43610</v>
      </c>
    </row>
    <row r="123" spans="1:12" x14ac:dyDescent="0.25">
      <c r="A123" s="1" t="s">
        <v>10</v>
      </c>
      <c r="B123" s="1" t="s">
        <v>9</v>
      </c>
      <c r="C123" s="32" t="s">
        <v>11</v>
      </c>
      <c r="D123" s="42">
        <v>114942</v>
      </c>
      <c r="E123" s="41">
        <f>(D123-'2015'!D68)/'2015'!D68</f>
        <v>-5.7473903453026214E-2</v>
      </c>
      <c r="F123" s="42">
        <v>123152</v>
      </c>
      <c r="G123" s="42">
        <v>67934</v>
      </c>
      <c r="H123" s="41">
        <f>(G123-'2015'!H68)/'2015'!H68</f>
        <v>-9.3076656075614772E-2</v>
      </c>
      <c r="I123" s="42">
        <v>68399</v>
      </c>
      <c r="J123" s="42">
        <v>36710</v>
      </c>
      <c r="K123" s="41">
        <f>(J123-'2015'!L68)/'2015'!L68</f>
        <v>-1.837045752333075E-2</v>
      </c>
      <c r="L123" s="42">
        <v>37397</v>
      </c>
    </row>
    <row r="124" spans="1:12" x14ac:dyDescent="0.25">
      <c r="A124" s="1" t="s">
        <v>12</v>
      </c>
      <c r="B124" s="1" t="s">
        <v>13</v>
      </c>
      <c r="C124" s="32" t="s">
        <v>7</v>
      </c>
      <c r="D124" s="42">
        <v>76161</v>
      </c>
      <c r="E124" s="41">
        <f>(D124-'2015'!D69)/'2015'!D69</f>
        <v>-0.2338158808084263</v>
      </c>
      <c r="F124" s="42">
        <v>133868</v>
      </c>
      <c r="G124" s="42">
        <v>71787</v>
      </c>
      <c r="H124" s="41">
        <f>(G124-'2015'!H69)/'2015'!H69</f>
        <v>4.2355161899230435E-2</v>
      </c>
      <c r="I124" s="42">
        <v>126742</v>
      </c>
      <c r="J124" s="42">
        <v>32615</v>
      </c>
      <c r="K124" s="41">
        <f>(J124-'2015'!L69)/'2015'!L69</f>
        <v>-0.11154998637973304</v>
      </c>
      <c r="L124" s="42">
        <v>32808</v>
      </c>
    </row>
    <row r="125" spans="1:12" x14ac:dyDescent="0.25">
      <c r="A125" s="1" t="s">
        <v>14</v>
      </c>
      <c r="B125" s="1" t="s">
        <v>15</v>
      </c>
      <c r="C125" s="32" t="s">
        <v>7</v>
      </c>
      <c r="D125" s="42">
        <v>75700</v>
      </c>
      <c r="E125" s="41">
        <f>(D125-'2015'!D70)/'2015'!D70</f>
        <v>-0.30355582133492803</v>
      </c>
      <c r="F125" s="42">
        <v>76335</v>
      </c>
      <c r="G125" s="42">
        <v>49751</v>
      </c>
      <c r="H125" s="41">
        <f>(G125-'2015'!H70)/'2015'!H70</f>
        <v>-0.34526958558700832</v>
      </c>
      <c r="I125" s="42">
        <v>60975</v>
      </c>
      <c r="J125" s="42">
        <v>32175</v>
      </c>
      <c r="K125" s="41">
        <f>(J125-'2015'!L70)/'2015'!L70</f>
        <v>0.44405547327319239</v>
      </c>
      <c r="L125" s="42">
        <v>32530</v>
      </c>
    </row>
    <row r="126" spans="1:12" x14ac:dyDescent="0.25">
      <c r="A126" s="79" t="s">
        <v>197</v>
      </c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</row>
    <row r="128" spans="1:12" ht="18.75" x14ac:dyDescent="0.3">
      <c r="A128" s="76" t="s">
        <v>198</v>
      </c>
      <c r="B128" s="76"/>
      <c r="C128" s="76"/>
      <c r="D128" s="78"/>
      <c r="E128" s="78"/>
      <c r="F128" s="78"/>
      <c r="G128" s="78"/>
      <c r="H128" s="78"/>
      <c r="I128" s="78"/>
      <c r="J128" s="78"/>
      <c r="K128" s="78"/>
      <c r="L128" s="78"/>
    </row>
    <row r="129" spans="1:12" ht="45" x14ac:dyDescent="0.25">
      <c r="A129" s="1" t="s">
        <v>2</v>
      </c>
      <c r="B129" s="1" t="s">
        <v>3</v>
      </c>
      <c r="C129" s="32" t="s">
        <v>4</v>
      </c>
      <c r="D129" s="4" t="s">
        <v>78</v>
      </c>
      <c r="E129" s="4" t="s">
        <v>176</v>
      </c>
      <c r="F129" s="4" t="s">
        <v>85</v>
      </c>
      <c r="G129" s="4" t="s">
        <v>79</v>
      </c>
      <c r="H129" s="4" t="s">
        <v>188</v>
      </c>
      <c r="I129" s="4" t="s">
        <v>82</v>
      </c>
      <c r="J129" s="4" t="s">
        <v>80</v>
      </c>
      <c r="K129" s="4" t="s">
        <v>188</v>
      </c>
      <c r="L129" s="4" t="s">
        <v>81</v>
      </c>
    </row>
    <row r="130" spans="1:12" x14ac:dyDescent="0.25">
      <c r="A130" s="1" t="s">
        <v>5</v>
      </c>
      <c r="B130" s="1" t="s">
        <v>6</v>
      </c>
      <c r="C130" s="32" t="s">
        <v>7</v>
      </c>
      <c r="D130" s="42">
        <v>255102</v>
      </c>
      <c r="E130" s="41">
        <f>(D130-'2015'!D66)/'2015'!D66</f>
        <v>0.14285842285878125</v>
      </c>
      <c r="F130" s="42">
        <v>260416</v>
      </c>
      <c r="G130" s="42">
        <v>137551</v>
      </c>
      <c r="H130" s="41">
        <f>(G130-'2015'!H66)/'2015'!H66</f>
        <v>7.8400012544002001E-2</v>
      </c>
      <c r="I130" s="42">
        <v>138888</v>
      </c>
      <c r="J130" s="42">
        <v>45289</v>
      </c>
      <c r="K130" s="41">
        <f>(J130-'2015'!L66)/'2015'!L66</f>
        <v>5.2082607382628293E-2</v>
      </c>
      <c r="L130" s="42">
        <v>45289</v>
      </c>
    </row>
    <row r="131" spans="1:12" x14ac:dyDescent="0.25">
      <c r="A131" s="1" t="s">
        <v>8</v>
      </c>
      <c r="B131" s="1" t="s">
        <v>9</v>
      </c>
      <c r="C131" s="32" t="s">
        <v>7</v>
      </c>
      <c r="D131" s="42">
        <v>245098</v>
      </c>
      <c r="E131" s="41">
        <f>(D131-'2015'!D67)/'2015'!D67</f>
        <v>0.13725599372671296</v>
      </c>
      <c r="F131" s="42">
        <v>246305</v>
      </c>
      <c r="G131" s="42">
        <v>128534</v>
      </c>
      <c r="H131" s="41">
        <f>(G131-'2015'!H67)/'2015'!H67</f>
        <v>0.11696821175938961</v>
      </c>
      <c r="I131" s="42">
        <v>131061</v>
      </c>
      <c r="J131" s="42">
        <v>42918</v>
      </c>
      <c r="K131" s="41">
        <f>(J131-'2015'!L67)/'2015'!L67</f>
        <v>4.1623182777953065E-2</v>
      </c>
      <c r="L131" s="42">
        <v>43610</v>
      </c>
    </row>
    <row r="132" spans="1:12" x14ac:dyDescent="0.25">
      <c r="A132" s="1" t="s">
        <v>10</v>
      </c>
      <c r="B132" s="1" t="s">
        <v>9</v>
      </c>
      <c r="C132" s="32" t="s">
        <v>11</v>
      </c>
      <c r="D132" s="42">
        <v>91827</v>
      </c>
      <c r="E132" s="41">
        <f>(D132-'2015'!D68)/'2015'!D68</f>
        <v>-0.24701724463104033</v>
      </c>
      <c r="F132" s="42">
        <v>92936</v>
      </c>
      <c r="G132" s="42">
        <v>79176</v>
      </c>
      <c r="H132" s="41">
        <f>(G132-'2015'!H68)/'2015'!H68</f>
        <v>5.7004779323418686E-2</v>
      </c>
      <c r="I132" s="42">
        <v>81300</v>
      </c>
      <c r="J132" s="42">
        <v>33967</v>
      </c>
      <c r="K132" s="41">
        <f>(J132-'2015'!L68)/'2015'!L68</f>
        <v>-9.1718587052437364E-2</v>
      </c>
      <c r="L132" s="42">
        <v>35137</v>
      </c>
    </row>
    <row r="133" spans="1:12" x14ac:dyDescent="0.25">
      <c r="A133" s="1" t="s">
        <v>12</v>
      </c>
      <c r="B133" s="1" t="s">
        <v>13</v>
      </c>
      <c r="C133" s="32" t="s">
        <v>7</v>
      </c>
      <c r="D133" s="42">
        <v>76335</v>
      </c>
      <c r="E133" s="41">
        <f>(D133-'2015'!D69)/'2015'!D69</f>
        <v>-0.2320654306208062</v>
      </c>
      <c r="F133" s="42">
        <v>76335</v>
      </c>
      <c r="G133" s="42">
        <v>76335</v>
      </c>
      <c r="H133" s="41">
        <f>(G133-'2015'!H69)/'2015'!H69</f>
        <v>0.10839262378394075</v>
      </c>
      <c r="I133" s="42">
        <v>76335</v>
      </c>
      <c r="J133" s="42">
        <v>39904</v>
      </c>
      <c r="K133" s="41">
        <f>(J133-'2015'!L69)/'2015'!L69</f>
        <v>8.7006265322800327E-2</v>
      </c>
      <c r="L133" s="42">
        <v>42808</v>
      </c>
    </row>
    <row r="134" spans="1:12" x14ac:dyDescent="0.25">
      <c r="A134" s="1" t="s">
        <v>14</v>
      </c>
      <c r="B134" s="1" t="s">
        <v>15</v>
      </c>
      <c r="C134" s="32" t="s">
        <v>7</v>
      </c>
      <c r="D134" s="42">
        <v>76687</v>
      </c>
      <c r="E134" s="41">
        <f>(D134-'2015'!D70)/'2015'!D70</f>
        <v>-0.2944753668522011</v>
      </c>
      <c r="F134" s="42">
        <v>119474</v>
      </c>
      <c r="G134" s="42">
        <v>76335</v>
      </c>
      <c r="H134" s="41">
        <f>(G134-'2015'!H70)/'2015'!H70</f>
        <v>4.579730743416637E-3</v>
      </c>
      <c r="I134" s="42">
        <v>110619</v>
      </c>
      <c r="J134" s="42">
        <v>42753</v>
      </c>
      <c r="K134" s="41">
        <f>(J134-'2015'!L70)/'2015'!L70</f>
        <v>0.91880974821596872</v>
      </c>
      <c r="L134" s="42">
        <v>44444</v>
      </c>
    </row>
    <row r="135" spans="1:12" x14ac:dyDescent="0.25">
      <c r="A135" s="79" t="s">
        <v>200</v>
      </c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</row>
    <row r="137" spans="1:12" ht="18.75" x14ac:dyDescent="0.3">
      <c r="A137" s="76" t="s">
        <v>201</v>
      </c>
      <c r="B137" s="76"/>
      <c r="C137" s="76"/>
      <c r="D137" s="78"/>
      <c r="E137" s="78"/>
      <c r="F137" s="78"/>
      <c r="G137" s="78"/>
      <c r="H137" s="78"/>
      <c r="I137" s="78"/>
      <c r="J137" s="78"/>
      <c r="K137" s="78"/>
      <c r="L137" s="78"/>
    </row>
    <row r="138" spans="1:12" ht="45" x14ac:dyDescent="0.25">
      <c r="A138" s="1" t="s">
        <v>2</v>
      </c>
      <c r="B138" s="1" t="s">
        <v>3</v>
      </c>
      <c r="C138" s="32" t="s">
        <v>4</v>
      </c>
      <c r="D138" s="4" t="s">
        <v>78</v>
      </c>
      <c r="E138" s="4" t="s">
        <v>176</v>
      </c>
      <c r="F138" s="4" t="s">
        <v>85</v>
      </c>
      <c r="G138" s="4" t="s">
        <v>79</v>
      </c>
      <c r="H138" s="4" t="s">
        <v>188</v>
      </c>
      <c r="I138" s="4" t="s">
        <v>82</v>
      </c>
      <c r="J138" s="4" t="s">
        <v>80</v>
      </c>
      <c r="K138" s="4" t="s">
        <v>188</v>
      </c>
      <c r="L138" s="4" t="s">
        <v>81</v>
      </c>
    </row>
    <row r="139" spans="1:12" x14ac:dyDescent="0.25">
      <c r="A139" s="1" t="s">
        <v>5</v>
      </c>
      <c r="B139" s="1" t="s">
        <v>6</v>
      </c>
      <c r="C139" s="32" t="s">
        <v>7</v>
      </c>
      <c r="D139" s="42">
        <v>260416</v>
      </c>
      <c r="E139" s="41">
        <f>(D139-'2015'!D66)/'2015'!D66</f>
        <v>0.16666517333142186</v>
      </c>
      <c r="F139" s="42">
        <v>263157</v>
      </c>
      <c r="G139" s="42">
        <v>139860</v>
      </c>
      <c r="H139" s="41">
        <f>(G139-'2015'!H66)/'2015'!H66</f>
        <v>9.6502575440412075E-2</v>
      </c>
      <c r="I139" s="42">
        <v>140449</v>
      </c>
      <c r="J139" s="42">
        <v>45289</v>
      </c>
      <c r="K139" s="41">
        <f>(J139-'2015'!L66)/'2015'!L66</f>
        <v>5.2082607382628293E-2</v>
      </c>
      <c r="L139" s="42">
        <v>45289</v>
      </c>
    </row>
    <row r="140" spans="1:12" x14ac:dyDescent="0.25">
      <c r="A140" s="1" t="s">
        <v>8</v>
      </c>
      <c r="B140" s="1" t="s">
        <v>9</v>
      </c>
      <c r="C140" s="32" t="s">
        <v>7</v>
      </c>
      <c r="D140" s="42">
        <v>252525</v>
      </c>
      <c r="E140" s="41">
        <f>(D140-'2015'!D67)/'2015'!D67</f>
        <v>0.1717173123233898</v>
      </c>
      <c r="F140" s="42">
        <v>255102</v>
      </c>
      <c r="G140" s="42">
        <v>130718</v>
      </c>
      <c r="H140" s="41">
        <f>(G140-'2015'!H67)/'2015'!H67</f>
        <v>0.1359473034742861</v>
      </c>
      <c r="I140" s="42">
        <v>132100</v>
      </c>
      <c r="J140" s="42">
        <v>43610</v>
      </c>
      <c r="K140" s="41">
        <f>(J140-'2015'!L67)/'2015'!L67</f>
        <v>5.841807635366357E-2</v>
      </c>
      <c r="L140" s="42">
        <v>43610</v>
      </c>
    </row>
    <row r="141" spans="1:12" x14ac:dyDescent="0.25">
      <c r="A141" s="1" t="s">
        <v>10</v>
      </c>
      <c r="B141" s="1" t="s">
        <v>9</v>
      </c>
      <c r="C141" s="32" t="s">
        <v>11</v>
      </c>
      <c r="D141" s="42">
        <v>90909</v>
      </c>
      <c r="E141" s="41">
        <f>(D141-'2015'!D68)/'2015'!D68</f>
        <v>-0.25454485818074474</v>
      </c>
      <c r="F141" s="42">
        <v>94428</v>
      </c>
      <c r="G141" s="42">
        <v>80906</v>
      </c>
      <c r="H141" s="41">
        <f>(G141-'2015'!H68)/'2015'!H68</f>
        <v>8.0100392491923217E-2</v>
      </c>
      <c r="I141" s="42">
        <v>81699</v>
      </c>
      <c r="J141" s="42">
        <v>34293</v>
      </c>
      <c r="K141" s="41">
        <f>(J141-'2015'!L68)/'2015'!L68</f>
        <v>-8.3001310265529316E-2</v>
      </c>
      <c r="L141" s="42">
        <v>35460</v>
      </c>
    </row>
    <row r="142" spans="1:12" x14ac:dyDescent="0.25">
      <c r="A142" s="1" t="s">
        <v>12</v>
      </c>
      <c r="B142" s="1" t="s">
        <v>13</v>
      </c>
      <c r="C142" s="32" t="s">
        <v>7</v>
      </c>
      <c r="D142" s="42">
        <v>76335</v>
      </c>
      <c r="E142" s="41">
        <f>(D142-'2015'!D69)/'2015'!D69</f>
        <v>-0.2320654306208062</v>
      </c>
      <c r="F142" s="42">
        <v>76335</v>
      </c>
      <c r="G142" s="42">
        <v>76335</v>
      </c>
      <c r="H142" s="41">
        <f>(G142-'2015'!H69)/'2015'!H69</f>
        <v>0.10839262378394075</v>
      </c>
      <c r="I142" s="42">
        <v>76335</v>
      </c>
      <c r="J142" s="42">
        <v>39904</v>
      </c>
      <c r="K142" s="41">
        <f>(J142-'2015'!L69)/'2015'!L69</f>
        <v>8.7006265322800327E-2</v>
      </c>
      <c r="L142" s="42">
        <v>44306</v>
      </c>
    </row>
    <row r="143" spans="1:12" x14ac:dyDescent="0.25">
      <c r="A143" s="1" t="s">
        <v>14</v>
      </c>
      <c r="B143" s="1" t="s">
        <v>15</v>
      </c>
      <c r="C143" s="32" t="s">
        <v>7</v>
      </c>
      <c r="D143" s="42">
        <v>63856</v>
      </c>
      <c r="E143" s="41">
        <f>(D143-'2015'!D70)/'2015'!D70</f>
        <v>-0.41252127512765074</v>
      </c>
      <c r="F143" s="42">
        <v>63856</v>
      </c>
      <c r="G143" s="42">
        <v>63856</v>
      </c>
      <c r="H143" s="41">
        <f>(G143-'2015'!H70)/'2015'!H70</f>
        <v>-0.15964572887467593</v>
      </c>
      <c r="I143" s="42">
        <v>63856</v>
      </c>
      <c r="J143" s="42">
        <v>42753</v>
      </c>
      <c r="K143" s="41">
        <f>(J143-'2015'!L70)/'2015'!L70</f>
        <v>0.91880974821596872</v>
      </c>
      <c r="L143" s="42">
        <v>44702</v>
      </c>
    </row>
    <row r="144" spans="1:12" x14ac:dyDescent="0.25">
      <c r="A144" s="79" t="s">
        <v>202</v>
      </c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</row>
    <row r="146" spans="1:12" ht="18.75" x14ac:dyDescent="0.3">
      <c r="A146" s="76" t="s">
        <v>203</v>
      </c>
      <c r="B146" s="76"/>
      <c r="C146" s="76"/>
      <c r="D146" s="78"/>
      <c r="E146" s="78"/>
      <c r="F146" s="78"/>
      <c r="G146" s="78"/>
      <c r="H146" s="78"/>
      <c r="I146" s="78"/>
      <c r="J146" s="78"/>
      <c r="K146" s="78"/>
      <c r="L146" s="78"/>
    </row>
    <row r="147" spans="1:12" ht="45" x14ac:dyDescent="0.25">
      <c r="A147" s="1" t="s">
        <v>2</v>
      </c>
      <c r="B147" s="1" t="s">
        <v>3</v>
      </c>
      <c r="C147" s="32" t="s">
        <v>4</v>
      </c>
      <c r="D147" s="4" t="s">
        <v>78</v>
      </c>
      <c r="E147" s="4" t="s">
        <v>176</v>
      </c>
      <c r="F147" s="4" t="s">
        <v>85</v>
      </c>
      <c r="G147" s="4" t="s">
        <v>79</v>
      </c>
      <c r="H147" s="4" t="s">
        <v>188</v>
      </c>
      <c r="I147" s="4" t="s">
        <v>82</v>
      </c>
      <c r="J147" s="4" t="s">
        <v>80</v>
      </c>
      <c r="K147" s="4" t="s">
        <v>188</v>
      </c>
      <c r="L147" s="4" t="s">
        <v>81</v>
      </c>
    </row>
    <row r="148" spans="1:12" x14ac:dyDescent="0.25">
      <c r="A148" s="1" t="s">
        <v>5</v>
      </c>
      <c r="B148" s="1" t="s">
        <v>6</v>
      </c>
      <c r="C148" s="32" t="s">
        <v>7</v>
      </c>
      <c r="D148" s="42">
        <v>243902</v>
      </c>
      <c r="E148" s="41">
        <f>(D148-'2015'!D66)/'2015'!D66</f>
        <v>9.2682358633419046E-2</v>
      </c>
      <c r="F148" s="42">
        <v>246305</v>
      </c>
      <c r="G148" s="42">
        <v>131061</v>
      </c>
      <c r="H148" s="41">
        <f>(G148-'2015'!H66)/'2015'!H66</f>
        <v>2.7518404402944705E-2</v>
      </c>
      <c r="I148" s="42">
        <v>132100</v>
      </c>
      <c r="J148" s="42">
        <v>44306</v>
      </c>
      <c r="K148" s="41">
        <f>(J148-'2015'!L66)/'2015'!L66</f>
        <v>2.9247102004785468E-2</v>
      </c>
      <c r="L148" s="42">
        <v>44464</v>
      </c>
    </row>
    <row r="149" spans="1:12" x14ac:dyDescent="0.25">
      <c r="A149" s="1" t="s">
        <v>8</v>
      </c>
      <c r="B149" s="1" t="s">
        <v>9</v>
      </c>
      <c r="C149" s="32" t="s">
        <v>7</v>
      </c>
      <c r="D149" s="42">
        <v>236966</v>
      </c>
      <c r="E149" s="41">
        <f>(D149-'2015'!D67)/'2015'!D67</f>
        <v>9.9523471466288038E-2</v>
      </c>
      <c r="F149" s="42">
        <v>239234</v>
      </c>
      <c r="G149" s="42">
        <v>123762</v>
      </c>
      <c r="H149" s="41">
        <f>(G149-'2015'!H67)/'2015'!H67</f>
        <v>7.5499243964753118E-2</v>
      </c>
      <c r="I149" s="42">
        <v>124378</v>
      </c>
      <c r="J149" s="42">
        <v>42716</v>
      </c>
      <c r="K149" s="41">
        <f>(J149-'2015'!L67)/'2015'!L67</f>
        <v>3.6720627138800574E-2</v>
      </c>
      <c r="L149" s="42">
        <v>42918</v>
      </c>
    </row>
    <row r="150" spans="1:12" x14ac:dyDescent="0.25">
      <c r="A150" s="1" t="s">
        <v>10</v>
      </c>
      <c r="B150" s="1" t="s">
        <v>9</v>
      </c>
      <c r="C150" s="32" t="s">
        <v>11</v>
      </c>
      <c r="D150" s="42">
        <v>110987</v>
      </c>
      <c r="E150" s="41">
        <f>(D150-'2015'!D68)/'2015'!D68</f>
        <v>-8.990496182893129E-2</v>
      </c>
      <c r="F150" s="42">
        <v>111111</v>
      </c>
      <c r="G150" s="42">
        <v>84889</v>
      </c>
      <c r="H150" s="41">
        <f>(G150-'2015'!H68)/'2015'!H68</f>
        <v>0.13327370304114491</v>
      </c>
      <c r="I150" s="42">
        <v>95693</v>
      </c>
      <c r="J150" s="42">
        <v>35829</v>
      </c>
      <c r="K150" s="41">
        <f>(J150-'2015'!L68)/'2015'!L68</f>
        <v>-4.1928496938257079E-2</v>
      </c>
      <c r="L150" s="42">
        <v>36350</v>
      </c>
    </row>
    <row r="151" spans="1:12" x14ac:dyDescent="0.25">
      <c r="A151" s="1" t="s">
        <v>12</v>
      </c>
      <c r="B151" s="1" t="s">
        <v>13</v>
      </c>
      <c r="C151" s="32" t="s">
        <v>7</v>
      </c>
      <c r="D151" s="42">
        <v>76335</v>
      </c>
      <c r="E151" s="41">
        <f>(D151-'2015'!D69)/'2015'!D69</f>
        <v>-0.2320654306208062</v>
      </c>
      <c r="F151" s="42">
        <v>76335</v>
      </c>
      <c r="G151" s="42">
        <v>76335</v>
      </c>
      <c r="H151" s="41">
        <f>(G151-'2015'!H69)/'2015'!H69</f>
        <v>0.10839262378394075</v>
      </c>
      <c r="I151" s="42">
        <v>76335</v>
      </c>
      <c r="J151" s="42">
        <v>41545</v>
      </c>
      <c r="K151" s="41">
        <f>(J151-'2015'!L69)/'2015'!L69</f>
        <v>0.13170798147643695</v>
      </c>
      <c r="L151" s="42">
        <v>44091</v>
      </c>
    </row>
    <row r="152" spans="1:12" x14ac:dyDescent="0.25">
      <c r="A152" s="1" t="s">
        <v>14</v>
      </c>
      <c r="B152" s="1" t="s">
        <v>15</v>
      </c>
      <c r="C152" s="32" t="s">
        <v>7</v>
      </c>
      <c r="D152" s="42">
        <v>76687</v>
      </c>
      <c r="E152" s="41">
        <f>(D152-'2015'!D70)/'2015'!D70</f>
        <v>-0.2944753668522011</v>
      </c>
      <c r="F152" s="42">
        <v>138888</v>
      </c>
      <c r="G152" s="42">
        <v>66666</v>
      </c>
      <c r="H152" s="41">
        <f>(G152-'2015'!H70)/'2015'!H70</f>
        <v>-0.12266571913616803</v>
      </c>
      <c r="I152" s="42">
        <v>110011</v>
      </c>
      <c r="J152" s="42">
        <v>43440</v>
      </c>
      <c r="K152" s="41">
        <f>(J152-'2015'!L70)/'2015'!L70</f>
        <v>0.94964319375252459</v>
      </c>
      <c r="L152" s="42">
        <v>44130</v>
      </c>
    </row>
    <row r="153" spans="1:12" x14ac:dyDescent="0.25">
      <c r="A153" s="79" t="s">
        <v>204</v>
      </c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</row>
    <row r="155" spans="1:12" ht="18.75" x14ac:dyDescent="0.3">
      <c r="A155" s="76" t="s">
        <v>201</v>
      </c>
      <c r="B155" s="76"/>
      <c r="C155" s="76"/>
      <c r="D155" s="78"/>
      <c r="E155" s="78"/>
      <c r="F155" s="78"/>
      <c r="G155" s="78"/>
      <c r="H155" s="78"/>
      <c r="I155" s="78"/>
      <c r="J155" s="78"/>
      <c r="K155" s="78"/>
      <c r="L155" s="78"/>
    </row>
    <row r="156" spans="1:12" ht="45" x14ac:dyDescent="0.25">
      <c r="A156" s="1" t="s">
        <v>2</v>
      </c>
      <c r="B156" s="1" t="s">
        <v>3</v>
      </c>
      <c r="C156" s="32" t="s">
        <v>4</v>
      </c>
      <c r="D156" s="4" t="s">
        <v>78</v>
      </c>
      <c r="E156" s="4" t="s">
        <v>176</v>
      </c>
      <c r="F156" s="4" t="s">
        <v>85</v>
      </c>
      <c r="G156" s="4" t="s">
        <v>79</v>
      </c>
      <c r="H156" s="4" t="s">
        <v>188</v>
      </c>
      <c r="I156" s="4" t="s">
        <v>82</v>
      </c>
      <c r="J156" s="4" t="s">
        <v>80</v>
      </c>
      <c r="K156" s="4" t="s">
        <v>188</v>
      </c>
      <c r="L156" s="4" t="s">
        <v>81</v>
      </c>
    </row>
    <row r="157" spans="1:12" x14ac:dyDescent="0.25">
      <c r="A157" s="1" t="s">
        <v>5</v>
      </c>
      <c r="B157" s="1" t="s">
        <v>6</v>
      </c>
      <c r="C157" s="32" t="s">
        <v>7</v>
      </c>
      <c r="D157" s="42">
        <v>259067</v>
      </c>
      <c r="E157" s="41">
        <f>(D157-'2015'!D75)/'2015'!D75</f>
        <v>0.18652685999843382</v>
      </c>
      <c r="F157" s="42">
        <v>260416</v>
      </c>
      <c r="G157" s="42">
        <v>134770</v>
      </c>
      <c r="H157" s="41">
        <f>(G157-'2015'!H75)/'2015'!H75</f>
        <v>6.0639899996287744E-2</v>
      </c>
      <c r="I157" s="42">
        <v>136425</v>
      </c>
      <c r="J157" s="42">
        <v>44464</v>
      </c>
      <c r="K157" s="41">
        <f>(J157-'2015'!L75)/'2015'!L75</f>
        <v>2.8007679993091717E-2</v>
      </c>
      <c r="L157" s="42">
        <v>44883</v>
      </c>
    </row>
    <row r="158" spans="1:12" x14ac:dyDescent="0.25">
      <c r="A158" s="1" t="s">
        <v>8</v>
      </c>
      <c r="B158" s="1" t="s">
        <v>9</v>
      </c>
      <c r="C158" s="32" t="s">
        <v>7</v>
      </c>
      <c r="D158" s="42">
        <v>251889</v>
      </c>
      <c r="E158" s="41">
        <f>(D158-'2015'!D76)/'2015'!D76</f>
        <v>0.16372718000116368</v>
      </c>
      <c r="F158" s="42">
        <v>252525</v>
      </c>
      <c r="G158" s="42">
        <v>126582</v>
      </c>
      <c r="H158" s="41">
        <f>(G158-'2015'!H76)/'2015'!H76</f>
        <v>9.1136840004320874E-2</v>
      </c>
      <c r="I158" s="42">
        <v>129032</v>
      </c>
      <c r="J158" s="42">
        <v>43252</v>
      </c>
      <c r="K158" s="41">
        <f>(J158-'2015'!L76)/'2015'!L76</f>
        <v>4.9726039999727155E-2</v>
      </c>
      <c r="L158" s="42">
        <v>43252</v>
      </c>
    </row>
    <row r="159" spans="1:12" x14ac:dyDescent="0.25">
      <c r="A159" s="1" t="s">
        <v>10</v>
      </c>
      <c r="B159" s="1" t="s">
        <v>9</v>
      </c>
      <c r="C159" s="32" t="s">
        <v>11</v>
      </c>
      <c r="D159" s="42">
        <v>84961</v>
      </c>
      <c r="E159" s="41">
        <f>(D159-'2015'!D77)/'2015'!D77</f>
        <v>-0.30671824000088743</v>
      </c>
      <c r="F159" s="42">
        <v>86430</v>
      </c>
      <c r="G159" s="42">
        <v>76335</v>
      </c>
      <c r="H159" s="41">
        <f>(G159-'2015'!H77)/'2015'!H77</f>
        <v>2.8995800001769826E-2</v>
      </c>
      <c r="I159" s="42">
        <v>79176</v>
      </c>
      <c r="J159" s="42">
        <v>33333</v>
      </c>
      <c r="K159" s="41">
        <f>(J159-'2015'!L77)/'2015'!L77</f>
        <v>-0.11200888001093998</v>
      </c>
      <c r="L159" s="42">
        <v>34879</v>
      </c>
    </row>
    <row r="160" spans="1:12" x14ac:dyDescent="0.25">
      <c r="A160" s="1" t="s">
        <v>12</v>
      </c>
      <c r="B160" s="1" t="s">
        <v>13</v>
      </c>
      <c r="C160" s="32" t="s">
        <v>7</v>
      </c>
      <c r="D160" s="42">
        <v>76335</v>
      </c>
      <c r="E160" s="41">
        <f>(D160-'2015'!D78)/'2015'!D78</f>
        <v>-0.23512330000309012</v>
      </c>
      <c r="F160" s="42">
        <v>76335</v>
      </c>
      <c r="G160" s="42">
        <v>76335</v>
      </c>
      <c r="H160" s="41">
        <f>(G160-'2015'!H78)/'2015'!H78</f>
        <v>0.10380409999494457</v>
      </c>
      <c r="I160" s="42">
        <v>76335</v>
      </c>
      <c r="J160" s="42">
        <v>39904</v>
      </c>
      <c r="K160" s="41">
        <f>(J160-'2015'!L78)/'2015'!L78</f>
        <v>9.2172479997116738E-2</v>
      </c>
      <c r="L160" s="42">
        <v>44464</v>
      </c>
    </row>
    <row r="161" spans="1:12" x14ac:dyDescent="0.25">
      <c r="A161" s="1" t="s">
        <v>14</v>
      </c>
      <c r="B161" s="1" t="s">
        <v>15</v>
      </c>
      <c r="C161" s="32" t="s">
        <v>7</v>
      </c>
      <c r="D161" s="42">
        <v>76687</v>
      </c>
      <c r="E161" s="41">
        <f>(D161-'2015'!D79)/'2015'!D79</f>
        <v>-0.29984769000207245</v>
      </c>
      <c r="F161" s="42">
        <v>118906</v>
      </c>
      <c r="G161" s="42">
        <v>76687</v>
      </c>
      <c r="H161" s="41">
        <f>(G161-'2015'!H79)/'2015'!H79</f>
        <v>9.2009200038350586E-3</v>
      </c>
      <c r="I161" s="42">
        <v>110011</v>
      </c>
      <c r="J161" s="42">
        <v>43878</v>
      </c>
      <c r="K161" s="41">
        <f>(J161-'2015'!L79)/'2015'!L79</f>
        <v>0.18909379999001161</v>
      </c>
      <c r="L161" s="42">
        <v>44286</v>
      </c>
    </row>
    <row r="162" spans="1:12" x14ac:dyDescent="0.25">
      <c r="A162" s="79" t="s">
        <v>205</v>
      </c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</row>
    <row r="164" spans="1:12" ht="18.75" x14ac:dyDescent="0.3">
      <c r="A164" s="76" t="s">
        <v>217</v>
      </c>
      <c r="B164" s="76"/>
      <c r="C164" s="76"/>
      <c r="D164" s="78"/>
      <c r="E164" s="78"/>
      <c r="F164" s="78"/>
      <c r="G164" s="78"/>
      <c r="H164" s="78"/>
      <c r="I164" s="78"/>
      <c r="J164" s="78"/>
      <c r="K164" s="78"/>
      <c r="L164" s="78"/>
    </row>
    <row r="165" spans="1:12" ht="45" x14ac:dyDescent="0.25">
      <c r="A165" s="1" t="s">
        <v>2</v>
      </c>
      <c r="B165" s="1" t="s">
        <v>3</v>
      </c>
      <c r="C165" s="32" t="s">
        <v>4</v>
      </c>
      <c r="D165" s="4" t="s">
        <v>78</v>
      </c>
      <c r="E165" s="4" t="s">
        <v>176</v>
      </c>
      <c r="F165" s="4" t="s">
        <v>85</v>
      </c>
      <c r="G165" s="4" t="s">
        <v>79</v>
      </c>
      <c r="H165" s="4" t="s">
        <v>188</v>
      </c>
      <c r="I165" s="4" t="s">
        <v>82</v>
      </c>
      <c r="J165" s="4" t="s">
        <v>80</v>
      </c>
      <c r="K165" s="4" t="s">
        <v>188</v>
      </c>
      <c r="L165" s="4" t="s">
        <v>81</v>
      </c>
    </row>
    <row r="166" spans="1:12" x14ac:dyDescent="0.25">
      <c r="A166" s="1" t="s">
        <v>5</v>
      </c>
      <c r="B166" s="1" t="s">
        <v>6</v>
      </c>
      <c r="C166" s="32" t="s">
        <v>7</v>
      </c>
      <c r="D166" s="42">
        <v>161290</v>
      </c>
      <c r="E166" s="41">
        <f>(D166-'2015'!D102)/'2015'!D102</f>
        <v>1.2905454202907653E-2</v>
      </c>
      <c r="F166" s="42">
        <v>170068</v>
      </c>
      <c r="G166" s="42">
        <v>99800</v>
      </c>
      <c r="H166" s="41">
        <f>(G166-'2015'!H102)/'2015'!H102</f>
        <v>-1.796784287485486E-2</v>
      </c>
      <c r="I166" s="42">
        <v>106496</v>
      </c>
      <c r="J166" s="42">
        <v>37397</v>
      </c>
      <c r="K166" s="41">
        <f>(J166-'2015'!L102)/'2015'!L102</f>
        <v>1.3468834688346884E-2</v>
      </c>
      <c r="L166" s="42">
        <v>38774</v>
      </c>
    </row>
    <row r="167" spans="1:12" x14ac:dyDescent="0.25">
      <c r="A167" s="1" t="s">
        <v>8</v>
      </c>
      <c r="B167" s="1" t="s">
        <v>9</v>
      </c>
      <c r="C167" s="32" t="s">
        <v>7</v>
      </c>
      <c r="D167" s="42">
        <v>149700</v>
      </c>
      <c r="E167" s="41">
        <f>(D167-'2015'!D103)/'2015'!D103</f>
        <v>-4.7903734608731048E-2</v>
      </c>
      <c r="F167" s="42">
        <v>165016</v>
      </c>
      <c r="G167" s="42">
        <v>88261</v>
      </c>
      <c r="H167" s="41">
        <f>(G167-'2015'!H103)/'2015'!H103</f>
        <v>-1.3237184862205825E-2</v>
      </c>
      <c r="I167" s="42">
        <v>93720</v>
      </c>
      <c r="J167" s="42">
        <v>35997</v>
      </c>
      <c r="K167" s="41">
        <f>(J167-'2015'!L103)/'2015'!L103</f>
        <v>6.8527634817632582E-3</v>
      </c>
      <c r="L167" s="42">
        <v>36363</v>
      </c>
    </row>
    <row r="168" spans="1:12" x14ac:dyDescent="0.25">
      <c r="A168" s="1" t="s">
        <v>10</v>
      </c>
      <c r="B168" s="1" t="s">
        <v>9</v>
      </c>
      <c r="C168" s="32" t="s">
        <v>11</v>
      </c>
      <c r="D168" s="42">
        <v>69589</v>
      </c>
      <c r="E168" s="41">
        <f>(D168-'2015'!D104)/'2015'!D104</f>
        <v>-7.6576448107691869E-3</v>
      </c>
      <c r="F168" s="42">
        <v>73046</v>
      </c>
      <c r="G168" s="42">
        <v>42844</v>
      </c>
      <c r="H168" s="41">
        <f>(G168-'2015'!H104)/'2015'!H104</f>
        <v>1.9270114669077413E-2</v>
      </c>
      <c r="I168" s="42">
        <v>44543</v>
      </c>
      <c r="J168" s="42">
        <v>26260</v>
      </c>
      <c r="K168" s="41">
        <f>(J168-'2015'!L104)/'2015'!L104</f>
        <v>2.5220582493948623E-2</v>
      </c>
      <c r="L168" s="42">
        <v>27005</v>
      </c>
    </row>
    <row r="169" spans="1:12" x14ac:dyDescent="0.25">
      <c r="A169" s="1" t="s">
        <v>12</v>
      </c>
      <c r="B169" s="1" t="s">
        <v>13</v>
      </c>
      <c r="C169" s="32" t="s">
        <v>7</v>
      </c>
      <c r="D169" s="42">
        <v>76335</v>
      </c>
      <c r="E169" s="41">
        <f>(D169-'2015'!D105)/'2015'!D105</f>
        <v>-0.44275327405720294</v>
      </c>
      <c r="F169" s="42">
        <v>76335</v>
      </c>
      <c r="G169" s="42">
        <v>55772</v>
      </c>
      <c r="H169" s="41">
        <f>(G169-'2015'!H105)/'2015'!H105</f>
        <v>-0.40156229881110778</v>
      </c>
      <c r="I169" s="42">
        <v>96899</v>
      </c>
      <c r="J169" s="42">
        <v>35855</v>
      </c>
      <c r="K169" s="41">
        <f>(J169-'2015'!L105)/'2015'!L105</f>
        <v>2.8809577086596552E-3</v>
      </c>
      <c r="L169" s="42">
        <v>37216</v>
      </c>
    </row>
    <row r="170" spans="1:12" x14ac:dyDescent="0.25">
      <c r="A170" s="1" t="s">
        <v>14</v>
      </c>
      <c r="B170" s="1" t="s">
        <v>15</v>
      </c>
      <c r="C170" s="32" t="s">
        <v>7</v>
      </c>
      <c r="D170" s="42">
        <v>60277</v>
      </c>
      <c r="E170" s="41">
        <f>(D170-'2015'!D106)/'2015'!D106</f>
        <v>-0.54972809035766579</v>
      </c>
      <c r="F170" s="42">
        <v>128205</v>
      </c>
      <c r="G170" s="42">
        <v>76687</v>
      </c>
      <c r="H170" s="41">
        <f>(G170-'2015'!H106)/'2015'!H106</f>
        <v>-0.1234669501308736</v>
      </c>
      <c r="I170" s="42">
        <v>98911</v>
      </c>
      <c r="J170" s="42">
        <v>34305</v>
      </c>
      <c r="K170" s="41">
        <f>(J170-'2015'!L106)/'2015'!L106</f>
        <v>6.6565103842805617E-2</v>
      </c>
      <c r="L170" s="42">
        <v>37593</v>
      </c>
    </row>
    <row r="171" spans="1:12" x14ac:dyDescent="0.25">
      <c r="A171" s="79" t="s">
        <v>211</v>
      </c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</row>
    <row r="172" spans="1:12" x14ac:dyDescent="0.25">
      <c r="A172" s="15"/>
      <c r="B172" s="13"/>
      <c r="C172" s="21"/>
    </row>
    <row r="173" spans="1:12" ht="18.75" x14ac:dyDescent="0.3">
      <c r="A173" s="76" t="s">
        <v>218</v>
      </c>
      <c r="B173" s="76"/>
      <c r="C173" s="76"/>
      <c r="D173" s="78"/>
      <c r="E173" s="78"/>
      <c r="F173" s="78"/>
      <c r="G173" s="78"/>
      <c r="H173" s="78"/>
      <c r="I173" s="78"/>
      <c r="J173" s="78"/>
      <c r="K173" s="78"/>
      <c r="L173" s="78"/>
    </row>
    <row r="174" spans="1:12" ht="45" x14ac:dyDescent="0.25">
      <c r="A174" s="1" t="s">
        <v>2</v>
      </c>
      <c r="B174" s="1" t="s">
        <v>3</v>
      </c>
      <c r="C174" s="32" t="s">
        <v>4</v>
      </c>
      <c r="D174" s="4" t="s">
        <v>78</v>
      </c>
      <c r="E174" s="4" t="s">
        <v>188</v>
      </c>
      <c r="F174" s="4" t="s">
        <v>85</v>
      </c>
      <c r="G174" s="4" t="s">
        <v>79</v>
      </c>
      <c r="H174" s="4" t="s">
        <v>188</v>
      </c>
      <c r="I174" s="4" t="s">
        <v>82</v>
      </c>
      <c r="J174" s="4" t="s">
        <v>80</v>
      </c>
      <c r="K174" s="4" t="s">
        <v>188</v>
      </c>
      <c r="L174" s="4" t="s">
        <v>81</v>
      </c>
    </row>
    <row r="175" spans="1:12" x14ac:dyDescent="0.25">
      <c r="A175" s="1" t="s">
        <v>5</v>
      </c>
      <c r="B175" s="1" t="s">
        <v>6</v>
      </c>
      <c r="C175" s="32" t="s">
        <v>7</v>
      </c>
      <c r="D175" s="42">
        <v>146628</v>
      </c>
      <c r="E175" s="41">
        <f>(D175-'2015'!D111)/'2015'!D111</f>
        <v>-1.3190836406708482E-2</v>
      </c>
      <c r="F175" s="42"/>
      <c r="G175" s="42">
        <v>88731</v>
      </c>
      <c r="H175" s="41">
        <f>(G175-'2015'!H111)/'2015'!H111</f>
        <v>-6.5655076553713956E-2</v>
      </c>
      <c r="I175" s="42"/>
      <c r="J175" s="42">
        <v>36873</v>
      </c>
      <c r="K175" s="41">
        <f>(J175-'2015'!L111)/'2015'!L111</f>
        <v>4.796032373218519E-3</v>
      </c>
      <c r="L175" s="42"/>
    </row>
    <row r="176" spans="1:12" x14ac:dyDescent="0.25">
      <c r="A176" s="1" t="s">
        <v>8</v>
      </c>
      <c r="B176" s="1" t="s">
        <v>9</v>
      </c>
      <c r="C176" s="32" t="s">
        <v>7</v>
      </c>
      <c r="D176" s="42">
        <v>143061</v>
      </c>
      <c r="E176" s="41">
        <f>(D176-'2015'!D112)/'2015'!D112</f>
        <v>-5.7198854632898727E-3</v>
      </c>
      <c r="F176" s="42"/>
      <c r="G176" s="42">
        <v>78554</v>
      </c>
      <c r="H176" s="41">
        <f>(G176-'2015'!H112)/'2015'!H112</f>
        <v>-1.6501402243589744E-2</v>
      </c>
      <c r="I176" s="42"/>
      <c r="J176" s="42">
        <v>34879</v>
      </c>
      <c r="K176" s="41">
        <f>(J176-'2015'!L112)/'2015'!L112</f>
        <v>1.3780827423846573E-3</v>
      </c>
      <c r="L176" s="42"/>
    </row>
    <row r="177" spans="1:12" x14ac:dyDescent="0.25">
      <c r="A177" s="1" t="s">
        <v>10</v>
      </c>
      <c r="B177" s="1" t="s">
        <v>9</v>
      </c>
      <c r="C177" s="32" t="s">
        <v>11</v>
      </c>
      <c r="D177" s="42">
        <v>82101</v>
      </c>
      <c r="E177" s="41">
        <f>(D177-'2015'!D113)/'2015'!D113</f>
        <v>-2.4639144639144638E-2</v>
      </c>
      <c r="F177" s="42"/>
      <c r="G177" s="42">
        <v>53995</v>
      </c>
      <c r="H177" s="41">
        <f>(G177-'2015'!H113)/'2015'!H113</f>
        <v>-2.6966624184998431E-3</v>
      </c>
      <c r="I177" s="42"/>
      <c r="J177" s="42">
        <v>32247</v>
      </c>
      <c r="K177" s="41">
        <f>(J177-'2015'!L113)/'2015'!L113</f>
        <v>4.1727649238626104E-3</v>
      </c>
      <c r="L177" s="42"/>
    </row>
    <row r="178" spans="1:12" x14ac:dyDescent="0.25">
      <c r="A178" s="1" t="s">
        <v>12</v>
      </c>
      <c r="B178" s="1" t="s">
        <v>13</v>
      </c>
      <c r="C178" s="32" t="s">
        <v>11</v>
      </c>
      <c r="D178" s="42">
        <v>71994</v>
      </c>
      <c r="E178" s="41">
        <f>(D178-'2015'!D114)/'2015'!D114</f>
        <v>-5.1837218490715133E-2</v>
      </c>
      <c r="F178" s="42"/>
      <c r="G178" s="42">
        <v>52966</v>
      </c>
      <c r="H178" s="41">
        <f>(G178-'2015'!H114)/'2015'!H114</f>
        <v>-4.7539412615795109E-3</v>
      </c>
      <c r="I178" s="42"/>
      <c r="J178" s="42">
        <v>31735</v>
      </c>
      <c r="K178" s="41">
        <f>(J178-'2015'!L114)/'2015'!L114</f>
        <v>-8.2812500000000004E-3</v>
      </c>
      <c r="L178" s="42"/>
    </row>
    <row r="179" spans="1:12" x14ac:dyDescent="0.25">
      <c r="A179" s="1" t="s">
        <v>14</v>
      </c>
      <c r="B179" s="1" t="s">
        <v>15</v>
      </c>
      <c r="C179" s="32" t="s">
        <v>11</v>
      </c>
      <c r="D179" s="42">
        <v>71839</v>
      </c>
      <c r="E179" s="41">
        <f>(D179-'2015'!D115)/'2015'!D115</f>
        <v>-2.226607689690371E-2</v>
      </c>
      <c r="F179" s="42"/>
      <c r="G179" s="42">
        <v>50968</v>
      </c>
      <c r="H179" s="41">
        <f>(G179-'2015'!H115)/'2015'!H115</f>
        <v>-1.8354808266404732E-2</v>
      </c>
      <c r="I179" s="42"/>
      <c r="J179" s="42">
        <v>31826</v>
      </c>
      <c r="K179" s="41">
        <f>(J179-'2015'!L115)/'2015'!L115</f>
        <v>1.0188858911283924E-2</v>
      </c>
      <c r="L179" s="42"/>
    </row>
    <row r="180" spans="1:12" x14ac:dyDescent="0.25">
      <c r="A180" s="81" t="s">
        <v>210</v>
      </c>
      <c r="B180" s="82"/>
      <c r="C180" s="82"/>
      <c r="D180" s="82"/>
      <c r="E180" s="82"/>
      <c r="F180" s="82"/>
      <c r="G180" s="82"/>
      <c r="H180" s="82"/>
      <c r="I180" s="82"/>
      <c r="J180" s="82"/>
      <c r="K180" s="82"/>
      <c r="L180" s="82"/>
    </row>
    <row r="182" spans="1:12" ht="18.75" x14ac:dyDescent="0.3">
      <c r="A182" s="76" t="s">
        <v>220</v>
      </c>
      <c r="B182" s="76"/>
      <c r="C182" s="76"/>
      <c r="D182" s="78"/>
      <c r="E182" s="78"/>
      <c r="F182" s="78"/>
      <c r="G182" s="78"/>
      <c r="H182" s="78"/>
      <c r="I182" s="78"/>
      <c r="J182" s="78"/>
      <c r="K182" s="78"/>
      <c r="L182" s="78"/>
    </row>
    <row r="183" spans="1:12" ht="45" x14ac:dyDescent="0.25">
      <c r="A183" s="1" t="s">
        <v>2</v>
      </c>
      <c r="B183" s="1" t="s">
        <v>3</v>
      </c>
      <c r="C183" s="32" t="s">
        <v>4</v>
      </c>
      <c r="D183" s="4" t="s">
        <v>78</v>
      </c>
      <c r="E183" s="4" t="s">
        <v>176</v>
      </c>
      <c r="F183" s="4" t="s">
        <v>85</v>
      </c>
      <c r="G183" s="4" t="s">
        <v>79</v>
      </c>
      <c r="H183" s="4" t="s">
        <v>188</v>
      </c>
      <c r="I183" s="4" t="s">
        <v>82</v>
      </c>
      <c r="J183" s="4" t="s">
        <v>80</v>
      </c>
      <c r="K183" s="4" t="s">
        <v>188</v>
      </c>
      <c r="L183" s="4" t="s">
        <v>81</v>
      </c>
    </row>
    <row r="184" spans="1:12" x14ac:dyDescent="0.25">
      <c r="A184" s="1" t="s">
        <v>5</v>
      </c>
      <c r="B184" s="1" t="s">
        <v>6</v>
      </c>
      <c r="C184" s="32" t="s">
        <v>7</v>
      </c>
      <c r="D184" s="42">
        <v>151515</v>
      </c>
      <c r="E184" s="41">
        <f>(D184-'2015'!D102)/'2015'!D102</f>
        <v>-4.8481803623575216E-2</v>
      </c>
      <c r="F184" s="42">
        <v>155763</v>
      </c>
      <c r="G184" s="42">
        <v>91659</v>
      </c>
      <c r="H184" s="41">
        <f>(G184-'2015'!H102)/'2015'!H102</f>
        <v>-9.8075295692047315E-2</v>
      </c>
      <c r="I184" s="42">
        <v>92850</v>
      </c>
      <c r="J184" s="42">
        <v>35752</v>
      </c>
      <c r="K184" s="41">
        <f>(J184-'2015'!L102)/'2015'!L102</f>
        <v>-3.111111111111111E-2</v>
      </c>
      <c r="L184" s="42">
        <v>36536</v>
      </c>
    </row>
    <row r="185" spans="1:12" x14ac:dyDescent="0.25">
      <c r="A185" s="1" t="s">
        <v>8</v>
      </c>
      <c r="B185" s="1" t="s">
        <v>9</v>
      </c>
      <c r="C185" s="32" t="s">
        <v>7</v>
      </c>
      <c r="D185" s="42">
        <v>148367</v>
      </c>
      <c r="E185" s="41">
        <f>(D185-'2015'!D103)/'2015'!D103</f>
        <v>-5.6381652589803599E-2</v>
      </c>
      <c r="F185" s="42">
        <v>150829</v>
      </c>
      <c r="G185" s="42">
        <v>78308</v>
      </c>
      <c r="H185" s="41">
        <f>(G185-'2015'!H103)/'2015'!H103</f>
        <v>-0.12451227011012354</v>
      </c>
      <c r="I185" s="42">
        <v>81300</v>
      </c>
      <c r="J185" s="42">
        <v>34270</v>
      </c>
      <c r="K185" s="41">
        <f>(J185-'2015'!L103)/'2015'!L103</f>
        <v>-4.1452226448869992E-2</v>
      </c>
      <c r="L185" s="42">
        <v>34602</v>
      </c>
    </row>
    <row r="186" spans="1:12" x14ac:dyDescent="0.25">
      <c r="A186" s="1" t="s">
        <v>10</v>
      </c>
      <c r="B186" s="1" t="s">
        <v>9</v>
      </c>
      <c r="C186" s="32" t="s">
        <v>11</v>
      </c>
      <c r="D186" s="42">
        <v>62344</v>
      </c>
      <c r="E186" s="41">
        <f>(D186-'2015'!D104)/'2015'!D104</f>
        <v>-0.11097167954824173</v>
      </c>
      <c r="F186" s="42">
        <v>65231</v>
      </c>
      <c r="G186" s="42">
        <v>43029</v>
      </c>
      <c r="H186" s="41">
        <f>(G186-'2015'!H104)/'2015'!H104</f>
        <v>2.3671313698434601E-2</v>
      </c>
      <c r="I186" s="42">
        <v>45167</v>
      </c>
      <c r="J186" s="42">
        <v>24919</v>
      </c>
      <c r="K186" s="41">
        <f>(J186-'2015'!L104)/'2015'!L104</f>
        <v>-2.713359881314906E-2</v>
      </c>
      <c r="L186" s="42">
        <v>26518</v>
      </c>
    </row>
    <row r="187" spans="1:12" x14ac:dyDescent="0.25">
      <c r="A187" s="1" t="s">
        <v>12</v>
      </c>
      <c r="B187" s="1" t="s">
        <v>13</v>
      </c>
      <c r="C187" s="32" t="s">
        <v>7</v>
      </c>
      <c r="D187" s="42">
        <v>76335</v>
      </c>
      <c r="E187" s="41">
        <f>(D187-'2015'!D105)/'2015'!D105</f>
        <v>-0.44275327405720294</v>
      </c>
      <c r="F187" s="42">
        <v>76335</v>
      </c>
      <c r="G187" s="42">
        <v>76335</v>
      </c>
      <c r="H187" s="41">
        <f>(G187-'2015'!H105)/'2015'!H105</f>
        <v>-0.1809197819648912</v>
      </c>
      <c r="I187" s="42">
        <v>76335</v>
      </c>
      <c r="J187" s="42">
        <v>35587</v>
      </c>
      <c r="K187" s="41">
        <f>(J187-'2015'!L105)/'2015'!L105</f>
        <v>-4.6151264264936223E-3</v>
      </c>
      <c r="L187" s="42">
        <v>36271</v>
      </c>
    </row>
    <row r="188" spans="1:12" x14ac:dyDescent="0.25">
      <c r="A188" s="1" t="s">
        <v>14</v>
      </c>
      <c r="B188" s="1" t="s">
        <v>15</v>
      </c>
      <c r="C188" s="32" t="s">
        <v>7</v>
      </c>
      <c r="D188" s="42">
        <v>63856</v>
      </c>
      <c r="E188" s="41">
        <f>(D188-'2015'!D106)/'2015'!D106</f>
        <v>-0.52299279887650518</v>
      </c>
      <c r="F188" s="42">
        <v>63856</v>
      </c>
      <c r="G188" s="42">
        <v>63856</v>
      </c>
      <c r="H188" s="41">
        <f>(G188-'2015'!H106)/'2015'!H106</f>
        <v>-0.27012538719153267</v>
      </c>
      <c r="I188" s="42">
        <v>63856</v>
      </c>
      <c r="J188" s="42">
        <v>35038</v>
      </c>
      <c r="K188" s="41">
        <f>(J188-'2015'!L106)/'2015'!L106</f>
        <v>8.9354557890809594E-2</v>
      </c>
      <c r="L188" s="42">
        <v>35323</v>
      </c>
    </row>
    <row r="189" spans="1:12" x14ac:dyDescent="0.25">
      <c r="A189" s="79" t="s">
        <v>211</v>
      </c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</row>
    <row r="190" spans="1:12" x14ac:dyDescent="0.25">
      <c r="A190" s="15"/>
      <c r="B190" s="13"/>
      <c r="C190" s="21"/>
    </row>
    <row r="191" spans="1:12" ht="18.75" x14ac:dyDescent="0.3">
      <c r="A191" s="76" t="s">
        <v>219</v>
      </c>
      <c r="B191" s="76"/>
      <c r="C191" s="76"/>
      <c r="D191" s="78"/>
      <c r="E191" s="78"/>
      <c r="F191" s="78"/>
      <c r="G191" s="78"/>
      <c r="H191" s="78"/>
      <c r="I191" s="78"/>
      <c r="J191" s="78"/>
      <c r="K191" s="78"/>
      <c r="L191" s="78"/>
    </row>
    <row r="192" spans="1:12" ht="45" x14ac:dyDescent="0.25">
      <c r="A192" s="1" t="s">
        <v>2</v>
      </c>
      <c r="B192" s="1" t="s">
        <v>3</v>
      </c>
      <c r="C192" s="32" t="s">
        <v>4</v>
      </c>
      <c r="D192" s="4" t="s">
        <v>78</v>
      </c>
      <c r="E192" s="4" t="s">
        <v>188</v>
      </c>
      <c r="F192" s="4" t="s">
        <v>85</v>
      </c>
      <c r="G192" s="4" t="s">
        <v>79</v>
      </c>
      <c r="H192" s="4" t="s">
        <v>188</v>
      </c>
      <c r="I192" s="4" t="s">
        <v>82</v>
      </c>
      <c r="J192" s="4" t="s">
        <v>80</v>
      </c>
      <c r="K192" s="4" t="s">
        <v>188</v>
      </c>
      <c r="L192" s="4" t="s">
        <v>81</v>
      </c>
    </row>
    <row r="193" spans="1:12" x14ac:dyDescent="0.25">
      <c r="A193" s="1" t="s">
        <v>5</v>
      </c>
      <c r="B193" s="1" t="s">
        <v>6</v>
      </c>
      <c r="C193" s="32" t="s">
        <v>7</v>
      </c>
      <c r="D193" s="42">
        <v>110497</v>
      </c>
      <c r="E193" s="41">
        <f>(D193-'2015'!D111)/'2015'!D111</f>
        <v>-0.2563531375346596</v>
      </c>
      <c r="F193" s="42">
        <v>150375</v>
      </c>
      <c r="G193" s="42">
        <v>63856</v>
      </c>
      <c r="H193" s="41">
        <f>(G193-'2015'!H111)/'2015'!H111</f>
        <v>-0.32759092727923678</v>
      </c>
      <c r="I193" s="42">
        <v>96993</v>
      </c>
      <c r="J193" s="42">
        <v>35752</v>
      </c>
      <c r="K193" s="41">
        <f>(J193-'2015'!L111)/'2015'!L111</f>
        <v>-2.5751423822110799E-2</v>
      </c>
      <c r="L193" s="42">
        <v>37551</v>
      </c>
    </row>
    <row r="194" spans="1:12" x14ac:dyDescent="0.25">
      <c r="A194" s="1" t="s">
        <v>8</v>
      </c>
      <c r="B194" s="1" t="s">
        <v>9</v>
      </c>
      <c r="C194" s="32" t="s">
        <v>7</v>
      </c>
      <c r="D194" s="42">
        <v>97847</v>
      </c>
      <c r="E194" s="41">
        <f>(D194-'2015'!D112)/'2015'!D112</f>
        <v>-0.31995913374662921</v>
      </c>
      <c r="F194" s="42">
        <v>145560</v>
      </c>
      <c r="G194" s="42">
        <v>63856</v>
      </c>
      <c r="H194" s="41">
        <f>(G194-'2015'!H112)/'2015'!H112</f>
        <v>-0.20052083333333334</v>
      </c>
      <c r="I194" s="42">
        <v>85910</v>
      </c>
      <c r="J194" s="42">
        <v>32310</v>
      </c>
      <c r="K194" s="41">
        <f>(J194-'2015'!L112)/'2015'!L112</f>
        <v>-7.2378054032327527E-2</v>
      </c>
      <c r="L194" s="42">
        <v>35574</v>
      </c>
    </row>
    <row r="195" spans="1:12" x14ac:dyDescent="0.25">
      <c r="A195" s="1" t="s">
        <v>10</v>
      </c>
      <c r="B195" s="1" t="s">
        <v>9</v>
      </c>
      <c r="C195" s="32" t="s">
        <v>11</v>
      </c>
      <c r="D195" s="42">
        <v>64267</v>
      </c>
      <c r="E195" s="41">
        <f>(D195-'2015'!D113)/'2015'!D113</f>
        <v>-0.23650727650727651</v>
      </c>
      <c r="F195" s="42">
        <v>66844</v>
      </c>
      <c r="G195" s="42">
        <v>44702</v>
      </c>
      <c r="H195" s="41">
        <f>(G195-'2015'!H113)/'2015'!H113</f>
        <v>-0.17434107238506863</v>
      </c>
      <c r="I195" s="42">
        <v>47460</v>
      </c>
      <c r="J195" s="42">
        <v>26896</v>
      </c>
      <c r="K195" s="41">
        <f>(J195-'2015'!L113)/'2015'!L113</f>
        <v>-0.16245757169993461</v>
      </c>
      <c r="L195" s="42">
        <v>28019</v>
      </c>
    </row>
    <row r="196" spans="1:12" x14ac:dyDescent="0.25">
      <c r="A196" s="1" t="s">
        <v>12</v>
      </c>
      <c r="B196" s="1" t="s">
        <v>13</v>
      </c>
      <c r="C196" s="32" t="s">
        <v>11</v>
      </c>
      <c r="D196" s="42">
        <v>59772</v>
      </c>
      <c r="E196" s="41">
        <f>(D196-'2015'!D114)/'2015'!D114</f>
        <v>-0.21280126432240221</v>
      </c>
      <c r="F196" s="42">
        <v>62814</v>
      </c>
      <c r="G196" s="42">
        <v>45045</v>
      </c>
      <c r="H196" s="41">
        <f>(G196-'2015'!H114)/'2015'!H114</f>
        <v>-0.1535917623405175</v>
      </c>
      <c r="I196" s="42">
        <v>49751</v>
      </c>
      <c r="J196" s="42">
        <v>27862</v>
      </c>
      <c r="K196" s="41">
        <f>(J196-'2015'!L114)/'2015'!L114</f>
        <v>-0.1293125</v>
      </c>
      <c r="L196" s="42">
        <v>30497</v>
      </c>
    </row>
    <row r="197" spans="1:12" x14ac:dyDescent="0.25">
      <c r="A197" s="1" t="s">
        <v>14</v>
      </c>
      <c r="B197" s="1" t="s">
        <v>15</v>
      </c>
      <c r="C197" s="32" t="s">
        <v>11</v>
      </c>
      <c r="D197" s="42">
        <v>57903</v>
      </c>
      <c r="E197" s="41">
        <f>(D197-'2015'!D115)/'2015'!D115</f>
        <v>-0.21193603266417149</v>
      </c>
      <c r="F197" s="42">
        <v>59417</v>
      </c>
      <c r="G197" s="42">
        <v>43591</v>
      </c>
      <c r="H197" s="41">
        <f>(G197-'2015'!H115)/'2015'!H115</f>
        <v>-0.16043604707151249</v>
      </c>
      <c r="I197" s="42">
        <v>44444</v>
      </c>
      <c r="J197" s="42">
        <v>26983</v>
      </c>
      <c r="K197" s="41">
        <f>(J197-'2015'!L115)/'2015'!L115</f>
        <v>-0.14353277257578162</v>
      </c>
      <c r="L197" s="42">
        <v>27517</v>
      </c>
    </row>
    <row r="198" spans="1:12" x14ac:dyDescent="0.25">
      <c r="A198" s="81" t="s">
        <v>210</v>
      </c>
      <c r="B198" s="82"/>
      <c r="C198" s="82"/>
      <c r="D198" s="82"/>
      <c r="E198" s="82"/>
      <c r="F198" s="82"/>
      <c r="G198" s="82"/>
      <c r="H198" s="82"/>
      <c r="I198" s="82"/>
      <c r="J198" s="82"/>
      <c r="K198" s="82"/>
      <c r="L198" s="82"/>
    </row>
    <row r="200" spans="1:12" ht="18.75" x14ac:dyDescent="0.3">
      <c r="A200" s="76" t="s">
        <v>222</v>
      </c>
      <c r="B200" s="76"/>
      <c r="C200" s="76"/>
      <c r="D200" s="78"/>
      <c r="E200" s="78"/>
      <c r="F200" s="78"/>
      <c r="G200" s="78"/>
      <c r="H200" s="78"/>
      <c r="I200" s="78"/>
      <c r="J200" s="78"/>
      <c r="K200" s="78"/>
      <c r="L200" s="78"/>
    </row>
    <row r="201" spans="1:12" ht="45" x14ac:dyDescent="0.25">
      <c r="A201" s="1" t="s">
        <v>2</v>
      </c>
      <c r="B201" s="1" t="s">
        <v>3</v>
      </c>
      <c r="C201" s="32" t="s">
        <v>4</v>
      </c>
      <c r="D201" s="4" t="s">
        <v>78</v>
      </c>
      <c r="E201" s="4" t="s">
        <v>176</v>
      </c>
      <c r="F201" s="4" t="s">
        <v>85</v>
      </c>
      <c r="G201" s="4" t="s">
        <v>79</v>
      </c>
      <c r="H201" s="4" t="s">
        <v>188</v>
      </c>
      <c r="I201" s="4" t="s">
        <v>82</v>
      </c>
      <c r="J201" s="4" t="s">
        <v>80</v>
      </c>
      <c r="K201" s="4" t="s">
        <v>188</v>
      </c>
      <c r="L201" s="4" t="s">
        <v>81</v>
      </c>
    </row>
    <row r="202" spans="1:12" x14ac:dyDescent="0.25">
      <c r="A202" s="1" t="s">
        <v>5</v>
      </c>
      <c r="B202" s="1" t="s">
        <v>6</v>
      </c>
      <c r="C202" s="32" t="s">
        <v>7</v>
      </c>
      <c r="D202" s="42">
        <v>166666</v>
      </c>
      <c r="E202" s="41">
        <f>(D202-'2015'!D48)/'2015'!D48</f>
        <v>4.9996849996849994E-2</v>
      </c>
      <c r="F202" s="42">
        <v>167504</v>
      </c>
      <c r="G202" s="42">
        <v>105152</v>
      </c>
      <c r="H202" s="41">
        <f>(G202-'2015'!H48)/'2015'!H48</f>
        <v>-3.5753913306618007E-2</v>
      </c>
      <c r="I202" s="42">
        <v>110987</v>
      </c>
      <c r="J202" s="42">
        <v>38565</v>
      </c>
      <c r="K202" s="41">
        <f>(J202-'2015'!L48)/'2015'!L48</f>
        <v>7.056602726036143E-2</v>
      </c>
      <c r="L202" s="42">
        <v>39108</v>
      </c>
    </row>
    <row r="203" spans="1:12" x14ac:dyDescent="0.25">
      <c r="A203" s="1" t="s">
        <v>8</v>
      </c>
      <c r="B203" s="1" t="s">
        <v>9</v>
      </c>
      <c r="C203" s="32" t="s">
        <v>7</v>
      </c>
      <c r="D203" s="42">
        <v>149253</v>
      </c>
      <c r="E203" s="41">
        <f>(D203-'2015'!D49)/'2015'!D49</f>
        <v>-4.0297067901234565E-2</v>
      </c>
      <c r="F203" s="42">
        <v>166666</v>
      </c>
      <c r="G203" s="42">
        <v>103626</v>
      </c>
      <c r="H203" s="41">
        <f>(G203-'2015'!H49)/'2015'!H49</f>
        <v>2.3830695358349637E-2</v>
      </c>
      <c r="I203" s="42">
        <v>104166</v>
      </c>
      <c r="J203" s="42">
        <v>35676</v>
      </c>
      <c r="K203" s="41">
        <f>(J203-'2015'!L49)/'2015'!L49</f>
        <v>3.1038668285070226E-2</v>
      </c>
      <c r="L203" s="42">
        <v>36363</v>
      </c>
    </row>
    <row r="204" spans="1:12" x14ac:dyDescent="0.25">
      <c r="A204" s="1" t="s">
        <v>10</v>
      </c>
      <c r="B204" s="1" t="s">
        <v>9</v>
      </c>
      <c r="C204" s="32" t="s">
        <v>11</v>
      </c>
      <c r="D204" s="42">
        <v>61538</v>
      </c>
      <c r="E204" s="41">
        <f>(D204-'2015'!D50)/'2015'!D50</f>
        <v>-9.2254190079052011E-3</v>
      </c>
      <c r="F204" s="42">
        <v>63091</v>
      </c>
      <c r="G204" s="42">
        <v>55991</v>
      </c>
      <c r="H204" s="41">
        <f>(G204-'2015'!H50)/'2015'!H50</f>
        <v>5.1513671875E-2</v>
      </c>
      <c r="I204" s="42">
        <v>57012</v>
      </c>
      <c r="J204" s="42">
        <v>28042</v>
      </c>
      <c r="K204" s="41">
        <f>(J204-'2015'!L50)/'2015'!L50</f>
        <v>1.7378369553386785E-2</v>
      </c>
      <c r="L204" s="42">
        <v>28636</v>
      </c>
    </row>
    <row r="205" spans="1:12" x14ac:dyDescent="0.25">
      <c r="A205" s="1" t="s">
        <v>12</v>
      </c>
      <c r="B205" s="1" t="s">
        <v>13</v>
      </c>
      <c r="C205" s="32" t="s">
        <v>7</v>
      </c>
      <c r="D205" s="42">
        <v>143884</v>
      </c>
      <c r="E205" s="41">
        <f>(D205-'2015'!D51)/'2015'!D51</f>
        <v>9.2082093630457218E-2</v>
      </c>
      <c r="F205" s="42">
        <v>158982</v>
      </c>
      <c r="G205" s="42">
        <v>106951</v>
      </c>
      <c r="H205" s="41">
        <f>(G205-'2015'!H51)/'2015'!H51</f>
        <v>0.10480863591756624</v>
      </c>
      <c r="I205" s="42">
        <v>107411</v>
      </c>
      <c r="J205" s="42">
        <v>36616</v>
      </c>
      <c r="K205" s="41">
        <f>(J205-'2015'!L51)/'2015'!L51</f>
        <v>2.6348245318981948E-2</v>
      </c>
      <c r="L205" s="42">
        <v>37397</v>
      </c>
    </row>
    <row r="206" spans="1:12" x14ac:dyDescent="0.25">
      <c r="A206" s="1" t="s">
        <v>14</v>
      </c>
      <c r="B206" s="1" t="s">
        <v>15</v>
      </c>
      <c r="C206" s="32" t="s">
        <v>7</v>
      </c>
      <c r="D206" s="42">
        <v>135501</v>
      </c>
      <c r="E206" s="41">
        <f>(D206-'2015'!D52)/'2015'!D52</f>
        <v>4.6073201423575461E-2</v>
      </c>
      <c r="F206" s="42">
        <v>139470</v>
      </c>
      <c r="G206" s="42">
        <v>103734</v>
      </c>
      <c r="H206" s="41">
        <f>(G206-'2015'!H52)/'2015'!H52</f>
        <v>2.074272331883573E-2</v>
      </c>
      <c r="I206" s="42">
        <v>103842</v>
      </c>
      <c r="J206" s="42">
        <v>35360</v>
      </c>
      <c r="K206" s="41">
        <f>(J206-'2015'!L52)/'2015'!L52</f>
        <v>4.6025342348997101E-3</v>
      </c>
      <c r="L206" s="42">
        <v>37764</v>
      </c>
    </row>
    <row r="207" spans="1:12" x14ac:dyDescent="0.25">
      <c r="A207" s="79" t="s">
        <v>221</v>
      </c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</row>
    <row r="208" spans="1:12" x14ac:dyDescent="0.25">
      <c r="A208" s="15"/>
      <c r="B208" s="13"/>
      <c r="C208" s="21"/>
    </row>
    <row r="209" spans="1:12" ht="18.75" x14ac:dyDescent="0.3">
      <c r="A209" s="76" t="s">
        <v>226</v>
      </c>
      <c r="B209" s="76"/>
      <c r="C209" s="76"/>
      <c r="D209" s="78"/>
      <c r="E209" s="78"/>
      <c r="F209" s="78"/>
      <c r="G209" s="78"/>
      <c r="H209" s="78"/>
      <c r="I209" s="78"/>
      <c r="J209" s="78"/>
      <c r="K209" s="78"/>
      <c r="L209" s="78"/>
    </row>
    <row r="210" spans="1:12" ht="45" x14ac:dyDescent="0.25">
      <c r="A210" s="1" t="s">
        <v>2</v>
      </c>
      <c r="B210" s="1" t="s">
        <v>3</v>
      </c>
      <c r="C210" s="32" t="s">
        <v>4</v>
      </c>
      <c r="D210" s="4" t="s">
        <v>78</v>
      </c>
      <c r="E210" s="4" t="s">
        <v>188</v>
      </c>
      <c r="F210" s="4" t="s">
        <v>85</v>
      </c>
      <c r="G210" s="4" t="s">
        <v>79</v>
      </c>
      <c r="H210" s="4" t="s">
        <v>188</v>
      </c>
      <c r="I210" s="4" t="s">
        <v>82</v>
      </c>
      <c r="J210" s="4" t="s">
        <v>80</v>
      </c>
      <c r="K210" s="4" t="s">
        <v>188</v>
      </c>
      <c r="L210" s="4" t="s">
        <v>81</v>
      </c>
    </row>
    <row r="211" spans="1:12" x14ac:dyDescent="0.25">
      <c r="A211" s="1" t="s">
        <v>5</v>
      </c>
      <c r="B211" s="1" t="s">
        <v>6</v>
      </c>
      <c r="C211" s="32" t="s">
        <v>7</v>
      </c>
      <c r="D211" s="42">
        <v>152671</v>
      </c>
      <c r="E211" s="41">
        <f>(D211-'2015'!D57)/'2015'!D57</f>
        <v>5.8011088011088008E-2</v>
      </c>
      <c r="F211" s="42">
        <v>154083</v>
      </c>
      <c r="G211" s="42">
        <v>102880</v>
      </c>
      <c r="H211" s="41">
        <f>(G211-'2015'!H57)/'2015'!H57</f>
        <v>5.5558405581490791E-2</v>
      </c>
      <c r="I211" s="42">
        <v>103626</v>
      </c>
      <c r="J211" s="42">
        <v>36710</v>
      </c>
      <c r="K211" s="41">
        <f>(J211-'2015'!L57)/'2015'!L57</f>
        <v>3.1933434530837128E-2</v>
      </c>
      <c r="L211" s="42">
        <v>37397</v>
      </c>
    </row>
    <row r="212" spans="1:12" x14ac:dyDescent="0.25">
      <c r="A212" s="1" t="s">
        <v>8</v>
      </c>
      <c r="B212" s="1" t="s">
        <v>9</v>
      </c>
      <c r="C212" s="32" t="s">
        <v>7</v>
      </c>
      <c r="D212" s="42">
        <v>145772</v>
      </c>
      <c r="E212" s="41">
        <f>(D212-'2015'!D58)/'2015'!D58</f>
        <v>2.3320463320463322E-2</v>
      </c>
      <c r="F212" s="42">
        <v>148367</v>
      </c>
      <c r="G212" s="42">
        <v>92421</v>
      </c>
      <c r="H212" s="41">
        <f>(G212-'2015'!H58)/'2015'!H58</f>
        <v>4.2514551279158957E-2</v>
      </c>
      <c r="I212" s="42">
        <v>94607</v>
      </c>
      <c r="J212" s="42">
        <v>34710</v>
      </c>
      <c r="K212" s="41">
        <f>(J212-'2015'!L58)/'2015'!L58</f>
        <v>1.2839217974905165E-2</v>
      </c>
      <c r="L212" s="42">
        <v>34879</v>
      </c>
    </row>
    <row r="213" spans="1:12" x14ac:dyDescent="0.25">
      <c r="A213" s="1" t="s">
        <v>10</v>
      </c>
      <c r="B213" s="1" t="s">
        <v>9</v>
      </c>
      <c r="C213" s="32" t="s">
        <v>11</v>
      </c>
      <c r="D213" s="42">
        <v>80256</v>
      </c>
      <c r="E213" s="41">
        <f>(D213-'2015'!D59)/'2015'!D59</f>
        <v>-4.8236096472192942E-3</v>
      </c>
      <c r="F213" s="42">
        <v>83056</v>
      </c>
      <c r="G213" s="42">
        <v>66844</v>
      </c>
      <c r="H213" s="41">
        <f>(G213-'2015'!H59)/'2015'!H59</f>
        <v>-1.5378270091916097E-2</v>
      </c>
      <c r="I213" s="42">
        <v>70621</v>
      </c>
      <c r="J213" s="42">
        <v>31786</v>
      </c>
      <c r="K213" s="41">
        <f>(J213-'2015'!L59)/'2015'!L59</f>
        <v>1.1777438248026482E-2</v>
      </c>
      <c r="L213" s="42">
        <v>32092</v>
      </c>
    </row>
    <row r="214" spans="1:12" x14ac:dyDescent="0.25">
      <c r="A214" s="1" t="s">
        <v>12</v>
      </c>
      <c r="B214" s="1" t="s">
        <v>13</v>
      </c>
      <c r="C214" s="32" t="s">
        <v>11</v>
      </c>
      <c r="D214" s="42">
        <v>73909</v>
      </c>
      <c r="E214" s="41">
        <f>(D214-'2015'!D60)/'2015'!D60</f>
        <v>4.2131385626260204E-2</v>
      </c>
      <c r="F214" s="42">
        <v>75301</v>
      </c>
      <c r="G214" s="42">
        <v>67385</v>
      </c>
      <c r="H214" s="41">
        <f>(G214-'2015'!H60)/'2015'!H60</f>
        <v>3.5720324003627367E-2</v>
      </c>
      <c r="I214" s="42">
        <v>67613</v>
      </c>
      <c r="J214" s="42">
        <v>31806</v>
      </c>
      <c r="K214" s="41">
        <f>(J214-'2015'!L60)/'2015'!L60</f>
        <v>2.1616933800147752E-2</v>
      </c>
      <c r="L214" s="42">
        <v>32113</v>
      </c>
    </row>
    <row r="215" spans="1:12" x14ac:dyDescent="0.25">
      <c r="A215" s="1" t="s">
        <v>14</v>
      </c>
      <c r="B215" s="1" t="s">
        <v>15</v>
      </c>
      <c r="C215" s="32" t="s">
        <v>11</v>
      </c>
      <c r="D215" s="42">
        <v>73099</v>
      </c>
      <c r="E215" s="41">
        <f>(D215-'2015'!D61)/'2015'!D61</f>
        <v>6.5785061308994419E-2</v>
      </c>
      <c r="F215" s="42">
        <v>73421</v>
      </c>
      <c r="G215" s="42">
        <v>66137</v>
      </c>
      <c r="H215" s="41">
        <f>(G215-'2015'!H61)/'2015'!H61</f>
        <v>3.0428144085753457E-2</v>
      </c>
      <c r="I215" s="42">
        <v>67069</v>
      </c>
      <c r="J215" s="42">
        <v>31979</v>
      </c>
      <c r="K215" s="41">
        <f>(J215-'2015'!L61)/'2015'!L61</f>
        <v>2.1432221796345984E-2</v>
      </c>
      <c r="L215" s="42">
        <v>32583</v>
      </c>
    </row>
    <row r="216" spans="1:12" x14ac:dyDescent="0.25">
      <c r="A216" s="79" t="s">
        <v>227</v>
      </c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</row>
    <row r="218" spans="1:12" ht="18.75" x14ac:dyDescent="0.3">
      <c r="A218" s="76" t="s">
        <v>223</v>
      </c>
      <c r="B218" s="76"/>
      <c r="C218" s="76"/>
      <c r="D218" s="78"/>
      <c r="E218" s="78"/>
      <c r="F218" s="78"/>
      <c r="G218" s="78"/>
      <c r="H218" s="78"/>
      <c r="I218" s="78"/>
      <c r="J218" s="78"/>
      <c r="K218" s="78"/>
      <c r="L218" s="78"/>
    </row>
    <row r="219" spans="1:12" ht="45" x14ac:dyDescent="0.25">
      <c r="A219" s="1" t="s">
        <v>2</v>
      </c>
      <c r="B219" s="1" t="s">
        <v>3</v>
      </c>
      <c r="C219" s="32" t="s">
        <v>4</v>
      </c>
      <c r="D219" s="4" t="s">
        <v>78</v>
      </c>
      <c r="E219" s="4" t="s">
        <v>176</v>
      </c>
      <c r="F219" s="4" t="s">
        <v>85</v>
      </c>
      <c r="G219" s="4" t="s">
        <v>79</v>
      </c>
      <c r="H219" s="4" t="s">
        <v>188</v>
      </c>
      <c r="I219" s="4" t="s">
        <v>82</v>
      </c>
      <c r="J219" s="4" t="s">
        <v>80</v>
      </c>
      <c r="K219" s="4" t="s">
        <v>188</v>
      </c>
      <c r="L219" s="4" t="s">
        <v>81</v>
      </c>
    </row>
    <row r="220" spans="1:12" x14ac:dyDescent="0.25">
      <c r="A220" s="1" t="s">
        <v>5</v>
      </c>
      <c r="B220" s="1" t="s">
        <v>6</v>
      </c>
      <c r="C220" s="32" t="s">
        <v>7</v>
      </c>
      <c r="D220" s="42">
        <v>143678</v>
      </c>
      <c r="E220" s="41">
        <f>N226</f>
        <v>0</v>
      </c>
      <c r="F220" s="42">
        <v>166666</v>
      </c>
      <c r="G220" s="42">
        <v>99403</v>
      </c>
      <c r="H220" s="41">
        <f>(G220-'2015'!H102)/'2015'!H102</f>
        <v>-2.1874323499891761E-2</v>
      </c>
      <c r="I220" s="42">
        <v>106723</v>
      </c>
      <c r="J220" s="42">
        <v>38095</v>
      </c>
      <c r="K220" s="41">
        <f>(J220-'2015'!L102)/'2015'!L102</f>
        <v>3.238482384823848E-2</v>
      </c>
      <c r="L220" s="42">
        <v>38925</v>
      </c>
    </row>
    <row r="221" spans="1:12" x14ac:dyDescent="0.25">
      <c r="A221" s="1" t="s">
        <v>8</v>
      </c>
      <c r="B221" s="1" t="s">
        <v>9</v>
      </c>
      <c r="C221" s="32" t="s">
        <v>7</v>
      </c>
      <c r="D221" s="42">
        <v>148367</v>
      </c>
      <c r="E221" s="41">
        <f>(D221-'2015'!D103)/'2015'!D103</f>
        <v>-5.6381652589803599E-2</v>
      </c>
      <c r="F221" s="42">
        <v>162074</v>
      </c>
      <c r="G221" s="42">
        <v>82987</v>
      </c>
      <c r="H221" s="41">
        <f>(G221-'2015'!H103)/'2015'!H103</f>
        <v>-7.2200793783889536E-2</v>
      </c>
      <c r="I221" s="42">
        <v>94517</v>
      </c>
      <c r="J221" s="42">
        <v>36101</v>
      </c>
      <c r="K221" s="41">
        <f>(J221-'2015'!L103)/'2015'!L103</f>
        <v>9.761691653613784E-3</v>
      </c>
      <c r="L221" s="42">
        <v>36523</v>
      </c>
    </row>
    <row r="222" spans="1:12" x14ac:dyDescent="0.25">
      <c r="A222" s="1" t="s">
        <v>10</v>
      </c>
      <c r="B222" s="1" t="s">
        <v>9</v>
      </c>
      <c r="C222" s="32" t="s">
        <v>11</v>
      </c>
      <c r="D222" s="42">
        <v>61199</v>
      </c>
      <c r="E222" s="41">
        <f>(D222-'2015'!D104)/'2015'!D104</f>
        <v>-0.12729943245016115</v>
      </c>
      <c r="F222" s="42">
        <v>64184</v>
      </c>
      <c r="G222" s="42">
        <v>42625</v>
      </c>
      <c r="H222" s="41">
        <f>(G222-'2015'!H104)/'2015'!H104</f>
        <v>1.4060046628919446E-2</v>
      </c>
      <c r="I222" s="42">
        <v>44014</v>
      </c>
      <c r="J222" s="42">
        <v>26178</v>
      </c>
      <c r="K222" s="41">
        <f>(J222-'2015'!L104)/'2015'!L104</f>
        <v>2.2019208245490748E-2</v>
      </c>
      <c r="L222" s="42">
        <v>27005</v>
      </c>
    </row>
    <row r="223" spans="1:12" x14ac:dyDescent="0.25">
      <c r="A223" s="1" t="s">
        <v>12</v>
      </c>
      <c r="B223" s="1" t="s">
        <v>13</v>
      </c>
      <c r="C223" s="32" t="s">
        <v>7</v>
      </c>
      <c r="D223" s="42">
        <v>135869</v>
      </c>
      <c r="E223" s="41">
        <f>(D223-'2015'!D105)/'2015'!D105</f>
        <v>-8.1541179390594663E-3</v>
      </c>
      <c r="F223" s="42">
        <v>150602</v>
      </c>
      <c r="G223" s="42">
        <v>89847</v>
      </c>
      <c r="H223" s="41">
        <f>(G223-'2015'!H105)/'2015'!H105</f>
        <v>-3.5935018670329201E-2</v>
      </c>
      <c r="I223" s="42">
        <v>98911</v>
      </c>
      <c r="J223" s="42">
        <v>35676</v>
      </c>
      <c r="K223" s="41">
        <f>(J223-'2015'!L105)/'2015'!L105</f>
        <v>-2.1257552025061533E-3</v>
      </c>
      <c r="L223" s="42">
        <v>37397</v>
      </c>
    </row>
    <row r="224" spans="1:12" x14ac:dyDescent="0.25">
      <c r="A224" s="1" t="s">
        <v>14</v>
      </c>
      <c r="B224" s="1" t="s">
        <v>15</v>
      </c>
      <c r="C224" s="32" t="s">
        <v>7</v>
      </c>
      <c r="D224" s="42">
        <v>132625</v>
      </c>
      <c r="E224" s="41">
        <f>(D224-'2015'!D106)/'2015'!D106</f>
        <v>-9.2852660830071414E-3</v>
      </c>
      <c r="F224" s="42">
        <v>136425</v>
      </c>
      <c r="G224" s="42">
        <v>88339</v>
      </c>
      <c r="H224" s="41">
        <f>(G224-'2015'!H106)/'2015'!H106</f>
        <v>9.7155070923201775E-3</v>
      </c>
      <c r="I224" s="42">
        <v>97847</v>
      </c>
      <c r="J224" s="42">
        <v>35536</v>
      </c>
      <c r="K224" s="41">
        <f>(J224-'2015'!L106)/'2015'!L106</f>
        <v>0.10483770675289143</v>
      </c>
      <c r="L224" s="42">
        <v>37764</v>
      </c>
    </row>
    <row r="225" spans="1:12" x14ac:dyDescent="0.25">
      <c r="A225" s="79" t="s">
        <v>225</v>
      </c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80"/>
    </row>
    <row r="226" spans="1:12" x14ac:dyDescent="0.25">
      <c r="A226" s="15"/>
      <c r="B226" s="13"/>
      <c r="C226" s="21"/>
    </row>
    <row r="227" spans="1:12" ht="18.75" x14ac:dyDescent="0.3">
      <c r="A227" s="76" t="s">
        <v>224</v>
      </c>
      <c r="B227" s="76"/>
      <c r="C227" s="76"/>
      <c r="D227" s="78"/>
      <c r="E227" s="78"/>
      <c r="F227" s="78"/>
      <c r="G227" s="78"/>
      <c r="H227" s="78"/>
      <c r="I227" s="78"/>
      <c r="J227" s="78"/>
      <c r="K227" s="78"/>
      <c r="L227" s="78"/>
    </row>
    <row r="228" spans="1:12" ht="45" x14ac:dyDescent="0.25">
      <c r="A228" s="1" t="s">
        <v>2</v>
      </c>
      <c r="B228" s="1" t="s">
        <v>3</v>
      </c>
      <c r="C228" s="32" t="s">
        <v>4</v>
      </c>
      <c r="D228" s="4" t="s">
        <v>78</v>
      </c>
      <c r="E228" s="4" t="s">
        <v>188</v>
      </c>
      <c r="F228" s="4" t="s">
        <v>85</v>
      </c>
      <c r="G228" s="4" t="s">
        <v>79</v>
      </c>
      <c r="H228" s="4" t="s">
        <v>188</v>
      </c>
      <c r="I228" s="4" t="s">
        <v>82</v>
      </c>
      <c r="J228" s="4" t="s">
        <v>80</v>
      </c>
      <c r="K228" s="4" t="s">
        <v>188</v>
      </c>
      <c r="L228" s="4" t="s">
        <v>81</v>
      </c>
    </row>
    <row r="229" spans="1:12" x14ac:dyDescent="0.25">
      <c r="A229" s="1" t="s">
        <v>5</v>
      </c>
      <c r="B229" s="1" t="s">
        <v>6</v>
      </c>
      <c r="C229" s="32" t="s">
        <v>7</v>
      </c>
      <c r="D229" s="42">
        <v>149031</v>
      </c>
      <c r="E229" s="41">
        <f>(D229-'2015'!D111)/'2015'!D111</f>
        <v>2.9813982286591113E-3</v>
      </c>
      <c r="F229" s="42">
        <v>154083</v>
      </c>
      <c r="G229" s="42">
        <v>94073</v>
      </c>
      <c r="H229" s="41">
        <f>(G229-'2015'!H111)/'2015'!H111</f>
        <v>-9.403365414990629E-3</v>
      </c>
      <c r="I229" s="42">
        <v>95877</v>
      </c>
      <c r="J229" s="42">
        <v>36873</v>
      </c>
      <c r="K229" s="41">
        <f>(J229-'2015'!L111)/'2015'!L111</f>
        <v>4.796032373218519E-3</v>
      </c>
      <c r="L229" s="42">
        <v>37216</v>
      </c>
    </row>
    <row r="230" spans="1:12" x14ac:dyDescent="0.25">
      <c r="A230" s="1" t="s">
        <v>8</v>
      </c>
      <c r="B230" s="1" t="s">
        <v>9</v>
      </c>
      <c r="C230" s="32" t="s">
        <v>7</v>
      </c>
      <c r="D230" s="42">
        <v>142653</v>
      </c>
      <c r="E230" s="41">
        <f>(D230-'2015'!D112)/'2015'!D112</f>
        <v>-8.5555030441188742E-3</v>
      </c>
      <c r="F230" s="42">
        <v>148809</v>
      </c>
      <c r="G230" s="42">
        <v>79681</v>
      </c>
      <c r="H230" s="41">
        <f>(G230-'2015'!H112)/'2015'!H112</f>
        <v>-2.391326121794872E-3</v>
      </c>
      <c r="I230" s="42">
        <v>84530</v>
      </c>
      <c r="J230" s="42">
        <v>34879</v>
      </c>
      <c r="K230" s="41">
        <f>(J230-'2015'!L112)/'2015'!L112</f>
        <v>1.3780827423846573E-3</v>
      </c>
      <c r="L230" s="42">
        <v>35285</v>
      </c>
    </row>
    <row r="231" spans="1:12" x14ac:dyDescent="0.25">
      <c r="A231" s="1" t="s">
        <v>10</v>
      </c>
      <c r="B231" s="1" t="s">
        <v>9</v>
      </c>
      <c r="C231" s="32" t="s">
        <v>11</v>
      </c>
      <c r="D231" s="42">
        <v>79491</v>
      </c>
      <c r="E231" s="41">
        <f>(D231-'2015'!D113)/'2015'!D113</f>
        <v>-5.5645975645975648E-2</v>
      </c>
      <c r="F231" s="42">
        <v>84530</v>
      </c>
      <c r="G231" s="42">
        <v>51948</v>
      </c>
      <c r="H231" s="41">
        <f>(G231-'2015'!H113)/'2015'!H113</f>
        <v>-4.0505347149110658E-2</v>
      </c>
      <c r="I231" s="42">
        <v>53879</v>
      </c>
      <c r="J231" s="42">
        <v>31655</v>
      </c>
      <c r="K231" s="41">
        <f>(J231-'2015'!L113)/'2015'!L113</f>
        <v>-1.4262136829321459E-2</v>
      </c>
      <c r="L231" s="42">
        <v>32583</v>
      </c>
    </row>
    <row r="232" spans="1:12" x14ac:dyDescent="0.25">
      <c r="A232" s="1" t="s">
        <v>12</v>
      </c>
      <c r="B232" s="1" t="s">
        <v>13</v>
      </c>
      <c r="C232" s="32" t="s">
        <v>11</v>
      </c>
      <c r="D232" s="42">
        <v>73206</v>
      </c>
      <c r="E232" s="41">
        <f>(D232-'2015'!D114)/'2015'!D114</f>
        <v>-3.5875148162781506E-2</v>
      </c>
      <c r="F232" s="42">
        <v>74850</v>
      </c>
      <c r="G232" s="42">
        <v>52826</v>
      </c>
      <c r="H232" s="41">
        <f>(G232-'2015'!H114)/'2015'!H114</f>
        <v>-7.3845806948646163E-3</v>
      </c>
      <c r="I232" s="42">
        <v>53879</v>
      </c>
      <c r="J232" s="42">
        <v>31959</v>
      </c>
      <c r="K232" s="41">
        <f>(J232-'2015'!L114)/'2015'!L114</f>
        <v>-1.2812500000000001E-3</v>
      </c>
      <c r="L232" s="42">
        <v>32425</v>
      </c>
    </row>
    <row r="233" spans="1:12" x14ac:dyDescent="0.25">
      <c r="A233" s="1" t="s">
        <v>14</v>
      </c>
      <c r="B233" s="1" t="s">
        <v>15</v>
      </c>
      <c r="C233" s="32" t="s">
        <v>11</v>
      </c>
      <c r="D233" s="42">
        <v>70571</v>
      </c>
      <c r="E233" s="41">
        <f>(D233-'2015'!D115)/'2015'!D115</f>
        <v>-3.952364749914937E-2</v>
      </c>
      <c r="F233" s="42">
        <v>72150</v>
      </c>
      <c r="G233" s="42">
        <v>50607</v>
      </c>
      <c r="H233" s="41">
        <f>(G233-'2015'!H115)/'2015'!H115</f>
        <v>-2.5307678973825621E-2</v>
      </c>
      <c r="I233" s="42">
        <v>52410</v>
      </c>
      <c r="J233" s="42">
        <v>31675</v>
      </c>
      <c r="K233" s="41">
        <f>(J233-'2015'!L115)/'2015'!L115</f>
        <v>5.3959688938263767E-3</v>
      </c>
      <c r="L233" s="42"/>
    </row>
    <row r="234" spans="1:12" x14ac:dyDescent="0.25">
      <c r="A234" s="79" t="s">
        <v>228</v>
      </c>
      <c r="B234" s="80"/>
      <c r="C234" s="80"/>
      <c r="D234" s="80"/>
      <c r="E234" s="80"/>
      <c r="F234" s="80"/>
      <c r="G234" s="80"/>
      <c r="H234" s="80"/>
      <c r="I234" s="80"/>
      <c r="J234" s="80"/>
      <c r="K234" s="80"/>
      <c r="L234" s="80"/>
    </row>
  </sheetData>
  <mergeCells count="49">
    <mergeCell ref="A234:L234"/>
    <mergeCell ref="A200:L200"/>
    <mergeCell ref="A207:L207"/>
    <mergeCell ref="A209:L209"/>
    <mergeCell ref="A182:L182"/>
    <mergeCell ref="A189:L189"/>
    <mergeCell ref="A191:L191"/>
    <mergeCell ref="A198:L198"/>
    <mergeCell ref="A218:L218"/>
    <mergeCell ref="A225:L225"/>
    <mergeCell ref="A227:L227"/>
    <mergeCell ref="A216:L216"/>
    <mergeCell ref="A171:L171"/>
    <mergeCell ref="A164:L164"/>
    <mergeCell ref="A73:L73"/>
    <mergeCell ref="A80:L80"/>
    <mergeCell ref="A82:L82"/>
    <mergeCell ref="A89:L89"/>
    <mergeCell ref="A155:L155"/>
    <mergeCell ref="A162:L162"/>
    <mergeCell ref="A119:L119"/>
    <mergeCell ref="A126:L126"/>
    <mergeCell ref="A116:L116"/>
    <mergeCell ref="A146:L146"/>
    <mergeCell ref="A153:L153"/>
    <mergeCell ref="A128:L128"/>
    <mergeCell ref="A135:L135"/>
    <mergeCell ref="A118:L118"/>
    <mergeCell ref="A1:L1"/>
    <mergeCell ref="A8:L8"/>
    <mergeCell ref="A10:L10"/>
    <mergeCell ref="A17:L17"/>
    <mergeCell ref="A19:L19"/>
    <mergeCell ref="A173:L173"/>
    <mergeCell ref="A180:L180"/>
    <mergeCell ref="A26:L26"/>
    <mergeCell ref="A28:L28"/>
    <mergeCell ref="A35:L35"/>
    <mergeCell ref="A37:L37"/>
    <mergeCell ref="A44:L44"/>
    <mergeCell ref="A137:L137"/>
    <mergeCell ref="A144:L144"/>
    <mergeCell ref="A109:L109"/>
    <mergeCell ref="A46:L46"/>
    <mergeCell ref="A53:L53"/>
    <mergeCell ref="A55:L55"/>
    <mergeCell ref="A62:L62"/>
    <mergeCell ref="A64:L64"/>
    <mergeCell ref="A71:L71"/>
  </mergeCells>
  <conditionalFormatting sqref="K3:K7 H3:H7 E3:E7">
    <cfRule type="colorScale" priority="9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K12:K16 H12:H16 E12:E16">
    <cfRule type="colorScale" priority="9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K21:K25 H21:H25 E21:E25">
    <cfRule type="colorScale" priority="98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K30:K34 H30:H34 E30:E34">
    <cfRule type="colorScale" priority="101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K39:K43 H39:H43 E39:E43">
    <cfRule type="colorScale" priority="10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K48:K52 H48:H52 E48:E52">
    <cfRule type="colorScale" priority="107">
      <colorScale>
        <cfvo type="min"/>
        <cfvo type="num" val="-1"/>
        <cfvo type="max"/>
        <color rgb="FFF8696B"/>
        <color theme="0"/>
        <color rgb="FF63BE7B"/>
      </colorScale>
    </cfRule>
  </conditionalFormatting>
  <conditionalFormatting sqref="E48">
    <cfRule type="uniqueValues" priority="27"/>
  </conditionalFormatting>
  <conditionalFormatting sqref="E57:E61 H57:H61 K57:K61">
    <cfRule type="colorScale" priority="2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66:E70 H66:H70 K66:K70">
    <cfRule type="colorScale" priority="26">
      <colorScale>
        <cfvo type="min"/>
        <cfvo type="num" val="-1"/>
        <cfvo type="max"/>
        <color rgb="FFF8696B"/>
        <color theme="0"/>
        <color rgb="FF63BE7B"/>
      </colorScale>
    </cfRule>
  </conditionalFormatting>
  <conditionalFormatting sqref="E66:E70">
    <cfRule type="uniqueValues" priority="24"/>
  </conditionalFormatting>
  <conditionalFormatting sqref="E75:E79 H75:H79 K75:K79">
    <cfRule type="colorScale" priority="2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84:E88 H84:H88 K84:K88">
    <cfRule type="colorScale" priority="23">
      <colorScale>
        <cfvo type="min"/>
        <cfvo type="num" val="-1"/>
        <cfvo type="max"/>
        <color rgb="FFF8696B"/>
        <color theme="0"/>
        <color rgb="FF63BE7B"/>
      </colorScale>
    </cfRule>
  </conditionalFormatting>
  <conditionalFormatting sqref="E84:E88">
    <cfRule type="uniqueValues" priority="21"/>
  </conditionalFormatting>
  <conditionalFormatting sqref="E166:E170 H166:H170 K166:K170">
    <cfRule type="colorScale" priority="19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75:E179 H175:H179 K175:K179">
    <cfRule type="colorScale" priority="20">
      <colorScale>
        <cfvo type="min"/>
        <cfvo type="num" val="-1"/>
        <cfvo type="max"/>
        <color rgb="FFF8696B"/>
        <color theme="0"/>
        <color rgb="FF63BE7B"/>
      </colorScale>
    </cfRule>
  </conditionalFormatting>
  <conditionalFormatting sqref="E175:E179">
    <cfRule type="uniqueValues" priority="18"/>
  </conditionalFormatting>
  <conditionalFormatting sqref="E111:E115 H111:H115 K111:K115">
    <cfRule type="colorScale" priority="16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21:E125 H121:H125 K121:K125">
    <cfRule type="colorScale" priority="1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30:E134 H130:H134 K130:K134">
    <cfRule type="colorScale" priority="13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39:E143 H139:H143 K139:K143">
    <cfRule type="colorScale" priority="1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48:E152 H148:H152 K148:K152">
    <cfRule type="colorScale" priority="11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57:E161 H157:H161 K157:K161">
    <cfRule type="colorScale" priority="10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84:E188 H184:H188 K184:K188">
    <cfRule type="colorScale" priority="8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93:E197 H193:H197 K193:K197">
    <cfRule type="colorScale" priority="9">
      <colorScale>
        <cfvo type="min"/>
        <cfvo type="num" val="-1"/>
        <cfvo type="max"/>
        <color rgb="FFF8696B"/>
        <color theme="0"/>
        <color rgb="FF63BE7B"/>
      </colorScale>
    </cfRule>
  </conditionalFormatting>
  <conditionalFormatting sqref="E193:E197">
    <cfRule type="uniqueValues" priority="7"/>
  </conditionalFormatting>
  <conditionalFormatting sqref="E202:E206 H202:H206 K202:K206">
    <cfRule type="colorScale" priority="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11:E215 H211:H215 K211:K215">
    <cfRule type="colorScale" priority="6">
      <colorScale>
        <cfvo type="min"/>
        <cfvo type="num" val="-1"/>
        <cfvo type="max"/>
        <color rgb="FFF8696B"/>
        <color theme="0"/>
        <color rgb="FF63BE7B"/>
      </colorScale>
    </cfRule>
  </conditionalFormatting>
  <conditionalFormatting sqref="E211:E215">
    <cfRule type="uniqueValues" priority="4"/>
  </conditionalFormatting>
  <conditionalFormatting sqref="E220:E224 H220:H224 K220:K224">
    <cfRule type="colorScale" priority="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29:E233 H229:H233 K229:K233">
    <cfRule type="colorScale" priority="3">
      <colorScale>
        <cfvo type="min"/>
        <cfvo type="num" val="0"/>
        <cfvo type="max"/>
        <color rgb="FFF8696B"/>
        <color theme="0"/>
        <color rgb="FF63BE7B"/>
      </colorScale>
    </cfRule>
  </conditionalFormatting>
  <hyperlinks>
    <hyperlink ref="A8:L8" r:id="rId1" display="Worst of 3 : 8135_sp_online_poll_smp_16.0b19" xr:uid="{00000000-0004-0000-0900-000000000000}"/>
    <hyperlink ref="A17:L17" r:id="rId2" display="Worst of 3 : 8135_sp_online_poll_no_smp_16.0b35" xr:uid="{00000000-0004-0000-0900-000001000000}"/>
    <hyperlink ref="A26:L26" r:id="rId3" display="Worst of 3 : 8135_sp_online_poll_smp_16.0b35" xr:uid="{00000000-0004-0000-0900-000002000000}"/>
    <hyperlink ref="A35:L35" r:id="rId4" display="Worst of 3 : 8135_sp_online_poll_no_smp_16.0b35" xr:uid="{00000000-0004-0000-0900-000003000000}"/>
    <hyperlink ref="A44:L44" r:id="rId5" display="Worst of 3 : 8135_sp_online_poll_smp_16.0b37" xr:uid="{00000000-0004-0000-0900-000004000000}"/>
    <hyperlink ref="A53:L53" r:id="rId6" display="Worst of 3 : 8135_sp_online_poll_no_smp_16.0b37" xr:uid="{00000000-0004-0000-0900-000005000000}"/>
    <hyperlink ref="A62:L62" r:id="rId7" display="Worst of 3 : 8135_sp_online_poll_smp_16.0b40" xr:uid="{00000000-0004-0000-0900-000006000000}"/>
    <hyperlink ref="A71:L71" r:id="rId8" display="Worst of 3 : 8135_sp_online_poll_no_smp_16.0b40" xr:uid="{00000000-0004-0000-0900-000007000000}"/>
    <hyperlink ref="A80:L80" r:id="rId9" display="Worst of 3 : 8135_sp_online_poll_smp_16.0b53" xr:uid="{00000000-0004-0000-0900-000008000000}"/>
    <hyperlink ref="A89:L89" r:id="rId10" display="Worst of 3 : 8135_sp_online_poll_no_smp_16.0b53" xr:uid="{00000000-0004-0000-0900-000009000000}"/>
    <hyperlink ref="A171:L171" r:id="rId11" location="TSsummary" display="Worst of 10 : 8108_sp_online_poll_smp_16.0b75" xr:uid="{00000000-0004-0000-0900-00000A000000}"/>
    <hyperlink ref="A180:L180" r:id="rId12" display="Worst of 10 : 8108_sp_online_poll_no_smp_16.0b75" xr:uid="{00000000-0004-0000-0900-00000B000000}"/>
    <hyperlink ref="A116:L116" r:id="rId13" display="Worst of 3 : 8135_sp_online_poll_smp_16.0b57" xr:uid="{00000000-0004-0000-0900-00000C000000}"/>
    <hyperlink ref="A126:L126" r:id="rId14" display="Worst of 3 : 8135_sp_online_poll_smp_16.0b57" xr:uid="{00000000-0004-0000-0900-00000D000000}"/>
    <hyperlink ref="A135:L135" r:id="rId15" display="Worst of 3 : 8135_sp_online_poll_smp_16.0b57_ClearAirFilter" xr:uid="{00000000-0004-0000-0900-00000E000000}"/>
    <hyperlink ref="A144:L144" r:id="rId16" display="Worst of 3 : 8135_sp_online_poll_smp_16.0b59_ClearAirFilter_1082 chassis" xr:uid="{00000000-0004-0000-0900-00000F000000}"/>
    <hyperlink ref="A153:L153" r:id="rId17" display="Worst of 3 : 8135_sp_online_poll_smp_16.0b59" xr:uid="{00000000-0004-0000-0900-000010000000}"/>
    <hyperlink ref="A162:L162" r:id="rId18" display="Worst of 3 : 8135_sp_online_poll_smp_16.0b59_1075newchassis" xr:uid="{00000000-0004-0000-0900-000011000000}"/>
    <hyperlink ref="A189:L189" r:id="rId19" display="Worst of 10 : 8108_sp_online_poll_smp_16.0b75" xr:uid="{00000000-0004-0000-0900-000012000000}"/>
    <hyperlink ref="A198:L198" r:id="rId20" display="Worst of 10 : 8108_sp_online_poll_no_smp_16.0b75" xr:uid="{00000000-0004-0000-0900-000013000000}"/>
    <hyperlink ref="A207:L207" r:id="rId21" display="Worst of 3 : 8108_sp_online_poll_smp_16.0rc9" xr:uid="{00000000-0004-0000-0900-000014000000}"/>
    <hyperlink ref="A216:L216" r:id="rId22" display="Worst of 3 : 8108_sp_online_poll_no_smp_16.0rc9" xr:uid="{00000000-0004-0000-0900-000015000000}"/>
    <hyperlink ref="A225:L225" r:id="rId23" display="Worst of 10 : 8108_sp_online_poll_smp_16.0" xr:uid="{00000000-0004-0000-0900-000016000000}"/>
    <hyperlink ref="A234:L234" r:id="rId24" display="Worst of 10 : 8108_sp_online_poll_no_smp_16.0" xr:uid="{00000000-0004-0000-0900-000017000000}"/>
  </hyperlinks>
  <pageMargins left="0.7" right="0.7" top="0.75" bottom="0.75" header="0.3" footer="0.3"/>
  <pageSetup paperSize="9" orientation="portrait" r:id="rId2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395"/>
  <sheetViews>
    <sheetView topLeftCell="A369" workbookViewId="0">
      <selection activeCell="E347" sqref="E347"/>
    </sheetView>
  </sheetViews>
  <sheetFormatPr defaultRowHeight="15" x14ac:dyDescent="0.25"/>
  <cols>
    <col min="2" max="2" width="25" customWidth="1"/>
    <col min="3" max="3" width="13.140625" customWidth="1"/>
    <col min="4" max="4" width="9.85546875" bestFit="1" customWidth="1"/>
    <col min="6" max="7" width="9.85546875" bestFit="1" customWidth="1"/>
    <col min="9" max="9" width="11.5703125" bestFit="1" customWidth="1"/>
    <col min="10" max="10" width="9.85546875" bestFit="1" customWidth="1"/>
  </cols>
  <sheetData>
    <row r="1" spans="1:12" ht="19.5" thickBot="1" x14ac:dyDescent="0.35">
      <c r="A1" s="102" t="s">
        <v>229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</row>
    <row r="2" spans="1:12" ht="45" x14ac:dyDescent="0.25">
      <c r="A2" s="61" t="s">
        <v>2</v>
      </c>
      <c r="B2" s="62" t="s">
        <v>3</v>
      </c>
      <c r="C2" s="63" t="s">
        <v>4</v>
      </c>
      <c r="D2" s="22" t="s">
        <v>78</v>
      </c>
      <c r="E2" s="23" t="s">
        <v>232</v>
      </c>
      <c r="F2" s="24" t="s">
        <v>85</v>
      </c>
      <c r="G2" s="22" t="s">
        <v>79</v>
      </c>
      <c r="H2" s="23" t="s">
        <v>232</v>
      </c>
      <c r="I2" s="51" t="s">
        <v>82</v>
      </c>
      <c r="J2" s="22" t="s">
        <v>80</v>
      </c>
      <c r="K2" s="23" t="s">
        <v>232</v>
      </c>
      <c r="L2" s="24" t="s">
        <v>81</v>
      </c>
    </row>
    <row r="3" spans="1:12" x14ac:dyDescent="0.25">
      <c r="A3" s="33" t="s">
        <v>5</v>
      </c>
      <c r="B3" s="1" t="s">
        <v>6</v>
      </c>
      <c r="C3" s="32" t="s">
        <v>7</v>
      </c>
      <c r="D3" s="45">
        <v>159235</v>
      </c>
      <c r="E3" s="41">
        <f>(D3-'2016'!D220)/'2016'!D220</f>
        <v>0.10827684127006222</v>
      </c>
      <c r="F3" s="46">
        <v>160513</v>
      </c>
      <c r="G3" s="45">
        <v>112612</v>
      </c>
      <c r="H3" s="41">
        <f>(G3-'2016'!G220)/'2016'!G220</f>
        <v>0.13288331338088388</v>
      </c>
      <c r="I3" s="52">
        <v>112612</v>
      </c>
      <c r="J3" s="45">
        <v>38925</v>
      </c>
      <c r="K3" s="41">
        <f>(J3-'2016'!J220)/'2016'!J220</f>
        <v>2.1787636172726079E-2</v>
      </c>
      <c r="L3" s="46">
        <v>39277</v>
      </c>
    </row>
    <row r="4" spans="1:12" x14ac:dyDescent="0.25">
      <c r="A4" s="33" t="s">
        <v>8</v>
      </c>
      <c r="B4" s="1" t="s">
        <v>9</v>
      </c>
      <c r="C4" s="32" t="s">
        <v>7</v>
      </c>
      <c r="D4" s="45">
        <v>155520</v>
      </c>
      <c r="E4" s="41">
        <f>(D4-'2016'!D221)/'2016'!D221</f>
        <v>4.8211529518019505E-2</v>
      </c>
      <c r="F4" s="46">
        <v>158227</v>
      </c>
      <c r="G4" s="45">
        <v>104493</v>
      </c>
      <c r="H4" s="41">
        <f>(G4-'2016'!G221)/'2016'!G221</f>
        <v>0.2591490233410052</v>
      </c>
      <c r="I4" s="52">
        <v>106044</v>
      </c>
      <c r="J4" s="45">
        <v>36523</v>
      </c>
      <c r="K4" s="41">
        <f>(J4-'2016'!J221)/'2016'!J221</f>
        <v>1.1689426885681838E-2</v>
      </c>
      <c r="L4" s="46">
        <v>36873</v>
      </c>
    </row>
    <row r="5" spans="1:12" x14ac:dyDescent="0.25">
      <c r="A5" s="33" t="s">
        <v>10</v>
      </c>
      <c r="B5" s="1" t="s">
        <v>9</v>
      </c>
      <c r="C5" s="32" t="s">
        <v>11</v>
      </c>
      <c r="D5" s="45">
        <v>63613</v>
      </c>
      <c r="E5" s="41">
        <f>(D5-'2016'!D222)/'2016'!D222</f>
        <v>3.9445088972042026E-2</v>
      </c>
      <c r="F5" s="46">
        <v>63897</v>
      </c>
      <c r="G5" s="45">
        <v>56947</v>
      </c>
      <c r="H5" s="41">
        <f>(G5-'2016'!G222)/'2016'!G222</f>
        <v>0.33600000000000002</v>
      </c>
      <c r="I5" s="52">
        <v>57537</v>
      </c>
      <c r="J5" s="45">
        <v>28498</v>
      </c>
      <c r="K5" s="41">
        <f>(J5-'2016'!J222)/'2016'!J222</f>
        <v>8.8624035449614183E-2</v>
      </c>
      <c r="L5" s="46">
        <v>28587</v>
      </c>
    </row>
    <row r="6" spans="1:12" x14ac:dyDescent="0.25">
      <c r="A6" s="33" t="s">
        <v>12</v>
      </c>
      <c r="B6" s="1" t="s">
        <v>13</v>
      </c>
      <c r="C6" s="32" t="s">
        <v>7</v>
      </c>
      <c r="D6" s="45">
        <v>132625</v>
      </c>
      <c r="E6" s="41">
        <f>(D6-'2016'!D223)/'2016'!D223</f>
        <v>-2.3875939323907587E-2</v>
      </c>
      <c r="F6" s="46">
        <v>154083</v>
      </c>
      <c r="G6" s="45">
        <v>107411</v>
      </c>
      <c r="H6" s="41">
        <f>(G6-'2016'!G223)/'2016'!G223</f>
        <v>0.19548788495998753</v>
      </c>
      <c r="I6" s="52">
        <v>108695</v>
      </c>
      <c r="J6" s="45">
        <v>36832</v>
      </c>
      <c r="K6" s="41">
        <f>(J6-'2016'!J223)/'2016'!J223</f>
        <v>3.2402735732705461E-2</v>
      </c>
      <c r="L6" s="46">
        <v>37551</v>
      </c>
    </row>
    <row r="7" spans="1:12" ht="15.75" thickBot="1" x14ac:dyDescent="0.3">
      <c r="A7" s="58" t="s">
        <v>14</v>
      </c>
      <c r="B7" s="59" t="s">
        <v>15</v>
      </c>
      <c r="C7" s="60" t="s">
        <v>7</v>
      </c>
      <c r="D7" s="47">
        <v>134048</v>
      </c>
      <c r="E7" s="48">
        <f>(D7-'2016'!D224)/'2016'!D224</f>
        <v>1.0729500471253534E-2</v>
      </c>
      <c r="F7" s="49">
        <v>135869</v>
      </c>
      <c r="G7" s="47">
        <v>104493</v>
      </c>
      <c r="H7" s="48">
        <f>(G7-'2016'!G224)/'2016'!G224</f>
        <v>0.18286374081662685</v>
      </c>
      <c r="I7" s="53">
        <v>106044</v>
      </c>
      <c r="J7" s="47">
        <v>36751</v>
      </c>
      <c r="K7" s="50">
        <f>(J7-'2016'!J224)/'2016'!J224</f>
        <v>3.4190679873930659E-2</v>
      </c>
      <c r="L7" s="49">
        <v>37907</v>
      </c>
    </row>
    <row r="8" spans="1:12" x14ac:dyDescent="0.25">
      <c r="A8" s="103" t="s">
        <v>233</v>
      </c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</row>
    <row r="9" spans="1:12" x14ac:dyDescent="0.25">
      <c r="A9" s="15"/>
      <c r="B9" s="13"/>
      <c r="C9" s="21"/>
    </row>
    <row r="10" spans="1:12" ht="19.5" thickBot="1" x14ac:dyDescent="0.35">
      <c r="A10" s="102" t="s">
        <v>230</v>
      </c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</row>
    <row r="11" spans="1:12" ht="45" x14ac:dyDescent="0.25">
      <c r="A11" s="61" t="s">
        <v>2</v>
      </c>
      <c r="B11" s="62" t="s">
        <v>3</v>
      </c>
      <c r="C11" s="63" t="s">
        <v>4</v>
      </c>
      <c r="D11" s="22" t="s">
        <v>78</v>
      </c>
      <c r="E11" s="23" t="s">
        <v>232</v>
      </c>
      <c r="F11" s="24" t="s">
        <v>85</v>
      </c>
      <c r="G11" s="22" t="s">
        <v>79</v>
      </c>
      <c r="H11" s="23" t="s">
        <v>232</v>
      </c>
      <c r="I11" s="51" t="s">
        <v>82</v>
      </c>
      <c r="J11" s="22" t="s">
        <v>80</v>
      </c>
      <c r="K11" s="23" t="s">
        <v>232</v>
      </c>
      <c r="L11" s="24" t="s">
        <v>81</v>
      </c>
    </row>
    <row r="12" spans="1:12" x14ac:dyDescent="0.25">
      <c r="A12" s="33" t="s">
        <v>5</v>
      </c>
      <c r="B12" s="1" t="s">
        <v>6</v>
      </c>
      <c r="C12" s="32" t="s">
        <v>7</v>
      </c>
      <c r="D12" s="45">
        <v>151285</v>
      </c>
      <c r="E12" s="41">
        <f>(D12-'2016'!D229)/'2016'!D229</f>
        <v>1.5124370097496493E-2</v>
      </c>
      <c r="F12" s="46">
        <v>152671</v>
      </c>
      <c r="G12" s="45">
        <v>101626</v>
      </c>
      <c r="H12" s="41">
        <f>(G12-'2016'!G229)/'2016'!G229</f>
        <v>8.0288711957734946E-2</v>
      </c>
      <c r="I12" s="52">
        <v>103199</v>
      </c>
      <c r="J12" s="45">
        <v>36697</v>
      </c>
      <c r="K12" s="41">
        <f>(J12-'2016'!J229)/'2016'!J229</f>
        <v>-4.77314023811461E-3</v>
      </c>
      <c r="L12" s="46">
        <v>37397</v>
      </c>
    </row>
    <row r="13" spans="1:12" x14ac:dyDescent="0.25">
      <c r="A13" s="33" t="s">
        <v>8</v>
      </c>
      <c r="B13" s="1" t="s">
        <v>9</v>
      </c>
      <c r="C13" s="32" t="s">
        <v>7</v>
      </c>
      <c r="D13" s="45">
        <v>144508</v>
      </c>
      <c r="E13" s="41">
        <f>(D13-'2016'!D230)/'2016'!D230</f>
        <v>1.3003582118847834E-2</v>
      </c>
      <c r="F13" s="46">
        <v>147492</v>
      </c>
      <c r="G13" s="45">
        <v>93370</v>
      </c>
      <c r="H13" s="41">
        <f>(G13-'2016'!G230)/'2016'!G230</f>
        <v>0.17179754270152231</v>
      </c>
      <c r="I13" s="52">
        <v>95693</v>
      </c>
      <c r="J13" s="45">
        <v>34879</v>
      </c>
      <c r="K13" s="41">
        <f>(J13-'2016'!J230)/'2016'!J230</f>
        <v>0</v>
      </c>
      <c r="L13" s="46">
        <v>35285</v>
      </c>
    </row>
    <row r="14" spans="1:12" x14ac:dyDescent="0.25">
      <c r="A14" s="33" t="s">
        <v>10</v>
      </c>
      <c r="B14" s="1" t="s">
        <v>9</v>
      </c>
      <c r="C14" s="32" t="s">
        <v>11</v>
      </c>
      <c r="D14" s="45">
        <v>85910</v>
      </c>
      <c r="E14" s="41">
        <f>(D14-'2016'!D231)/'2016'!D231</f>
        <v>8.0751280019121657E-2</v>
      </c>
      <c r="F14" s="46">
        <v>87336</v>
      </c>
      <c r="G14" s="45">
        <v>71022</v>
      </c>
      <c r="H14" s="41">
        <f>(G14-'2016'!G231)/'2016'!G231</f>
        <v>0.36717486717486719</v>
      </c>
      <c r="I14" s="52">
        <v>73964</v>
      </c>
      <c r="J14" s="45">
        <v>32679</v>
      </c>
      <c r="K14" s="41">
        <f>(J14-'2016'!J231)/'2016'!J231</f>
        <v>3.2348760069499292E-2</v>
      </c>
      <c r="L14" s="46">
        <v>32883</v>
      </c>
    </row>
    <row r="15" spans="1:12" x14ac:dyDescent="0.25">
      <c r="A15" s="33" t="s">
        <v>12</v>
      </c>
      <c r="B15" s="1" t="s">
        <v>13</v>
      </c>
      <c r="C15" s="32" t="s">
        <v>11</v>
      </c>
      <c r="D15" s="45">
        <v>74626</v>
      </c>
      <c r="E15" s="41">
        <f>(D15-'2016'!D232)/'2016'!D232</f>
        <v>1.9397317159795646E-2</v>
      </c>
      <c r="F15" s="46">
        <v>75244</v>
      </c>
      <c r="G15" s="45">
        <v>67934</v>
      </c>
      <c r="H15" s="41">
        <f>(G15-'2016'!G232)/'2016'!G232</f>
        <v>0.28599553250293414</v>
      </c>
      <c r="I15" s="52">
        <v>68259</v>
      </c>
      <c r="J15" s="45">
        <v>32000</v>
      </c>
      <c r="K15" s="41">
        <f>(J15-'2016'!J232)/'2016'!J232</f>
        <v>1.2828937075628148E-3</v>
      </c>
      <c r="L15" s="46">
        <v>32154</v>
      </c>
    </row>
    <row r="16" spans="1:12" ht="15.75" thickBot="1" x14ac:dyDescent="0.3">
      <c r="A16" s="58" t="s">
        <v>14</v>
      </c>
      <c r="B16" s="59" t="s">
        <v>15</v>
      </c>
      <c r="C16" s="60" t="s">
        <v>11</v>
      </c>
      <c r="D16" s="47">
        <v>72780</v>
      </c>
      <c r="E16" s="48">
        <f>(D16-'2016'!D233)/'2016'!D233</f>
        <v>3.1301809525159062E-2</v>
      </c>
      <c r="F16" s="49">
        <v>73152</v>
      </c>
      <c r="G16" s="47">
        <v>66844</v>
      </c>
      <c r="H16" s="48">
        <f>(G16-'2016'!G233)/'2016'!G233</f>
        <v>0.3208449423992728</v>
      </c>
      <c r="I16" s="53">
        <v>68540</v>
      </c>
      <c r="J16" s="47">
        <v>32583</v>
      </c>
      <c r="K16" s="50">
        <f>(J16-'2016'!J233)/'2016'!J233</f>
        <v>2.8666140489344908E-2</v>
      </c>
      <c r="L16" s="49">
        <v>32743</v>
      </c>
    </row>
    <row r="17" spans="1:12" x14ac:dyDescent="0.25">
      <c r="A17" s="103" t="s">
        <v>234</v>
      </c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</row>
    <row r="19" spans="1:12" ht="19.5" thickBot="1" x14ac:dyDescent="0.35">
      <c r="A19" s="76" t="s">
        <v>231</v>
      </c>
      <c r="B19" s="76"/>
      <c r="C19" s="76"/>
      <c r="D19" s="78"/>
      <c r="E19" s="78"/>
      <c r="F19" s="78"/>
      <c r="G19" s="78"/>
      <c r="H19" s="78"/>
      <c r="I19" s="78"/>
      <c r="J19" s="78"/>
      <c r="K19" s="78"/>
      <c r="L19" s="78"/>
    </row>
    <row r="20" spans="1:12" ht="45" x14ac:dyDescent="0.25">
      <c r="A20" s="1" t="s">
        <v>2</v>
      </c>
      <c r="B20" s="1" t="s">
        <v>3</v>
      </c>
      <c r="C20" s="32" t="s">
        <v>4</v>
      </c>
      <c r="D20" s="22" t="s">
        <v>78</v>
      </c>
      <c r="E20" s="23" t="s">
        <v>232</v>
      </c>
      <c r="F20" s="24" t="s">
        <v>85</v>
      </c>
      <c r="G20" s="22" t="s">
        <v>79</v>
      </c>
      <c r="H20" s="23" t="s">
        <v>232</v>
      </c>
      <c r="I20" s="51" t="s">
        <v>82</v>
      </c>
      <c r="J20" s="22" t="s">
        <v>80</v>
      </c>
      <c r="K20" s="23" t="s">
        <v>232</v>
      </c>
      <c r="L20" s="24" t="s">
        <v>81</v>
      </c>
    </row>
    <row r="21" spans="1:12" x14ac:dyDescent="0.25">
      <c r="A21" s="1" t="s">
        <v>5</v>
      </c>
      <c r="B21" s="1" t="s">
        <v>6</v>
      </c>
      <c r="C21" s="32" t="s">
        <v>7</v>
      </c>
      <c r="D21" s="45">
        <v>155038</v>
      </c>
      <c r="E21" s="41">
        <f>(D21-'2016'!D220)/'2016'!D220</f>
        <v>7.9065688553571184E-2</v>
      </c>
      <c r="F21" s="46">
        <v>164203</v>
      </c>
      <c r="G21" s="45">
        <v>110132</v>
      </c>
      <c r="H21" s="41">
        <f>(G21-'2016'!G220)/'2016'!G220</f>
        <v>0.10793436817802279</v>
      </c>
      <c r="I21" s="52">
        <v>112107</v>
      </c>
      <c r="J21" s="45">
        <v>38402</v>
      </c>
      <c r="K21" s="41">
        <f>(J21-'2016'!J220)/'2016'!J220</f>
        <v>8.0588003675022973E-3</v>
      </c>
      <c r="L21" s="46">
        <v>38595</v>
      </c>
    </row>
    <row r="22" spans="1:12" x14ac:dyDescent="0.25">
      <c r="A22" s="1" t="s">
        <v>8</v>
      </c>
      <c r="B22" s="1" t="s">
        <v>9</v>
      </c>
      <c r="C22" s="32" t="s">
        <v>7</v>
      </c>
      <c r="D22" s="45">
        <v>143678</v>
      </c>
      <c r="E22" s="41">
        <f>(D22-'2016'!D221)/'2016'!D221</f>
        <v>-3.1604062898083804E-2</v>
      </c>
      <c r="F22" s="46">
        <v>161812</v>
      </c>
      <c r="G22" s="45">
        <v>100401</v>
      </c>
      <c r="H22" s="41">
        <f>(G22-'2016'!G221)/'2016'!G221</f>
        <v>0.20984009543663465</v>
      </c>
      <c r="I22" s="52">
        <v>104602</v>
      </c>
      <c r="J22" s="45">
        <v>36023</v>
      </c>
      <c r="K22" s="41">
        <f>(J22-'2016'!J221)/'2016'!J221</f>
        <v>-2.1606049693914295E-3</v>
      </c>
      <c r="L22" s="46">
        <v>36337</v>
      </c>
    </row>
    <row r="23" spans="1:12" x14ac:dyDescent="0.25">
      <c r="A23" s="1" t="s">
        <v>10</v>
      </c>
      <c r="B23" s="1" t="s">
        <v>9</v>
      </c>
      <c r="C23" s="32" t="s">
        <v>11</v>
      </c>
      <c r="D23" s="45">
        <v>61462</v>
      </c>
      <c r="E23" s="41">
        <f>(D23-'2016'!D222)/'2016'!D222</f>
        <v>4.297455840781712E-3</v>
      </c>
      <c r="F23" s="46">
        <v>63051</v>
      </c>
      <c r="G23" s="45">
        <v>55991</v>
      </c>
      <c r="H23" s="41">
        <f>(G23-'2016'!G222)/'2016'!G222</f>
        <v>0.31357184750733136</v>
      </c>
      <c r="I23" s="52">
        <v>57012</v>
      </c>
      <c r="J23" s="45">
        <v>28498</v>
      </c>
      <c r="K23" s="41">
        <f>(J23-'2016'!J222)/'2016'!J222</f>
        <v>8.8624035449614183E-2</v>
      </c>
      <c r="L23" s="46">
        <v>28918</v>
      </c>
    </row>
    <row r="24" spans="1:12" x14ac:dyDescent="0.25">
      <c r="A24" s="1" t="s">
        <v>12</v>
      </c>
      <c r="B24" s="1" t="s">
        <v>13</v>
      </c>
      <c r="C24" s="32" t="s">
        <v>7</v>
      </c>
      <c r="D24" s="45">
        <v>120481</v>
      </c>
      <c r="E24" s="41">
        <f>(D24-'2016'!D223)/'2016'!D223</f>
        <v>-0.11325615114558876</v>
      </c>
      <c r="F24" s="46">
        <v>142045</v>
      </c>
      <c r="G24" s="45">
        <v>106382</v>
      </c>
      <c r="H24" s="41">
        <f>(G24-'2016'!G223)/'2016'!G223</f>
        <v>0.18403508186138659</v>
      </c>
      <c r="I24" s="52">
        <v>107411</v>
      </c>
      <c r="J24" s="45">
        <v>35752</v>
      </c>
      <c r="K24" s="41">
        <f>(J24-'2016'!J223)/'2016'!J223</f>
        <v>2.130283664087902E-3</v>
      </c>
      <c r="L24" s="46">
        <v>36900</v>
      </c>
    </row>
    <row r="25" spans="1:12" ht="15.75" thickBot="1" x14ac:dyDescent="0.3">
      <c r="A25" s="1" t="s">
        <v>14</v>
      </c>
      <c r="B25" s="1" t="s">
        <v>15</v>
      </c>
      <c r="C25" s="32" t="s">
        <v>7</v>
      </c>
      <c r="D25" s="47">
        <v>133155</v>
      </c>
      <c r="E25" s="48">
        <f>(D25-'2016'!D224)/'2016'!D224</f>
        <v>3.9962299717247879E-3</v>
      </c>
      <c r="F25" s="49">
        <v>136425</v>
      </c>
      <c r="G25" s="47">
        <v>99304</v>
      </c>
      <c r="H25" s="48">
        <f>(G25-'2016'!G224)/'2016'!G224</f>
        <v>0.12412411279276424</v>
      </c>
      <c r="I25" s="53">
        <v>106723</v>
      </c>
      <c r="J25" s="47">
        <v>35701</v>
      </c>
      <c r="K25" s="50">
        <f>(J25-'2016'!J224)/'2016'!J224</f>
        <v>4.6431787483115711E-3</v>
      </c>
      <c r="L25" s="49">
        <v>37721</v>
      </c>
    </row>
    <row r="26" spans="1:12" x14ac:dyDescent="0.25">
      <c r="A26" s="100" t="s">
        <v>235</v>
      </c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1"/>
    </row>
    <row r="27" spans="1:12" x14ac:dyDescent="0.25">
      <c r="A27" s="15"/>
      <c r="B27" s="13"/>
      <c r="C27" s="21"/>
    </row>
    <row r="28" spans="1:12" ht="19.5" thickBot="1" x14ac:dyDescent="0.35">
      <c r="A28" s="76" t="s">
        <v>237</v>
      </c>
      <c r="B28" s="76"/>
      <c r="C28" s="76"/>
      <c r="D28" s="78"/>
      <c r="E28" s="78"/>
      <c r="F28" s="78"/>
      <c r="G28" s="78"/>
      <c r="H28" s="78"/>
      <c r="I28" s="78"/>
      <c r="J28" s="78"/>
      <c r="K28" s="78"/>
      <c r="L28" s="78"/>
    </row>
    <row r="29" spans="1:12" ht="45" x14ac:dyDescent="0.25">
      <c r="A29" s="1" t="s">
        <v>2</v>
      </c>
      <c r="B29" s="1" t="s">
        <v>3</v>
      </c>
      <c r="C29" s="32" t="s">
        <v>4</v>
      </c>
      <c r="D29" s="22" t="s">
        <v>78</v>
      </c>
      <c r="E29" s="23" t="s">
        <v>232</v>
      </c>
      <c r="F29" s="24" t="s">
        <v>85</v>
      </c>
      <c r="G29" s="22" t="s">
        <v>79</v>
      </c>
      <c r="H29" s="23" t="s">
        <v>232</v>
      </c>
      <c r="I29" s="51" t="s">
        <v>82</v>
      </c>
      <c r="J29" s="22" t="s">
        <v>80</v>
      </c>
      <c r="K29" s="23" t="s">
        <v>232</v>
      </c>
      <c r="L29" s="24" t="s">
        <v>81</v>
      </c>
    </row>
    <row r="30" spans="1:12" x14ac:dyDescent="0.25">
      <c r="A30" s="1" t="s">
        <v>5</v>
      </c>
      <c r="B30" s="1" t="s">
        <v>6</v>
      </c>
      <c r="C30" s="32" t="s">
        <v>7</v>
      </c>
      <c r="D30" s="45">
        <v>149253</v>
      </c>
      <c r="E30" s="41">
        <f>(D30-'2016'!D229)/'2016'!D229</f>
        <v>1.489622964349699E-3</v>
      </c>
      <c r="F30" s="46">
        <v>149700</v>
      </c>
      <c r="G30" s="45">
        <v>99304</v>
      </c>
      <c r="H30" s="41">
        <f>(G30-'2016'!G229)/'2016'!G229</f>
        <v>5.5605752979069445E-2</v>
      </c>
      <c r="I30" s="52">
        <v>103626</v>
      </c>
      <c r="J30" s="45">
        <v>37050</v>
      </c>
      <c r="K30" s="41">
        <f>(J30-'2016'!J229)/'2016'!J229</f>
        <v>4.8002603531038975E-3</v>
      </c>
      <c r="L30" s="46">
        <v>37216</v>
      </c>
    </row>
    <row r="31" spans="1:12" x14ac:dyDescent="0.25">
      <c r="A31" s="1" t="s">
        <v>8</v>
      </c>
      <c r="B31" s="1" t="s">
        <v>9</v>
      </c>
      <c r="C31" s="32" t="s">
        <v>7</v>
      </c>
      <c r="D31" s="45">
        <v>146198</v>
      </c>
      <c r="E31" s="41">
        <f>(D31-'2016'!D230)/'2016'!D230</f>
        <v>2.4850511380763111E-2</v>
      </c>
      <c r="F31" s="46">
        <v>146198</v>
      </c>
      <c r="G31" s="45">
        <v>93370</v>
      </c>
      <c r="H31" s="41">
        <f>(G31-'2016'!G230)/'2016'!G230</f>
        <v>0.17179754270152231</v>
      </c>
      <c r="I31" s="52">
        <v>94607</v>
      </c>
      <c r="J31" s="45">
        <v>34542</v>
      </c>
      <c r="K31" s="41">
        <f>(J31-'2016'!J230)/'2016'!J230</f>
        <v>-9.6619742538490202E-3</v>
      </c>
      <c r="L31" s="46">
        <v>34710</v>
      </c>
    </row>
    <row r="32" spans="1:12" x14ac:dyDescent="0.25">
      <c r="A32" s="1" t="s">
        <v>10</v>
      </c>
      <c r="B32" s="1" t="s">
        <v>9</v>
      </c>
      <c r="C32" s="32" t="s">
        <v>11</v>
      </c>
      <c r="D32" s="45">
        <v>80580</v>
      </c>
      <c r="E32" s="41">
        <f>(D32-'2016'!D231)/'2016'!D231</f>
        <v>1.3699664112918444E-2</v>
      </c>
      <c r="F32" s="46">
        <v>84245</v>
      </c>
      <c r="G32" s="45">
        <v>69541</v>
      </c>
      <c r="H32" s="41">
        <f>(G32-'2016'!G231)/'2016'!G231</f>
        <v>0.33866558866558866</v>
      </c>
      <c r="I32" s="52">
        <v>70972</v>
      </c>
      <c r="J32" s="45">
        <v>31545</v>
      </c>
      <c r="K32" s="41">
        <f>(J32-'2016'!J231)/'2016'!J231</f>
        <v>-3.474964460590744E-3</v>
      </c>
      <c r="L32" s="46">
        <v>32154</v>
      </c>
    </row>
    <row r="33" spans="1:12" x14ac:dyDescent="0.25">
      <c r="A33" s="1" t="s">
        <v>12</v>
      </c>
      <c r="B33" s="1" t="s">
        <v>13</v>
      </c>
      <c r="C33" s="32" t="s">
        <v>11</v>
      </c>
      <c r="D33" s="45">
        <v>73909</v>
      </c>
      <c r="E33" s="41">
        <f>(D33-'2016'!D232)/'2016'!D232</f>
        <v>9.603038002349535E-3</v>
      </c>
      <c r="F33" s="46">
        <v>75930</v>
      </c>
      <c r="G33" s="45">
        <v>65832</v>
      </c>
      <c r="H33" s="41">
        <f>(G33-'2016'!G232)/'2016'!G232</f>
        <v>0.24620452050126831</v>
      </c>
      <c r="I33" s="52">
        <v>66755</v>
      </c>
      <c r="J33" s="45">
        <v>32268</v>
      </c>
      <c r="K33" s="41">
        <f>(J33-'2016'!J232)/'2016'!J232</f>
        <v>9.6686379423636531E-3</v>
      </c>
      <c r="L33" s="46">
        <v>32310</v>
      </c>
    </row>
    <row r="34" spans="1:12" ht="15.75" thickBot="1" x14ac:dyDescent="0.3">
      <c r="A34" s="1" t="s">
        <v>14</v>
      </c>
      <c r="B34" s="1" t="s">
        <v>15</v>
      </c>
      <c r="C34" s="32" t="s">
        <v>11</v>
      </c>
      <c r="D34" s="47">
        <v>72939</v>
      </c>
      <c r="E34" s="48">
        <f>(D34-'2016'!D233)/'2016'!D233</f>
        <v>3.3554859644896629E-2</v>
      </c>
      <c r="F34" s="49">
        <v>74515</v>
      </c>
      <c r="G34" s="47">
        <v>65746</v>
      </c>
      <c r="H34" s="48">
        <f>(G34-'2016'!G233)/'2016'!G233</f>
        <v>0.29914833916256645</v>
      </c>
      <c r="I34" s="53">
        <v>67613</v>
      </c>
      <c r="J34" s="47">
        <v>32425</v>
      </c>
      <c r="K34" s="50">
        <f>(J34-'2016'!J233)/'2016'!J233</f>
        <v>2.3677979479084451E-2</v>
      </c>
      <c r="L34" s="49">
        <v>32583</v>
      </c>
    </row>
    <row r="35" spans="1:12" x14ac:dyDescent="0.25">
      <c r="A35" s="98" t="s">
        <v>236</v>
      </c>
      <c r="B35" s="99"/>
      <c r="C35" s="99"/>
      <c r="D35" s="99"/>
      <c r="E35" s="99"/>
      <c r="F35" s="80" t="s">
        <v>238</v>
      </c>
      <c r="G35" s="80"/>
      <c r="H35" s="80"/>
      <c r="I35" s="44"/>
      <c r="J35" s="44"/>
      <c r="K35" s="44"/>
      <c r="L35" s="44"/>
    </row>
    <row r="37" spans="1:12" ht="19.5" thickBot="1" x14ac:dyDescent="0.35">
      <c r="A37" s="76" t="s">
        <v>239</v>
      </c>
      <c r="B37" s="76"/>
      <c r="C37" s="76"/>
      <c r="D37" s="78"/>
      <c r="E37" s="78"/>
      <c r="F37" s="78"/>
      <c r="G37" s="78"/>
      <c r="H37" s="78"/>
      <c r="I37" s="78"/>
      <c r="J37" s="78"/>
      <c r="K37" s="78"/>
      <c r="L37" s="78"/>
    </row>
    <row r="38" spans="1:12" ht="45" x14ac:dyDescent="0.25">
      <c r="A38" s="1" t="s">
        <v>2</v>
      </c>
      <c r="B38" s="1" t="s">
        <v>3</v>
      </c>
      <c r="C38" s="32" t="s">
        <v>4</v>
      </c>
      <c r="D38" s="22" t="s">
        <v>78</v>
      </c>
      <c r="E38" s="23" t="s">
        <v>232</v>
      </c>
      <c r="F38" s="24" t="s">
        <v>85</v>
      </c>
      <c r="G38" s="22" t="s">
        <v>79</v>
      </c>
      <c r="H38" s="23" t="s">
        <v>232</v>
      </c>
      <c r="I38" s="51" t="s">
        <v>82</v>
      </c>
      <c r="J38" s="22" t="s">
        <v>80</v>
      </c>
      <c r="K38" s="23" t="s">
        <v>232</v>
      </c>
      <c r="L38" s="24" t="s">
        <v>81</v>
      </c>
    </row>
    <row r="39" spans="1:12" x14ac:dyDescent="0.25">
      <c r="A39" s="1" t="s">
        <v>5</v>
      </c>
      <c r="B39" s="1" t="s">
        <v>6</v>
      </c>
      <c r="C39" s="32" t="s">
        <v>7</v>
      </c>
      <c r="D39" s="45">
        <v>170068</v>
      </c>
      <c r="E39" s="41">
        <f>(D39-'2016'!D220)/'2016'!D220</f>
        <v>0.18367460571555841</v>
      </c>
      <c r="F39" s="46">
        <v>170648</v>
      </c>
      <c r="G39" s="45">
        <v>109051</v>
      </c>
      <c r="H39" s="41">
        <f>(G39-'2016'!G220)/'2016'!G220</f>
        <v>9.7059444885969237E-2</v>
      </c>
      <c r="I39" s="52">
        <v>110619</v>
      </c>
      <c r="J39" s="45">
        <v>38565</v>
      </c>
      <c r="K39" s="41">
        <f>(J39-'2016'!J220)/'2016'!J220</f>
        <v>1.2337577109856937E-2</v>
      </c>
      <c r="L39" s="46">
        <v>38925</v>
      </c>
    </row>
    <row r="40" spans="1:12" x14ac:dyDescent="0.25">
      <c r="A40" s="1" t="s">
        <v>8</v>
      </c>
      <c r="B40" s="1" t="s">
        <v>9</v>
      </c>
      <c r="C40" s="32" t="s">
        <v>7</v>
      </c>
      <c r="D40" s="45">
        <v>165016</v>
      </c>
      <c r="E40" s="41">
        <f>(D40-'2016'!D221)/'2016'!D221</f>
        <v>0.1122149804201743</v>
      </c>
      <c r="F40" s="46">
        <v>166666</v>
      </c>
      <c r="G40" s="45">
        <v>104058</v>
      </c>
      <c r="H40" s="41">
        <f>(G40-'2016'!G221)/'2016'!G221</f>
        <v>0.2539072384831359</v>
      </c>
      <c r="I40" s="52">
        <v>104602</v>
      </c>
      <c r="J40" s="45">
        <v>36443</v>
      </c>
      <c r="K40" s="41">
        <f>(J40-'2016'!J221)/'2016'!J221</f>
        <v>9.4734217888701143E-3</v>
      </c>
      <c r="L40" s="46">
        <v>36697</v>
      </c>
    </row>
    <row r="41" spans="1:12" x14ac:dyDescent="0.25">
      <c r="A41" s="1" t="s">
        <v>10</v>
      </c>
      <c r="B41" s="1" t="s">
        <v>9</v>
      </c>
      <c r="C41" s="32" t="s">
        <v>11</v>
      </c>
      <c r="D41" s="45">
        <v>63051</v>
      </c>
      <c r="E41" s="41">
        <f>(D41-'2016'!D222)/'2016'!D222</f>
        <v>3.0261932384516087E-2</v>
      </c>
      <c r="F41" s="46">
        <v>63897</v>
      </c>
      <c r="G41" s="45">
        <v>55555</v>
      </c>
      <c r="H41" s="41">
        <f>(G41-'2016'!G222)/'2016'!G222</f>
        <v>0.30334310850439883</v>
      </c>
      <c r="I41" s="52">
        <v>57471</v>
      </c>
      <c r="J41" s="45">
        <v>28457</v>
      </c>
      <c r="K41" s="41">
        <f>(J41-'2016'!J222)/'2016'!J222</f>
        <v>8.7057834823133923E-2</v>
      </c>
      <c r="L41" s="46">
        <v>28960</v>
      </c>
    </row>
    <row r="42" spans="1:12" x14ac:dyDescent="0.25">
      <c r="A42" s="1" t="s">
        <v>12</v>
      </c>
      <c r="B42" s="1" t="s">
        <v>13</v>
      </c>
      <c r="C42" s="32" t="s">
        <v>7</v>
      </c>
      <c r="D42" s="45">
        <v>150150</v>
      </c>
      <c r="E42" s="41">
        <f>(D42-'2016'!D223)/'2016'!D223</f>
        <v>0.10510859725176457</v>
      </c>
      <c r="F42" s="46">
        <v>159235</v>
      </c>
      <c r="G42" s="45">
        <v>106951</v>
      </c>
      <c r="H42" s="41">
        <f>(G42-'2016'!G223)/'2016'!G223</f>
        <v>0.19036807016372279</v>
      </c>
      <c r="I42" s="52">
        <v>108577</v>
      </c>
      <c r="J42" s="45">
        <v>37369</v>
      </c>
      <c r="K42" s="41">
        <f>(J42-'2016'!J223)/'2016'!J223</f>
        <v>4.7454871622379192E-2</v>
      </c>
      <c r="L42" s="46">
        <v>37735</v>
      </c>
    </row>
    <row r="43" spans="1:12" ht="15.75" thickBot="1" x14ac:dyDescent="0.3">
      <c r="A43" s="1" t="s">
        <v>14</v>
      </c>
      <c r="B43" s="1" t="s">
        <v>15</v>
      </c>
      <c r="C43" s="32" t="s">
        <v>7</v>
      </c>
      <c r="D43" s="47">
        <v>137741</v>
      </c>
      <c r="E43" s="41">
        <f>(D43-'2016'!D224)/'2016'!D224</f>
        <v>3.857492931196984E-2</v>
      </c>
      <c r="F43" s="49">
        <v>143266</v>
      </c>
      <c r="G43" s="47">
        <v>98522</v>
      </c>
      <c r="H43" s="41">
        <f>(G43-'2016'!G224)/'2016'!G224</f>
        <v>0.11527185048506322</v>
      </c>
      <c r="I43" s="53">
        <v>106269</v>
      </c>
      <c r="J43" s="47">
        <v>37907</v>
      </c>
      <c r="K43" s="41">
        <f>(J43-'2016'!J224)/'2016'!J224</f>
        <v>6.6721071589374153E-2</v>
      </c>
      <c r="L43" s="49">
        <v>38095</v>
      </c>
    </row>
    <row r="44" spans="1:12" x14ac:dyDescent="0.25">
      <c r="A44" s="79" t="s">
        <v>242</v>
      </c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</row>
    <row r="45" spans="1:12" x14ac:dyDescent="0.25">
      <c r="A45" s="15"/>
      <c r="B45" s="13"/>
      <c r="C45" s="21"/>
    </row>
    <row r="46" spans="1:12" ht="19.5" thickBot="1" x14ac:dyDescent="0.35">
      <c r="A46" s="76" t="s">
        <v>240</v>
      </c>
      <c r="B46" s="76"/>
      <c r="C46" s="76"/>
      <c r="D46" s="78"/>
      <c r="E46" s="78"/>
      <c r="F46" s="78"/>
      <c r="G46" s="78"/>
      <c r="H46" s="78"/>
      <c r="I46" s="78"/>
      <c r="J46" s="78"/>
      <c r="K46" s="78"/>
      <c r="L46" s="78"/>
    </row>
    <row r="47" spans="1:12" ht="45" x14ac:dyDescent="0.25">
      <c r="A47" s="1" t="s">
        <v>2</v>
      </c>
      <c r="B47" s="1" t="s">
        <v>3</v>
      </c>
      <c r="C47" s="32" t="s">
        <v>4</v>
      </c>
      <c r="D47" s="22" t="s">
        <v>78</v>
      </c>
      <c r="E47" s="23" t="s">
        <v>232</v>
      </c>
      <c r="F47" s="24" t="s">
        <v>85</v>
      </c>
      <c r="G47" s="22" t="s">
        <v>79</v>
      </c>
      <c r="H47" s="23" t="s">
        <v>232</v>
      </c>
      <c r="I47" s="51" t="s">
        <v>82</v>
      </c>
      <c r="J47" s="22" t="s">
        <v>80</v>
      </c>
      <c r="K47" s="23" t="s">
        <v>232</v>
      </c>
      <c r="L47" s="24" t="s">
        <v>81</v>
      </c>
    </row>
    <row r="48" spans="1:12" x14ac:dyDescent="0.25">
      <c r="A48" s="1" t="s">
        <v>5</v>
      </c>
      <c r="B48" s="1" t="s">
        <v>6</v>
      </c>
      <c r="C48" s="32" t="s">
        <v>7</v>
      </c>
      <c r="D48" s="45">
        <v>151745</v>
      </c>
      <c r="E48" s="41">
        <f>(D48-'2016'!D229)/'2016'!D229</f>
        <v>1.8210976239842719E-2</v>
      </c>
      <c r="F48" s="46">
        <v>154083</v>
      </c>
      <c r="G48" s="45">
        <v>109051</v>
      </c>
      <c r="H48" s="41">
        <f>(G48-'2016'!G229)/'2016'!G229</f>
        <v>0.15921677845928162</v>
      </c>
      <c r="I48" s="52">
        <v>112612</v>
      </c>
      <c r="J48" s="45">
        <v>38744</v>
      </c>
      <c r="K48" s="41">
        <f>(J48-'2016'!J229)/'2016'!J229</f>
        <v>5.0741735144957015E-2</v>
      </c>
      <c r="L48" s="46">
        <v>39277</v>
      </c>
    </row>
    <row r="49" spans="1:12" x14ac:dyDescent="0.25">
      <c r="A49" s="1" t="s">
        <v>8</v>
      </c>
      <c r="B49" s="1" t="s">
        <v>9</v>
      </c>
      <c r="C49" s="32" t="s">
        <v>7</v>
      </c>
      <c r="D49" s="45">
        <v>146198</v>
      </c>
      <c r="E49" s="41">
        <f>(D49-'2016'!D230)/'2016'!D230</f>
        <v>2.4850511380763111E-2</v>
      </c>
      <c r="F49" s="46">
        <v>146842</v>
      </c>
      <c r="G49" s="45">
        <v>93720</v>
      </c>
      <c r="H49" s="41">
        <f>(G49-'2016'!G230)/'2016'!G230</f>
        <v>0.17619005785569961</v>
      </c>
      <c r="I49" s="52">
        <v>94966</v>
      </c>
      <c r="J49" s="45">
        <v>34602</v>
      </c>
      <c r="K49" s="41">
        <f>(J49-'2016'!J230)/'2016'!J230</f>
        <v>-7.9417414490094325E-3</v>
      </c>
      <c r="L49" s="46">
        <v>34710</v>
      </c>
    </row>
    <row r="50" spans="1:12" x14ac:dyDescent="0.25">
      <c r="A50" s="1" t="s">
        <v>10</v>
      </c>
      <c r="B50" s="1" t="s">
        <v>9</v>
      </c>
      <c r="C50" s="32" t="s">
        <v>11</v>
      </c>
      <c r="D50" s="45">
        <v>82304</v>
      </c>
      <c r="E50" s="41">
        <f>(D50-'2016'!D231)/'2016'!D231</f>
        <v>3.5387653948245716E-2</v>
      </c>
      <c r="F50" s="46">
        <v>87336</v>
      </c>
      <c r="G50" s="45">
        <v>70372</v>
      </c>
      <c r="H50" s="41">
        <f>(G50-'2016'!G231)/'2016'!G231</f>
        <v>0.35466235466235468</v>
      </c>
      <c r="I50" s="52">
        <v>71839</v>
      </c>
      <c r="J50" s="45">
        <v>32154</v>
      </c>
      <c r="K50" s="41">
        <f>(J50-'2016'!J231)/'2016'!J231</f>
        <v>1.576370241667983E-2</v>
      </c>
      <c r="L50" s="46">
        <v>32583</v>
      </c>
    </row>
    <row r="51" spans="1:12" x14ac:dyDescent="0.25">
      <c r="A51" s="1" t="s">
        <v>12</v>
      </c>
      <c r="B51" s="1" t="s">
        <v>13</v>
      </c>
      <c r="C51" s="32" t="s">
        <v>11</v>
      </c>
      <c r="D51" s="45">
        <v>73475</v>
      </c>
      <c r="E51" s="41">
        <f>(D51-'2016'!D232)/'2016'!D232</f>
        <v>3.6745621943556541E-3</v>
      </c>
      <c r="F51" s="46">
        <v>74906</v>
      </c>
      <c r="G51" s="45">
        <v>67159</v>
      </c>
      <c r="H51" s="41">
        <f>(G51-'2016'!G232)/'2016'!G232</f>
        <v>0.27132472646045508</v>
      </c>
      <c r="I51" s="52">
        <v>68027</v>
      </c>
      <c r="J51" s="45">
        <v>32310</v>
      </c>
      <c r="K51" s="41">
        <f>(J51-'2016'!J232)/'2016'!J232</f>
        <v>1.098282174035483E-2</v>
      </c>
      <c r="L51" s="46">
        <v>32425</v>
      </c>
    </row>
    <row r="52" spans="1:12" ht="15.75" thickBot="1" x14ac:dyDescent="0.3">
      <c r="A52" s="1" t="s">
        <v>14</v>
      </c>
      <c r="B52" s="1" t="s">
        <v>15</v>
      </c>
      <c r="C52" s="32" t="s">
        <v>11</v>
      </c>
      <c r="D52" s="47">
        <v>72254</v>
      </c>
      <c r="E52" s="48">
        <f>(D52-'2016'!D233)/'2016'!D233</f>
        <v>2.3848322965524082E-2</v>
      </c>
      <c r="F52" s="49">
        <v>72780</v>
      </c>
      <c r="G52" s="47">
        <v>66312</v>
      </c>
      <c r="H52" s="48">
        <f>(G52-'2016'!G233)/'2016'!G233</f>
        <v>0.31033256268895609</v>
      </c>
      <c r="I52" s="53">
        <v>68212</v>
      </c>
      <c r="J52" s="47">
        <v>32862</v>
      </c>
      <c r="K52" s="50">
        <f>(J52-'2016'!J233)/'2016'!J233</f>
        <v>3.7474348855564325E-2</v>
      </c>
      <c r="L52" s="49">
        <v>33025</v>
      </c>
    </row>
    <row r="53" spans="1:12" x14ac:dyDescent="0.25">
      <c r="A53" s="98" t="s">
        <v>241</v>
      </c>
      <c r="B53" s="99"/>
      <c r="C53" s="99"/>
      <c r="D53" s="99"/>
      <c r="E53" s="99"/>
      <c r="F53" s="80" t="s">
        <v>238</v>
      </c>
      <c r="G53" s="80"/>
      <c r="H53" s="80"/>
      <c r="I53" s="44"/>
      <c r="J53" s="44"/>
      <c r="K53" s="44"/>
      <c r="L53" s="44"/>
    </row>
    <row r="55" spans="1:12" ht="19.5" thickBot="1" x14ac:dyDescent="0.35">
      <c r="A55" s="76" t="s">
        <v>245</v>
      </c>
      <c r="B55" s="76"/>
      <c r="C55" s="76"/>
      <c r="D55" s="78"/>
      <c r="E55" s="78"/>
      <c r="F55" s="78"/>
      <c r="G55" s="78"/>
      <c r="H55" s="78"/>
      <c r="I55" s="78"/>
      <c r="J55" s="78"/>
      <c r="K55" s="78"/>
      <c r="L55" s="78"/>
    </row>
    <row r="56" spans="1:12" ht="45" x14ac:dyDescent="0.25">
      <c r="A56" s="1" t="s">
        <v>2</v>
      </c>
      <c r="B56" s="1" t="s">
        <v>3</v>
      </c>
      <c r="C56" s="32" t="s">
        <v>4</v>
      </c>
      <c r="D56" s="22" t="s">
        <v>78</v>
      </c>
      <c r="E56" s="23" t="s">
        <v>232</v>
      </c>
      <c r="F56" s="24" t="s">
        <v>85</v>
      </c>
      <c r="G56" s="22" t="s">
        <v>79</v>
      </c>
      <c r="H56" s="23" t="s">
        <v>232</v>
      </c>
      <c r="I56" s="51" t="s">
        <v>82</v>
      </c>
      <c r="J56" s="22" t="s">
        <v>80</v>
      </c>
      <c r="K56" s="23" t="s">
        <v>232</v>
      </c>
      <c r="L56" s="24" t="s">
        <v>81</v>
      </c>
    </row>
    <row r="57" spans="1:12" x14ac:dyDescent="0.25">
      <c r="A57" s="1" t="s">
        <v>5</v>
      </c>
      <c r="B57" s="1" t="s">
        <v>6</v>
      </c>
      <c r="C57" s="32" t="s">
        <v>7</v>
      </c>
      <c r="D57" s="45">
        <v>165016</v>
      </c>
      <c r="E57" s="41">
        <f>(D57-'2016'!D220)/'2016'!D220</f>
        <v>0.14851264633416389</v>
      </c>
      <c r="F57" s="46">
        <v>168067</v>
      </c>
      <c r="G57" s="45">
        <v>109051</v>
      </c>
      <c r="H57" s="41">
        <f>(G57-'2016'!G220)/'2016'!G220</f>
        <v>9.7059444885969237E-2</v>
      </c>
      <c r="I57" s="52">
        <v>112107</v>
      </c>
      <c r="J57" s="45">
        <v>38744</v>
      </c>
      <c r="K57" s="41">
        <f>(J57-'2016'!J220)/'2016'!J220</f>
        <v>1.7036356477227982E-2</v>
      </c>
      <c r="L57" s="46">
        <v>39093</v>
      </c>
    </row>
    <row r="58" spans="1:12" x14ac:dyDescent="0.25">
      <c r="A58" s="1" t="s">
        <v>8</v>
      </c>
      <c r="B58" s="1" t="s">
        <v>9</v>
      </c>
      <c r="C58" s="32" t="s">
        <v>7</v>
      </c>
      <c r="D58" s="45">
        <v>155763</v>
      </c>
      <c r="E58" s="41">
        <f>(D58-'2016'!D221)/'2016'!D221</f>
        <v>4.9849360032891414E-2</v>
      </c>
      <c r="F58" s="46">
        <v>163398</v>
      </c>
      <c r="G58" s="45">
        <v>104058</v>
      </c>
      <c r="H58" s="41">
        <f>(G58-'2016'!G221)/'2016'!G221</f>
        <v>0.2539072384831359</v>
      </c>
      <c r="I58" s="52">
        <v>104493</v>
      </c>
      <c r="J58" s="45">
        <v>34602</v>
      </c>
      <c r="K58" s="41">
        <f>(J58-'2016'!J221)/'2016'!J221</f>
        <v>-4.1522395501509657E-2</v>
      </c>
      <c r="L58" s="46">
        <v>36536</v>
      </c>
    </row>
    <row r="59" spans="1:12" x14ac:dyDescent="0.25">
      <c r="A59" s="1" t="s">
        <v>10</v>
      </c>
      <c r="B59" s="1" t="s">
        <v>9</v>
      </c>
      <c r="C59" s="32" t="s">
        <v>11</v>
      </c>
      <c r="D59" s="45">
        <v>62073</v>
      </c>
      <c r="E59" s="41">
        <f>(D59-'2016'!D222)/'2016'!D222</f>
        <v>1.4281279105867743E-2</v>
      </c>
      <c r="F59" s="46">
        <v>63091</v>
      </c>
      <c r="G59" s="45">
        <v>55897</v>
      </c>
      <c r="H59" s="41">
        <f>(G59-'2016'!G222)/'2016'!G222</f>
        <v>0.31136656891495601</v>
      </c>
      <c r="I59" s="52">
        <v>58072</v>
      </c>
      <c r="J59" s="45">
        <v>28312</v>
      </c>
      <c r="K59" s="41">
        <f>(J59-'2016'!J222)/'2016'!J222</f>
        <v>8.1518832607533037E-2</v>
      </c>
      <c r="L59" s="46">
        <v>28587</v>
      </c>
    </row>
    <row r="60" spans="1:12" x14ac:dyDescent="0.25">
      <c r="A60" s="1" t="s">
        <v>12</v>
      </c>
      <c r="B60" s="1" t="s">
        <v>13</v>
      </c>
      <c r="C60" s="32" t="s">
        <v>7</v>
      </c>
      <c r="D60" s="45">
        <v>123762</v>
      </c>
      <c r="E60" s="41">
        <f>(D60-'2016'!D223)/'2016'!D223</f>
        <v>-8.910789068882527E-2</v>
      </c>
      <c r="F60" s="46">
        <v>155763</v>
      </c>
      <c r="G60" s="45">
        <v>96805</v>
      </c>
      <c r="H60" s="41">
        <f>(G60-'2016'!G223)/'2016'!G223</f>
        <v>7.7442763809587409E-2</v>
      </c>
      <c r="I60" s="52">
        <v>104275</v>
      </c>
      <c r="J60" s="45">
        <v>36023</v>
      </c>
      <c r="K60" s="41">
        <f>(J60-'2016'!J223)/'2016'!J223</f>
        <v>9.7264267294539745E-3</v>
      </c>
      <c r="L60" s="46">
        <v>37735</v>
      </c>
    </row>
    <row r="61" spans="1:12" ht="15.75" thickBot="1" x14ac:dyDescent="0.3">
      <c r="A61" s="1" t="s">
        <v>14</v>
      </c>
      <c r="B61" s="1" t="s">
        <v>15</v>
      </c>
      <c r="C61" s="32" t="s">
        <v>7</v>
      </c>
      <c r="D61" s="47">
        <v>134770</v>
      </c>
      <c r="E61" s="41">
        <f>(D61-'2016'!D224)/'2016'!D224</f>
        <v>1.6173421300659754E-2</v>
      </c>
      <c r="F61" s="49">
        <v>138696</v>
      </c>
      <c r="G61" s="47">
        <v>102459</v>
      </c>
      <c r="H61" s="41">
        <f>(G61-'2016'!G224)/'2016'!G224</f>
        <v>0.15983880279378304</v>
      </c>
      <c r="I61" s="53">
        <v>103626</v>
      </c>
      <c r="J61" s="47">
        <v>37721</v>
      </c>
      <c r="K61" s="41">
        <f>(J61-'2016'!J224)/'2016'!J224</f>
        <v>6.1486942818550203E-2</v>
      </c>
      <c r="L61" s="49">
        <v>37764</v>
      </c>
    </row>
    <row r="62" spans="1:12" x14ac:dyDescent="0.25">
      <c r="A62" s="79" t="s">
        <v>246</v>
      </c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2" x14ac:dyDescent="0.25">
      <c r="A63" s="15"/>
      <c r="B63" s="13"/>
      <c r="C63" s="21"/>
    </row>
    <row r="64" spans="1:12" ht="18.75" x14ac:dyDescent="0.3">
      <c r="A64" s="102" t="s">
        <v>243</v>
      </c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</row>
    <row r="65" spans="1:12" ht="45" x14ac:dyDescent="0.25">
      <c r="A65" s="54" t="s">
        <v>2</v>
      </c>
      <c r="B65" s="54" t="s">
        <v>3</v>
      </c>
      <c r="C65" s="54" t="s">
        <v>4</v>
      </c>
      <c r="D65" s="55" t="s">
        <v>78</v>
      </c>
      <c r="E65" s="55" t="s">
        <v>232</v>
      </c>
      <c r="F65" s="55" t="s">
        <v>85</v>
      </c>
      <c r="G65" s="55" t="s">
        <v>79</v>
      </c>
      <c r="H65" s="55" t="s">
        <v>232</v>
      </c>
      <c r="I65" s="55" t="s">
        <v>82</v>
      </c>
      <c r="J65" s="55" t="s">
        <v>80</v>
      </c>
      <c r="K65" s="55" t="s">
        <v>232</v>
      </c>
      <c r="L65" s="55" t="s">
        <v>81</v>
      </c>
    </row>
    <row r="66" spans="1:12" x14ac:dyDescent="0.25">
      <c r="A66" s="54" t="s">
        <v>5</v>
      </c>
      <c r="B66" s="54" t="s">
        <v>6</v>
      </c>
      <c r="C66" s="54" t="s">
        <v>7</v>
      </c>
      <c r="D66" s="56">
        <v>149925</v>
      </c>
      <c r="E66" s="57">
        <f>(D66-'2016'!D229)/'2016'!D229</f>
        <v>5.9987519375163554E-3</v>
      </c>
      <c r="F66" s="56">
        <v>153374</v>
      </c>
      <c r="G66" s="56">
        <v>99304</v>
      </c>
      <c r="H66" s="57">
        <f>(G66-'2016'!G229)/'2016'!G229</f>
        <v>5.5605752979069445E-2</v>
      </c>
      <c r="I66" s="56">
        <v>103626</v>
      </c>
      <c r="J66" s="56">
        <v>36724</v>
      </c>
      <c r="K66" s="57">
        <f>(J66-'2016'!J229)/'2016'!J229</f>
        <v>-4.040897133403846E-3</v>
      </c>
      <c r="L66" s="56">
        <v>36900</v>
      </c>
    </row>
    <row r="67" spans="1:12" x14ac:dyDescent="0.25">
      <c r="A67" s="54" t="s">
        <v>8</v>
      </c>
      <c r="B67" s="54" t="s">
        <v>9</v>
      </c>
      <c r="C67" s="54" t="s">
        <v>7</v>
      </c>
      <c r="D67" s="56">
        <v>143678</v>
      </c>
      <c r="E67" s="57">
        <f>(D67-'2016'!D230)/'2016'!D230</f>
        <v>7.1852677476113369E-3</v>
      </c>
      <c r="F67" s="56">
        <v>149253</v>
      </c>
      <c r="G67" s="56">
        <v>93196</v>
      </c>
      <c r="H67" s="57">
        <f>(G67-'2016'!G230)/'2016'!G230</f>
        <v>0.16961383516773132</v>
      </c>
      <c r="I67" s="56">
        <v>95057</v>
      </c>
      <c r="J67" s="56">
        <v>34036</v>
      </c>
      <c r="K67" s="57">
        <f>(J67-'2016'!J230)/'2016'!J230</f>
        <v>-2.4169270907996216E-2</v>
      </c>
      <c r="L67" s="56">
        <v>34317</v>
      </c>
    </row>
    <row r="68" spans="1:12" x14ac:dyDescent="0.25">
      <c r="A68" s="54" t="s">
        <v>10</v>
      </c>
      <c r="B68" s="54" t="s">
        <v>9</v>
      </c>
      <c r="C68" s="54" t="s">
        <v>11</v>
      </c>
      <c r="D68" s="56">
        <v>83263</v>
      </c>
      <c r="E68" s="57">
        <f>(D68-'2016'!D231)/'2016'!D231</f>
        <v>4.7451912795159201E-2</v>
      </c>
      <c r="F68" s="56">
        <v>87796</v>
      </c>
      <c r="G68" s="56">
        <v>71377</v>
      </c>
      <c r="H68" s="57">
        <f>(G68-'2016'!G231)/'2016'!G231</f>
        <v>0.374008624008624</v>
      </c>
      <c r="I68" s="56">
        <v>71633</v>
      </c>
      <c r="J68" s="56">
        <v>32425</v>
      </c>
      <c r="K68" s="57">
        <f>(J68-'2016'!J231)/'2016'!J231</f>
        <v>2.4324751224135209E-2</v>
      </c>
      <c r="L68" s="56">
        <v>32883</v>
      </c>
    </row>
    <row r="69" spans="1:12" x14ac:dyDescent="0.25">
      <c r="A69" s="54" t="s">
        <v>12</v>
      </c>
      <c r="B69" s="54" t="s">
        <v>13</v>
      </c>
      <c r="C69" s="54" t="s">
        <v>11</v>
      </c>
      <c r="D69" s="56">
        <v>73800</v>
      </c>
      <c r="E69" s="57">
        <f>(D69-'2016'!D232)/'2016'!D232</f>
        <v>8.1140890090976147E-3</v>
      </c>
      <c r="F69" s="56">
        <v>75301</v>
      </c>
      <c r="G69" s="56">
        <v>66137</v>
      </c>
      <c r="H69" s="57">
        <f>(G69-'2016'!G232)/'2016'!G232</f>
        <v>0.25197819255669557</v>
      </c>
      <c r="I69" s="56">
        <v>67796</v>
      </c>
      <c r="J69" s="56">
        <v>32113</v>
      </c>
      <c r="K69" s="57">
        <f>(J69-'2016'!J232)/'2016'!J232</f>
        <v>4.8186739259676462E-3</v>
      </c>
      <c r="L69" s="56">
        <v>32268</v>
      </c>
    </row>
    <row r="70" spans="1:12" x14ac:dyDescent="0.25">
      <c r="A70" s="54" t="s">
        <v>14</v>
      </c>
      <c r="B70" s="54" t="s">
        <v>15</v>
      </c>
      <c r="C70" s="54" t="s">
        <v>11</v>
      </c>
      <c r="D70" s="56">
        <v>72254</v>
      </c>
      <c r="E70" s="57">
        <f>(D70-'2016'!D233)/'2016'!D233</f>
        <v>2.3848322965524082E-2</v>
      </c>
      <c r="F70" s="56">
        <v>73421</v>
      </c>
      <c r="G70" s="56">
        <v>65746</v>
      </c>
      <c r="H70" s="57">
        <f>(G70-'2016'!G233)/'2016'!G233</f>
        <v>0.29914833916256645</v>
      </c>
      <c r="I70" s="56">
        <v>67934</v>
      </c>
      <c r="J70" s="56">
        <v>32583</v>
      </c>
      <c r="K70" s="57">
        <f>(J70-'2016'!J233)/'2016'!J233</f>
        <v>2.8666140489344908E-2</v>
      </c>
      <c r="L70" s="56">
        <v>32862</v>
      </c>
    </row>
    <row r="71" spans="1:12" ht="15.75" thickBot="1" x14ac:dyDescent="0.3">
      <c r="A71" s="106" t="s">
        <v>244</v>
      </c>
      <c r="B71" s="106"/>
      <c r="C71" s="106"/>
      <c r="D71" s="106"/>
      <c r="E71" s="106"/>
      <c r="F71" s="107"/>
      <c r="G71" s="107"/>
      <c r="H71" s="107"/>
      <c r="I71" s="64"/>
      <c r="J71" s="64"/>
      <c r="K71" s="65"/>
      <c r="L71" s="65"/>
    </row>
    <row r="72" spans="1:12" ht="18.75" x14ac:dyDescent="0.3">
      <c r="A72" s="83" t="s">
        <v>247</v>
      </c>
      <c r="B72" s="84"/>
      <c r="C72" s="84"/>
      <c r="D72" s="85"/>
      <c r="E72" s="85"/>
      <c r="F72" s="85"/>
      <c r="G72" s="85"/>
      <c r="H72" s="85"/>
      <c r="I72" s="85"/>
      <c r="J72" s="85"/>
      <c r="K72" s="85"/>
      <c r="L72" s="86"/>
    </row>
    <row r="73" spans="1:12" ht="45" x14ac:dyDescent="0.25">
      <c r="A73" s="66" t="s">
        <v>2</v>
      </c>
      <c r="B73" s="54" t="s">
        <v>3</v>
      </c>
      <c r="C73" s="54" t="s">
        <v>4</v>
      </c>
      <c r="D73" s="55" t="s">
        <v>78</v>
      </c>
      <c r="E73" s="55" t="s">
        <v>232</v>
      </c>
      <c r="F73" s="55" t="s">
        <v>85</v>
      </c>
      <c r="G73" s="55" t="s">
        <v>79</v>
      </c>
      <c r="H73" s="55" t="s">
        <v>232</v>
      </c>
      <c r="I73" s="55" t="s">
        <v>82</v>
      </c>
      <c r="J73" s="55" t="s">
        <v>80</v>
      </c>
      <c r="K73" s="55" t="s">
        <v>232</v>
      </c>
      <c r="L73" s="67" t="s">
        <v>81</v>
      </c>
    </row>
    <row r="74" spans="1:12" x14ac:dyDescent="0.25">
      <c r="A74" s="66" t="s">
        <v>5</v>
      </c>
      <c r="B74" s="54" t="s">
        <v>6</v>
      </c>
      <c r="C74" s="54" t="s">
        <v>7</v>
      </c>
      <c r="D74" s="56">
        <v>167224</v>
      </c>
      <c r="E74" s="57">
        <f>(D74-'2016'!D220)/'2016'!D220</f>
        <v>0.16388034354598477</v>
      </c>
      <c r="F74" s="56">
        <v>169491</v>
      </c>
      <c r="G74" s="56">
        <v>105820</v>
      </c>
      <c r="H74" s="57">
        <f>(G74-'2016'!G220)/'2016'!G220</f>
        <v>6.4555395712403041E-2</v>
      </c>
      <c r="I74" s="56">
        <v>112485</v>
      </c>
      <c r="J74" s="56">
        <v>36900</v>
      </c>
      <c r="K74" s="57">
        <f>(J74-'2016'!J220)/'2016'!J220</f>
        <v>-3.1368946055912852E-2</v>
      </c>
      <c r="L74" s="68">
        <v>38729</v>
      </c>
    </row>
    <row r="75" spans="1:12" x14ac:dyDescent="0.25">
      <c r="A75" s="66" t="s">
        <v>8</v>
      </c>
      <c r="B75" s="54" t="s">
        <v>9</v>
      </c>
      <c r="C75" s="54" t="s">
        <v>7</v>
      </c>
      <c r="D75" s="56">
        <v>163398</v>
      </c>
      <c r="E75" s="57">
        <f>(D75-'2016'!D221)/'2016'!D221</f>
        <v>0.10130959040757041</v>
      </c>
      <c r="F75" s="56">
        <v>163398</v>
      </c>
      <c r="G75" s="56">
        <v>101626</v>
      </c>
      <c r="H75" s="57">
        <f>(G75-'2016'!G221)/'2016'!G221</f>
        <v>0.22460144359959994</v>
      </c>
      <c r="I75" s="56">
        <v>104166</v>
      </c>
      <c r="J75" s="56">
        <v>36179</v>
      </c>
      <c r="K75" s="57">
        <f>(J75-'2016'!J221)/'2016'!J221</f>
        <v>2.1606049693914295E-3</v>
      </c>
      <c r="L75" s="68">
        <v>36443</v>
      </c>
    </row>
    <row r="76" spans="1:12" x14ac:dyDescent="0.25">
      <c r="A76" s="66" t="s">
        <v>10</v>
      </c>
      <c r="B76" s="54" t="s">
        <v>9</v>
      </c>
      <c r="C76" s="54" t="s">
        <v>11</v>
      </c>
      <c r="D76" s="56">
        <v>64184</v>
      </c>
      <c r="E76" s="57">
        <f>(D76-'2016'!D222)/'2016'!D222</f>
        <v>4.8775306786058598E-2</v>
      </c>
      <c r="F76" s="56">
        <v>64516</v>
      </c>
      <c r="G76" s="56">
        <v>55897</v>
      </c>
      <c r="H76" s="57">
        <f>(G76-'2016'!G222)/'2016'!G222</f>
        <v>0.31136656891495601</v>
      </c>
      <c r="I76" s="56">
        <v>58892</v>
      </c>
      <c r="J76" s="56">
        <v>28498</v>
      </c>
      <c r="K76" s="57">
        <f>(J76-'2016'!J222)/'2016'!J222</f>
        <v>8.8624035449614183E-2</v>
      </c>
      <c r="L76" s="68">
        <v>28587</v>
      </c>
    </row>
    <row r="77" spans="1:12" x14ac:dyDescent="0.25">
      <c r="A77" s="66" t="s">
        <v>12</v>
      </c>
      <c r="B77" s="54" t="s">
        <v>13</v>
      </c>
      <c r="C77" s="54" t="s">
        <v>7</v>
      </c>
      <c r="D77" s="56">
        <v>146198</v>
      </c>
      <c r="E77" s="57">
        <f>(D77-'2016'!D223)/'2016'!D223</f>
        <v>7.6021756250506001E-2</v>
      </c>
      <c r="F77" s="56">
        <v>155038</v>
      </c>
      <c r="G77" s="56">
        <v>104931</v>
      </c>
      <c r="H77" s="57">
        <f>(G77-'2016'!G223)/'2016'!G223</f>
        <v>0.167885405188821</v>
      </c>
      <c r="I77" s="56">
        <v>108342</v>
      </c>
      <c r="J77" s="56">
        <v>36023</v>
      </c>
      <c r="K77" s="57">
        <f>(J77-'2016'!J223)/'2016'!J223</f>
        <v>9.7264267294539745E-3</v>
      </c>
      <c r="L77" s="68">
        <v>37551</v>
      </c>
    </row>
    <row r="78" spans="1:12" x14ac:dyDescent="0.25">
      <c r="A78" s="66" t="s">
        <v>14</v>
      </c>
      <c r="B78" s="54" t="s">
        <v>15</v>
      </c>
      <c r="C78" s="54" t="s">
        <v>7</v>
      </c>
      <c r="D78" s="56" t="s">
        <v>249</v>
      </c>
      <c r="E78" s="57" t="e">
        <f>(D78-'2016'!D224)/'2016'!D224</f>
        <v>#VALUE!</v>
      </c>
      <c r="F78" s="56" t="s">
        <v>249</v>
      </c>
      <c r="G78" s="56" t="s">
        <v>249</v>
      </c>
      <c r="H78" s="57" t="e">
        <f>(G78-'2016'!G224)/'2016'!G224</f>
        <v>#VALUE!</v>
      </c>
      <c r="I78" s="56" t="s">
        <v>249</v>
      </c>
      <c r="J78" s="56" t="s">
        <v>249</v>
      </c>
      <c r="K78" s="57" t="e">
        <f>(J78-'2016'!J224)/'2016'!J224</f>
        <v>#VALUE!</v>
      </c>
      <c r="L78" s="68" t="s">
        <v>249</v>
      </c>
    </row>
    <row r="79" spans="1:12" ht="15.75" thickBot="1" x14ac:dyDescent="0.3">
      <c r="A79" s="87" t="s">
        <v>248</v>
      </c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9"/>
    </row>
    <row r="80" spans="1:12" ht="15.75" thickBot="1" x14ac:dyDescent="0.3">
      <c r="A80" s="15"/>
      <c r="B80" s="13"/>
      <c r="C80" s="21"/>
    </row>
    <row r="81" spans="1:12" ht="18.75" x14ac:dyDescent="0.3">
      <c r="A81" s="90" t="s">
        <v>251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2"/>
    </row>
    <row r="82" spans="1:12" ht="45" x14ac:dyDescent="0.25">
      <c r="A82" s="66" t="s">
        <v>2</v>
      </c>
      <c r="B82" s="54" t="s">
        <v>3</v>
      </c>
      <c r="C82" s="54" t="s">
        <v>4</v>
      </c>
      <c r="D82" s="55" t="s">
        <v>78</v>
      </c>
      <c r="E82" s="55" t="s">
        <v>232</v>
      </c>
      <c r="F82" s="55" t="s">
        <v>85</v>
      </c>
      <c r="G82" s="55" t="s">
        <v>79</v>
      </c>
      <c r="H82" s="55" t="s">
        <v>232</v>
      </c>
      <c r="I82" s="55" t="s">
        <v>82</v>
      </c>
      <c r="J82" s="55" t="s">
        <v>80</v>
      </c>
      <c r="K82" s="55" t="s">
        <v>232</v>
      </c>
      <c r="L82" s="67" t="s">
        <v>81</v>
      </c>
    </row>
    <row r="83" spans="1:12" x14ac:dyDescent="0.25">
      <c r="A83" s="66" t="s">
        <v>5</v>
      </c>
      <c r="B83" s="54" t="s">
        <v>6</v>
      </c>
      <c r="C83" s="54" t="s">
        <v>7</v>
      </c>
      <c r="D83" s="56">
        <v>149031</v>
      </c>
      <c r="E83" s="57">
        <f>(D83-'2016'!D229)/'2016'!D229</f>
        <v>0</v>
      </c>
      <c r="F83" s="56">
        <v>152439</v>
      </c>
      <c r="G83" s="56">
        <v>101626</v>
      </c>
      <c r="H83" s="57">
        <f>(G83-'2016'!G229)/'2016'!G229</f>
        <v>8.0288711957734946E-2</v>
      </c>
      <c r="I83" s="56">
        <v>103199</v>
      </c>
      <c r="J83" s="56">
        <v>36536</v>
      </c>
      <c r="K83" s="57">
        <f>(J83-'2016'!J229)/'2016'!J229</f>
        <v>-9.1394787513899064E-3</v>
      </c>
      <c r="L83" s="68">
        <v>36710</v>
      </c>
    </row>
    <row r="84" spans="1:12" x14ac:dyDescent="0.25">
      <c r="A84" s="66" t="s">
        <v>8</v>
      </c>
      <c r="B84" s="54" t="s">
        <v>9</v>
      </c>
      <c r="C84" s="54" t="s">
        <v>7</v>
      </c>
      <c r="D84" s="56">
        <v>145560</v>
      </c>
      <c r="E84" s="57">
        <f>(D84-'2016'!D230)/'2016'!D230</f>
        <v>2.0378120333957226E-2</v>
      </c>
      <c r="F84" s="56">
        <v>146842</v>
      </c>
      <c r="G84" s="56">
        <v>92506</v>
      </c>
      <c r="H84" s="57">
        <f>(G84-'2016'!G230)/'2016'!G230</f>
        <v>0.16095430529235327</v>
      </c>
      <c r="I84" s="56">
        <v>92936</v>
      </c>
      <c r="J84" s="56">
        <v>34879</v>
      </c>
      <c r="K84" s="57">
        <f>(J84-'2016'!J230)/'2016'!J230</f>
        <v>0</v>
      </c>
      <c r="L84" s="68">
        <v>34879</v>
      </c>
    </row>
    <row r="85" spans="1:12" x14ac:dyDescent="0.25">
      <c r="A85" s="66" t="s">
        <v>10</v>
      </c>
      <c r="B85" s="54" t="s">
        <v>9</v>
      </c>
      <c r="C85" s="54" t="s">
        <v>11</v>
      </c>
      <c r="D85" s="56">
        <v>86956</v>
      </c>
      <c r="E85" s="57">
        <f>(D85-'2016'!D231)/'2016'!D231</f>
        <v>9.3910002390207692E-2</v>
      </c>
      <c r="F85" s="56">
        <v>89047</v>
      </c>
      <c r="G85" s="56">
        <v>71890</v>
      </c>
      <c r="H85" s="57">
        <f>(G85-'2016'!G231)/'2016'!G231</f>
        <v>0.38388388388388389</v>
      </c>
      <c r="I85" s="56">
        <v>72150</v>
      </c>
      <c r="J85" s="56">
        <v>32113</v>
      </c>
      <c r="K85" s="57">
        <f>(J85-'2016'!J231)/'2016'!J231</f>
        <v>1.4468488390459644E-2</v>
      </c>
      <c r="L85" s="68">
        <v>32722</v>
      </c>
    </row>
    <row r="86" spans="1:12" x14ac:dyDescent="0.25">
      <c r="A86" s="66" t="s">
        <v>12</v>
      </c>
      <c r="B86" s="54" t="s">
        <v>13</v>
      </c>
      <c r="C86" s="54" t="s">
        <v>11</v>
      </c>
      <c r="D86" s="56">
        <v>75244</v>
      </c>
      <c r="E86" s="57">
        <f>(D86-'2016'!D232)/'2016'!D232</f>
        <v>2.7839248149058821E-2</v>
      </c>
      <c r="F86" s="56">
        <v>76335</v>
      </c>
      <c r="G86" s="56">
        <v>68540</v>
      </c>
      <c r="H86" s="57">
        <f>(G86-'2016'!G232)/'2016'!G232</f>
        <v>0.29746715632453719</v>
      </c>
      <c r="I86" s="56">
        <v>69108</v>
      </c>
      <c r="J86" s="56">
        <v>32404</v>
      </c>
      <c r="K86" s="57">
        <f>(J86-'2016'!J232)/'2016'!J232</f>
        <v>1.3924090240620796E-2</v>
      </c>
      <c r="L86" s="68">
        <v>32425</v>
      </c>
    </row>
    <row r="87" spans="1:12" x14ac:dyDescent="0.25">
      <c r="A87" s="66" t="s">
        <v>14</v>
      </c>
      <c r="B87" s="54" t="s">
        <v>15</v>
      </c>
      <c r="C87" s="54" t="s">
        <v>11</v>
      </c>
      <c r="D87" s="56">
        <v>73964</v>
      </c>
      <c r="E87" s="57">
        <f>(D87-'2016'!D233)/'2016'!D233</f>
        <v>4.8079239347607376E-2</v>
      </c>
      <c r="F87" s="56">
        <v>74515</v>
      </c>
      <c r="G87" s="56">
        <v>67159</v>
      </c>
      <c r="H87" s="57">
        <f>(G87-'2016'!G233)/'2016'!G233</f>
        <v>0.32706937775406564</v>
      </c>
      <c r="I87" s="56">
        <v>69108</v>
      </c>
      <c r="J87" s="56">
        <v>32862</v>
      </c>
      <c r="K87" s="57">
        <f>(J87-'2016'!J233)/'2016'!J233</f>
        <v>3.7474348855564325E-2</v>
      </c>
      <c r="L87" s="68">
        <v>33025</v>
      </c>
    </row>
    <row r="88" spans="1:12" ht="15.75" thickBot="1" x14ac:dyDescent="0.3">
      <c r="A88" s="104" t="s">
        <v>250</v>
      </c>
      <c r="B88" s="105"/>
      <c r="C88" s="105"/>
      <c r="D88" s="105"/>
      <c r="E88" s="105"/>
      <c r="F88" s="94"/>
      <c r="G88" s="94"/>
      <c r="H88" s="94"/>
      <c r="I88" s="69"/>
      <c r="J88" s="69"/>
      <c r="K88" s="70"/>
      <c r="L88" s="71"/>
    </row>
    <row r="89" spans="1:12" ht="15.75" thickBot="1" x14ac:dyDescent="0.3"/>
    <row r="90" spans="1:12" ht="19.5" thickBot="1" x14ac:dyDescent="0.35">
      <c r="A90" s="83" t="s">
        <v>252</v>
      </c>
      <c r="B90" s="84"/>
      <c r="C90" s="84"/>
      <c r="D90" s="85"/>
      <c r="E90" s="85"/>
      <c r="F90" s="85"/>
      <c r="G90" s="85"/>
      <c r="H90" s="85"/>
      <c r="I90" s="85"/>
      <c r="J90" s="85"/>
      <c r="K90" s="85"/>
      <c r="L90" s="86"/>
    </row>
    <row r="91" spans="1:12" ht="45" x14ac:dyDescent="0.25">
      <c r="A91" s="33" t="s">
        <v>2</v>
      </c>
      <c r="B91" s="1" t="s">
        <v>3</v>
      </c>
      <c r="C91" s="32" t="s">
        <v>4</v>
      </c>
      <c r="D91" s="22" t="s">
        <v>78</v>
      </c>
      <c r="E91" s="23" t="s">
        <v>232</v>
      </c>
      <c r="F91" s="24" t="s">
        <v>85</v>
      </c>
      <c r="G91" s="22" t="s">
        <v>79</v>
      </c>
      <c r="H91" s="56" t="s">
        <v>232</v>
      </c>
      <c r="I91" s="51" t="s">
        <v>82</v>
      </c>
      <c r="J91" s="22" t="s">
        <v>80</v>
      </c>
      <c r="K91" s="23" t="s">
        <v>232</v>
      </c>
      <c r="L91" s="24" t="s">
        <v>81</v>
      </c>
    </row>
    <row r="92" spans="1:12" x14ac:dyDescent="0.25">
      <c r="A92" s="33" t="s">
        <v>5</v>
      </c>
      <c r="B92" s="1" t="s">
        <v>6</v>
      </c>
      <c r="C92" s="32" t="s">
        <v>7</v>
      </c>
      <c r="D92" s="56">
        <v>168634</v>
      </c>
      <c r="E92" s="41">
        <f>(D92-'2016'!D220)/'2016'!D220</f>
        <v>0.17369395453722908</v>
      </c>
      <c r="F92" s="56">
        <v>173010</v>
      </c>
      <c r="G92" s="56">
        <v>110011</v>
      </c>
      <c r="H92" s="41">
        <f>(G92-'2016'!G220)/'2016'!G220</f>
        <v>0.10671710109352836</v>
      </c>
      <c r="I92" s="56">
        <v>112994</v>
      </c>
      <c r="J92" s="56">
        <v>38565</v>
      </c>
      <c r="K92" s="41">
        <f>(J92-'2016'!J220)/'2016'!J220</f>
        <v>1.2337577109856937E-2</v>
      </c>
      <c r="L92" s="68">
        <v>39108</v>
      </c>
    </row>
    <row r="93" spans="1:12" x14ac:dyDescent="0.25">
      <c r="A93" s="33" t="s">
        <v>8</v>
      </c>
      <c r="B93" s="1" t="s">
        <v>9</v>
      </c>
      <c r="C93" s="32" t="s">
        <v>7</v>
      </c>
      <c r="D93" s="56">
        <v>160000</v>
      </c>
      <c r="E93" s="41">
        <f>(D93-'2016'!D221)/'2016'!D221</f>
        <v>7.8406923372448048E-2</v>
      </c>
      <c r="F93" s="56">
        <v>165837</v>
      </c>
      <c r="G93" s="56">
        <v>82987</v>
      </c>
      <c r="H93" s="41">
        <f>(G93-'2016'!G221)/'2016'!G221</f>
        <v>0</v>
      </c>
      <c r="I93" s="56">
        <v>104931</v>
      </c>
      <c r="J93" s="56">
        <v>36179</v>
      </c>
      <c r="K93" s="41">
        <f>(J93-'2016'!J221)/'2016'!J221</f>
        <v>2.1606049693914295E-3</v>
      </c>
      <c r="L93" s="68">
        <v>36536</v>
      </c>
    </row>
    <row r="94" spans="1:12" x14ac:dyDescent="0.25">
      <c r="A94" s="33" t="s">
        <v>10</v>
      </c>
      <c r="B94" s="1" t="s">
        <v>9</v>
      </c>
      <c r="C94" s="32" t="s">
        <v>11</v>
      </c>
      <c r="D94" s="56">
        <v>63051</v>
      </c>
      <c r="E94" s="41">
        <f>(D94-'2016'!D222)/'2016'!D222</f>
        <v>3.0261932384516087E-2</v>
      </c>
      <c r="F94" s="56">
        <v>63051</v>
      </c>
      <c r="G94" s="56">
        <v>55187</v>
      </c>
      <c r="H94" s="41">
        <f>(G94-'2016'!G222)/'2016'!G222</f>
        <v>0.29470967741935483</v>
      </c>
      <c r="I94" s="56">
        <v>57537</v>
      </c>
      <c r="J94" s="56">
        <v>28595</v>
      </c>
      <c r="K94" s="41">
        <f>(J94-'2016'!J222)/'2016'!J222</f>
        <v>9.2329436931774769E-2</v>
      </c>
      <c r="L94" s="68">
        <v>28960</v>
      </c>
    </row>
    <row r="95" spans="1:12" x14ac:dyDescent="0.25">
      <c r="A95" s="33" t="s">
        <v>12</v>
      </c>
      <c r="B95" s="1" t="s">
        <v>13</v>
      </c>
      <c r="C95" s="32" t="s">
        <v>7</v>
      </c>
      <c r="D95" s="56">
        <v>147058</v>
      </c>
      <c r="E95" s="41">
        <f>(D95-'2016'!D223)/'2016'!D223</f>
        <v>8.2351382581751537E-2</v>
      </c>
      <c r="F95" s="56">
        <v>157728</v>
      </c>
      <c r="G95" s="56">
        <v>103305</v>
      </c>
      <c r="H95" s="41">
        <f>(G95-'2016'!G223)/'2016'!G223</f>
        <v>0.14978797288724163</v>
      </c>
      <c r="I95" s="56">
        <v>108342</v>
      </c>
      <c r="J95" s="56">
        <v>36443</v>
      </c>
      <c r="K95" s="41">
        <f>(J95-'2016'!J223)/'2016'!J223</f>
        <v>2.1499046978360803E-2</v>
      </c>
      <c r="L95" s="68">
        <v>37397</v>
      </c>
    </row>
    <row r="96" spans="1:12" x14ac:dyDescent="0.25">
      <c r="A96" s="33" t="s">
        <v>14</v>
      </c>
      <c r="B96" s="1" t="s">
        <v>15</v>
      </c>
      <c r="C96" s="32" t="s">
        <v>7</v>
      </c>
      <c r="D96" s="56">
        <v>135501</v>
      </c>
      <c r="E96" s="41">
        <f>(D96-'2016'!D224)/'2016'!D224</f>
        <v>2.1685202639019793E-2</v>
      </c>
      <c r="F96" s="56">
        <v>141442</v>
      </c>
      <c r="G96" s="56">
        <v>102354</v>
      </c>
      <c r="H96" s="41">
        <f>(G96-'2016'!G224)/'2016'!G224</f>
        <v>0.15865019979850351</v>
      </c>
      <c r="I96" s="56">
        <v>105820</v>
      </c>
      <c r="J96" s="56">
        <v>37411</v>
      </c>
      <c r="K96" s="41">
        <f>(J96-'2016'!J224)/'2016'!J224</f>
        <v>5.2763394867176946E-2</v>
      </c>
      <c r="L96" s="68">
        <v>38095</v>
      </c>
    </row>
    <row r="97" spans="1:12" ht="15.75" thickBot="1" x14ac:dyDescent="0.3">
      <c r="A97" s="87" t="s">
        <v>253</v>
      </c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9"/>
    </row>
    <row r="98" spans="1:12" ht="15.75" thickBot="1" x14ac:dyDescent="0.3">
      <c r="A98" s="15"/>
      <c r="B98" s="13"/>
      <c r="C98" s="21"/>
    </row>
    <row r="99" spans="1:12" ht="18.75" x14ac:dyDescent="0.3">
      <c r="A99" s="90" t="s">
        <v>254</v>
      </c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2"/>
    </row>
    <row r="100" spans="1:12" ht="45" x14ac:dyDescent="0.25">
      <c r="A100" s="66" t="s">
        <v>2</v>
      </c>
      <c r="B100" s="54" t="s">
        <v>3</v>
      </c>
      <c r="C100" s="54" t="s">
        <v>4</v>
      </c>
      <c r="D100" s="55" t="s">
        <v>78</v>
      </c>
      <c r="E100" s="55" t="s">
        <v>232</v>
      </c>
      <c r="F100" s="55" t="s">
        <v>85</v>
      </c>
      <c r="G100" s="55" t="s">
        <v>79</v>
      </c>
      <c r="H100" s="55" t="s">
        <v>232</v>
      </c>
      <c r="I100" s="55" t="s">
        <v>82</v>
      </c>
      <c r="J100" s="55" t="s">
        <v>80</v>
      </c>
      <c r="K100" s="55" t="s">
        <v>232</v>
      </c>
      <c r="L100" s="67" t="s">
        <v>81</v>
      </c>
    </row>
    <row r="101" spans="1:12" x14ac:dyDescent="0.25">
      <c r="A101" s="66" t="s">
        <v>5</v>
      </c>
      <c r="B101" s="54" t="s">
        <v>6</v>
      </c>
      <c r="C101" s="54" t="s">
        <v>7</v>
      </c>
      <c r="D101" s="56">
        <v>149925</v>
      </c>
      <c r="E101" s="57">
        <f>(D101-'2016'!D229)/'2016'!D229</f>
        <v>5.9987519375163554E-3</v>
      </c>
      <c r="F101" s="56">
        <v>151285</v>
      </c>
      <c r="G101" s="56">
        <v>103305</v>
      </c>
      <c r="H101" s="57">
        <f>(G101-'2016'!G229)/'2016'!G229</f>
        <v>9.8136553527579648E-2</v>
      </c>
      <c r="I101" s="56">
        <v>104602</v>
      </c>
      <c r="J101" s="56">
        <v>36873</v>
      </c>
      <c r="K101" s="57">
        <f>(J101-'2016'!J229)/'2016'!J229</f>
        <v>0</v>
      </c>
      <c r="L101" s="68">
        <v>37216</v>
      </c>
    </row>
    <row r="102" spans="1:12" x14ac:dyDescent="0.25">
      <c r="A102" s="66" t="s">
        <v>8</v>
      </c>
      <c r="B102" s="54" t="s">
        <v>9</v>
      </c>
      <c r="C102" s="54" t="s">
        <v>7</v>
      </c>
      <c r="D102" s="56">
        <v>146842</v>
      </c>
      <c r="E102" s="57">
        <f>(D102-'2016'!D230)/'2016'!D230</f>
        <v>2.9364962531457452E-2</v>
      </c>
      <c r="F102" s="56">
        <v>147492</v>
      </c>
      <c r="G102" s="56">
        <v>92936</v>
      </c>
      <c r="H102" s="57">
        <f>(G102-'2016'!G230)/'2016'!G230</f>
        <v>0.16635082391034248</v>
      </c>
      <c r="I102" s="56">
        <v>95419</v>
      </c>
      <c r="J102" s="56">
        <v>34435</v>
      </c>
      <c r="K102" s="57">
        <f>(J102-'2016'!J230)/'2016'!J230</f>
        <v>-1.2729722755812953E-2</v>
      </c>
      <c r="L102" s="68">
        <v>34710</v>
      </c>
    </row>
    <row r="103" spans="1:12" x14ac:dyDescent="0.25">
      <c r="A103" s="66" t="s">
        <v>10</v>
      </c>
      <c r="B103" s="54" t="s">
        <v>9</v>
      </c>
      <c r="C103" s="54" t="s">
        <v>11</v>
      </c>
      <c r="D103" s="56">
        <v>82644</v>
      </c>
      <c r="E103" s="57">
        <f>(D103-'2016'!D231)/'2016'!D231</f>
        <v>3.9664867720874061E-2</v>
      </c>
      <c r="F103" s="56">
        <v>85616</v>
      </c>
      <c r="G103" s="56">
        <v>69930</v>
      </c>
      <c r="H103" s="57">
        <f>(G103-'2016'!G231)/'2016'!G231</f>
        <v>0.34615384615384615</v>
      </c>
      <c r="I103" s="56">
        <v>70972</v>
      </c>
      <c r="J103" s="56">
        <v>32020</v>
      </c>
      <c r="K103" s="57">
        <f>(J103-'2016'!J231)/'2016'!J231</f>
        <v>1.1530563891960196E-2</v>
      </c>
      <c r="L103" s="68">
        <v>32310</v>
      </c>
    </row>
    <row r="104" spans="1:12" x14ac:dyDescent="0.25">
      <c r="A104" s="66" t="s">
        <v>12</v>
      </c>
      <c r="B104" s="54" t="s">
        <v>13</v>
      </c>
      <c r="C104" s="54" t="s">
        <v>11</v>
      </c>
      <c r="D104" s="56">
        <v>73206</v>
      </c>
      <c r="E104" s="57">
        <f>(D104-'2016'!D232)/'2016'!D232</f>
        <v>0</v>
      </c>
      <c r="F104" s="56">
        <v>74183</v>
      </c>
      <c r="G104" s="56">
        <v>66755</v>
      </c>
      <c r="H104" s="57">
        <f>(G104-'2016'!G232)/'2016'!G232</f>
        <v>0.2636769772460531</v>
      </c>
      <c r="I104" s="56">
        <v>67385</v>
      </c>
      <c r="J104" s="56">
        <v>31959</v>
      </c>
      <c r="K104" s="57">
        <f>(J104-'2016'!J232)/'2016'!J232</f>
        <v>0</v>
      </c>
      <c r="L104" s="68">
        <v>32000</v>
      </c>
    </row>
    <row r="105" spans="1:12" x14ac:dyDescent="0.25">
      <c r="A105" s="66" t="s">
        <v>14</v>
      </c>
      <c r="B105" s="54" t="s">
        <v>15</v>
      </c>
      <c r="C105" s="54" t="s">
        <v>11</v>
      </c>
      <c r="D105" s="56">
        <v>70821</v>
      </c>
      <c r="E105" s="57">
        <f>(D105-'2016'!D233)/'2016'!D233</f>
        <v>3.5425316348074989E-3</v>
      </c>
      <c r="F105" s="56">
        <v>71942</v>
      </c>
      <c r="G105" s="56">
        <v>65231</v>
      </c>
      <c r="H105" s="57">
        <f>(G105-'2016'!G233)/'2016'!G233</f>
        <v>0.28897188136028612</v>
      </c>
      <c r="I105" s="56">
        <v>65530</v>
      </c>
      <c r="J105" s="56">
        <v>31675</v>
      </c>
      <c r="K105" s="57">
        <f>(J105-'2016'!J233)/'2016'!J233</f>
        <v>0</v>
      </c>
      <c r="L105" s="68">
        <v>32583</v>
      </c>
    </row>
    <row r="106" spans="1:12" ht="15.75" thickBot="1" x14ac:dyDescent="0.3">
      <c r="A106" s="104" t="s">
        <v>255</v>
      </c>
      <c r="B106" s="105"/>
      <c r="C106" s="105"/>
      <c r="D106" s="105"/>
      <c r="E106" s="105"/>
      <c r="F106" s="94"/>
      <c r="G106" s="94"/>
      <c r="H106" s="94"/>
      <c r="I106" s="69"/>
      <c r="J106" s="69"/>
      <c r="K106" s="70"/>
      <c r="L106" s="71"/>
    </row>
    <row r="107" spans="1:12" ht="19.5" thickBot="1" x14ac:dyDescent="0.35">
      <c r="A107" s="83" t="s">
        <v>261</v>
      </c>
      <c r="B107" s="84"/>
      <c r="C107" s="84"/>
      <c r="D107" s="85"/>
      <c r="E107" s="85"/>
      <c r="F107" s="85"/>
      <c r="G107" s="85"/>
      <c r="H107" s="85"/>
      <c r="I107" s="85"/>
      <c r="J107" s="85"/>
      <c r="K107" s="85"/>
      <c r="L107" s="86"/>
    </row>
    <row r="108" spans="1:12" ht="45" x14ac:dyDescent="0.25">
      <c r="A108" s="33" t="s">
        <v>2</v>
      </c>
      <c r="B108" s="1" t="s">
        <v>3</v>
      </c>
      <c r="C108" s="32" t="s">
        <v>4</v>
      </c>
      <c r="D108" s="22" t="s">
        <v>78</v>
      </c>
      <c r="E108" s="23" t="s">
        <v>232</v>
      </c>
      <c r="F108" s="24" t="s">
        <v>85</v>
      </c>
      <c r="G108" s="22" t="s">
        <v>79</v>
      </c>
      <c r="H108" s="56" t="s">
        <v>232</v>
      </c>
      <c r="I108" s="51" t="s">
        <v>82</v>
      </c>
      <c r="J108" s="22" t="s">
        <v>80</v>
      </c>
      <c r="K108" s="23" t="s">
        <v>232</v>
      </c>
      <c r="L108" s="24" t="s">
        <v>81</v>
      </c>
    </row>
    <row r="109" spans="1:12" x14ac:dyDescent="0.25">
      <c r="A109" s="33" t="s">
        <v>5</v>
      </c>
      <c r="B109" s="1" t="s">
        <v>6</v>
      </c>
      <c r="C109" s="32" t="s">
        <v>7</v>
      </c>
      <c r="D109" s="56">
        <v>161550</v>
      </c>
      <c r="E109" s="41">
        <f>(D109-'2016'!D220)/'2016'!D220</f>
        <v>0.12438925931597043</v>
      </c>
      <c r="F109" s="56">
        <v>171232</v>
      </c>
      <c r="G109" s="56">
        <v>107181</v>
      </c>
      <c r="H109" s="41">
        <f>(G109-'2016'!G220)/'2016'!G220</f>
        <v>7.8247135398328019E-2</v>
      </c>
      <c r="I109" s="56">
        <v>112612</v>
      </c>
      <c r="J109" s="56">
        <v>37735</v>
      </c>
      <c r="K109" s="41">
        <f>(J109-'2016'!J220)/'2016'!J220</f>
        <v>-9.4500590628691424E-3</v>
      </c>
      <c r="L109" s="68">
        <v>39108</v>
      </c>
    </row>
    <row r="110" spans="1:12" x14ac:dyDescent="0.25">
      <c r="A110" s="33" t="s">
        <v>8</v>
      </c>
      <c r="B110" s="1" t="s">
        <v>9</v>
      </c>
      <c r="C110" s="32" t="s">
        <v>7</v>
      </c>
      <c r="D110" s="56">
        <v>163398</v>
      </c>
      <c r="E110" s="41">
        <f>(D110-'2016'!D221)/'2016'!D221</f>
        <v>0.10130959040757041</v>
      </c>
      <c r="F110" s="56">
        <v>168634</v>
      </c>
      <c r="G110" s="56">
        <v>103199</v>
      </c>
      <c r="H110" s="41">
        <f>(G110-'2016'!G221)/'2016'!G221</f>
        <v>0.24355621964886068</v>
      </c>
      <c r="I110" s="56">
        <v>104931</v>
      </c>
      <c r="J110" s="56">
        <v>36179</v>
      </c>
      <c r="K110" s="41">
        <f>(J110-'2016'!J221)/'2016'!J221</f>
        <v>2.1606049693914295E-3</v>
      </c>
      <c r="L110" s="68">
        <v>36697</v>
      </c>
    </row>
    <row r="111" spans="1:12" x14ac:dyDescent="0.25">
      <c r="A111" s="33" t="s">
        <v>10</v>
      </c>
      <c r="B111" s="1" t="s">
        <v>9</v>
      </c>
      <c r="C111" s="32" t="s">
        <v>11</v>
      </c>
      <c r="D111" s="56">
        <v>63051</v>
      </c>
      <c r="E111" s="41">
        <f>(D111-'2016'!D222)/'2016'!D222</f>
        <v>3.0261932384516087E-2</v>
      </c>
      <c r="F111" s="56">
        <v>64474</v>
      </c>
      <c r="G111" s="56">
        <v>55005</v>
      </c>
      <c r="H111" s="41">
        <f>(G111-'2016'!G222)/'2016'!G222</f>
        <v>0.29043988269794724</v>
      </c>
      <c r="I111" s="56">
        <v>55096</v>
      </c>
      <c r="J111" s="56">
        <v>28498</v>
      </c>
      <c r="K111" s="41">
        <f>(J111-'2016'!J222)/'2016'!J222</f>
        <v>8.8624035449614183E-2</v>
      </c>
      <c r="L111" s="68">
        <v>28587</v>
      </c>
    </row>
    <row r="112" spans="1:12" x14ac:dyDescent="0.25">
      <c r="A112" s="33" t="s">
        <v>12</v>
      </c>
      <c r="B112" s="1" t="s">
        <v>13</v>
      </c>
      <c r="C112" s="32" t="s">
        <v>7</v>
      </c>
      <c r="D112" s="56">
        <v>147058</v>
      </c>
      <c r="E112" s="41">
        <f>(D112-'2016'!D223)/'2016'!D223</f>
        <v>8.2351382581751537E-2</v>
      </c>
      <c r="F112" s="56">
        <v>155038</v>
      </c>
      <c r="G112" s="56">
        <v>105596</v>
      </c>
      <c r="H112" s="41">
        <f>(G112-'2016'!G223)/'2016'!G223</f>
        <v>0.17528687657907333</v>
      </c>
      <c r="I112" s="56">
        <v>106044</v>
      </c>
      <c r="J112" s="56">
        <v>37397</v>
      </c>
      <c r="K112" s="41">
        <f>(J112-'2016'!J223)/'2016'!J223</f>
        <v>4.8239712972306309E-2</v>
      </c>
      <c r="L112" s="68">
        <v>37735</v>
      </c>
    </row>
    <row r="113" spans="1:12" x14ac:dyDescent="0.25">
      <c r="A113" s="33" t="s">
        <v>14</v>
      </c>
      <c r="B113" s="1" t="s">
        <v>15</v>
      </c>
      <c r="C113" s="32" t="s">
        <v>7</v>
      </c>
      <c r="D113" s="56">
        <v>138121</v>
      </c>
      <c r="E113" s="41">
        <f>(D113-'2016'!D224)/'2016'!D224</f>
        <v>4.1440150801131011E-2</v>
      </c>
      <c r="F113" s="56">
        <v>140646</v>
      </c>
      <c r="G113" s="56">
        <v>102774</v>
      </c>
      <c r="H113" s="41">
        <f>(G113-'2016'!G224)/'2016'!G224</f>
        <v>0.16340461177962168</v>
      </c>
      <c r="I113" s="56">
        <v>105485</v>
      </c>
      <c r="J113" s="56">
        <v>35880</v>
      </c>
      <c r="K113" s="41">
        <f>(J113-'2016'!J224)/'2016'!J224</f>
        <v>9.6803241782980644E-3</v>
      </c>
      <c r="L113" s="68">
        <v>38095</v>
      </c>
    </row>
    <row r="114" spans="1:12" ht="15.75" thickBot="1" x14ac:dyDescent="0.3">
      <c r="A114" s="87" t="s">
        <v>256</v>
      </c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9"/>
    </row>
    <row r="115" spans="1:12" ht="15.75" thickBot="1" x14ac:dyDescent="0.3">
      <c r="A115" s="15"/>
      <c r="B115" s="13"/>
      <c r="C115" s="21"/>
    </row>
    <row r="116" spans="1:12" ht="18.75" x14ac:dyDescent="0.3">
      <c r="A116" s="90" t="s">
        <v>260</v>
      </c>
      <c r="B116" s="91"/>
      <c r="C116" s="91"/>
      <c r="D116" s="91"/>
      <c r="E116" s="91"/>
      <c r="F116" s="91"/>
      <c r="G116" s="91"/>
      <c r="H116" s="91"/>
      <c r="I116" s="91"/>
      <c r="J116" s="91"/>
      <c r="K116" s="91"/>
      <c r="L116" s="92"/>
    </row>
    <row r="117" spans="1:12" ht="45" x14ac:dyDescent="0.25">
      <c r="A117" s="66" t="s">
        <v>2</v>
      </c>
      <c r="B117" s="54" t="s">
        <v>3</v>
      </c>
      <c r="C117" s="54" t="s">
        <v>4</v>
      </c>
      <c r="D117" s="55" t="s">
        <v>78</v>
      </c>
      <c r="E117" s="55" t="s">
        <v>232</v>
      </c>
      <c r="F117" s="55" t="s">
        <v>85</v>
      </c>
      <c r="G117" s="55" t="s">
        <v>79</v>
      </c>
      <c r="H117" s="55" t="s">
        <v>232</v>
      </c>
      <c r="I117" s="55" t="s">
        <v>82</v>
      </c>
      <c r="J117" s="55" t="s">
        <v>80</v>
      </c>
      <c r="K117" s="55" t="s">
        <v>232</v>
      </c>
      <c r="L117" s="67" t="s">
        <v>81</v>
      </c>
    </row>
    <row r="118" spans="1:12" x14ac:dyDescent="0.25">
      <c r="A118" s="66" t="s">
        <v>5</v>
      </c>
      <c r="B118" s="54" t="s">
        <v>6</v>
      </c>
      <c r="C118" s="54" t="s">
        <v>7</v>
      </c>
      <c r="D118" s="56">
        <v>145772</v>
      </c>
      <c r="E118" s="57">
        <f>(D118-'2016'!D229)/'2016'!D229</f>
        <v>-2.1867933517187698E-2</v>
      </c>
      <c r="F118" s="56">
        <v>148148</v>
      </c>
      <c r="G118" s="56">
        <v>101626</v>
      </c>
      <c r="H118" s="57">
        <f>(G118-'2016'!G229)/'2016'!G229</f>
        <v>8.0288711957734946E-2</v>
      </c>
      <c r="I118" s="56">
        <v>102459</v>
      </c>
      <c r="J118" s="56">
        <v>37050</v>
      </c>
      <c r="K118" s="57">
        <f>(J118-'2016'!J229)/'2016'!J229</f>
        <v>4.8002603531038975E-3</v>
      </c>
      <c r="L118" s="68">
        <v>37050</v>
      </c>
    </row>
    <row r="119" spans="1:12" x14ac:dyDescent="0.25">
      <c r="A119" s="66" t="s">
        <v>8</v>
      </c>
      <c r="B119" s="54" t="s">
        <v>9</v>
      </c>
      <c r="C119" s="54" t="s">
        <v>7</v>
      </c>
      <c r="D119" s="56">
        <v>139470</v>
      </c>
      <c r="E119" s="57">
        <f>(D119-'2016'!D230)/'2016'!D230</f>
        <v>-2.2312885112826229E-2</v>
      </c>
      <c r="F119" s="56">
        <v>142653</v>
      </c>
      <c r="G119" s="56">
        <v>93283</v>
      </c>
      <c r="H119" s="57">
        <f>(G119-'2016'!G230)/'2016'!G230</f>
        <v>0.17070568893462681</v>
      </c>
      <c r="I119" s="56">
        <v>93720</v>
      </c>
      <c r="J119" s="56">
        <v>34153</v>
      </c>
      <c r="K119" s="57">
        <f>(J119-'2016'!J230)/'2016'!J230</f>
        <v>-2.0814816938559019E-2</v>
      </c>
      <c r="L119" s="68">
        <v>34879</v>
      </c>
    </row>
    <row r="120" spans="1:12" x14ac:dyDescent="0.25">
      <c r="A120" s="66" t="s">
        <v>10</v>
      </c>
      <c r="B120" s="54" t="s">
        <v>9</v>
      </c>
      <c r="C120" s="54" t="s">
        <v>11</v>
      </c>
      <c r="D120" s="56">
        <v>81499</v>
      </c>
      <c r="E120" s="57">
        <f>(D120-'2016'!D231)/'2016'!D231</f>
        <v>2.5260721339522712E-2</v>
      </c>
      <c r="F120" s="56">
        <v>85910</v>
      </c>
      <c r="G120" s="56">
        <v>67750</v>
      </c>
      <c r="H120" s="57">
        <f>(G120-'2016'!G231)/'2016'!G231</f>
        <v>0.30418880418880417</v>
      </c>
      <c r="I120" s="56">
        <v>71275</v>
      </c>
      <c r="J120" s="56">
        <v>31436</v>
      </c>
      <c r="K120" s="57">
        <f>(J120-'2016'!J231)/'2016'!J231</f>
        <v>-6.9183383351761173E-3</v>
      </c>
      <c r="L120" s="68">
        <v>32268</v>
      </c>
    </row>
    <row r="121" spans="1:12" x14ac:dyDescent="0.25">
      <c r="A121" s="66" t="s">
        <v>12</v>
      </c>
      <c r="B121" s="54" t="s">
        <v>13</v>
      </c>
      <c r="C121" s="54" t="s">
        <v>11</v>
      </c>
      <c r="D121" s="56">
        <v>73421</v>
      </c>
      <c r="E121" s="57">
        <f>(D121-'2016'!D232)/'2016'!D232</f>
        <v>2.9369177389831436E-3</v>
      </c>
      <c r="F121" s="56">
        <v>74239</v>
      </c>
      <c r="G121" s="56">
        <v>67294</v>
      </c>
      <c r="H121" s="57">
        <f>(G121-'2016'!G232)/'2016'!G232</f>
        <v>0.27388028622269339</v>
      </c>
      <c r="I121" s="56">
        <v>67704</v>
      </c>
      <c r="J121" s="56">
        <v>32000</v>
      </c>
      <c r="K121" s="57">
        <f>(J121-'2016'!J232)/'2016'!J232</f>
        <v>1.2828937075628148E-3</v>
      </c>
      <c r="L121" s="68">
        <v>32154</v>
      </c>
    </row>
    <row r="122" spans="1:12" x14ac:dyDescent="0.25">
      <c r="A122" s="66" t="s">
        <v>14</v>
      </c>
      <c r="B122" s="54" t="s">
        <v>15</v>
      </c>
      <c r="C122" s="54" t="s">
        <v>11</v>
      </c>
      <c r="D122" s="56">
        <v>72463</v>
      </c>
      <c r="E122" s="57">
        <f>(D122-'2016'!D233)/'2016'!D233</f>
        <v>2.680987941222315E-2</v>
      </c>
      <c r="F122" s="56">
        <v>72833</v>
      </c>
      <c r="G122" s="56">
        <v>67159</v>
      </c>
      <c r="H122" s="57">
        <f>(G122-'2016'!G233)/'2016'!G233</f>
        <v>0.32706937775406564</v>
      </c>
      <c r="I122" s="56">
        <v>68027</v>
      </c>
      <c r="J122" s="56">
        <v>32743</v>
      </c>
      <c r="K122" s="57">
        <f>(J122-'2016'!J233)/'2016'!J233</f>
        <v>3.3717442778216256E-2</v>
      </c>
      <c r="L122" s="68">
        <v>32862</v>
      </c>
    </row>
    <row r="123" spans="1:12" ht="15.75" thickBot="1" x14ac:dyDescent="0.3">
      <c r="A123" s="93" t="s">
        <v>257</v>
      </c>
      <c r="B123" s="94"/>
      <c r="C123" s="94"/>
      <c r="D123" s="94"/>
      <c r="E123" s="94"/>
      <c r="F123" s="94"/>
      <c r="G123" s="94"/>
      <c r="H123" s="94"/>
      <c r="I123" s="69"/>
      <c r="J123" s="69"/>
      <c r="K123" s="70"/>
      <c r="L123" s="71"/>
    </row>
    <row r="124" spans="1:12" ht="19.5" thickBot="1" x14ac:dyDescent="0.35">
      <c r="A124" s="83" t="s">
        <v>258</v>
      </c>
      <c r="B124" s="84"/>
      <c r="C124" s="84"/>
      <c r="D124" s="85"/>
      <c r="E124" s="85"/>
      <c r="F124" s="85"/>
      <c r="G124" s="85"/>
      <c r="H124" s="85"/>
      <c r="I124" s="85"/>
      <c r="J124" s="85"/>
      <c r="K124" s="85"/>
      <c r="L124" s="86"/>
    </row>
    <row r="125" spans="1:12" ht="45" x14ac:dyDescent="0.25">
      <c r="A125" s="33" t="s">
        <v>2</v>
      </c>
      <c r="B125" s="1" t="s">
        <v>3</v>
      </c>
      <c r="C125" s="32" t="s">
        <v>4</v>
      </c>
      <c r="D125" s="22" t="s">
        <v>78</v>
      </c>
      <c r="E125" s="23" t="s">
        <v>232</v>
      </c>
      <c r="F125" s="24" t="s">
        <v>85</v>
      </c>
      <c r="G125" s="22" t="s">
        <v>79</v>
      </c>
      <c r="H125" s="56" t="s">
        <v>232</v>
      </c>
      <c r="I125" s="51" t="s">
        <v>82</v>
      </c>
      <c r="J125" s="22" t="s">
        <v>80</v>
      </c>
      <c r="K125" s="23" t="s">
        <v>232</v>
      </c>
      <c r="L125" s="24" t="s">
        <v>81</v>
      </c>
    </row>
    <row r="126" spans="1:12" x14ac:dyDescent="0.25">
      <c r="A126" s="33" t="s">
        <v>5</v>
      </c>
      <c r="B126" s="1" t="s">
        <v>6</v>
      </c>
      <c r="C126" s="32" t="s">
        <v>7</v>
      </c>
      <c r="D126" s="56">
        <v>165016</v>
      </c>
      <c r="E126" s="41">
        <f>(D126-'2016'!D220)/'2016'!D220</f>
        <v>0.14851264633416389</v>
      </c>
      <c r="F126" s="56">
        <v>167504</v>
      </c>
      <c r="G126" s="56">
        <v>106723</v>
      </c>
      <c r="H126" s="41">
        <f>(G126-'2016'!G220)/'2016'!G220</f>
        <v>7.3639628582638353E-2</v>
      </c>
      <c r="I126" s="56">
        <v>113122</v>
      </c>
      <c r="J126" s="56">
        <v>37907</v>
      </c>
      <c r="K126" s="41">
        <f>(J126-'2016'!J220)/'2016'!J220</f>
        <v>-4.935030843942775E-3</v>
      </c>
      <c r="L126" s="56">
        <v>38565</v>
      </c>
    </row>
    <row r="127" spans="1:12" x14ac:dyDescent="0.25">
      <c r="A127" s="33" t="s">
        <v>8</v>
      </c>
      <c r="B127" s="1" t="s">
        <v>9</v>
      </c>
      <c r="C127" s="32" t="s">
        <v>7</v>
      </c>
      <c r="D127" s="56">
        <v>154320</v>
      </c>
      <c r="E127" s="41">
        <f>(D127-'2016'!D221)/'2016'!D221</f>
        <v>4.0123477592726144E-2</v>
      </c>
      <c r="F127" s="56">
        <v>162601</v>
      </c>
      <c r="G127" s="56">
        <v>101626</v>
      </c>
      <c r="H127" s="41">
        <f>(G127-'2016'!G221)/'2016'!G221</f>
        <v>0.22460144359959994</v>
      </c>
      <c r="I127" s="56">
        <v>104493</v>
      </c>
      <c r="J127" s="56">
        <v>35752</v>
      </c>
      <c r="K127" s="41">
        <f>(J127-'2016'!J221)/'2016'!J221</f>
        <v>-9.6673222348411404E-3</v>
      </c>
      <c r="L127" s="56">
        <v>36536</v>
      </c>
    </row>
    <row r="128" spans="1:12" x14ac:dyDescent="0.25">
      <c r="A128" s="33" t="s">
        <v>10</v>
      </c>
      <c r="B128" s="1" t="s">
        <v>9</v>
      </c>
      <c r="C128" s="32" t="s">
        <v>11</v>
      </c>
      <c r="D128" s="56">
        <v>63051</v>
      </c>
      <c r="E128" s="41">
        <f>(D128-'2016'!D222)/'2016'!D222</f>
        <v>3.0261932384516087E-2</v>
      </c>
      <c r="F128" s="56">
        <v>63572</v>
      </c>
      <c r="G128" s="56">
        <v>55834</v>
      </c>
      <c r="H128" s="41">
        <f>(G128-'2016'!G222)/'2016'!G222</f>
        <v>0.30988856304985335</v>
      </c>
      <c r="I128" s="56">
        <v>56529</v>
      </c>
      <c r="J128" s="56">
        <v>28216</v>
      </c>
      <c r="K128" s="41">
        <f>(J128-'2016'!J222)/'2016'!J222</f>
        <v>7.7851631140652452E-2</v>
      </c>
      <c r="L128" s="56">
        <v>28918</v>
      </c>
    </row>
    <row r="129" spans="1:12" x14ac:dyDescent="0.25">
      <c r="A129" s="33" t="s">
        <v>12</v>
      </c>
      <c r="B129" s="1" t="s">
        <v>13</v>
      </c>
      <c r="C129" s="32" t="s">
        <v>7</v>
      </c>
      <c r="D129" s="56">
        <v>144508</v>
      </c>
      <c r="E129" s="41">
        <f>(D129-'2016'!D223)/'2016'!D223</f>
        <v>6.3583304506546742E-2</v>
      </c>
      <c r="F129" s="56">
        <v>157232</v>
      </c>
      <c r="G129" s="56">
        <v>103734</v>
      </c>
      <c r="H129" s="41">
        <f>(G129-'2016'!G223)/'2016'!G223</f>
        <v>0.15456275668636682</v>
      </c>
      <c r="I129" s="56">
        <v>106496</v>
      </c>
      <c r="J129" s="56">
        <v>36616</v>
      </c>
      <c r="K129" s="41">
        <f>(J129-'2016'!J223)/'2016'!J223</f>
        <v>2.6348245318981948E-2</v>
      </c>
      <c r="L129" s="56">
        <v>37721</v>
      </c>
    </row>
    <row r="130" spans="1:12" x14ac:dyDescent="0.25">
      <c r="A130" s="33" t="s">
        <v>14</v>
      </c>
      <c r="B130" s="1" t="s">
        <v>15</v>
      </c>
      <c r="C130" s="32" t="s">
        <v>7</v>
      </c>
      <c r="D130" s="56">
        <v>134048</v>
      </c>
      <c r="E130" s="41">
        <f>(D130-'2016'!D224)/'2016'!D224</f>
        <v>1.0729500471253534E-2</v>
      </c>
      <c r="F130" s="56">
        <v>136425</v>
      </c>
      <c r="G130" s="56">
        <v>103305</v>
      </c>
      <c r="H130" s="41">
        <f>(G130-'2016'!G224)/'2016'!G224</f>
        <v>0.16941554692717825</v>
      </c>
      <c r="I130" s="56">
        <v>104602</v>
      </c>
      <c r="J130" s="56">
        <v>37593</v>
      </c>
      <c r="K130" s="41">
        <f>(J130-'2016'!J224)/'2016'!J224</f>
        <v>5.7884961728950926E-2</v>
      </c>
      <c r="L130" s="56">
        <v>37907</v>
      </c>
    </row>
    <row r="131" spans="1:12" ht="15.75" thickBot="1" x14ac:dyDescent="0.3">
      <c r="A131" s="87" t="s">
        <v>262</v>
      </c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9"/>
    </row>
    <row r="132" spans="1:12" ht="15.75" thickBot="1" x14ac:dyDescent="0.3">
      <c r="A132" s="15"/>
      <c r="B132" s="13"/>
      <c r="C132" s="21"/>
    </row>
    <row r="133" spans="1:12" ht="18.75" x14ac:dyDescent="0.3">
      <c r="A133" s="90" t="s">
        <v>259</v>
      </c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 s="92"/>
    </row>
    <row r="134" spans="1:12" ht="45" x14ac:dyDescent="0.25">
      <c r="A134" s="66" t="s">
        <v>2</v>
      </c>
      <c r="B134" s="54" t="s">
        <v>3</v>
      </c>
      <c r="C134" s="54" t="s">
        <v>4</v>
      </c>
      <c r="D134" s="55" t="s">
        <v>78</v>
      </c>
      <c r="E134" s="55" t="s">
        <v>232</v>
      </c>
      <c r="F134" s="55" t="s">
        <v>85</v>
      </c>
      <c r="G134" s="55" t="s">
        <v>79</v>
      </c>
      <c r="H134" s="55" t="s">
        <v>232</v>
      </c>
      <c r="I134" s="55" t="s">
        <v>82</v>
      </c>
      <c r="J134" s="55" t="s">
        <v>80</v>
      </c>
      <c r="K134" s="55" t="s">
        <v>232</v>
      </c>
      <c r="L134" s="67" t="s">
        <v>81</v>
      </c>
    </row>
    <row r="135" spans="1:12" x14ac:dyDescent="0.25">
      <c r="A135" s="66" t="s">
        <v>5</v>
      </c>
      <c r="B135" s="54" t="s">
        <v>6</v>
      </c>
      <c r="C135" s="54" t="s">
        <v>7</v>
      </c>
      <c r="D135" s="56">
        <v>147928</v>
      </c>
      <c r="E135" s="57">
        <f>(D135-'2016'!D229)/'2016'!D229</f>
        <v>-7.4011447282780092E-3</v>
      </c>
      <c r="F135" s="56">
        <v>149700</v>
      </c>
      <c r="G135" s="56">
        <v>102459</v>
      </c>
      <c r="H135" s="57">
        <f>(G135-'2016'!G229)/'2016'!G229</f>
        <v>8.9143537465585232E-2</v>
      </c>
      <c r="I135" s="56">
        <v>103626</v>
      </c>
      <c r="J135" s="56">
        <v>36536</v>
      </c>
      <c r="K135" s="57">
        <f>(J135-'2016'!J229)/'2016'!J229</f>
        <v>-9.1394787513899064E-3</v>
      </c>
      <c r="L135" s="56">
        <v>36724</v>
      </c>
    </row>
    <row r="136" spans="1:12" x14ac:dyDescent="0.25">
      <c r="A136" s="66" t="s">
        <v>8</v>
      </c>
      <c r="B136" s="54" t="s">
        <v>9</v>
      </c>
      <c r="C136" s="54" t="s">
        <v>7</v>
      </c>
      <c r="D136" s="56">
        <v>142045</v>
      </c>
      <c r="E136" s="57">
        <f>(D136-'2016'!D230)/'2016'!D230</f>
        <v>-4.2620905273636029E-3</v>
      </c>
      <c r="F136" s="56">
        <v>145137</v>
      </c>
      <c r="G136" s="56">
        <v>93283</v>
      </c>
      <c r="H136" s="57">
        <f>(G136-'2016'!G230)/'2016'!G230</f>
        <v>0.17070568893462681</v>
      </c>
      <c r="I136" s="56">
        <v>93720</v>
      </c>
      <c r="J136" s="56">
        <v>34270</v>
      </c>
      <c r="K136" s="57">
        <f>(J136-'2016'!J230)/'2016'!J230</f>
        <v>-1.7460362969121821E-2</v>
      </c>
      <c r="L136" s="56">
        <v>34317</v>
      </c>
    </row>
    <row r="137" spans="1:12" x14ac:dyDescent="0.25">
      <c r="A137" s="66" t="s">
        <v>10</v>
      </c>
      <c r="B137" s="54" t="s">
        <v>9</v>
      </c>
      <c r="C137" s="54" t="s">
        <v>11</v>
      </c>
      <c r="D137" s="56">
        <v>83682</v>
      </c>
      <c r="E137" s="57">
        <f>(D137-'2016'!D231)/'2016'!D231</f>
        <v>5.272294976789825E-2</v>
      </c>
      <c r="F137" s="56">
        <v>85106</v>
      </c>
      <c r="G137" s="56">
        <v>70721</v>
      </c>
      <c r="H137" s="57">
        <f>(G137-'2016'!G231)/'2016'!G231</f>
        <v>0.36138061138061139</v>
      </c>
      <c r="I137" s="56">
        <v>71174</v>
      </c>
      <c r="J137" s="56">
        <v>31959</v>
      </c>
      <c r="K137" s="57">
        <f>(J137-'2016'!J231)/'2016'!J231</f>
        <v>9.6035381456326015E-3</v>
      </c>
      <c r="L137" s="56">
        <v>32113</v>
      </c>
    </row>
    <row r="138" spans="1:12" x14ac:dyDescent="0.25">
      <c r="A138" s="66" t="s">
        <v>12</v>
      </c>
      <c r="B138" s="54" t="s">
        <v>13</v>
      </c>
      <c r="C138" s="54" t="s">
        <v>11</v>
      </c>
      <c r="D138" s="56">
        <v>73421</v>
      </c>
      <c r="E138" s="57">
        <f>(D138-'2016'!D232)/'2016'!D232</f>
        <v>2.9369177389831436E-3</v>
      </c>
      <c r="F138" s="56">
        <v>74850</v>
      </c>
      <c r="G138" s="56">
        <v>66755</v>
      </c>
      <c r="H138" s="57">
        <f>(G138-'2016'!G232)/'2016'!G232</f>
        <v>0.2636769772460531</v>
      </c>
      <c r="I138" s="56">
        <v>67069</v>
      </c>
      <c r="J138" s="56">
        <v>31847</v>
      </c>
      <c r="K138" s="57">
        <f>(J138-'2016'!J232)/'2016'!J232</f>
        <v>-3.50449012797647E-3</v>
      </c>
      <c r="L138" s="56">
        <v>32154</v>
      </c>
    </row>
    <row r="139" spans="1:12" x14ac:dyDescent="0.25">
      <c r="A139" s="66" t="s">
        <v>14</v>
      </c>
      <c r="B139" s="54" t="s">
        <v>15</v>
      </c>
      <c r="C139" s="54" t="s">
        <v>11</v>
      </c>
      <c r="D139" s="56">
        <v>72150</v>
      </c>
      <c r="E139" s="57">
        <f>(D139-'2016'!D233)/'2016'!D233</f>
        <v>2.2374629805444163E-2</v>
      </c>
      <c r="F139" s="56">
        <v>73313</v>
      </c>
      <c r="G139" s="56">
        <v>66979</v>
      </c>
      <c r="H139" s="57">
        <f>(G139-'2016'!G233)/'2016'!G233</f>
        <v>0.32351255755132691</v>
      </c>
      <c r="I139" s="56">
        <v>67934</v>
      </c>
      <c r="J139" s="56">
        <v>32268</v>
      </c>
      <c r="K139" s="57">
        <f>(J139-'2016'!J233)/'2016'!J233</f>
        <v>1.8721389108129441E-2</v>
      </c>
      <c r="L139" s="56">
        <v>32743</v>
      </c>
    </row>
    <row r="140" spans="1:12" ht="15.75" thickBot="1" x14ac:dyDescent="0.3">
      <c r="A140" s="93" t="s">
        <v>263</v>
      </c>
      <c r="B140" s="94"/>
      <c r="C140" s="94"/>
      <c r="D140" s="94"/>
      <c r="E140" s="94"/>
      <c r="F140" s="94"/>
      <c r="G140" s="94"/>
      <c r="H140" s="94"/>
      <c r="I140" s="69"/>
      <c r="J140" s="69"/>
      <c r="K140" s="70"/>
      <c r="L140" s="56"/>
    </row>
    <row r="141" spans="1:12" ht="19.5" thickBot="1" x14ac:dyDescent="0.35">
      <c r="A141" s="83" t="s">
        <v>264</v>
      </c>
      <c r="B141" s="84"/>
      <c r="C141" s="84"/>
      <c r="D141" s="85"/>
      <c r="E141" s="85"/>
      <c r="F141" s="85"/>
      <c r="G141" s="85"/>
      <c r="H141" s="85"/>
      <c r="I141" s="85"/>
      <c r="J141" s="85"/>
      <c r="K141" s="85"/>
      <c r="L141" s="86"/>
    </row>
    <row r="142" spans="1:12" ht="45" x14ac:dyDescent="0.25">
      <c r="A142" s="33" t="s">
        <v>2</v>
      </c>
      <c r="B142" s="1" t="s">
        <v>3</v>
      </c>
      <c r="C142" s="32" t="s">
        <v>4</v>
      </c>
      <c r="D142" s="22" t="s">
        <v>78</v>
      </c>
      <c r="E142" s="23" t="s">
        <v>232</v>
      </c>
      <c r="F142" s="24" t="s">
        <v>85</v>
      </c>
      <c r="G142" s="22" t="s">
        <v>79</v>
      </c>
      <c r="H142" s="56" t="s">
        <v>232</v>
      </c>
      <c r="I142" s="51" t="s">
        <v>82</v>
      </c>
      <c r="J142" s="22" t="s">
        <v>80</v>
      </c>
      <c r="K142" s="23" t="s">
        <v>232</v>
      </c>
      <c r="L142" s="24" t="s">
        <v>81</v>
      </c>
    </row>
    <row r="143" spans="1:12" x14ac:dyDescent="0.25">
      <c r="A143" s="33" t="s">
        <v>5</v>
      </c>
      <c r="B143" s="1" t="s">
        <v>6</v>
      </c>
      <c r="C143" s="32" t="s">
        <v>7</v>
      </c>
      <c r="D143" s="56">
        <v>151515</v>
      </c>
      <c r="E143" s="41">
        <f>(D143-'2016'!D220)/'2016'!D220</f>
        <v>5.4545581091050822E-2</v>
      </c>
      <c r="F143" s="56">
        <v>154320</v>
      </c>
      <c r="G143" s="56">
        <v>110497</v>
      </c>
      <c r="H143" s="41">
        <f>(G143-'2016'!G220)/'2016'!G220</f>
        <v>0.11160628954860517</v>
      </c>
      <c r="I143" s="56">
        <v>112612</v>
      </c>
      <c r="J143" s="56">
        <v>38774</v>
      </c>
      <c r="K143" s="41">
        <f>(J143-'2016'!J220)/'2016'!J220</f>
        <v>1.7823861399133743E-2</v>
      </c>
      <c r="L143" s="56">
        <v>39108</v>
      </c>
    </row>
    <row r="144" spans="1:12" x14ac:dyDescent="0.25">
      <c r="A144" s="33" t="s">
        <v>8</v>
      </c>
      <c r="B144" s="1" t="s">
        <v>9</v>
      </c>
      <c r="C144" s="32" t="s">
        <v>7</v>
      </c>
      <c r="D144" s="56">
        <v>159489</v>
      </c>
      <c r="E144" s="41">
        <f>(D144-'2016'!D221)/'2016'!D221</f>
        <v>7.4962761260927296E-2</v>
      </c>
      <c r="F144" s="56">
        <v>164203</v>
      </c>
      <c r="G144" s="56">
        <v>101936</v>
      </c>
      <c r="H144" s="41">
        <f>(G144-'2016'!G221)/'2016'!G221</f>
        <v>0.22833696844084014</v>
      </c>
      <c r="I144" s="56">
        <v>104493</v>
      </c>
      <c r="J144" s="56">
        <v>36023</v>
      </c>
      <c r="K144" s="41">
        <f>(J144-'2016'!J221)/'2016'!J221</f>
        <v>-2.1606049693914295E-3</v>
      </c>
      <c r="L144" s="56">
        <v>36523</v>
      </c>
    </row>
    <row r="145" spans="1:12" x14ac:dyDescent="0.25">
      <c r="A145" s="33" t="s">
        <v>10</v>
      </c>
      <c r="B145" s="1" t="s">
        <v>9</v>
      </c>
      <c r="C145" s="32" t="s">
        <v>11</v>
      </c>
      <c r="D145" s="56">
        <v>61462</v>
      </c>
      <c r="E145" s="41">
        <f>(D145-'2016'!D222)/'2016'!D222</f>
        <v>4.297455840781712E-3</v>
      </c>
      <c r="F145" s="56">
        <v>63051</v>
      </c>
      <c r="G145" s="56">
        <v>55096</v>
      </c>
      <c r="H145" s="41">
        <f>(G145-'2016'!G222)/'2016'!G222</f>
        <v>0.29257478005865101</v>
      </c>
      <c r="I145" s="56">
        <v>57537</v>
      </c>
      <c r="J145" s="56">
        <v>28587</v>
      </c>
      <c r="K145" s="41">
        <f>(J145-'2016'!J222)/'2016'!J222</f>
        <v>9.2023836809534729E-2</v>
      </c>
      <c r="L145" s="56">
        <v>28587</v>
      </c>
    </row>
    <row r="146" spans="1:12" x14ac:dyDescent="0.25">
      <c r="A146" s="33" t="s">
        <v>12</v>
      </c>
      <c r="B146" s="1" t="s">
        <v>13</v>
      </c>
      <c r="C146" s="32" t="s">
        <v>7</v>
      </c>
      <c r="D146" s="56">
        <v>126582</v>
      </c>
      <c r="E146" s="41">
        <f>(D146-'2016'!D223)/'2016'!D223</f>
        <v>-6.8352604346834087E-2</v>
      </c>
      <c r="F146" s="56">
        <v>157232</v>
      </c>
      <c r="G146" s="56">
        <v>103734</v>
      </c>
      <c r="H146" s="41">
        <f>(G146-'2016'!G223)/'2016'!G223</f>
        <v>0.15456275668636682</v>
      </c>
      <c r="I146" s="56">
        <v>106269</v>
      </c>
      <c r="J146" s="56">
        <v>36023</v>
      </c>
      <c r="K146" s="41">
        <f>(J146-'2016'!J223)/'2016'!J223</f>
        <v>9.7264267294539745E-3</v>
      </c>
      <c r="L146" s="56">
        <v>37735</v>
      </c>
    </row>
    <row r="147" spans="1:12" x14ac:dyDescent="0.25">
      <c r="A147" s="33" t="s">
        <v>14</v>
      </c>
      <c r="B147" s="1" t="s">
        <v>15</v>
      </c>
      <c r="C147" s="32" t="s">
        <v>7</v>
      </c>
      <c r="D147" s="56">
        <v>135317</v>
      </c>
      <c r="E147" s="41">
        <f>(D147-'2016'!D224)/'2016'!D224</f>
        <v>2.0297832233741753E-2</v>
      </c>
      <c r="F147" s="56">
        <v>136425</v>
      </c>
      <c r="G147" s="56">
        <v>103626</v>
      </c>
      <c r="H147" s="41">
        <f>(G147-'2016'!G224)/'2016'!G224</f>
        <v>0.17304927608417572</v>
      </c>
      <c r="I147" s="56">
        <v>106044</v>
      </c>
      <c r="J147" s="56">
        <v>37593</v>
      </c>
      <c r="K147" s="41">
        <f>(J147-'2016'!J224)/'2016'!J224</f>
        <v>5.7884961728950926E-2</v>
      </c>
      <c r="L147" s="56">
        <v>37950</v>
      </c>
    </row>
    <row r="148" spans="1:12" ht="15.75" thickBot="1" x14ac:dyDescent="0.3">
      <c r="A148" s="87" t="s">
        <v>267</v>
      </c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9"/>
    </row>
    <row r="149" spans="1:12" ht="15.75" thickBot="1" x14ac:dyDescent="0.3">
      <c r="A149" s="15"/>
      <c r="B149" s="13"/>
      <c r="C149" s="21"/>
    </row>
    <row r="150" spans="1:12" ht="18.75" x14ac:dyDescent="0.3">
      <c r="A150" s="90" t="s">
        <v>265</v>
      </c>
      <c r="B150" s="91"/>
      <c r="C150" s="91"/>
      <c r="D150" s="91"/>
      <c r="E150" s="91"/>
      <c r="F150" s="91"/>
      <c r="G150" s="91"/>
      <c r="H150" s="91"/>
      <c r="I150" s="91"/>
      <c r="J150" s="91"/>
      <c r="K150" s="91"/>
      <c r="L150" s="92"/>
    </row>
    <row r="151" spans="1:12" ht="45" x14ac:dyDescent="0.25">
      <c r="A151" s="66" t="s">
        <v>2</v>
      </c>
      <c r="B151" s="54" t="s">
        <v>3</v>
      </c>
      <c r="C151" s="54" t="s">
        <v>4</v>
      </c>
      <c r="D151" s="55" t="s">
        <v>78</v>
      </c>
      <c r="E151" s="55" t="s">
        <v>232</v>
      </c>
      <c r="F151" s="55" t="s">
        <v>85</v>
      </c>
      <c r="G151" s="55" t="s">
        <v>79</v>
      </c>
      <c r="H151" s="55" t="s">
        <v>232</v>
      </c>
      <c r="I151" s="55" t="s">
        <v>82</v>
      </c>
      <c r="J151" s="55" t="s">
        <v>80</v>
      </c>
      <c r="K151" s="55" t="s">
        <v>232</v>
      </c>
      <c r="L151" s="67" t="s">
        <v>81</v>
      </c>
    </row>
    <row r="152" spans="1:12" x14ac:dyDescent="0.25">
      <c r="A152" s="66" t="s">
        <v>5</v>
      </c>
      <c r="B152" s="54" t="s">
        <v>6</v>
      </c>
      <c r="C152" s="54" t="s">
        <v>7</v>
      </c>
      <c r="D152" s="56">
        <v>149031</v>
      </c>
      <c r="E152" s="57">
        <f>(D152-'2016'!D229)/'2016'!D229</f>
        <v>0</v>
      </c>
      <c r="F152" s="56">
        <v>153139</v>
      </c>
      <c r="G152" s="56">
        <v>98814</v>
      </c>
      <c r="H152" s="57">
        <f>(G152-'2016'!G229)/'2016'!G229</f>
        <v>5.0397032092098691E-2</v>
      </c>
      <c r="I152" s="56">
        <v>102040</v>
      </c>
      <c r="J152" s="56">
        <v>36873</v>
      </c>
      <c r="K152" s="57">
        <f>(J152-'2016'!J229)/'2016'!J229</f>
        <v>0</v>
      </c>
      <c r="L152" s="56">
        <v>37050</v>
      </c>
    </row>
    <row r="153" spans="1:12" x14ac:dyDescent="0.25">
      <c r="A153" s="66" t="s">
        <v>8</v>
      </c>
      <c r="B153" s="54" t="s">
        <v>9</v>
      </c>
      <c r="C153" s="54" t="s">
        <v>7</v>
      </c>
      <c r="D153" s="56">
        <v>147492</v>
      </c>
      <c r="E153" s="57">
        <f>(D153-'2016'!D230)/'2016'!D230</f>
        <v>3.3921473786040254E-2</v>
      </c>
      <c r="F153" s="56">
        <v>147710</v>
      </c>
      <c r="G153" s="56">
        <v>92081</v>
      </c>
      <c r="H153" s="57">
        <f>(G153-'2016'!G230)/'2016'!G230</f>
        <v>0.15562053689085228</v>
      </c>
      <c r="I153" s="56">
        <v>95057</v>
      </c>
      <c r="J153" s="56">
        <v>34710</v>
      </c>
      <c r="K153" s="57">
        <f>(J153-'2016'!J230)/'2016'!J230</f>
        <v>-4.8453224002981739E-3</v>
      </c>
      <c r="L153" s="56">
        <v>34710</v>
      </c>
    </row>
    <row r="154" spans="1:12" x14ac:dyDescent="0.25">
      <c r="A154" s="66" t="s">
        <v>10</v>
      </c>
      <c r="B154" s="54" t="s">
        <v>9</v>
      </c>
      <c r="C154" s="54" t="s">
        <v>11</v>
      </c>
      <c r="D154" s="56">
        <v>81900</v>
      </c>
      <c r="E154" s="57">
        <f>(D154-'2016'!D231)/'2016'!D231</f>
        <v>3.0305317583122618E-2</v>
      </c>
      <c r="F154" s="56">
        <v>82644</v>
      </c>
      <c r="G154" s="56">
        <v>67159</v>
      </c>
      <c r="H154" s="57">
        <f>(G154-'2016'!G231)/'2016'!G231</f>
        <v>0.29281204281204282</v>
      </c>
      <c r="I154" s="56">
        <v>70472</v>
      </c>
      <c r="J154" s="56">
        <v>31847</v>
      </c>
      <c r="K154" s="57">
        <f>(J154-'2016'!J231)/'2016'!J231</f>
        <v>6.0653925130311169E-3</v>
      </c>
      <c r="L154" s="56">
        <v>32113</v>
      </c>
    </row>
    <row r="155" spans="1:12" x14ac:dyDescent="0.25">
      <c r="A155" s="66" t="s">
        <v>12</v>
      </c>
      <c r="B155" s="54" t="s">
        <v>13</v>
      </c>
      <c r="C155" s="54" t="s">
        <v>11</v>
      </c>
      <c r="D155" s="56">
        <v>74019</v>
      </c>
      <c r="E155" s="57">
        <f>(D155-'2016'!D232)/'2016'!D232</f>
        <v>1.1105647078108351E-2</v>
      </c>
      <c r="F155" s="56">
        <v>74906</v>
      </c>
      <c r="G155" s="56">
        <v>66755</v>
      </c>
      <c r="H155" s="57">
        <f>(G155-'2016'!G232)/'2016'!G232</f>
        <v>0.2636769772460531</v>
      </c>
      <c r="I155" s="56">
        <v>67796</v>
      </c>
      <c r="J155" s="56">
        <v>32000</v>
      </c>
      <c r="K155" s="57">
        <f>(J155-'2016'!J232)/'2016'!J232</f>
        <v>1.2828937075628148E-3</v>
      </c>
      <c r="L155" s="56">
        <v>32154</v>
      </c>
    </row>
    <row r="156" spans="1:12" x14ac:dyDescent="0.25">
      <c r="A156" s="66" t="s">
        <v>14</v>
      </c>
      <c r="B156" s="54" t="s">
        <v>15</v>
      </c>
      <c r="C156" s="54" t="s">
        <v>11</v>
      </c>
      <c r="D156" s="56">
        <v>71633</v>
      </c>
      <c r="E156" s="57">
        <f>(D156-'2016'!D233)/'2016'!D233</f>
        <v>1.5048674384662255E-2</v>
      </c>
      <c r="F156" s="56">
        <v>72780</v>
      </c>
      <c r="G156" s="56">
        <v>66357</v>
      </c>
      <c r="H156" s="57">
        <f>(G156-'2016'!G233)/'2016'!G233</f>
        <v>0.31122176773964078</v>
      </c>
      <c r="I156" s="56">
        <v>66979</v>
      </c>
      <c r="J156" s="56">
        <v>31857</v>
      </c>
      <c r="K156" s="57">
        <f>(J156-'2016'!J233)/'2016'!J233</f>
        <v>5.7458563535911604E-3</v>
      </c>
      <c r="L156" s="56">
        <v>32446</v>
      </c>
    </row>
    <row r="157" spans="1:12" ht="15.75" thickBot="1" x14ac:dyDescent="0.3">
      <c r="A157" s="93" t="s">
        <v>266</v>
      </c>
      <c r="B157" s="94"/>
      <c r="C157" s="94"/>
      <c r="D157" s="94"/>
      <c r="E157" s="94"/>
      <c r="F157" s="94"/>
      <c r="G157" s="94"/>
      <c r="H157" s="94"/>
      <c r="I157" s="69"/>
      <c r="J157" s="69"/>
      <c r="K157" s="70"/>
      <c r="L157" s="56"/>
    </row>
    <row r="158" spans="1:12" ht="19.5" thickBot="1" x14ac:dyDescent="0.35">
      <c r="A158" s="83" t="s">
        <v>268</v>
      </c>
      <c r="B158" s="84"/>
      <c r="C158" s="84"/>
      <c r="D158" s="85"/>
      <c r="E158" s="85"/>
      <c r="F158" s="85"/>
      <c r="G158" s="85"/>
      <c r="H158" s="85"/>
      <c r="I158" s="85"/>
      <c r="J158" s="85"/>
      <c r="K158" s="85"/>
      <c r="L158" s="86"/>
    </row>
    <row r="159" spans="1:12" ht="45" x14ac:dyDescent="0.25">
      <c r="A159" s="33" t="s">
        <v>2</v>
      </c>
      <c r="B159" s="1" t="s">
        <v>3</v>
      </c>
      <c r="C159" s="32" t="s">
        <v>4</v>
      </c>
      <c r="D159" s="22" t="s">
        <v>78</v>
      </c>
      <c r="E159" s="23" t="s">
        <v>232</v>
      </c>
      <c r="F159" s="24" t="s">
        <v>85</v>
      </c>
      <c r="G159" s="22" t="s">
        <v>79</v>
      </c>
      <c r="H159" s="56" t="s">
        <v>232</v>
      </c>
      <c r="I159" s="51" t="s">
        <v>82</v>
      </c>
      <c r="J159" s="22" t="s">
        <v>80</v>
      </c>
      <c r="K159" s="23" t="s">
        <v>232</v>
      </c>
      <c r="L159" s="24" t="s">
        <v>81</v>
      </c>
    </row>
    <row r="160" spans="1:12" x14ac:dyDescent="0.25">
      <c r="A160" s="33" t="s">
        <v>5</v>
      </c>
      <c r="B160" s="1" t="s">
        <v>6</v>
      </c>
      <c r="C160" s="32" t="s">
        <v>7</v>
      </c>
      <c r="D160" s="56">
        <v>164203</v>
      </c>
      <c r="E160" s="41">
        <f>(D160-'2016'!D220)/'2016'!D220</f>
        <v>0.14285415999665921</v>
      </c>
      <c r="F160" s="56">
        <v>166666</v>
      </c>
      <c r="G160" s="56">
        <v>107181</v>
      </c>
      <c r="H160" s="41">
        <f>(G160-'2016'!G220)/'2016'!G220</f>
        <v>7.8247135398328019E-2</v>
      </c>
      <c r="I160" s="56">
        <v>111982</v>
      </c>
      <c r="J160" s="56">
        <v>38565</v>
      </c>
      <c r="K160" s="41">
        <f>(J160-'2016'!J220)/'2016'!J220</f>
        <v>1.2337577109856937E-2</v>
      </c>
      <c r="L160" s="56">
        <v>38910</v>
      </c>
    </row>
    <row r="161" spans="1:12" x14ac:dyDescent="0.25">
      <c r="A161" s="33" t="s">
        <v>8</v>
      </c>
      <c r="B161" s="1" t="s">
        <v>9</v>
      </c>
      <c r="C161" s="32" t="s">
        <v>7</v>
      </c>
      <c r="D161" s="56">
        <v>159235</v>
      </c>
      <c r="E161" s="41">
        <f>(D161-'2016'!D221)/'2016'!D221</f>
        <v>7.3250790270073529E-2</v>
      </c>
      <c r="F161" s="56">
        <v>161812</v>
      </c>
      <c r="G161" s="56">
        <v>104058</v>
      </c>
      <c r="H161" s="41">
        <f>(G161-'2016'!G221)/'2016'!G221</f>
        <v>0.2539072384831359</v>
      </c>
      <c r="I161" s="56">
        <v>105374</v>
      </c>
      <c r="J161" s="56">
        <v>36192</v>
      </c>
      <c r="K161" s="41">
        <f>(J161-'2016'!J221)/'2016'!J221</f>
        <v>2.5207057976233344E-3</v>
      </c>
      <c r="L161" s="56">
        <v>36697</v>
      </c>
    </row>
    <row r="162" spans="1:12" x14ac:dyDescent="0.25">
      <c r="A162" s="33" t="s">
        <v>10</v>
      </c>
      <c r="B162" s="1" t="s">
        <v>9</v>
      </c>
      <c r="C162" s="32" t="s">
        <v>11</v>
      </c>
      <c r="D162" s="56">
        <v>61162</v>
      </c>
      <c r="E162" s="41">
        <f>(D162-'2016'!D222)/'2016'!D222</f>
        <v>-6.0458504223925228E-4</v>
      </c>
      <c r="F162" s="56">
        <v>63091</v>
      </c>
      <c r="G162" s="56">
        <v>55897</v>
      </c>
      <c r="H162" s="41">
        <f>(G162-'2016'!G222)/'2016'!G222</f>
        <v>0.31136656891495601</v>
      </c>
      <c r="I162" s="56">
        <v>55897</v>
      </c>
      <c r="J162" s="56">
        <v>26903</v>
      </c>
      <c r="K162" s="41">
        <f>(J162-'2016'!J222)/'2016'!J222</f>
        <v>2.7695011078004431E-2</v>
      </c>
      <c r="L162" s="56">
        <v>28686</v>
      </c>
    </row>
    <row r="163" spans="1:12" x14ac:dyDescent="0.25">
      <c r="A163" s="33" t="s">
        <v>12</v>
      </c>
      <c r="B163" s="1" t="s">
        <v>13</v>
      </c>
      <c r="C163" s="32" t="s">
        <v>7</v>
      </c>
      <c r="D163" s="56">
        <v>125786</v>
      </c>
      <c r="E163" s="41">
        <f>(D163-'2016'!D223)/'2016'!D223</f>
        <v>-7.4211188718545068E-2</v>
      </c>
      <c r="F163" s="56">
        <v>159235</v>
      </c>
      <c r="G163" s="56">
        <v>105596</v>
      </c>
      <c r="H163" s="41">
        <f>(G163-'2016'!G223)/'2016'!G223</f>
        <v>0.17528687657907333</v>
      </c>
      <c r="I163" s="56">
        <v>105820</v>
      </c>
      <c r="J163" s="56">
        <v>36900</v>
      </c>
      <c r="K163" s="41">
        <f>(J163-'2016'!J223)/'2016'!J223</f>
        <v>3.4308779011099896E-2</v>
      </c>
      <c r="L163" s="56">
        <v>37735</v>
      </c>
    </row>
    <row r="164" spans="1:12" x14ac:dyDescent="0.25">
      <c r="A164" s="33" t="s">
        <v>14</v>
      </c>
      <c r="B164" s="1" t="s">
        <v>15</v>
      </c>
      <c r="C164" s="32" t="s">
        <v>7</v>
      </c>
      <c r="D164" s="56">
        <v>133689</v>
      </c>
      <c r="E164" s="41">
        <f>(D164-'2016'!D224)/'2016'!D224</f>
        <v>8.0226201696512716E-3</v>
      </c>
      <c r="F164" s="56">
        <v>137741</v>
      </c>
      <c r="G164" s="56">
        <v>101626</v>
      </c>
      <c r="H164" s="41">
        <f>(G164-'2016'!G224)/'2016'!G224</f>
        <v>0.15040921903123197</v>
      </c>
      <c r="I164" s="56">
        <v>103305</v>
      </c>
      <c r="J164" s="56">
        <v>37537</v>
      </c>
      <c r="K164" s="41">
        <f>(J164-'2016'!J224)/'2016'!J224</f>
        <v>5.6309095002251237E-2</v>
      </c>
      <c r="L164" s="56">
        <v>37764</v>
      </c>
    </row>
    <row r="165" spans="1:12" ht="15.75" thickBot="1" x14ac:dyDescent="0.3">
      <c r="A165" s="87" t="s">
        <v>269</v>
      </c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9"/>
    </row>
    <row r="166" spans="1:12" ht="15.75" thickBot="1" x14ac:dyDescent="0.3">
      <c r="A166" s="15"/>
      <c r="B166" s="13"/>
      <c r="C166" s="21"/>
    </row>
    <row r="167" spans="1:12" ht="18.75" x14ac:dyDescent="0.3">
      <c r="A167" s="90" t="s">
        <v>271</v>
      </c>
      <c r="B167" s="91"/>
      <c r="C167" s="91"/>
      <c r="D167" s="91"/>
      <c r="E167" s="91"/>
      <c r="F167" s="91"/>
      <c r="G167" s="91"/>
      <c r="H167" s="91"/>
      <c r="I167" s="91"/>
      <c r="J167" s="91"/>
      <c r="K167" s="91"/>
      <c r="L167" s="92"/>
    </row>
    <row r="168" spans="1:12" ht="45" x14ac:dyDescent="0.25">
      <c r="A168" s="66" t="s">
        <v>2</v>
      </c>
      <c r="B168" s="54" t="s">
        <v>3</v>
      </c>
      <c r="C168" s="54" t="s">
        <v>4</v>
      </c>
      <c r="D168" s="55" t="s">
        <v>78</v>
      </c>
      <c r="E168" s="55" t="s">
        <v>232</v>
      </c>
      <c r="F168" s="55" t="s">
        <v>85</v>
      </c>
      <c r="G168" s="55" t="s">
        <v>79</v>
      </c>
      <c r="H168" s="55" t="s">
        <v>232</v>
      </c>
      <c r="I168" s="55" t="s">
        <v>82</v>
      </c>
      <c r="J168" s="55" t="s">
        <v>80</v>
      </c>
      <c r="K168" s="55" t="s">
        <v>232</v>
      </c>
      <c r="L168" s="67" t="s">
        <v>81</v>
      </c>
    </row>
    <row r="169" spans="1:12" x14ac:dyDescent="0.25">
      <c r="A169" s="66" t="s">
        <v>5</v>
      </c>
      <c r="B169" s="54" t="s">
        <v>6</v>
      </c>
      <c r="C169" s="54" t="s">
        <v>7</v>
      </c>
      <c r="D169" s="56">
        <v>151057</v>
      </c>
      <c r="E169" s="57">
        <f>(D169-'2016'!D229)/'2016'!D229</f>
        <v>1.3594487053029236E-2</v>
      </c>
      <c r="F169" s="56">
        <v>152439</v>
      </c>
      <c r="G169" s="56">
        <v>102040</v>
      </c>
      <c r="H169" s="57">
        <f>(G169-'2016'!G229)/'2016'!G229</f>
        <v>8.4689549605093922E-2</v>
      </c>
      <c r="I169" s="56">
        <v>102459</v>
      </c>
      <c r="J169" s="56">
        <v>37050</v>
      </c>
      <c r="K169" s="57">
        <f>(J169-'2016'!J229)/'2016'!J229</f>
        <v>4.8002603531038975E-3</v>
      </c>
      <c r="L169" s="56">
        <v>37216</v>
      </c>
    </row>
    <row r="170" spans="1:12" x14ac:dyDescent="0.25">
      <c r="A170" s="66" t="s">
        <v>8</v>
      </c>
      <c r="B170" s="54" t="s">
        <v>9</v>
      </c>
      <c r="C170" s="54" t="s">
        <v>7</v>
      </c>
      <c r="D170" s="56">
        <v>145137</v>
      </c>
      <c r="E170" s="57">
        <f>(D170-'2016'!D230)/'2016'!D230</f>
        <v>1.7412883009821033E-2</v>
      </c>
      <c r="F170" s="56">
        <v>147058</v>
      </c>
      <c r="G170" s="56">
        <v>92850</v>
      </c>
      <c r="H170" s="57">
        <f>(G170-'2016'!G230)/'2016'!G230</f>
        <v>0.16527152018674465</v>
      </c>
      <c r="I170" s="56">
        <v>94607</v>
      </c>
      <c r="J170" s="56">
        <v>34435</v>
      </c>
      <c r="K170" s="57">
        <f>(J170-'2016'!J230)/'2016'!J230</f>
        <v>-1.2729722755812953E-2</v>
      </c>
      <c r="L170" s="56">
        <v>34710</v>
      </c>
    </row>
    <row r="171" spans="1:12" x14ac:dyDescent="0.25">
      <c r="A171" s="66" t="s">
        <v>10</v>
      </c>
      <c r="B171" s="54" t="s">
        <v>9</v>
      </c>
      <c r="C171" s="54" t="s">
        <v>11</v>
      </c>
      <c r="D171" s="56">
        <v>82712</v>
      </c>
      <c r="E171" s="57">
        <f>(D171-'2016'!D231)/'2016'!D231</f>
        <v>4.052031047539973E-2</v>
      </c>
      <c r="F171" s="56">
        <v>84175</v>
      </c>
      <c r="G171" s="56">
        <v>67750</v>
      </c>
      <c r="H171" s="57">
        <f>(G171-'2016'!G231)/'2016'!G231</f>
        <v>0.30418880418880417</v>
      </c>
      <c r="I171" s="56">
        <v>68073</v>
      </c>
      <c r="J171" s="56">
        <v>31565</v>
      </c>
      <c r="K171" s="57">
        <f>(J171-'2016'!J231)/'2016'!J231</f>
        <v>-2.8431527404833359E-3</v>
      </c>
      <c r="L171" s="56">
        <v>31735</v>
      </c>
    </row>
    <row r="172" spans="1:12" x14ac:dyDescent="0.25">
      <c r="A172" s="66" t="s">
        <v>12</v>
      </c>
      <c r="B172" s="54" t="s">
        <v>13</v>
      </c>
      <c r="C172" s="54" t="s">
        <v>11</v>
      </c>
      <c r="D172" s="56">
        <v>74239</v>
      </c>
      <c r="E172" s="57">
        <f>(D172-'2016'!D232)/'2016'!D232</f>
        <v>1.4110865229625987E-2</v>
      </c>
      <c r="F172" s="56">
        <v>74850</v>
      </c>
      <c r="G172" s="56">
        <v>66445</v>
      </c>
      <c r="H172" s="57">
        <f>(G172-'2016'!G232)/'2016'!G232</f>
        <v>0.25780865482906146</v>
      </c>
      <c r="I172" s="56">
        <v>66755</v>
      </c>
      <c r="J172" s="56">
        <v>32000</v>
      </c>
      <c r="K172" s="57">
        <f>(J172-'2016'!J232)/'2016'!J232</f>
        <v>1.2828937075628148E-3</v>
      </c>
      <c r="L172" s="56">
        <v>32154</v>
      </c>
    </row>
    <row r="173" spans="1:12" x14ac:dyDescent="0.25">
      <c r="A173" s="66" t="s">
        <v>14</v>
      </c>
      <c r="B173" s="54" t="s">
        <v>15</v>
      </c>
      <c r="C173" s="54" t="s">
        <v>11</v>
      </c>
      <c r="D173" s="56">
        <v>72886</v>
      </c>
      <c r="E173" s="57">
        <f>(D173-'2016'!D233)/'2016'!D233</f>
        <v>3.2803842938317437E-2</v>
      </c>
      <c r="F173" s="56">
        <v>73800</v>
      </c>
      <c r="G173" s="56">
        <v>65919</v>
      </c>
      <c r="H173" s="57">
        <f>(G173-'2016'!G233)/'2016'!G233</f>
        <v>0.30256683857964312</v>
      </c>
      <c r="I173" s="56">
        <v>67704</v>
      </c>
      <c r="J173" s="56">
        <v>31806</v>
      </c>
      <c r="K173" s="57">
        <f>(J173-'2016'!J233)/'2016'!J233</f>
        <v>4.135753749013418E-3</v>
      </c>
      <c r="L173" s="56">
        <v>32071</v>
      </c>
    </row>
    <row r="174" spans="1:12" ht="15.75" thickBot="1" x14ac:dyDescent="0.3">
      <c r="A174" s="93" t="s">
        <v>270</v>
      </c>
      <c r="B174" s="94"/>
      <c r="C174" s="94"/>
      <c r="D174" s="94"/>
      <c r="E174" s="94"/>
      <c r="F174" s="94"/>
      <c r="G174" s="94"/>
      <c r="H174" s="94"/>
      <c r="I174" s="69"/>
      <c r="J174" s="69"/>
      <c r="K174" s="70"/>
      <c r="L174" s="56"/>
    </row>
    <row r="175" spans="1:12" ht="19.5" thickBot="1" x14ac:dyDescent="0.35">
      <c r="A175" s="83" t="s">
        <v>272</v>
      </c>
      <c r="B175" s="84"/>
      <c r="C175" s="84"/>
      <c r="D175" s="85"/>
      <c r="E175" s="85"/>
      <c r="F175" s="85"/>
      <c r="G175" s="85"/>
      <c r="H175" s="85"/>
      <c r="I175" s="85"/>
      <c r="J175" s="85"/>
      <c r="K175" s="85"/>
      <c r="L175" s="86"/>
    </row>
    <row r="176" spans="1:12" ht="45" x14ac:dyDescent="0.25">
      <c r="A176" s="33" t="s">
        <v>2</v>
      </c>
      <c r="B176" s="1" t="s">
        <v>3</v>
      </c>
      <c r="C176" s="32" t="s">
        <v>4</v>
      </c>
      <c r="D176" s="22" t="s">
        <v>78</v>
      </c>
      <c r="E176" s="23" t="s">
        <v>232</v>
      </c>
      <c r="F176" s="24" t="s">
        <v>85</v>
      </c>
      <c r="G176" s="22" t="s">
        <v>79</v>
      </c>
      <c r="H176" s="56" t="s">
        <v>232</v>
      </c>
      <c r="I176" s="51" t="s">
        <v>82</v>
      </c>
      <c r="J176" s="22" t="s">
        <v>80</v>
      </c>
      <c r="K176" s="23" t="s">
        <v>232</v>
      </c>
      <c r="L176" s="24" t="s">
        <v>81</v>
      </c>
    </row>
    <row r="177" spans="1:12" x14ac:dyDescent="0.25">
      <c r="A177" s="33" t="s">
        <v>5</v>
      </c>
      <c r="B177" s="1" t="s">
        <v>6</v>
      </c>
      <c r="C177" s="32" t="s">
        <v>7</v>
      </c>
      <c r="D177" s="56">
        <v>168918</v>
      </c>
      <c r="E177" s="41">
        <f>(D177-'2016'!D220)/'2016'!D220</f>
        <v>0.17567059675106836</v>
      </c>
      <c r="F177" s="56">
        <v>172413</v>
      </c>
      <c r="G177" s="56">
        <v>111982</v>
      </c>
      <c r="H177" s="41">
        <f>(G177-'2016'!G220)/'2016'!G220</f>
        <v>0.12654547649467321</v>
      </c>
      <c r="I177" s="56">
        <v>113122</v>
      </c>
      <c r="J177" s="56">
        <v>36900</v>
      </c>
      <c r="K177" s="41">
        <f>(J177-'2016'!J220)/'2016'!J220</f>
        <v>-3.1368946055912852E-2</v>
      </c>
      <c r="L177" s="56">
        <v>38240</v>
      </c>
    </row>
    <row r="178" spans="1:12" x14ac:dyDescent="0.25">
      <c r="A178" s="33" t="s">
        <v>8</v>
      </c>
      <c r="B178" s="1" t="s">
        <v>9</v>
      </c>
      <c r="C178" s="32" t="s">
        <v>7</v>
      </c>
      <c r="D178" s="56">
        <v>163398</v>
      </c>
      <c r="E178" s="41">
        <f>(D178-'2016'!D221)/'2016'!D221</f>
        <v>0.10130959040757041</v>
      </c>
      <c r="F178" s="56">
        <v>165562</v>
      </c>
      <c r="G178" s="56">
        <v>103199</v>
      </c>
      <c r="H178" s="41">
        <f>(G178-'2016'!G221)/'2016'!G221</f>
        <v>0.24355621964886068</v>
      </c>
      <c r="I178" s="56">
        <v>104493</v>
      </c>
      <c r="J178" s="56">
        <v>34602</v>
      </c>
      <c r="K178" s="41">
        <f>(J178-'2016'!J221)/'2016'!J221</f>
        <v>-4.1522395501509657E-2</v>
      </c>
      <c r="L178" s="56">
        <v>36697</v>
      </c>
    </row>
    <row r="179" spans="1:12" x14ac:dyDescent="0.25">
      <c r="A179" s="33" t="s">
        <v>10</v>
      </c>
      <c r="B179" s="1" t="s">
        <v>9</v>
      </c>
      <c r="C179" s="32" t="s">
        <v>11</v>
      </c>
      <c r="D179" s="56">
        <v>63572</v>
      </c>
      <c r="E179" s="41">
        <f>(D179-'2016'!D222)/'2016'!D222</f>
        <v>3.8775143384695829E-2</v>
      </c>
      <c r="F179" s="56">
        <v>64516</v>
      </c>
      <c r="G179" s="56">
        <v>55897</v>
      </c>
      <c r="H179" s="41">
        <f>(G179-'2016'!G222)/'2016'!G222</f>
        <v>0.31136656891495601</v>
      </c>
      <c r="I179" s="56">
        <v>57372</v>
      </c>
      <c r="J179" s="56">
        <v>28409</v>
      </c>
      <c r="K179" s="41">
        <f>(J179-'2016'!J222)/'2016'!J222</f>
        <v>8.5224234089693637E-2</v>
      </c>
      <c r="L179" s="56">
        <v>28587</v>
      </c>
    </row>
    <row r="180" spans="1:12" x14ac:dyDescent="0.25">
      <c r="A180" s="33" t="s">
        <v>12</v>
      </c>
      <c r="B180" s="1" t="s">
        <v>13</v>
      </c>
      <c r="C180" s="32" t="s">
        <v>7</v>
      </c>
      <c r="D180" s="56">
        <v>130718</v>
      </c>
      <c r="E180" s="41">
        <f>(D180-'2016'!D223)/'2016'!D223</f>
        <v>-3.791151771191368E-2</v>
      </c>
      <c r="F180" s="56">
        <v>158982</v>
      </c>
      <c r="G180" s="56">
        <v>101112</v>
      </c>
      <c r="H180" s="41">
        <f>(G180-'2016'!G223)/'2016'!G223</f>
        <v>0.12537981234765769</v>
      </c>
      <c r="I180" s="56">
        <v>101626</v>
      </c>
      <c r="J180" s="56">
        <v>36616</v>
      </c>
      <c r="K180" s="41">
        <f>(J180-'2016'!J223)/'2016'!J223</f>
        <v>2.6348245318981948E-2</v>
      </c>
      <c r="L180" s="56">
        <v>37735</v>
      </c>
    </row>
    <row r="181" spans="1:12" x14ac:dyDescent="0.25">
      <c r="A181" s="33" t="s">
        <v>14</v>
      </c>
      <c r="B181" s="1" t="s">
        <v>15</v>
      </c>
      <c r="C181" s="32" t="s">
        <v>7</v>
      </c>
      <c r="D181" s="56">
        <v>137741</v>
      </c>
      <c r="E181" s="41">
        <f>(D181-'2016'!D224)/'2016'!D224</f>
        <v>3.857492931196984E-2</v>
      </c>
      <c r="F181" s="56">
        <v>143061</v>
      </c>
      <c r="G181" s="56">
        <v>105596</v>
      </c>
      <c r="H181" s="41">
        <f>(G181-'2016'!G224)/'2016'!G224</f>
        <v>0.19534973228132535</v>
      </c>
      <c r="I181" s="56">
        <v>105596</v>
      </c>
      <c r="J181" s="56">
        <v>35536</v>
      </c>
      <c r="K181" s="41">
        <f>(J181-'2016'!J224)/'2016'!J224</f>
        <v>0</v>
      </c>
      <c r="L181" s="56">
        <v>38051</v>
      </c>
    </row>
    <row r="182" spans="1:12" ht="15.75" thickBot="1" x14ac:dyDescent="0.3">
      <c r="A182" s="87" t="s">
        <v>273</v>
      </c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9"/>
    </row>
    <row r="183" spans="1:12" ht="15.75" thickBot="1" x14ac:dyDescent="0.3">
      <c r="A183" s="15"/>
      <c r="B183" s="13"/>
      <c r="C183" s="21"/>
    </row>
    <row r="184" spans="1:12" ht="18.75" x14ac:dyDescent="0.3">
      <c r="A184" s="90" t="s">
        <v>274</v>
      </c>
      <c r="B184" s="91"/>
      <c r="C184" s="91"/>
      <c r="D184" s="91"/>
      <c r="E184" s="91"/>
      <c r="F184" s="91"/>
      <c r="G184" s="91"/>
      <c r="H184" s="91"/>
      <c r="I184" s="91"/>
      <c r="J184" s="91"/>
      <c r="K184" s="91"/>
      <c r="L184" s="92"/>
    </row>
    <row r="185" spans="1:12" ht="45" x14ac:dyDescent="0.25">
      <c r="A185" s="66" t="s">
        <v>2</v>
      </c>
      <c r="B185" s="54" t="s">
        <v>3</v>
      </c>
      <c r="C185" s="54" t="s">
        <v>4</v>
      </c>
      <c r="D185" s="55" t="s">
        <v>78</v>
      </c>
      <c r="E185" s="55" t="s">
        <v>232</v>
      </c>
      <c r="F185" s="55" t="s">
        <v>85</v>
      </c>
      <c r="G185" s="55" t="s">
        <v>79</v>
      </c>
      <c r="H185" s="55" t="s">
        <v>232</v>
      </c>
      <c r="I185" s="55" t="s">
        <v>82</v>
      </c>
      <c r="J185" s="55" t="s">
        <v>80</v>
      </c>
      <c r="K185" s="55" t="s">
        <v>232</v>
      </c>
      <c r="L185" s="67" t="s">
        <v>81</v>
      </c>
    </row>
    <row r="186" spans="1:12" x14ac:dyDescent="0.25">
      <c r="A186" s="66" t="s">
        <v>5</v>
      </c>
      <c r="B186" s="54" t="s">
        <v>6</v>
      </c>
      <c r="C186" s="54" t="s">
        <v>7</v>
      </c>
      <c r="D186" s="56">
        <v>150375</v>
      </c>
      <c r="E186" s="57">
        <f>(D186-'2016'!D229)/'2016'!D229</f>
        <v>9.0182579463333138E-3</v>
      </c>
      <c r="F186" s="56">
        <v>152439</v>
      </c>
      <c r="G186" s="56">
        <v>99304</v>
      </c>
      <c r="H186" s="57">
        <f>(G186-'2016'!G229)/'2016'!G229</f>
        <v>5.5605752979069445E-2</v>
      </c>
      <c r="I186" s="56">
        <v>102459</v>
      </c>
      <c r="J186" s="56">
        <v>37216</v>
      </c>
      <c r="K186" s="57">
        <f>(J186-'2016'!J229)/'2016'!J229</f>
        <v>9.3021994413256311E-3</v>
      </c>
      <c r="L186" s="56">
        <v>37216</v>
      </c>
    </row>
    <row r="187" spans="1:12" x14ac:dyDescent="0.25">
      <c r="A187" s="66" t="s">
        <v>8</v>
      </c>
      <c r="B187" s="54" t="s">
        <v>9</v>
      </c>
      <c r="C187" s="54" t="s">
        <v>7</v>
      </c>
      <c r="D187" s="56">
        <v>144508</v>
      </c>
      <c r="E187" s="57">
        <f>(D187-'2016'!D230)/'2016'!D230</f>
        <v>1.3003582118847834E-2</v>
      </c>
      <c r="F187" s="56">
        <v>147492</v>
      </c>
      <c r="G187" s="56">
        <v>92850</v>
      </c>
      <c r="H187" s="57">
        <f>(G187-'2016'!G230)/'2016'!G230</f>
        <v>0.16527152018674465</v>
      </c>
      <c r="I187" s="56">
        <v>94161</v>
      </c>
      <c r="J187" s="56">
        <v>34435</v>
      </c>
      <c r="K187" s="57">
        <f>(J187-'2016'!J230)/'2016'!J230</f>
        <v>-1.2729722755812953E-2</v>
      </c>
      <c r="L187" s="56">
        <v>35001</v>
      </c>
    </row>
    <row r="188" spans="1:12" x14ac:dyDescent="0.25">
      <c r="A188" s="66" t="s">
        <v>10</v>
      </c>
      <c r="B188" s="54" t="s">
        <v>9</v>
      </c>
      <c r="C188" s="54" t="s">
        <v>11</v>
      </c>
      <c r="D188" s="56">
        <v>85470</v>
      </c>
      <c r="E188" s="57">
        <f>(D188-'2016'!D231)/'2016'!D231</f>
        <v>7.5216062195720274E-2</v>
      </c>
      <c r="F188" s="56">
        <v>86430</v>
      </c>
      <c r="G188" s="56">
        <v>69013</v>
      </c>
      <c r="H188" s="57">
        <f>(G188-'2016'!G231)/'2016'!G231</f>
        <v>0.32850157850157852</v>
      </c>
      <c r="I188" s="56">
        <v>72992</v>
      </c>
      <c r="J188" s="56">
        <v>31959</v>
      </c>
      <c r="K188" s="57">
        <f>(J188-'2016'!J231)/'2016'!J231</f>
        <v>9.6035381456326015E-3</v>
      </c>
      <c r="L188" s="56">
        <v>32268</v>
      </c>
    </row>
    <row r="189" spans="1:12" x14ac:dyDescent="0.25">
      <c r="A189" s="66" t="s">
        <v>12</v>
      </c>
      <c r="B189" s="54" t="s">
        <v>13</v>
      </c>
      <c r="C189" s="54" t="s">
        <v>11</v>
      </c>
      <c r="D189" s="56">
        <v>73855</v>
      </c>
      <c r="E189" s="57">
        <f>(D189-'2016'!D232)/'2016'!D232</f>
        <v>8.8653935469770236E-3</v>
      </c>
      <c r="F189" s="56">
        <v>74515</v>
      </c>
      <c r="G189" s="56">
        <v>66445</v>
      </c>
      <c r="H189" s="57">
        <f>(G189-'2016'!G232)/'2016'!G232</f>
        <v>0.25780865482906146</v>
      </c>
      <c r="I189" s="56">
        <v>66755</v>
      </c>
      <c r="J189" s="56">
        <v>32310</v>
      </c>
      <c r="K189" s="57">
        <f>(J189-'2016'!J232)/'2016'!J232</f>
        <v>1.098282174035483E-2</v>
      </c>
      <c r="L189" s="56">
        <v>32425</v>
      </c>
    </row>
    <row r="190" spans="1:12" x14ac:dyDescent="0.25">
      <c r="A190" s="66" t="s">
        <v>14</v>
      </c>
      <c r="B190" s="54" t="s">
        <v>15</v>
      </c>
      <c r="C190" s="54" t="s">
        <v>11</v>
      </c>
      <c r="D190" s="56">
        <v>72780</v>
      </c>
      <c r="E190" s="57">
        <f>(D190-'2016'!D233)/'2016'!D233</f>
        <v>3.1301809525159062E-2</v>
      </c>
      <c r="F190" s="56">
        <v>73099</v>
      </c>
      <c r="G190" s="56">
        <v>65963</v>
      </c>
      <c r="H190" s="57">
        <f>(G190-'2016'!G233)/'2016'!G233</f>
        <v>0.30343628351809038</v>
      </c>
      <c r="I190" s="56">
        <v>66533</v>
      </c>
      <c r="J190" s="56">
        <v>32862</v>
      </c>
      <c r="K190" s="57">
        <f>(J190-'2016'!J233)/'2016'!J233</f>
        <v>3.7474348855564325E-2</v>
      </c>
      <c r="L190" s="56">
        <v>33025</v>
      </c>
    </row>
    <row r="191" spans="1:12" ht="15.75" thickBot="1" x14ac:dyDescent="0.3">
      <c r="A191" s="93" t="s">
        <v>275</v>
      </c>
      <c r="B191" s="94"/>
      <c r="C191" s="94"/>
      <c r="D191" s="94"/>
      <c r="E191" s="94"/>
      <c r="F191" s="95"/>
      <c r="G191" s="96"/>
      <c r="H191" s="97"/>
      <c r="I191" s="69"/>
      <c r="J191" s="69"/>
      <c r="K191" s="70"/>
      <c r="L191" s="56"/>
    </row>
    <row r="192" spans="1:12" ht="19.5" thickBot="1" x14ac:dyDescent="0.35">
      <c r="A192" s="83" t="s">
        <v>276</v>
      </c>
      <c r="B192" s="84"/>
      <c r="C192" s="84"/>
      <c r="D192" s="85"/>
      <c r="E192" s="85"/>
      <c r="F192" s="85"/>
      <c r="G192" s="85"/>
      <c r="H192" s="85"/>
      <c r="I192" s="85"/>
      <c r="J192" s="85"/>
      <c r="K192" s="85"/>
      <c r="L192" s="86"/>
    </row>
    <row r="193" spans="1:12" ht="45" x14ac:dyDescent="0.25">
      <c r="A193" s="33" t="s">
        <v>2</v>
      </c>
      <c r="B193" s="1" t="s">
        <v>3</v>
      </c>
      <c r="C193" s="32" t="s">
        <v>4</v>
      </c>
      <c r="D193" s="22" t="s">
        <v>78</v>
      </c>
      <c r="E193" s="23" t="s">
        <v>232</v>
      </c>
      <c r="F193" s="24" t="s">
        <v>85</v>
      </c>
      <c r="G193" s="22" t="s">
        <v>79</v>
      </c>
      <c r="H193" s="56" t="s">
        <v>232</v>
      </c>
      <c r="I193" s="51" t="s">
        <v>82</v>
      </c>
      <c r="J193" s="22" t="s">
        <v>80</v>
      </c>
      <c r="K193" s="23" t="s">
        <v>232</v>
      </c>
      <c r="L193" s="24" t="s">
        <v>81</v>
      </c>
    </row>
    <row r="194" spans="1:12" x14ac:dyDescent="0.25">
      <c r="A194" s="33" t="s">
        <v>5</v>
      </c>
      <c r="B194" s="1" t="s">
        <v>6</v>
      </c>
      <c r="C194" s="32" t="s">
        <v>7</v>
      </c>
      <c r="D194" s="56">
        <v>170068</v>
      </c>
      <c r="E194" s="41">
        <f>(D194-'2016'!D220)/'2016'!D220</f>
        <v>0.18367460571555841</v>
      </c>
      <c r="F194" s="56">
        <v>172413</v>
      </c>
      <c r="G194" s="56">
        <v>110987</v>
      </c>
      <c r="H194" s="41">
        <f>(G194-'2016'!G220)/'2016'!G220</f>
        <v>0.11653571823788014</v>
      </c>
      <c r="I194" s="56">
        <v>112107</v>
      </c>
      <c r="J194" s="56">
        <v>37864</v>
      </c>
      <c r="K194" s="41">
        <f>(J194-'2016'!J220)/'2016'!J220</f>
        <v>-6.0637878986743669E-3</v>
      </c>
      <c r="L194" s="56">
        <v>38925</v>
      </c>
    </row>
    <row r="195" spans="1:12" x14ac:dyDescent="0.25">
      <c r="A195" s="33" t="s">
        <v>8</v>
      </c>
      <c r="B195" s="1" t="s">
        <v>9</v>
      </c>
      <c r="C195" s="32" t="s">
        <v>7</v>
      </c>
      <c r="D195" s="56">
        <v>164203</v>
      </c>
      <c r="E195" s="41">
        <f>(D195-'2016'!D221)/'2016'!D221</f>
        <v>0.10673532524078805</v>
      </c>
      <c r="F195" s="56">
        <v>168634</v>
      </c>
      <c r="G195" s="56">
        <v>102459</v>
      </c>
      <c r="H195" s="41">
        <f>(G195-'2016'!G221)/'2016'!G221</f>
        <v>0.23463916035041632</v>
      </c>
      <c r="I195" s="56">
        <v>105042</v>
      </c>
      <c r="J195" s="56">
        <v>36179</v>
      </c>
      <c r="K195" s="41">
        <f>(J195-'2016'!J221)/'2016'!J221</f>
        <v>2.1606049693914295E-3</v>
      </c>
      <c r="L195" s="56">
        <v>36536</v>
      </c>
    </row>
    <row r="196" spans="1:12" x14ac:dyDescent="0.25">
      <c r="A196" s="33" t="s">
        <v>10</v>
      </c>
      <c r="B196" s="1" t="s">
        <v>9</v>
      </c>
      <c r="C196" s="32" t="s">
        <v>11</v>
      </c>
      <c r="D196" s="56">
        <v>62111</v>
      </c>
      <c r="E196" s="41">
        <f>(D196-'2016'!D222)/'2016'!D222</f>
        <v>1.4902204284383732E-2</v>
      </c>
      <c r="F196" s="56">
        <v>63051</v>
      </c>
      <c r="G196" s="56">
        <v>55897</v>
      </c>
      <c r="H196" s="41">
        <f>(G196-'2016'!G222)/'2016'!G222</f>
        <v>0.31136656891495601</v>
      </c>
      <c r="I196" s="56">
        <v>55897</v>
      </c>
      <c r="J196" s="56">
        <v>28089</v>
      </c>
      <c r="K196" s="41">
        <f>(J196-'2016'!J222)/'2016'!J222</f>
        <v>7.3000229200091679E-2</v>
      </c>
      <c r="L196" s="56">
        <v>28587</v>
      </c>
    </row>
    <row r="197" spans="1:12" x14ac:dyDescent="0.25">
      <c r="A197" s="33" t="s">
        <v>12</v>
      </c>
      <c r="B197" s="1" t="s">
        <v>13</v>
      </c>
      <c r="C197" s="32" t="s">
        <v>7</v>
      </c>
      <c r="D197" s="56">
        <v>131926</v>
      </c>
      <c r="E197" s="41">
        <f>(D197-'2016'!D223)/'2016'!D223</f>
        <v>-2.9020600725699019E-2</v>
      </c>
      <c r="F197" s="56">
        <v>143678</v>
      </c>
      <c r="G197" s="56">
        <v>99601</v>
      </c>
      <c r="H197" s="41">
        <f>(G197-'2016'!G223)/'2016'!G223</f>
        <v>0.10856233374514453</v>
      </c>
      <c r="I197" s="56">
        <v>107874</v>
      </c>
      <c r="J197" s="56">
        <v>36337</v>
      </c>
      <c r="K197" s="41">
        <f>(J197-'2016'!J223)/'2016'!J223</f>
        <v>1.8527861867922414E-2</v>
      </c>
      <c r="L197" s="56">
        <v>37551</v>
      </c>
    </row>
    <row r="198" spans="1:12" x14ac:dyDescent="0.25">
      <c r="A198" s="33" t="s">
        <v>14</v>
      </c>
      <c r="B198" s="1" t="s">
        <v>15</v>
      </c>
      <c r="C198" s="32" t="s">
        <v>7</v>
      </c>
      <c r="D198" s="56">
        <v>136425</v>
      </c>
      <c r="E198" s="41">
        <f>(D198-'2016'!D224)/'2016'!D224</f>
        <v>2.8652214891611686E-2</v>
      </c>
      <c r="F198" s="56">
        <v>138696</v>
      </c>
      <c r="G198" s="56">
        <v>102354</v>
      </c>
      <c r="H198" s="41">
        <f>(G198-'2016'!G224)/'2016'!G224</f>
        <v>0.15865019979850351</v>
      </c>
      <c r="I198" s="56">
        <v>105596</v>
      </c>
      <c r="J198" s="56">
        <v>35880</v>
      </c>
      <c r="K198" s="41">
        <f>(J198-'2016'!J224)/'2016'!J224</f>
        <v>9.6803241782980644E-3</v>
      </c>
      <c r="L198" s="56">
        <v>37721</v>
      </c>
    </row>
    <row r="199" spans="1:12" ht="15.75" thickBot="1" x14ac:dyDescent="0.3">
      <c r="A199" s="87" t="s">
        <v>278</v>
      </c>
      <c r="B199" s="88"/>
      <c r="C199" s="88"/>
      <c r="D199" s="88"/>
      <c r="E199" s="88"/>
      <c r="F199" s="88"/>
      <c r="G199" s="88"/>
      <c r="H199" s="88"/>
      <c r="I199" s="88"/>
      <c r="J199" s="88"/>
      <c r="K199" s="88"/>
      <c r="L199" s="89"/>
    </row>
    <row r="200" spans="1:12" ht="15.75" thickBot="1" x14ac:dyDescent="0.3">
      <c r="A200" s="15"/>
      <c r="B200" s="13"/>
      <c r="C200" s="21"/>
    </row>
    <row r="201" spans="1:12" ht="18.75" x14ac:dyDescent="0.3">
      <c r="A201" s="90" t="s">
        <v>277</v>
      </c>
      <c r="B201" s="91"/>
      <c r="C201" s="91"/>
      <c r="D201" s="91"/>
      <c r="E201" s="91"/>
      <c r="F201" s="91"/>
      <c r="G201" s="91"/>
      <c r="H201" s="91"/>
      <c r="I201" s="91"/>
      <c r="J201" s="91"/>
      <c r="K201" s="91"/>
      <c r="L201" s="92"/>
    </row>
    <row r="202" spans="1:12" ht="45" x14ac:dyDescent="0.25">
      <c r="A202" s="66" t="s">
        <v>2</v>
      </c>
      <c r="B202" s="54" t="s">
        <v>3</v>
      </c>
      <c r="C202" s="54" t="s">
        <v>4</v>
      </c>
      <c r="D202" s="55" t="s">
        <v>78</v>
      </c>
      <c r="E202" s="55" t="s">
        <v>232</v>
      </c>
      <c r="F202" s="55" t="s">
        <v>85</v>
      </c>
      <c r="G202" s="55" t="s">
        <v>79</v>
      </c>
      <c r="H202" s="55" t="s">
        <v>232</v>
      </c>
      <c r="I202" s="55" t="s">
        <v>82</v>
      </c>
      <c r="J202" s="55" t="s">
        <v>80</v>
      </c>
      <c r="K202" s="55" t="s">
        <v>232</v>
      </c>
      <c r="L202" s="67" t="s">
        <v>81</v>
      </c>
    </row>
    <row r="203" spans="1:12" x14ac:dyDescent="0.25">
      <c r="A203" s="66" t="s">
        <v>5</v>
      </c>
      <c r="B203" s="54" t="s">
        <v>6</v>
      </c>
      <c r="C203" s="54" t="s">
        <v>7</v>
      </c>
      <c r="D203" s="56" t="s">
        <v>249</v>
      </c>
      <c r="E203" s="57" t="e">
        <f>(D203-'2016'!D229)/'2016'!D229</f>
        <v>#VALUE!</v>
      </c>
      <c r="F203" s="56" t="s">
        <v>249</v>
      </c>
      <c r="G203" s="56" t="s">
        <v>249</v>
      </c>
      <c r="H203" s="57" t="e">
        <f>(G203-'2016'!G229)/'2016'!G229</f>
        <v>#VALUE!</v>
      </c>
      <c r="I203" s="56" t="s">
        <v>249</v>
      </c>
      <c r="J203" s="56">
        <v>36536</v>
      </c>
      <c r="K203" s="57">
        <f>(J203-'2016'!J229)/'2016'!J229</f>
        <v>-9.1394787513899064E-3</v>
      </c>
      <c r="L203" s="56">
        <v>36710</v>
      </c>
    </row>
    <row r="204" spans="1:12" x14ac:dyDescent="0.25">
      <c r="A204" s="66" t="s">
        <v>8</v>
      </c>
      <c r="B204" s="54" t="s">
        <v>9</v>
      </c>
      <c r="C204" s="54" t="s">
        <v>7</v>
      </c>
      <c r="D204" s="56">
        <v>144927</v>
      </c>
      <c r="E204" s="57">
        <f>(D204-'2016'!D230)/'2016'!D230</f>
        <v>1.5940779373725053E-2</v>
      </c>
      <c r="F204" s="56">
        <v>146198</v>
      </c>
      <c r="G204" s="56">
        <v>93283</v>
      </c>
      <c r="H204" s="57">
        <f>(G204-'2016'!G230)/'2016'!G230</f>
        <v>0.17070568893462681</v>
      </c>
      <c r="I204" s="56">
        <v>93720</v>
      </c>
      <c r="J204" s="56">
        <v>34153</v>
      </c>
      <c r="K204" s="57">
        <f>(J204-'2016'!J230)/'2016'!J230</f>
        <v>-2.0814816938559019E-2</v>
      </c>
      <c r="L204" s="56">
        <v>34602</v>
      </c>
    </row>
    <row r="205" spans="1:12" x14ac:dyDescent="0.25">
      <c r="A205" s="66" t="s">
        <v>10</v>
      </c>
      <c r="B205" s="54" t="s">
        <v>9</v>
      </c>
      <c r="C205" s="54" t="s">
        <v>11</v>
      </c>
      <c r="D205" s="56">
        <v>82850</v>
      </c>
      <c r="E205" s="57">
        <f>(D205-'2016'!D231)/'2016'!D231</f>
        <v>4.225635606546653E-2</v>
      </c>
      <c r="F205" s="56">
        <v>85616</v>
      </c>
      <c r="G205" s="56">
        <v>67159</v>
      </c>
      <c r="H205" s="57">
        <f>(G205-'2016'!G231)/'2016'!G231</f>
        <v>0.29281204281204282</v>
      </c>
      <c r="I205" s="56">
        <v>71633</v>
      </c>
      <c r="J205" s="56">
        <v>31655</v>
      </c>
      <c r="K205" s="57">
        <f>(J205-'2016'!J231)/'2016'!J231</f>
        <v>0</v>
      </c>
      <c r="L205" s="56">
        <v>32310</v>
      </c>
    </row>
    <row r="206" spans="1:12" x14ac:dyDescent="0.25">
      <c r="A206" s="66" t="s">
        <v>12</v>
      </c>
      <c r="B206" s="54" t="s">
        <v>13</v>
      </c>
      <c r="C206" s="54" t="s">
        <v>11</v>
      </c>
      <c r="D206" s="56">
        <v>72886</v>
      </c>
      <c r="E206" s="57">
        <f>(D206-'2016'!D232)/'2016'!D232</f>
        <v>-4.3712264022074693E-3</v>
      </c>
      <c r="F206" s="56">
        <v>73206</v>
      </c>
      <c r="G206" s="56">
        <v>67069</v>
      </c>
      <c r="H206" s="57">
        <f>(G206-'2016'!G232)/'2016'!G232</f>
        <v>0.2696210199522962</v>
      </c>
      <c r="I206" s="56">
        <v>67385</v>
      </c>
      <c r="J206" s="56">
        <v>31847</v>
      </c>
      <c r="K206" s="57">
        <f>(J206-'2016'!J232)/'2016'!J232</f>
        <v>-3.50449012797647E-3</v>
      </c>
      <c r="L206" s="56">
        <v>32154</v>
      </c>
    </row>
    <row r="207" spans="1:12" x14ac:dyDescent="0.25">
      <c r="A207" s="66" t="s">
        <v>14</v>
      </c>
      <c r="B207" s="54" t="s">
        <v>15</v>
      </c>
      <c r="C207" s="54" t="s">
        <v>11</v>
      </c>
      <c r="D207" s="56">
        <v>72254</v>
      </c>
      <c r="E207" s="57">
        <f>(D207-'2016'!D233)/'2016'!D233</f>
        <v>2.3848322965524082E-2</v>
      </c>
      <c r="F207" s="56">
        <v>73206</v>
      </c>
      <c r="G207" s="56">
        <v>65445</v>
      </c>
      <c r="H207" s="57">
        <f>(G207-'2016'!G233)/'2016'!G233</f>
        <v>0.29320054537909773</v>
      </c>
      <c r="I207" s="56">
        <v>65919</v>
      </c>
      <c r="J207" s="56">
        <v>32583</v>
      </c>
      <c r="K207" s="57">
        <f>(J207-'2016'!J233)/'2016'!J233</f>
        <v>2.8666140489344908E-2</v>
      </c>
      <c r="L207" s="56">
        <v>32743</v>
      </c>
    </row>
    <row r="208" spans="1:12" ht="15.75" thickBot="1" x14ac:dyDescent="0.3">
      <c r="A208" s="93" t="s">
        <v>279</v>
      </c>
      <c r="B208" s="94"/>
      <c r="C208" s="94"/>
      <c r="D208" s="94"/>
      <c r="E208" s="94"/>
      <c r="F208" s="95"/>
      <c r="G208" s="96"/>
      <c r="H208" s="97"/>
      <c r="I208" s="56"/>
      <c r="J208" s="56"/>
      <c r="K208" s="70"/>
      <c r="L208" s="56"/>
    </row>
    <row r="209" spans="1:12" ht="19.5" thickBot="1" x14ac:dyDescent="0.35">
      <c r="A209" s="83" t="s">
        <v>280</v>
      </c>
      <c r="B209" s="84"/>
      <c r="C209" s="84"/>
      <c r="D209" s="85"/>
      <c r="E209" s="85"/>
      <c r="F209" s="85"/>
      <c r="G209" s="85"/>
      <c r="H209" s="85"/>
      <c r="I209" s="85"/>
      <c r="J209" s="85"/>
      <c r="K209" s="85"/>
      <c r="L209" s="86"/>
    </row>
    <row r="210" spans="1:12" ht="45" x14ac:dyDescent="0.25">
      <c r="A210" s="33" t="s">
        <v>2</v>
      </c>
      <c r="B210" s="1" t="s">
        <v>3</v>
      </c>
      <c r="C210" s="32" t="s">
        <v>4</v>
      </c>
      <c r="D210" s="22" t="s">
        <v>78</v>
      </c>
      <c r="E210" s="23" t="s">
        <v>232</v>
      </c>
      <c r="F210" s="24" t="s">
        <v>85</v>
      </c>
      <c r="G210" s="22" t="s">
        <v>79</v>
      </c>
      <c r="H210" s="56" t="s">
        <v>232</v>
      </c>
      <c r="I210" s="51" t="s">
        <v>82</v>
      </c>
      <c r="J210" s="22" t="s">
        <v>80</v>
      </c>
      <c r="K210" s="23" t="s">
        <v>232</v>
      </c>
      <c r="L210" s="24" t="s">
        <v>81</v>
      </c>
    </row>
    <row r="211" spans="1:12" x14ac:dyDescent="0.25">
      <c r="A211" s="33" t="s">
        <v>5</v>
      </c>
      <c r="B211" s="1" t="s">
        <v>6</v>
      </c>
      <c r="C211" s="32" t="s">
        <v>7</v>
      </c>
      <c r="D211" s="56">
        <v>143678</v>
      </c>
      <c r="E211" s="41">
        <f>(D211-'2016'!D220)/'2016'!D220</f>
        <v>0</v>
      </c>
      <c r="F211" s="56">
        <v>168918</v>
      </c>
      <c r="G211" s="56">
        <v>105820</v>
      </c>
      <c r="H211" s="41">
        <f>(G211-'2016'!G220)/'2016'!G220</f>
        <v>6.4555395712403041E-2</v>
      </c>
      <c r="I211" s="56">
        <v>112107</v>
      </c>
      <c r="J211" s="56">
        <v>38910</v>
      </c>
      <c r="K211" s="41">
        <f>(J211-'2016'!J220)/'2016'!J220</f>
        <v>2.1393883711773198E-2</v>
      </c>
      <c r="L211" s="56">
        <v>38925</v>
      </c>
    </row>
    <row r="212" spans="1:12" x14ac:dyDescent="0.25">
      <c r="A212" s="33" t="s">
        <v>8</v>
      </c>
      <c r="B212" s="1" t="s">
        <v>9</v>
      </c>
      <c r="C212" s="32" t="s">
        <v>7</v>
      </c>
      <c r="D212" s="56">
        <v>160000</v>
      </c>
      <c r="E212" s="41">
        <f>(D212-'2016'!D221)/'2016'!D221</f>
        <v>7.8406923372448048E-2</v>
      </c>
      <c r="F212" s="56">
        <v>163398</v>
      </c>
      <c r="G212" s="56">
        <v>100806</v>
      </c>
      <c r="H212" s="41">
        <f>(G212-'2016'!G221)/'2016'!G221</f>
        <v>0.21472037789051296</v>
      </c>
      <c r="I212" s="56">
        <v>103305</v>
      </c>
      <c r="J212" s="56">
        <v>36350</v>
      </c>
      <c r="K212" s="41">
        <f>(J212-'2016'!J221)/'2016'!J221</f>
        <v>6.8973158638264871E-3</v>
      </c>
      <c r="L212" s="56">
        <v>36536</v>
      </c>
    </row>
    <row r="213" spans="1:12" x14ac:dyDescent="0.25">
      <c r="A213" s="33" t="s">
        <v>10</v>
      </c>
      <c r="B213" s="1" t="s">
        <v>9</v>
      </c>
      <c r="C213" s="32" t="s">
        <v>11</v>
      </c>
      <c r="D213" s="56">
        <v>62150</v>
      </c>
      <c r="E213" s="41">
        <f>(D213-'2016'!D222)/'2016'!D222</f>
        <v>1.5539469599176457E-2</v>
      </c>
      <c r="F213" s="56">
        <v>63572</v>
      </c>
      <c r="G213" s="56">
        <v>57012</v>
      </c>
      <c r="H213" s="41">
        <f>(G213-'2016'!G222)/'2016'!G222</f>
        <v>0.33752492668621703</v>
      </c>
      <c r="I213" s="56">
        <v>57504</v>
      </c>
      <c r="J213" s="56">
        <v>28735</v>
      </c>
      <c r="K213" s="41">
        <f>(J213-'2016'!J222)/'2016'!J222</f>
        <v>9.7677439070975633E-2</v>
      </c>
      <c r="L213" s="56">
        <v>28993</v>
      </c>
    </row>
    <row r="214" spans="1:12" x14ac:dyDescent="0.25">
      <c r="A214" s="33" t="s">
        <v>12</v>
      </c>
      <c r="B214" s="1" t="s">
        <v>13</v>
      </c>
      <c r="C214" s="32" t="s">
        <v>7</v>
      </c>
      <c r="D214" s="56">
        <v>129533</v>
      </c>
      <c r="E214" s="41">
        <f>(D214-'2016'!D223)/'2016'!D223</f>
        <v>-4.6633153993920616E-2</v>
      </c>
      <c r="F214" s="56">
        <v>142045</v>
      </c>
      <c r="G214" s="56">
        <v>107181</v>
      </c>
      <c r="H214" s="41">
        <f>(G214-'2016'!G223)/'2016'!G223</f>
        <v>0.19292797756185515</v>
      </c>
      <c r="I214" s="56">
        <v>107874</v>
      </c>
      <c r="J214" s="56">
        <v>37188</v>
      </c>
      <c r="K214" s="41">
        <f>(J214-'2016'!J223)/'2016'!J223</f>
        <v>4.238143289606458E-2</v>
      </c>
      <c r="L214" s="56">
        <v>37551</v>
      </c>
    </row>
    <row r="215" spans="1:12" x14ac:dyDescent="0.25">
      <c r="A215" s="33" t="s">
        <v>14</v>
      </c>
      <c r="B215" s="1" t="s">
        <v>15</v>
      </c>
      <c r="C215" s="32" t="s">
        <v>7</v>
      </c>
      <c r="D215" s="56">
        <v>136425</v>
      </c>
      <c r="E215" s="41">
        <f>(D215-'2016'!D224)/'2016'!D224</f>
        <v>2.8652214891611686E-2</v>
      </c>
      <c r="F215" s="56">
        <v>137174</v>
      </c>
      <c r="G215" s="56">
        <v>103734</v>
      </c>
      <c r="H215" s="41">
        <f>(G215-'2016'!G224)/'2016'!G224</f>
        <v>0.17427183916503469</v>
      </c>
      <c r="I215" s="56">
        <v>105820</v>
      </c>
      <c r="J215" s="56">
        <v>38051</v>
      </c>
      <c r="K215" s="41">
        <f>(J215-'2016'!J224)/'2016'!J224</f>
        <v>7.0773300315173343E-2</v>
      </c>
      <c r="L215" s="56">
        <v>38284</v>
      </c>
    </row>
    <row r="216" spans="1:12" ht="15.75" thickBot="1" x14ac:dyDescent="0.3">
      <c r="A216" s="87" t="s">
        <v>282</v>
      </c>
      <c r="B216" s="88"/>
      <c r="C216" s="88"/>
      <c r="D216" s="88"/>
      <c r="E216" s="88"/>
      <c r="F216" s="88"/>
      <c r="G216" s="88"/>
      <c r="H216" s="88"/>
      <c r="I216" s="88"/>
      <c r="J216" s="88"/>
      <c r="K216" s="88"/>
      <c r="L216" s="89"/>
    </row>
    <row r="217" spans="1:12" ht="15.75" thickBot="1" x14ac:dyDescent="0.3">
      <c r="A217" s="15"/>
      <c r="B217" s="13"/>
      <c r="C217" s="21"/>
    </row>
    <row r="218" spans="1:12" ht="18.75" x14ac:dyDescent="0.3">
      <c r="A218" s="90" t="s">
        <v>281</v>
      </c>
      <c r="B218" s="91"/>
      <c r="C218" s="91"/>
      <c r="D218" s="91"/>
      <c r="E218" s="91"/>
      <c r="F218" s="91"/>
      <c r="G218" s="91"/>
      <c r="H218" s="91"/>
      <c r="I218" s="91"/>
      <c r="J218" s="91"/>
      <c r="K218" s="91"/>
      <c r="L218" s="92"/>
    </row>
    <row r="219" spans="1:12" ht="45" x14ac:dyDescent="0.25">
      <c r="A219" s="66" t="s">
        <v>2</v>
      </c>
      <c r="B219" s="54" t="s">
        <v>3</v>
      </c>
      <c r="C219" s="54" t="s">
        <v>4</v>
      </c>
      <c r="D219" s="55" t="s">
        <v>78</v>
      </c>
      <c r="E219" s="55" t="s">
        <v>232</v>
      </c>
      <c r="F219" s="55" t="s">
        <v>85</v>
      </c>
      <c r="G219" s="55" t="s">
        <v>79</v>
      </c>
      <c r="H219" s="55" t="s">
        <v>232</v>
      </c>
      <c r="I219" s="55" t="s">
        <v>82</v>
      </c>
      <c r="J219" s="55" t="s">
        <v>80</v>
      </c>
      <c r="K219" s="55" t="s">
        <v>232</v>
      </c>
      <c r="L219" s="67" t="s">
        <v>81</v>
      </c>
    </row>
    <row r="220" spans="1:12" x14ac:dyDescent="0.25">
      <c r="A220" s="66" t="s">
        <v>5</v>
      </c>
      <c r="B220" s="54" t="s">
        <v>6</v>
      </c>
      <c r="C220" s="54" t="s">
        <v>7</v>
      </c>
      <c r="D220" s="56">
        <v>151285</v>
      </c>
      <c r="E220" s="57">
        <f>(D220-'2016'!D229)/'2016'!D229</f>
        <v>1.5124370097496493E-2</v>
      </c>
      <c r="F220" s="56">
        <v>152671</v>
      </c>
      <c r="G220" s="56">
        <v>100806</v>
      </c>
      <c r="H220" s="57">
        <f>(G220-'2016'!G229)/'2016'!G229</f>
        <v>7.1572077004028789E-2</v>
      </c>
      <c r="I220" s="56">
        <v>102880</v>
      </c>
      <c r="J220" s="56">
        <v>36873</v>
      </c>
      <c r="K220" s="57">
        <f>(J220-'2016'!J229)/'2016'!J229</f>
        <v>0</v>
      </c>
      <c r="L220" s="56">
        <v>37397</v>
      </c>
    </row>
    <row r="221" spans="1:12" x14ac:dyDescent="0.25">
      <c r="A221" s="66" t="s">
        <v>8</v>
      </c>
      <c r="B221" s="54" t="s">
        <v>9</v>
      </c>
      <c r="C221" s="54" t="s">
        <v>7</v>
      </c>
      <c r="D221" s="56">
        <v>143884</v>
      </c>
      <c r="E221" s="57">
        <f>(D221-'2016'!D230)/'2016'!D230</f>
        <v>8.6293313144483463E-3</v>
      </c>
      <c r="F221" s="56">
        <v>145772</v>
      </c>
      <c r="G221" s="56">
        <v>91241</v>
      </c>
      <c r="H221" s="57">
        <f>(G221-'2016'!G230)/'2016'!G230</f>
        <v>0.1450785005208268</v>
      </c>
      <c r="I221" s="56">
        <v>93284</v>
      </c>
      <c r="J221" s="56">
        <v>34317</v>
      </c>
      <c r="K221" s="57">
        <f>(J221-'2016'!J230)/'2016'!J230</f>
        <v>-1.6112847271997476E-2</v>
      </c>
      <c r="L221" s="56">
        <v>34435</v>
      </c>
    </row>
    <row r="222" spans="1:12" x14ac:dyDescent="0.25">
      <c r="A222" s="66" t="s">
        <v>10</v>
      </c>
      <c r="B222" s="54" t="s">
        <v>9</v>
      </c>
      <c r="C222" s="54" t="s">
        <v>11</v>
      </c>
      <c r="D222" s="56">
        <v>83472</v>
      </c>
      <c r="E222" s="57">
        <f>(D222-'2016'!D231)/'2016'!D231</f>
        <v>5.0081141261274859E-2</v>
      </c>
      <c r="F222" s="56">
        <v>84889</v>
      </c>
      <c r="G222" s="56">
        <v>66755</v>
      </c>
      <c r="H222" s="57">
        <f>(G222-'2016'!G231)/'2016'!G231</f>
        <v>0.28503503503503502</v>
      </c>
      <c r="I222" s="56">
        <v>71275</v>
      </c>
      <c r="J222" s="56">
        <v>31806</v>
      </c>
      <c r="K222" s="57">
        <f>(J222-'2016'!J231)/'2016'!J231</f>
        <v>4.77017848681093E-3</v>
      </c>
      <c r="L222" s="56">
        <v>32425</v>
      </c>
    </row>
    <row r="223" spans="1:12" x14ac:dyDescent="0.25">
      <c r="A223" s="66" t="s">
        <v>12</v>
      </c>
      <c r="B223" s="54" t="s">
        <v>13</v>
      </c>
      <c r="C223" s="54" t="s">
        <v>11</v>
      </c>
      <c r="D223" s="56">
        <v>74239</v>
      </c>
      <c r="E223" s="57">
        <f>(D223-'2016'!D232)/'2016'!D232</f>
        <v>1.4110865229625987E-2</v>
      </c>
      <c r="F223" s="56">
        <v>74906</v>
      </c>
      <c r="G223" s="56">
        <v>67294</v>
      </c>
      <c r="H223" s="57">
        <f>(G223-'2016'!G232)/'2016'!G232</f>
        <v>0.27388028622269339</v>
      </c>
      <c r="I223" s="56">
        <v>68352</v>
      </c>
      <c r="J223" s="56">
        <v>32268</v>
      </c>
      <c r="K223" s="57">
        <f>(J223-'2016'!J232)/'2016'!J232</f>
        <v>9.6686379423636531E-3</v>
      </c>
      <c r="L223" s="56">
        <v>32310</v>
      </c>
    </row>
    <row r="224" spans="1:12" x14ac:dyDescent="0.25">
      <c r="A224" s="66" t="s">
        <v>14</v>
      </c>
      <c r="B224" s="54" t="s">
        <v>15</v>
      </c>
      <c r="C224" s="54" t="s">
        <v>11</v>
      </c>
      <c r="D224" s="56">
        <v>73046</v>
      </c>
      <c r="E224" s="57">
        <f>(D224-'2016'!D233)/'2016'!D233</f>
        <v>3.5071063184594235E-2</v>
      </c>
      <c r="F224" s="56">
        <v>73099</v>
      </c>
      <c r="G224" s="56">
        <v>66622</v>
      </c>
      <c r="H224" s="57">
        <f>(G224-'2016'!G233)/'2016'!G233</f>
        <v>0.31645819748256171</v>
      </c>
      <c r="I224" s="56">
        <v>67888</v>
      </c>
      <c r="J224" s="56">
        <v>32425</v>
      </c>
      <c r="K224" s="57">
        <f>(J224-'2016'!J233)/'2016'!J233</f>
        <v>2.3677979479084451E-2</v>
      </c>
      <c r="L224" s="56">
        <v>32862</v>
      </c>
    </row>
    <row r="225" spans="1:12" ht="15.75" thickBot="1" x14ac:dyDescent="0.3">
      <c r="A225" s="93" t="s">
        <v>283</v>
      </c>
      <c r="B225" s="94"/>
      <c r="C225" s="94"/>
      <c r="D225" s="94"/>
      <c r="E225" s="94"/>
      <c r="F225" s="95"/>
      <c r="G225" s="96"/>
      <c r="H225" s="97"/>
      <c r="I225" s="56"/>
      <c r="J225" s="56"/>
      <c r="K225" s="70"/>
      <c r="L225" s="56"/>
    </row>
    <row r="226" spans="1:12" ht="19.5" thickBot="1" x14ac:dyDescent="0.35">
      <c r="A226" s="83" t="s">
        <v>284</v>
      </c>
      <c r="B226" s="84"/>
      <c r="C226" s="84"/>
      <c r="D226" s="85"/>
      <c r="E226" s="85"/>
      <c r="F226" s="85"/>
      <c r="G226" s="85"/>
      <c r="H226" s="85"/>
      <c r="I226" s="85"/>
      <c r="J226" s="85"/>
      <c r="K226" s="85"/>
      <c r="L226" s="86"/>
    </row>
    <row r="227" spans="1:12" ht="45" x14ac:dyDescent="0.25">
      <c r="A227" s="33" t="s">
        <v>2</v>
      </c>
      <c r="B227" s="1" t="s">
        <v>3</v>
      </c>
      <c r="C227" s="32" t="s">
        <v>4</v>
      </c>
      <c r="D227" s="22" t="s">
        <v>78</v>
      </c>
      <c r="E227" s="23" t="s">
        <v>232</v>
      </c>
      <c r="F227" s="24" t="s">
        <v>85</v>
      </c>
      <c r="G227" s="22" t="s">
        <v>79</v>
      </c>
      <c r="H227" s="56" t="s">
        <v>232</v>
      </c>
      <c r="I227" s="51" t="s">
        <v>82</v>
      </c>
      <c r="J227" s="22" t="s">
        <v>80</v>
      </c>
      <c r="K227" s="23" t="s">
        <v>232</v>
      </c>
      <c r="L227" s="24" t="s">
        <v>81</v>
      </c>
    </row>
    <row r="228" spans="1:12" x14ac:dyDescent="0.25">
      <c r="A228" s="33" t="s">
        <v>5</v>
      </c>
      <c r="B228" s="1" t="s">
        <v>6</v>
      </c>
      <c r="C228" s="32" t="s">
        <v>7</v>
      </c>
      <c r="D228" s="56">
        <v>166666</v>
      </c>
      <c r="E228" s="41">
        <f>(D228-'2016'!D220)/'2016'!D220</f>
        <v>0.1599966591962583</v>
      </c>
      <c r="F228" s="56">
        <v>170648</v>
      </c>
      <c r="G228" s="56">
        <v>110497</v>
      </c>
      <c r="H228" s="41">
        <f>(G228-'2016'!G220)/'2016'!G220</f>
        <v>0.11160628954860517</v>
      </c>
      <c r="I228" s="56">
        <v>112107</v>
      </c>
      <c r="J228" s="56">
        <v>36900</v>
      </c>
      <c r="K228" s="41">
        <f>(J228-'2016'!J220)/'2016'!J220</f>
        <v>-3.1368946055912852E-2</v>
      </c>
      <c r="L228" s="56">
        <v>38565</v>
      </c>
    </row>
    <row r="229" spans="1:12" x14ac:dyDescent="0.25">
      <c r="A229" s="33" t="s">
        <v>8</v>
      </c>
      <c r="B229" s="1" t="s">
        <v>9</v>
      </c>
      <c r="C229" s="32" t="s">
        <v>7</v>
      </c>
      <c r="D229" s="56">
        <v>158730</v>
      </c>
      <c r="E229" s="41">
        <f>(D229-'2016'!D221)/'2016'!D221</f>
        <v>6.984706841817924E-2</v>
      </c>
      <c r="F229" s="56">
        <v>166666</v>
      </c>
      <c r="G229" s="56">
        <v>102354</v>
      </c>
      <c r="H229" s="41">
        <f>(G229-'2016'!G221)/'2016'!G221</f>
        <v>0.23337390193644789</v>
      </c>
      <c r="I229" s="56">
        <v>103734</v>
      </c>
      <c r="J229" s="56">
        <v>36179</v>
      </c>
      <c r="K229" s="41">
        <f>(J229-'2016'!J221)/'2016'!J221</f>
        <v>2.1606049693914295E-3</v>
      </c>
      <c r="L229" s="56">
        <v>36337</v>
      </c>
    </row>
    <row r="230" spans="1:12" x14ac:dyDescent="0.25">
      <c r="A230" s="33" t="s">
        <v>10</v>
      </c>
      <c r="B230" s="1" t="s">
        <v>9</v>
      </c>
      <c r="C230" s="32" t="s">
        <v>11</v>
      </c>
      <c r="D230" s="56">
        <v>62073</v>
      </c>
      <c r="E230" s="41">
        <f>(D230-'2016'!D222)/'2016'!D222</f>
        <v>1.4281279105867743E-2</v>
      </c>
      <c r="F230" s="56">
        <v>63051</v>
      </c>
      <c r="G230" s="56">
        <v>55493</v>
      </c>
      <c r="H230" s="41">
        <f>(G230-'2016'!G222)/'2016'!G222</f>
        <v>0.3018885630498534</v>
      </c>
      <c r="I230" s="56">
        <v>57405</v>
      </c>
      <c r="J230" s="56">
        <v>28735</v>
      </c>
      <c r="K230" s="41">
        <f>(J230-'2016'!J222)/'2016'!J222</f>
        <v>9.7677439070975633E-2</v>
      </c>
      <c r="L230" s="56">
        <v>28960</v>
      </c>
    </row>
    <row r="231" spans="1:12" x14ac:dyDescent="0.25">
      <c r="A231" s="33" t="s">
        <v>12</v>
      </c>
      <c r="B231" s="1" t="s">
        <v>13</v>
      </c>
      <c r="C231" s="32" t="s">
        <v>7</v>
      </c>
      <c r="D231" s="56">
        <v>154320</v>
      </c>
      <c r="E231" s="41">
        <f>(D231-'2016'!D223)/'2016'!D223</f>
        <v>0.13579992492768769</v>
      </c>
      <c r="F231" s="56">
        <v>163666</v>
      </c>
      <c r="G231" s="56">
        <v>103305</v>
      </c>
      <c r="H231" s="41">
        <f>(G231-'2016'!G223)/'2016'!G223</f>
        <v>0.14978797288724163</v>
      </c>
      <c r="I231" s="56">
        <v>104931</v>
      </c>
      <c r="J231" s="56">
        <v>36023</v>
      </c>
      <c r="K231" s="41">
        <f>(J231-'2016'!J223)/'2016'!J223</f>
        <v>9.7264267294539745E-3</v>
      </c>
      <c r="L231" s="56">
        <v>37551</v>
      </c>
    </row>
    <row r="232" spans="1:12" x14ac:dyDescent="0.25">
      <c r="A232" s="33" t="s">
        <v>14</v>
      </c>
      <c r="B232" s="1" t="s">
        <v>15</v>
      </c>
      <c r="C232" s="32" t="s">
        <v>7</v>
      </c>
      <c r="D232" s="56">
        <v>140646</v>
      </c>
      <c r="E232" s="41">
        <f>(D232-'2016'!D224)/'2016'!D224</f>
        <v>6.0478793590951929E-2</v>
      </c>
      <c r="F232" s="56">
        <v>143266</v>
      </c>
      <c r="G232" s="56">
        <v>104166</v>
      </c>
      <c r="H232" s="41">
        <f>(G232-'2016'!G224)/'2016'!G224</f>
        <v>0.17916209148847054</v>
      </c>
      <c r="I232" s="56">
        <v>104931</v>
      </c>
      <c r="J232" s="56">
        <v>35880</v>
      </c>
      <c r="K232" s="41">
        <f>(J232-'2016'!J224)/'2016'!J224</f>
        <v>9.6803241782980644E-3</v>
      </c>
      <c r="L232" s="56">
        <v>38095</v>
      </c>
    </row>
    <row r="233" spans="1:12" ht="15.75" thickBot="1" x14ac:dyDescent="0.3">
      <c r="A233" s="87" t="s">
        <v>287</v>
      </c>
      <c r="B233" s="88"/>
      <c r="C233" s="88"/>
      <c r="D233" s="88"/>
      <c r="E233" s="88"/>
      <c r="F233" s="88"/>
      <c r="G233" s="88"/>
      <c r="H233" s="88"/>
      <c r="I233" s="88"/>
      <c r="J233" s="88"/>
      <c r="K233" s="88"/>
      <c r="L233" s="89"/>
    </row>
    <row r="234" spans="1:12" ht="15.75" thickBot="1" x14ac:dyDescent="0.3">
      <c r="A234" s="15"/>
      <c r="B234" s="13"/>
      <c r="C234" s="21"/>
    </row>
    <row r="235" spans="1:12" ht="18.75" x14ac:dyDescent="0.3">
      <c r="A235" s="90" t="s">
        <v>285</v>
      </c>
      <c r="B235" s="91"/>
      <c r="C235" s="91"/>
      <c r="D235" s="91"/>
      <c r="E235" s="91"/>
      <c r="F235" s="91"/>
      <c r="G235" s="91"/>
      <c r="H235" s="91"/>
      <c r="I235" s="91"/>
      <c r="J235" s="91"/>
      <c r="K235" s="91"/>
      <c r="L235" s="92"/>
    </row>
    <row r="236" spans="1:12" ht="45" x14ac:dyDescent="0.25">
      <c r="A236" s="66" t="s">
        <v>2</v>
      </c>
      <c r="B236" s="54" t="s">
        <v>3</v>
      </c>
      <c r="C236" s="54" t="s">
        <v>4</v>
      </c>
      <c r="D236" s="55" t="s">
        <v>78</v>
      </c>
      <c r="E236" s="55" t="s">
        <v>232</v>
      </c>
      <c r="F236" s="55" t="s">
        <v>85</v>
      </c>
      <c r="G236" s="55" t="s">
        <v>79</v>
      </c>
      <c r="H236" s="55" t="s">
        <v>232</v>
      </c>
      <c r="I236" s="55" t="s">
        <v>82</v>
      </c>
      <c r="J236" s="55" t="s">
        <v>80</v>
      </c>
      <c r="K236" s="55" t="s">
        <v>232</v>
      </c>
      <c r="L236" s="67" t="s">
        <v>81</v>
      </c>
    </row>
    <row r="237" spans="1:12" x14ac:dyDescent="0.25">
      <c r="A237" s="66" t="s">
        <v>5</v>
      </c>
      <c r="B237" s="54" t="s">
        <v>6</v>
      </c>
      <c r="C237" s="54" t="s">
        <v>7</v>
      </c>
      <c r="D237" s="56">
        <v>150375</v>
      </c>
      <c r="E237" s="57">
        <f>(D237-'2016'!D229)/'2016'!D229</f>
        <v>9.0182579463333138E-3</v>
      </c>
      <c r="F237" s="56">
        <v>152671</v>
      </c>
      <c r="G237" s="56">
        <v>102459</v>
      </c>
      <c r="H237" s="57">
        <f>(G237-'2016'!G229)/'2016'!G229</f>
        <v>8.9143537465585232E-2</v>
      </c>
      <c r="I237" s="56">
        <v>103626</v>
      </c>
      <c r="J237" s="56">
        <v>37037</v>
      </c>
      <c r="K237" s="57">
        <f>(J237-'2016'!J229)/'2016'!J229</f>
        <v>4.4476988582431588E-3</v>
      </c>
      <c r="L237" s="56">
        <v>37397</v>
      </c>
    </row>
    <row r="238" spans="1:12" x14ac:dyDescent="0.25">
      <c r="A238" s="66" t="s">
        <v>8</v>
      </c>
      <c r="B238" s="54" t="s">
        <v>9</v>
      </c>
      <c r="C238" s="54" t="s">
        <v>7</v>
      </c>
      <c r="D238" s="56">
        <v>147710</v>
      </c>
      <c r="E238" s="57">
        <f>(D238-'2016'!D230)/'2016'!D230</f>
        <v>3.5449657560654171E-2</v>
      </c>
      <c r="F238" s="56">
        <v>149925</v>
      </c>
      <c r="G238" s="56">
        <v>92421</v>
      </c>
      <c r="H238" s="57">
        <f>(G238-'2016'!G230)/'2016'!G230</f>
        <v>0.15988755161205306</v>
      </c>
      <c r="I238" s="56">
        <v>94966</v>
      </c>
      <c r="J238" s="56">
        <v>34317</v>
      </c>
      <c r="K238" s="57">
        <f>(J238-'2016'!J230)/'2016'!J230</f>
        <v>-1.6112847271997476E-2</v>
      </c>
      <c r="L238" s="56">
        <v>34710</v>
      </c>
    </row>
    <row r="239" spans="1:12" x14ac:dyDescent="0.25">
      <c r="A239" s="66" t="s">
        <v>10</v>
      </c>
      <c r="B239" s="54" t="s">
        <v>9</v>
      </c>
      <c r="C239" s="54" t="s">
        <v>11</v>
      </c>
      <c r="D239" s="56">
        <v>84602</v>
      </c>
      <c r="E239" s="57">
        <f>(D239-'2016'!D231)/'2016'!D231</f>
        <v>6.4296587035010247E-2</v>
      </c>
      <c r="F239" s="56">
        <v>85836</v>
      </c>
      <c r="G239" s="56">
        <v>70028</v>
      </c>
      <c r="H239" s="57">
        <f>(G239-'2016'!G231)/'2016'!G231</f>
        <v>0.34804034804034806</v>
      </c>
      <c r="I239" s="56">
        <v>71736</v>
      </c>
      <c r="J239" s="56">
        <v>31695</v>
      </c>
      <c r="K239" s="57">
        <f>(J239-'2016'!J231)/'2016'!J231</f>
        <v>1.2636234402148159E-3</v>
      </c>
      <c r="L239" s="56">
        <v>32268</v>
      </c>
    </row>
    <row r="240" spans="1:12" x14ac:dyDescent="0.25">
      <c r="A240" s="66" t="s">
        <v>12</v>
      </c>
      <c r="B240" s="54" t="s">
        <v>13</v>
      </c>
      <c r="C240" s="54" t="s">
        <v>11</v>
      </c>
      <c r="D240" s="56">
        <v>74906</v>
      </c>
      <c r="E240" s="57">
        <f>(D240-'2016'!D232)/'2016'!D232</f>
        <v>2.322214026172718E-2</v>
      </c>
      <c r="F240" s="56">
        <v>75987</v>
      </c>
      <c r="G240" s="56">
        <v>66755</v>
      </c>
      <c r="H240" s="57">
        <f>(G240-'2016'!G232)/'2016'!G232</f>
        <v>0.2636769772460531</v>
      </c>
      <c r="I240" s="56">
        <v>68027</v>
      </c>
      <c r="J240" s="56">
        <v>32268</v>
      </c>
      <c r="K240" s="57">
        <f>(J240-'2016'!J232)/'2016'!J232</f>
        <v>9.6686379423636531E-3</v>
      </c>
      <c r="L240" s="56">
        <v>32425</v>
      </c>
    </row>
    <row r="241" spans="1:12" x14ac:dyDescent="0.25">
      <c r="A241" s="66" t="s">
        <v>14</v>
      </c>
      <c r="B241" s="54" t="s">
        <v>15</v>
      </c>
      <c r="C241" s="54" t="s">
        <v>11</v>
      </c>
      <c r="D241" s="56">
        <v>73152</v>
      </c>
      <c r="E241" s="57">
        <f>(D241-'2016'!D233)/'2016'!D233</f>
        <v>3.6573096597752618E-2</v>
      </c>
      <c r="F241" s="56">
        <v>74515</v>
      </c>
      <c r="G241" s="56">
        <v>67159</v>
      </c>
      <c r="H241" s="57">
        <f>(G241-'2016'!G233)/'2016'!G233</f>
        <v>0.32706937775406564</v>
      </c>
      <c r="I241" s="56">
        <v>68775</v>
      </c>
      <c r="J241" s="56">
        <v>33025</v>
      </c>
      <c r="K241" s="57">
        <f>(J241-'2016'!J233)/'2016'!J233</f>
        <v>4.2620363062352014E-2</v>
      </c>
      <c r="L241" s="56">
        <v>33025</v>
      </c>
    </row>
    <row r="242" spans="1:12" ht="15.75" thickBot="1" x14ac:dyDescent="0.3">
      <c r="A242" s="93" t="s">
        <v>286</v>
      </c>
      <c r="B242" s="94"/>
      <c r="C242" s="94"/>
      <c r="D242" s="94"/>
      <c r="E242" s="94"/>
      <c r="F242" s="95"/>
      <c r="G242" s="96"/>
      <c r="H242" s="97"/>
      <c r="I242" s="56"/>
      <c r="J242" s="56"/>
      <c r="K242" s="70"/>
      <c r="L242" s="56"/>
    </row>
    <row r="243" spans="1:12" ht="19.5" thickBot="1" x14ac:dyDescent="0.35">
      <c r="A243" s="83" t="s">
        <v>288</v>
      </c>
      <c r="B243" s="84"/>
      <c r="C243" s="84"/>
      <c r="D243" s="85"/>
      <c r="E243" s="85"/>
      <c r="F243" s="85"/>
      <c r="G243" s="85"/>
      <c r="H243" s="85"/>
      <c r="I243" s="85"/>
      <c r="J243" s="85"/>
      <c r="K243" s="85"/>
      <c r="L243" s="86"/>
    </row>
    <row r="244" spans="1:12" ht="45" x14ac:dyDescent="0.25">
      <c r="A244" s="33" t="s">
        <v>2</v>
      </c>
      <c r="B244" s="1" t="s">
        <v>3</v>
      </c>
      <c r="C244" s="32" t="s">
        <v>4</v>
      </c>
      <c r="D244" s="22" t="s">
        <v>78</v>
      </c>
      <c r="E244" s="23" t="s">
        <v>232</v>
      </c>
      <c r="F244" s="24" t="s">
        <v>85</v>
      </c>
      <c r="G244" s="22" t="s">
        <v>79</v>
      </c>
      <c r="H244" s="56" t="s">
        <v>232</v>
      </c>
      <c r="I244" s="51" t="s">
        <v>82</v>
      </c>
      <c r="J244" s="22" t="s">
        <v>80</v>
      </c>
      <c r="K244" s="23" t="s">
        <v>232</v>
      </c>
      <c r="L244" s="24" t="s">
        <v>81</v>
      </c>
    </row>
    <row r="245" spans="1:12" x14ac:dyDescent="0.25">
      <c r="A245" s="33" t="s">
        <v>5</v>
      </c>
      <c r="B245" s="1" t="s">
        <v>6</v>
      </c>
      <c r="C245" s="32" t="s">
        <v>7</v>
      </c>
      <c r="D245" s="56">
        <v>155763</v>
      </c>
      <c r="E245" s="41">
        <f>(D245-'2016'!D220)/'2016'!D220</f>
        <v>8.4111694205097509E-2</v>
      </c>
      <c r="F245" s="56">
        <v>165837</v>
      </c>
      <c r="G245" s="56">
        <v>111982</v>
      </c>
      <c r="H245" s="41">
        <f>(G245-'2016'!G220)/'2016'!G220</f>
        <v>0.12654547649467321</v>
      </c>
      <c r="I245" s="56">
        <v>112994</v>
      </c>
      <c r="J245" s="56">
        <v>38372</v>
      </c>
      <c r="K245" s="41">
        <f>(J245-'2016'!J220)/'2016'!J220</f>
        <v>7.271295445596535E-3</v>
      </c>
      <c r="L245" s="56">
        <v>38925</v>
      </c>
    </row>
    <row r="246" spans="1:12" x14ac:dyDescent="0.25">
      <c r="A246" s="33" t="s">
        <v>8</v>
      </c>
      <c r="B246" s="1" t="s">
        <v>9</v>
      </c>
      <c r="C246" s="32" t="s">
        <v>7</v>
      </c>
      <c r="D246" s="56">
        <v>155763</v>
      </c>
      <c r="E246" s="41">
        <f>(D246-'2016'!D221)/'2016'!D221</f>
        <v>4.9849360032891414E-2</v>
      </c>
      <c r="F246" s="56">
        <v>160000</v>
      </c>
      <c r="G246" s="56">
        <v>102880</v>
      </c>
      <c r="H246" s="41">
        <f>(G246-'2016'!G221)/'2016'!G221</f>
        <v>0.23971224408642317</v>
      </c>
      <c r="I246" s="56">
        <v>105820</v>
      </c>
      <c r="J246" s="56">
        <v>36023</v>
      </c>
      <c r="K246" s="41">
        <f>(J246-'2016'!J221)/'2016'!J221</f>
        <v>-2.1606049693914295E-3</v>
      </c>
      <c r="L246" s="56">
        <v>36683</v>
      </c>
    </row>
    <row r="247" spans="1:12" x14ac:dyDescent="0.25">
      <c r="A247" s="33" t="s">
        <v>10</v>
      </c>
      <c r="B247" s="1" t="s">
        <v>9</v>
      </c>
      <c r="C247" s="32" t="s">
        <v>11</v>
      </c>
      <c r="D247" s="56">
        <v>62073</v>
      </c>
      <c r="E247" s="41">
        <f>(D247-'2016'!D222)/'2016'!D222</f>
        <v>1.4281279105867743E-2</v>
      </c>
      <c r="F247" s="56">
        <v>63572</v>
      </c>
      <c r="G247" s="56">
        <v>55617</v>
      </c>
      <c r="H247" s="41">
        <f>(G247-'2016'!G222)/'2016'!G222</f>
        <v>0.30479765395894426</v>
      </c>
      <c r="I247" s="56">
        <v>56529</v>
      </c>
      <c r="J247" s="56">
        <v>28176</v>
      </c>
      <c r="K247" s="41">
        <f>(J247-'2016'!J222)/'2016'!J222</f>
        <v>7.6323630529452208E-2</v>
      </c>
      <c r="L247" s="56">
        <v>28498</v>
      </c>
    </row>
    <row r="248" spans="1:12" x14ac:dyDescent="0.25">
      <c r="A248" s="33" t="s">
        <v>12</v>
      </c>
      <c r="B248" s="1" t="s">
        <v>13</v>
      </c>
      <c r="C248" s="32" t="s">
        <v>7</v>
      </c>
      <c r="D248" s="56">
        <v>124378</v>
      </c>
      <c r="E248" s="41">
        <f>(D248-'2016'!D223)/'2016'!D223</f>
        <v>-8.457411182830521E-2</v>
      </c>
      <c r="F248" s="56">
        <v>154320</v>
      </c>
      <c r="G248" s="56">
        <v>107181</v>
      </c>
      <c r="H248" s="41">
        <f>(G248-'2016'!G223)/'2016'!G223</f>
        <v>0.19292797756185515</v>
      </c>
      <c r="I248" s="56">
        <v>108108</v>
      </c>
      <c r="J248" s="56">
        <v>37216</v>
      </c>
      <c r="K248" s="41">
        <f>(J248-'2016'!J223)/'2016'!J223</f>
        <v>4.3166274245991704E-2</v>
      </c>
      <c r="L248" s="56">
        <v>37735</v>
      </c>
    </row>
    <row r="249" spans="1:12" x14ac:dyDescent="0.25">
      <c r="A249" s="33" t="s">
        <v>14</v>
      </c>
      <c r="B249" s="1" t="s">
        <v>15</v>
      </c>
      <c r="C249" s="32" t="s">
        <v>7</v>
      </c>
      <c r="D249" s="56">
        <v>135317</v>
      </c>
      <c r="E249" s="41">
        <f>(D249-'2016'!D224)/'2016'!D224</f>
        <v>2.0297832233741753E-2</v>
      </c>
      <c r="F249" s="56">
        <v>135869</v>
      </c>
      <c r="G249" s="56">
        <v>104931</v>
      </c>
      <c r="H249" s="41">
        <f>(G249-'2016'!G224)/'2016'!G224</f>
        <v>0.18782191331122156</v>
      </c>
      <c r="I249" s="56">
        <v>105374</v>
      </c>
      <c r="J249" s="56">
        <v>36751</v>
      </c>
      <c r="K249" s="41">
        <f>(J249-'2016'!J224)/'2016'!J224</f>
        <v>3.4190679873930659E-2</v>
      </c>
      <c r="L249" s="56">
        <v>37907</v>
      </c>
    </row>
    <row r="250" spans="1:12" ht="15.75" thickBot="1" x14ac:dyDescent="0.3">
      <c r="A250" s="87" t="s">
        <v>290</v>
      </c>
      <c r="B250" s="88"/>
      <c r="C250" s="88"/>
      <c r="D250" s="88"/>
      <c r="E250" s="88"/>
      <c r="F250" s="88"/>
      <c r="G250" s="88"/>
      <c r="H250" s="88"/>
      <c r="I250" s="88"/>
      <c r="J250" s="88"/>
      <c r="K250" s="88"/>
      <c r="L250" s="89"/>
    </row>
    <row r="251" spans="1:12" ht="15.75" thickBot="1" x14ac:dyDescent="0.3">
      <c r="A251" s="15"/>
      <c r="B251" s="13"/>
      <c r="C251" s="21"/>
    </row>
    <row r="252" spans="1:12" ht="18.75" x14ac:dyDescent="0.3">
      <c r="A252" s="90" t="s">
        <v>289</v>
      </c>
      <c r="B252" s="91"/>
      <c r="C252" s="91"/>
      <c r="D252" s="91"/>
      <c r="E252" s="91"/>
      <c r="F252" s="91"/>
      <c r="G252" s="91"/>
      <c r="H252" s="91"/>
      <c r="I252" s="91"/>
      <c r="J252" s="91"/>
      <c r="K252" s="91"/>
      <c r="L252" s="92"/>
    </row>
    <row r="253" spans="1:12" ht="45" x14ac:dyDescent="0.25">
      <c r="A253" s="66" t="s">
        <v>2</v>
      </c>
      <c r="B253" s="54" t="s">
        <v>3</v>
      </c>
      <c r="C253" s="54" t="s">
        <v>4</v>
      </c>
      <c r="D253" s="55" t="s">
        <v>78</v>
      </c>
      <c r="E253" s="55" t="s">
        <v>232</v>
      </c>
      <c r="F253" s="55" t="s">
        <v>85</v>
      </c>
      <c r="G253" s="55" t="s">
        <v>79</v>
      </c>
      <c r="H253" s="55" t="s">
        <v>232</v>
      </c>
      <c r="I253" s="55" t="s">
        <v>82</v>
      </c>
      <c r="J253" s="55" t="s">
        <v>80</v>
      </c>
      <c r="K253" s="55" t="s">
        <v>232</v>
      </c>
      <c r="L253" s="67" t="s">
        <v>81</v>
      </c>
    </row>
    <row r="254" spans="1:12" x14ac:dyDescent="0.25">
      <c r="A254" s="66" t="s">
        <v>5</v>
      </c>
      <c r="B254" s="54" t="s">
        <v>6</v>
      </c>
      <c r="C254" s="54" t="s">
        <v>7</v>
      </c>
      <c r="D254" s="56">
        <v>150602</v>
      </c>
      <c r="E254" s="57">
        <f>(D254-'2016'!D229)/'2016'!D229</f>
        <v>1.0541430977447645E-2</v>
      </c>
      <c r="F254" s="56">
        <v>151975</v>
      </c>
      <c r="G254" s="56">
        <v>100300</v>
      </c>
      <c r="H254" s="57">
        <f>(G254-'2016'!G229)/'2016'!G229</f>
        <v>6.619327543503449E-2</v>
      </c>
      <c r="I254" s="56">
        <v>102459</v>
      </c>
      <c r="J254" s="56">
        <v>37050</v>
      </c>
      <c r="K254" s="57">
        <f>(J254-'2016'!J229)/'2016'!J229</f>
        <v>4.8002603531038975E-3</v>
      </c>
      <c r="L254" s="56">
        <v>37216</v>
      </c>
    </row>
    <row r="255" spans="1:12" x14ac:dyDescent="0.25">
      <c r="A255" s="66" t="s">
        <v>8</v>
      </c>
      <c r="B255" s="54" t="s">
        <v>9</v>
      </c>
      <c r="C255" s="54" t="s">
        <v>7</v>
      </c>
      <c r="D255" s="56">
        <v>142045</v>
      </c>
      <c r="E255" s="57">
        <f>(D255-'2016'!D230)/'2016'!D230</f>
        <v>-4.2620905273636029E-3</v>
      </c>
      <c r="F255" s="56">
        <v>145560</v>
      </c>
      <c r="G255" s="56">
        <v>93720</v>
      </c>
      <c r="H255" s="57">
        <f>(G255-'2016'!G230)/'2016'!G230</f>
        <v>0.17619005785569961</v>
      </c>
      <c r="I255" s="56">
        <v>95057</v>
      </c>
      <c r="J255" s="56">
        <v>34710</v>
      </c>
      <c r="K255" s="57">
        <f>(J255-'2016'!J230)/'2016'!J230</f>
        <v>-4.8453224002981739E-3</v>
      </c>
      <c r="L255" s="56">
        <v>34879</v>
      </c>
    </row>
    <row r="256" spans="1:12" x14ac:dyDescent="0.25">
      <c r="A256" s="66" t="s">
        <v>10</v>
      </c>
      <c r="B256" s="54" t="s">
        <v>9</v>
      </c>
      <c r="C256" s="54" t="s">
        <v>11</v>
      </c>
      <c r="D256" s="56">
        <v>82644</v>
      </c>
      <c r="E256" s="57">
        <f>(D256-'2016'!D231)/'2016'!D231</f>
        <v>3.9664867720874061E-2</v>
      </c>
      <c r="F256" s="56">
        <v>83125</v>
      </c>
      <c r="G256" s="56">
        <v>69204</v>
      </c>
      <c r="H256" s="57">
        <f>(G256-'2016'!G231)/'2016'!G231</f>
        <v>0.3321783321783322</v>
      </c>
      <c r="I256" s="56">
        <v>70921</v>
      </c>
      <c r="J256" s="56">
        <v>31959</v>
      </c>
      <c r="K256" s="57">
        <f>(J256-'2016'!J231)/'2016'!J231</f>
        <v>9.6035381456326015E-3</v>
      </c>
      <c r="L256" s="56">
        <v>32154</v>
      </c>
    </row>
    <row r="257" spans="1:12" x14ac:dyDescent="0.25">
      <c r="A257" s="66" t="s">
        <v>12</v>
      </c>
      <c r="B257" s="54" t="s">
        <v>13</v>
      </c>
      <c r="C257" s="54" t="s">
        <v>11</v>
      </c>
      <c r="D257" s="56">
        <v>73855</v>
      </c>
      <c r="E257" s="57">
        <f>(D257-'2016'!D232)/'2016'!D232</f>
        <v>8.8653935469770236E-3</v>
      </c>
      <c r="F257" s="56">
        <v>74515</v>
      </c>
      <c r="G257" s="56">
        <v>66844</v>
      </c>
      <c r="H257" s="57">
        <f>(G257-'2016'!G232)/'2016'!G232</f>
        <v>0.26536175368189907</v>
      </c>
      <c r="I257" s="56">
        <v>67385</v>
      </c>
      <c r="J257" s="56">
        <v>32154</v>
      </c>
      <c r="K257" s="57">
        <f>(J257-'2016'!J232)/'2016'!J232</f>
        <v>6.1015676335304612E-3</v>
      </c>
      <c r="L257" s="56">
        <v>32268</v>
      </c>
    </row>
    <row r="258" spans="1:12" x14ac:dyDescent="0.25">
      <c r="A258" s="66" t="s">
        <v>14</v>
      </c>
      <c r="B258" s="54" t="s">
        <v>15</v>
      </c>
      <c r="C258" s="54" t="s">
        <v>11</v>
      </c>
      <c r="D258" s="56">
        <v>72727</v>
      </c>
      <c r="E258" s="57">
        <f>(D258-'2016'!D233)/'2016'!D233</f>
        <v>3.0550792818579871E-2</v>
      </c>
      <c r="F258" s="56">
        <v>72939</v>
      </c>
      <c r="G258" s="56">
        <v>66844</v>
      </c>
      <c r="H258" s="57">
        <f>(G258-'2016'!G233)/'2016'!G233</f>
        <v>0.3208449423992728</v>
      </c>
      <c r="I258" s="56">
        <v>68870</v>
      </c>
      <c r="J258" s="56">
        <v>32743</v>
      </c>
      <c r="K258" s="57">
        <f>(J258-'2016'!J233)/'2016'!J233</f>
        <v>3.3717442778216256E-2</v>
      </c>
      <c r="L258" s="56">
        <v>32862</v>
      </c>
    </row>
    <row r="259" spans="1:12" ht="15.75" thickBot="1" x14ac:dyDescent="0.3">
      <c r="A259" s="93" t="s">
        <v>291</v>
      </c>
      <c r="B259" s="94"/>
      <c r="C259" s="94"/>
      <c r="D259" s="94"/>
      <c r="E259" s="94"/>
      <c r="F259" s="95"/>
      <c r="G259" s="96"/>
      <c r="H259" s="97"/>
      <c r="I259" s="56"/>
      <c r="J259" s="56"/>
      <c r="K259" s="70"/>
      <c r="L259" s="56"/>
    </row>
    <row r="260" spans="1:12" ht="19.5" thickBot="1" x14ac:dyDescent="0.35">
      <c r="A260" s="83" t="s">
        <v>292</v>
      </c>
      <c r="B260" s="84"/>
      <c r="C260" s="84"/>
      <c r="D260" s="85"/>
      <c r="E260" s="85"/>
      <c r="F260" s="85"/>
      <c r="G260" s="85"/>
      <c r="H260" s="85"/>
      <c r="I260" s="85"/>
      <c r="J260" s="85"/>
      <c r="K260" s="85"/>
      <c r="L260" s="86"/>
    </row>
    <row r="261" spans="1:12" ht="45" x14ac:dyDescent="0.25">
      <c r="A261" s="33" t="s">
        <v>2</v>
      </c>
      <c r="B261" s="1" t="s">
        <v>3</v>
      </c>
      <c r="C261" s="32" t="s">
        <v>4</v>
      </c>
      <c r="D261" s="22" t="s">
        <v>78</v>
      </c>
      <c r="E261" s="23" t="s">
        <v>232</v>
      </c>
      <c r="F261" s="24" t="s">
        <v>85</v>
      </c>
      <c r="G261" s="22" t="s">
        <v>79</v>
      </c>
      <c r="H261" s="56" t="s">
        <v>232</v>
      </c>
      <c r="I261" s="51" t="s">
        <v>82</v>
      </c>
      <c r="J261" s="22" t="s">
        <v>80</v>
      </c>
      <c r="K261" s="23" t="s">
        <v>232</v>
      </c>
      <c r="L261" s="24" t="s">
        <v>81</v>
      </c>
    </row>
    <row r="262" spans="1:12" x14ac:dyDescent="0.25">
      <c r="A262" s="33" t="s">
        <v>5</v>
      </c>
      <c r="B262" s="1" t="s">
        <v>6</v>
      </c>
      <c r="C262" s="32" t="s">
        <v>7</v>
      </c>
      <c r="D262" s="56">
        <v>167504</v>
      </c>
      <c r="E262" s="41">
        <f>(D262-'2016'!D220)/'2016'!D220</f>
        <v>0.16582914572864321</v>
      </c>
      <c r="F262" s="56">
        <v>170068</v>
      </c>
      <c r="G262" s="56">
        <v>110497</v>
      </c>
      <c r="H262" s="41">
        <f>(G262-'2016'!G220)/'2016'!G220</f>
        <v>0.11160628954860517</v>
      </c>
      <c r="I262" s="56">
        <v>111982</v>
      </c>
      <c r="J262" s="56">
        <v>38095</v>
      </c>
      <c r="K262" s="41">
        <f>(J262-'2016'!J220)/'2016'!J220</f>
        <v>0</v>
      </c>
      <c r="L262" s="56">
        <v>38744</v>
      </c>
    </row>
    <row r="263" spans="1:12" x14ac:dyDescent="0.25">
      <c r="A263" s="33" t="s">
        <v>8</v>
      </c>
      <c r="B263" s="1" t="s">
        <v>9</v>
      </c>
      <c r="C263" s="32" t="s">
        <v>7</v>
      </c>
      <c r="D263" s="56">
        <v>152439</v>
      </c>
      <c r="E263" s="41">
        <f>(D263-'2016'!D221)/'2016'!D221</f>
        <v>2.7445456199828803E-2</v>
      </c>
      <c r="F263" s="56">
        <v>162601</v>
      </c>
      <c r="G263" s="56">
        <v>104058</v>
      </c>
      <c r="H263" s="41">
        <f>(G263-'2016'!G221)/'2016'!G221</f>
        <v>0.2539072384831359</v>
      </c>
      <c r="I263" s="56">
        <v>105820</v>
      </c>
      <c r="J263" s="56">
        <v>36205</v>
      </c>
      <c r="K263" s="41">
        <f>(J263-'2016'!J221)/'2016'!J221</f>
        <v>2.8808066258552397E-3</v>
      </c>
      <c r="L263" s="56">
        <v>36536</v>
      </c>
    </row>
    <row r="264" spans="1:12" x14ac:dyDescent="0.25">
      <c r="A264" s="33" t="s">
        <v>10</v>
      </c>
      <c r="B264" s="1" t="s">
        <v>9</v>
      </c>
      <c r="C264" s="32" t="s">
        <v>11</v>
      </c>
      <c r="D264" s="56">
        <v>64226</v>
      </c>
      <c r="E264" s="41">
        <f>(D264-'2016'!D222)/'2016'!D222</f>
        <v>4.9461592509681532E-2</v>
      </c>
      <c r="F264" s="56">
        <v>65019</v>
      </c>
      <c r="G264" s="56">
        <v>56022</v>
      </c>
      <c r="H264" s="41">
        <f>(G264-'2016'!G222)/'2016'!G222</f>
        <v>0.3142991202346041</v>
      </c>
      <c r="I264" s="56">
        <v>57405</v>
      </c>
      <c r="J264" s="56">
        <v>28449</v>
      </c>
      <c r="K264" s="41">
        <f>(J264-'2016'!J222)/'2016'!J222</f>
        <v>8.6752234700893882E-2</v>
      </c>
      <c r="L264" s="56">
        <v>28595</v>
      </c>
    </row>
    <row r="265" spans="1:12" x14ac:dyDescent="0.25">
      <c r="A265" s="33" t="s">
        <v>12</v>
      </c>
      <c r="B265" s="1" t="s">
        <v>13</v>
      </c>
      <c r="C265" s="32" t="s">
        <v>7</v>
      </c>
      <c r="D265" s="56">
        <v>132100</v>
      </c>
      <c r="E265" s="41">
        <f>(D265-'2016'!D223)/'2016'!D223</f>
        <v>-2.7739955398214458E-2</v>
      </c>
      <c r="F265" s="56">
        <v>152671</v>
      </c>
      <c r="G265" s="56">
        <v>106837</v>
      </c>
      <c r="H265" s="41">
        <f>(G265-'2016'!G223)/'2016'!G223</f>
        <v>0.18909924649682239</v>
      </c>
      <c r="I265" s="56">
        <v>107296</v>
      </c>
      <c r="J265" s="56">
        <v>36900</v>
      </c>
      <c r="K265" s="41">
        <f>(J265-'2016'!J223)/'2016'!J223</f>
        <v>3.4308779011099896E-2</v>
      </c>
      <c r="L265" s="56">
        <v>37735</v>
      </c>
    </row>
    <row r="266" spans="1:12" x14ac:dyDescent="0.25">
      <c r="A266" s="33" t="s">
        <v>14</v>
      </c>
      <c r="B266" s="1" t="s">
        <v>15</v>
      </c>
      <c r="C266" s="32" t="s">
        <v>7</v>
      </c>
      <c r="D266" s="56">
        <v>134408</v>
      </c>
      <c r="E266" s="41">
        <f>(D266-'2016'!D224)/'2016'!D224</f>
        <v>1.3443920829406221E-2</v>
      </c>
      <c r="F266" s="56">
        <v>136239</v>
      </c>
      <c r="G266" s="56">
        <v>104058</v>
      </c>
      <c r="H266" s="41">
        <f>(G266-'2016'!G224)/'2016'!G224</f>
        <v>0.1779395284076116</v>
      </c>
      <c r="I266" s="56">
        <v>107411</v>
      </c>
      <c r="J266" s="56">
        <v>37764</v>
      </c>
      <c r="K266" s="41">
        <f>(J266-'2016'!J224)/'2016'!J224</f>
        <v>6.2696983340837467E-2</v>
      </c>
      <c r="L266" s="56">
        <v>37907</v>
      </c>
    </row>
    <row r="267" spans="1:12" ht="15.75" thickBot="1" x14ac:dyDescent="0.3">
      <c r="A267" s="87" t="s">
        <v>293</v>
      </c>
      <c r="B267" s="88"/>
      <c r="C267" s="88"/>
      <c r="D267" s="88"/>
      <c r="E267" s="88"/>
      <c r="F267" s="88"/>
      <c r="G267" s="88"/>
      <c r="H267" s="88"/>
      <c r="I267" s="88"/>
      <c r="J267" s="88"/>
      <c r="K267" s="88"/>
      <c r="L267" s="89"/>
    </row>
    <row r="268" spans="1:12" ht="15.75" thickBot="1" x14ac:dyDescent="0.3">
      <c r="A268" s="15"/>
      <c r="B268" s="13"/>
      <c r="C268" s="21"/>
    </row>
    <row r="269" spans="1:12" ht="18.75" x14ac:dyDescent="0.3">
      <c r="A269" s="90" t="s">
        <v>294</v>
      </c>
      <c r="B269" s="91"/>
      <c r="C269" s="91"/>
      <c r="D269" s="91"/>
      <c r="E269" s="91"/>
      <c r="F269" s="91"/>
      <c r="G269" s="91"/>
      <c r="H269" s="91"/>
      <c r="I269" s="91"/>
      <c r="J269" s="91"/>
      <c r="K269" s="91"/>
      <c r="L269" s="92"/>
    </row>
    <row r="270" spans="1:12" ht="45" x14ac:dyDescent="0.25">
      <c r="A270" s="66" t="s">
        <v>2</v>
      </c>
      <c r="B270" s="54" t="s">
        <v>3</v>
      </c>
      <c r="C270" s="54" t="s">
        <v>4</v>
      </c>
      <c r="D270" s="55" t="s">
        <v>78</v>
      </c>
      <c r="E270" s="55" t="s">
        <v>232</v>
      </c>
      <c r="F270" s="55" t="s">
        <v>85</v>
      </c>
      <c r="G270" s="55" t="s">
        <v>79</v>
      </c>
      <c r="H270" s="55" t="s">
        <v>232</v>
      </c>
      <c r="I270" s="55" t="s">
        <v>82</v>
      </c>
      <c r="J270" s="55" t="s">
        <v>80</v>
      </c>
      <c r="K270" s="55" t="s">
        <v>232</v>
      </c>
      <c r="L270" s="67" t="s">
        <v>81</v>
      </c>
    </row>
    <row r="271" spans="1:12" x14ac:dyDescent="0.25">
      <c r="A271" s="66" t="s">
        <v>5</v>
      </c>
      <c r="B271" s="54" t="s">
        <v>6</v>
      </c>
      <c r="C271" s="54" t="s">
        <v>7</v>
      </c>
      <c r="D271" s="56">
        <v>152671</v>
      </c>
      <c r="E271" s="57">
        <f>(D271-'2016'!D229)/'2016'!D229</f>
        <v>2.4424448604652722E-2</v>
      </c>
      <c r="F271" s="56">
        <v>154798</v>
      </c>
      <c r="G271" s="56">
        <v>103305</v>
      </c>
      <c r="H271" s="57">
        <f>(G271-'2016'!G229)/'2016'!G229</f>
        <v>9.8136553527579648E-2</v>
      </c>
      <c r="I271" s="56">
        <v>104166</v>
      </c>
      <c r="J271" s="56">
        <v>36873</v>
      </c>
      <c r="K271" s="57">
        <f>(J271-'2016'!J229)/'2016'!J229</f>
        <v>0</v>
      </c>
      <c r="L271" s="56">
        <v>37216</v>
      </c>
    </row>
    <row r="272" spans="1:12" x14ac:dyDescent="0.25">
      <c r="A272" s="66" t="s">
        <v>8</v>
      </c>
      <c r="B272" s="54" t="s">
        <v>9</v>
      </c>
      <c r="C272" s="54" t="s">
        <v>7</v>
      </c>
      <c r="D272" s="56">
        <v>146412</v>
      </c>
      <c r="E272" s="57">
        <f>(D272-'2016'!D230)/'2016'!D230</f>
        <v>2.6350655086118061E-2</v>
      </c>
      <c r="F272" s="56">
        <v>147710</v>
      </c>
      <c r="G272" s="56">
        <v>93720</v>
      </c>
      <c r="H272" s="57">
        <f>(G272-'2016'!G230)/'2016'!G230</f>
        <v>0.17619005785569961</v>
      </c>
      <c r="I272" s="56">
        <v>94607</v>
      </c>
      <c r="J272" s="56">
        <v>34710</v>
      </c>
      <c r="K272" s="57">
        <f>(J272-'2016'!J230)/'2016'!J230</f>
        <v>-4.8453224002981739E-3</v>
      </c>
      <c r="L272" s="56">
        <v>34879</v>
      </c>
    </row>
    <row r="273" spans="1:12" x14ac:dyDescent="0.25">
      <c r="A273" s="66" t="s">
        <v>10</v>
      </c>
      <c r="B273" s="54" t="s">
        <v>9</v>
      </c>
      <c r="C273" s="54" t="s">
        <v>11</v>
      </c>
      <c r="D273" s="56">
        <v>83333</v>
      </c>
      <c r="E273" s="57">
        <f>(D273-'2016'!D231)/'2016'!D231</f>
        <v>4.8332515630700332E-2</v>
      </c>
      <c r="F273" s="56">
        <v>83822</v>
      </c>
      <c r="G273" s="56">
        <v>69108</v>
      </c>
      <c r="H273" s="57">
        <f>(G273-'2016'!G231)/'2016'!G231</f>
        <v>0.33033033033033032</v>
      </c>
      <c r="I273" s="56">
        <v>69930</v>
      </c>
      <c r="J273" s="56">
        <v>32310</v>
      </c>
      <c r="K273" s="57">
        <f>(J273-'2016'!J231)/'2016'!J231</f>
        <v>2.0691833833517612E-2</v>
      </c>
      <c r="L273" s="56">
        <v>32562</v>
      </c>
    </row>
    <row r="274" spans="1:12" x14ac:dyDescent="0.25">
      <c r="A274" s="66" t="s">
        <v>12</v>
      </c>
      <c r="B274" s="54" t="s">
        <v>13</v>
      </c>
      <c r="C274" s="54" t="s">
        <v>11</v>
      </c>
      <c r="D274" s="56">
        <v>73583</v>
      </c>
      <c r="E274" s="57">
        <f>(D274-'2016'!D232)/'2016'!D232</f>
        <v>5.1498511051006751E-3</v>
      </c>
      <c r="F274" s="56">
        <v>75585</v>
      </c>
      <c r="G274" s="56">
        <v>68027</v>
      </c>
      <c r="H274" s="57">
        <f>(G274-'2016'!G232)/'2016'!G232</f>
        <v>0.28775602922803167</v>
      </c>
      <c r="I274" s="56">
        <v>68540</v>
      </c>
      <c r="J274" s="56">
        <v>32362</v>
      </c>
      <c r="K274" s="57">
        <f>(J274-'2016'!J232)/'2016'!J232</f>
        <v>1.2609906442629619E-2</v>
      </c>
      <c r="L274" s="56">
        <v>32425</v>
      </c>
    </row>
    <row r="275" spans="1:12" x14ac:dyDescent="0.25">
      <c r="A275" s="66" t="s">
        <v>14</v>
      </c>
      <c r="B275" s="54" t="s">
        <v>15</v>
      </c>
      <c r="C275" s="54" t="s">
        <v>11</v>
      </c>
      <c r="D275" s="56">
        <v>72780</v>
      </c>
      <c r="E275" s="57">
        <f>(D275-'2016'!D233)/'2016'!D233</f>
        <v>3.1301809525159062E-2</v>
      </c>
      <c r="F275" s="56">
        <v>73800</v>
      </c>
      <c r="G275" s="56">
        <v>66312</v>
      </c>
      <c r="H275" s="57">
        <f>(G275-'2016'!G233)/'2016'!G233</f>
        <v>0.31033256268895609</v>
      </c>
      <c r="I275" s="56">
        <v>67613</v>
      </c>
      <c r="J275" s="56">
        <v>32541</v>
      </c>
      <c r="K275" s="57">
        <f>(J275-'2016'!J233)/'2016'!J233</f>
        <v>2.734017363851618E-2</v>
      </c>
      <c r="L275" s="56">
        <v>33025</v>
      </c>
    </row>
    <row r="276" spans="1:12" ht="15.75" thickBot="1" x14ac:dyDescent="0.3">
      <c r="A276" s="93" t="s">
        <v>295</v>
      </c>
      <c r="B276" s="94"/>
      <c r="C276" s="94"/>
      <c r="D276" s="94"/>
      <c r="E276" s="94"/>
      <c r="F276" s="95"/>
      <c r="G276" s="96"/>
      <c r="H276" s="97"/>
      <c r="I276" s="56"/>
      <c r="J276" s="56"/>
      <c r="K276" s="70"/>
      <c r="L276" s="56"/>
    </row>
    <row r="277" spans="1:12" ht="19.5" thickBot="1" x14ac:dyDescent="0.35">
      <c r="A277" s="83" t="s">
        <v>296</v>
      </c>
      <c r="B277" s="84"/>
      <c r="C277" s="84"/>
      <c r="D277" s="85"/>
      <c r="E277" s="85"/>
      <c r="F277" s="85"/>
      <c r="G277" s="85"/>
      <c r="H277" s="85"/>
      <c r="I277" s="85"/>
      <c r="J277" s="85"/>
      <c r="K277" s="85"/>
      <c r="L277" s="86"/>
    </row>
    <row r="278" spans="1:12" ht="45" x14ac:dyDescent="0.25">
      <c r="A278" s="33" t="s">
        <v>2</v>
      </c>
      <c r="B278" s="1" t="s">
        <v>3</v>
      </c>
      <c r="C278" s="32" t="s">
        <v>4</v>
      </c>
      <c r="D278" s="22" t="s">
        <v>78</v>
      </c>
      <c r="E278" s="23" t="s">
        <v>232</v>
      </c>
      <c r="F278" s="24" t="s">
        <v>85</v>
      </c>
      <c r="G278" s="22" t="s">
        <v>79</v>
      </c>
      <c r="H278" s="56" t="s">
        <v>232</v>
      </c>
      <c r="I278" s="51" t="s">
        <v>82</v>
      </c>
      <c r="J278" s="22" t="s">
        <v>80</v>
      </c>
      <c r="K278" s="23" t="s">
        <v>232</v>
      </c>
      <c r="L278" s="24" t="s">
        <v>81</v>
      </c>
    </row>
    <row r="279" spans="1:12" x14ac:dyDescent="0.25">
      <c r="A279" s="33" t="s">
        <v>5</v>
      </c>
      <c r="B279" s="1" t="s">
        <v>6</v>
      </c>
      <c r="C279" s="32" t="s">
        <v>7</v>
      </c>
      <c r="D279" s="56">
        <v>160256</v>
      </c>
      <c r="E279" s="41">
        <f>(D279-'2016'!D220)/'2016'!D220</f>
        <v>0.11538300922897034</v>
      </c>
      <c r="F279" s="56">
        <v>165837</v>
      </c>
      <c r="G279" s="56">
        <v>110619</v>
      </c>
      <c r="H279" s="41">
        <f>(G279-'2016'!G220)/'2016'!G220</f>
        <v>0.11283361669164915</v>
      </c>
      <c r="I279" s="56">
        <v>111482</v>
      </c>
      <c r="J279" s="56">
        <v>36900</v>
      </c>
      <c r="K279" s="41">
        <f>(J279-'2016'!J220)/'2016'!J220</f>
        <v>-3.1368946055912852E-2</v>
      </c>
      <c r="L279" s="56">
        <v>38240</v>
      </c>
    </row>
    <row r="280" spans="1:12" x14ac:dyDescent="0.25">
      <c r="A280" s="33" t="s">
        <v>8</v>
      </c>
      <c r="B280" s="1" t="s">
        <v>9</v>
      </c>
      <c r="C280" s="32" t="s">
        <v>7</v>
      </c>
      <c r="D280" s="56">
        <v>159744</v>
      </c>
      <c r="E280" s="41">
        <f>(D280-'2016'!D221)/'2016'!D221</f>
        <v>7.6681472295052136E-2</v>
      </c>
      <c r="F280" s="56">
        <v>160513</v>
      </c>
      <c r="G280" s="56">
        <v>103734</v>
      </c>
      <c r="H280" s="41">
        <f>(G280-'2016'!G221)/'2016'!G221</f>
        <v>0.25000301252003326</v>
      </c>
      <c r="I280" s="56">
        <v>104602</v>
      </c>
      <c r="J280" s="56">
        <v>36179</v>
      </c>
      <c r="K280" s="41">
        <f>(J280-'2016'!J221)/'2016'!J221</f>
        <v>2.1606049693914295E-3</v>
      </c>
      <c r="L280" s="56">
        <v>36697</v>
      </c>
    </row>
    <row r="281" spans="1:12" x14ac:dyDescent="0.25">
      <c r="A281" s="33" t="s">
        <v>10</v>
      </c>
      <c r="B281" s="1" t="s">
        <v>9</v>
      </c>
      <c r="C281" s="32" t="s">
        <v>11</v>
      </c>
      <c r="D281" s="56">
        <v>61576</v>
      </c>
      <c r="E281" s="41">
        <f>(D281-'2016'!D222)/'2016'!D222</f>
        <v>6.1602313763296787E-3</v>
      </c>
      <c r="F281" s="56">
        <v>62073</v>
      </c>
      <c r="G281" s="56">
        <v>54555</v>
      </c>
      <c r="H281" s="41">
        <f>(G281-'2016'!G222)/'2016'!G222</f>
        <v>0.2798826979472141</v>
      </c>
      <c r="I281" s="56">
        <v>55401</v>
      </c>
      <c r="J281" s="56">
        <v>27870</v>
      </c>
      <c r="K281" s="41">
        <f>(J281-'2016'!J222)/'2016'!J222</f>
        <v>6.4634425853770341E-2</v>
      </c>
      <c r="L281" s="56">
        <v>28587</v>
      </c>
    </row>
    <row r="282" spans="1:12" x14ac:dyDescent="0.25">
      <c r="A282" s="33" t="s">
        <v>12</v>
      </c>
      <c r="B282" s="1" t="s">
        <v>13</v>
      </c>
      <c r="C282" s="32" t="s">
        <v>7</v>
      </c>
      <c r="D282" s="56">
        <v>143678</v>
      </c>
      <c r="E282" s="41">
        <f>(D282-'2016'!D223)/'2016'!D223</f>
        <v>5.7474479093833034E-2</v>
      </c>
      <c r="F282" s="56">
        <v>154798</v>
      </c>
      <c r="G282" s="56">
        <v>82987</v>
      </c>
      <c r="H282" s="41">
        <f>(G282-'2016'!G223)/'2016'!G223</f>
        <v>-7.6352020657339703E-2</v>
      </c>
      <c r="I282" s="56">
        <v>103734</v>
      </c>
      <c r="J282" s="56">
        <v>36443</v>
      </c>
      <c r="K282" s="41">
        <f>(J282-'2016'!J223)/'2016'!J223</f>
        <v>2.1499046978360803E-2</v>
      </c>
      <c r="L282" s="56">
        <v>37369</v>
      </c>
    </row>
    <row r="283" spans="1:12" x14ac:dyDescent="0.25">
      <c r="A283" s="33" t="s">
        <v>14</v>
      </c>
      <c r="B283" s="1" t="s">
        <v>15</v>
      </c>
      <c r="C283" s="32" t="s">
        <v>7</v>
      </c>
      <c r="D283" s="56">
        <v>131752</v>
      </c>
      <c r="E283" s="41">
        <f>(D283-'2016'!D224)/'2016'!D224</f>
        <v>-6.5824693685202643E-3</v>
      </c>
      <c r="F283" s="56">
        <v>136425</v>
      </c>
      <c r="G283" s="56">
        <v>105374</v>
      </c>
      <c r="H283" s="41">
        <f>(G283-'2016'!G224)/'2016'!G224</f>
        <v>0.19283668594844858</v>
      </c>
      <c r="I283" s="56">
        <v>105820</v>
      </c>
      <c r="J283" s="56">
        <v>37721</v>
      </c>
      <c r="K283" s="41">
        <f>(J283-'2016'!J224)/'2016'!J224</f>
        <v>6.1486942818550203E-2</v>
      </c>
      <c r="L283" s="56">
        <v>38284</v>
      </c>
    </row>
    <row r="284" spans="1:12" ht="15.75" thickBot="1" x14ac:dyDescent="0.3">
      <c r="A284" s="87" t="s">
        <v>297</v>
      </c>
      <c r="B284" s="88"/>
      <c r="C284" s="88"/>
      <c r="D284" s="88"/>
      <c r="E284" s="88"/>
      <c r="F284" s="88"/>
      <c r="G284" s="88"/>
      <c r="H284" s="88"/>
      <c r="I284" s="88"/>
      <c r="J284" s="88"/>
      <c r="K284" s="88"/>
      <c r="L284" s="89"/>
    </row>
    <row r="285" spans="1:12" ht="15.75" thickBot="1" x14ac:dyDescent="0.3">
      <c r="A285" s="15"/>
      <c r="B285" s="13"/>
      <c r="C285" s="21"/>
    </row>
    <row r="286" spans="1:12" ht="18.75" x14ac:dyDescent="0.3">
      <c r="A286" s="90" t="s">
        <v>299</v>
      </c>
      <c r="B286" s="91"/>
      <c r="C286" s="91"/>
      <c r="D286" s="91"/>
      <c r="E286" s="91"/>
      <c r="F286" s="91"/>
      <c r="G286" s="91"/>
      <c r="H286" s="91"/>
      <c r="I286" s="91"/>
      <c r="J286" s="91"/>
      <c r="K286" s="91"/>
      <c r="L286" s="92"/>
    </row>
    <row r="287" spans="1:12" ht="45" x14ac:dyDescent="0.25">
      <c r="A287" s="66" t="s">
        <v>2</v>
      </c>
      <c r="B287" s="54" t="s">
        <v>3</v>
      </c>
      <c r="C287" s="54" t="s">
        <v>4</v>
      </c>
      <c r="D287" s="55" t="s">
        <v>78</v>
      </c>
      <c r="E287" s="55" t="s">
        <v>232</v>
      </c>
      <c r="F287" s="55" t="s">
        <v>85</v>
      </c>
      <c r="G287" s="55" t="s">
        <v>79</v>
      </c>
      <c r="H287" s="55" t="s">
        <v>232</v>
      </c>
      <c r="I287" s="55" t="s">
        <v>82</v>
      </c>
      <c r="J287" s="55" t="s">
        <v>80</v>
      </c>
      <c r="K287" s="55" t="s">
        <v>232</v>
      </c>
      <c r="L287" s="67" t="s">
        <v>81</v>
      </c>
    </row>
    <row r="288" spans="1:12" x14ac:dyDescent="0.25">
      <c r="A288" s="66" t="s">
        <v>5</v>
      </c>
      <c r="B288" s="54" t="s">
        <v>6</v>
      </c>
      <c r="C288" s="54" t="s">
        <v>7</v>
      </c>
      <c r="D288" s="56">
        <v>148367</v>
      </c>
      <c r="E288" s="57">
        <f>(D288-'2016'!D229)/'2016'!D229</f>
        <v>-4.4554488663432444E-3</v>
      </c>
      <c r="F288" s="56">
        <v>153374</v>
      </c>
      <c r="G288" s="56">
        <v>104166</v>
      </c>
      <c r="H288" s="57">
        <f>(G288-'2016'!G229)/'2016'!G229</f>
        <v>0.10728902022897112</v>
      </c>
      <c r="I288" s="56">
        <v>104931</v>
      </c>
      <c r="J288" s="56">
        <v>37050</v>
      </c>
      <c r="K288" s="57">
        <f>(J288-'2016'!J229)/'2016'!J229</f>
        <v>4.8002603531038975E-3</v>
      </c>
      <c r="L288" s="56">
        <v>37050</v>
      </c>
    </row>
    <row r="289" spans="1:12" x14ac:dyDescent="0.25">
      <c r="A289" s="66" t="s">
        <v>8</v>
      </c>
      <c r="B289" s="54" t="s">
        <v>9</v>
      </c>
      <c r="C289" s="54" t="s">
        <v>7</v>
      </c>
      <c r="D289" s="56">
        <v>147275</v>
      </c>
      <c r="E289" s="57">
        <f>(D289-'2016'!D230)/'2016'!D230</f>
        <v>3.2400300028741072E-2</v>
      </c>
      <c r="F289" s="56">
        <v>148367</v>
      </c>
      <c r="G289" s="56">
        <v>94607</v>
      </c>
      <c r="H289" s="57">
        <f>(G289-'2016'!G230)/'2016'!G230</f>
        <v>0.18732194626071461</v>
      </c>
      <c r="I289" s="56">
        <v>95419</v>
      </c>
      <c r="J289" s="56">
        <v>34153</v>
      </c>
      <c r="K289" s="57">
        <f>(J289-'2016'!J230)/'2016'!J230</f>
        <v>-2.0814816938559019E-2</v>
      </c>
      <c r="L289" s="56">
        <v>34879</v>
      </c>
    </row>
    <row r="290" spans="1:12" x14ac:dyDescent="0.25">
      <c r="A290" s="66" t="s">
        <v>10</v>
      </c>
      <c r="B290" s="54" t="s">
        <v>9</v>
      </c>
      <c r="C290" s="54" t="s">
        <v>11</v>
      </c>
      <c r="D290" s="56">
        <v>79872</v>
      </c>
      <c r="E290" s="57">
        <f>(D290-'2016'!D231)/'2016'!D231</f>
        <v>4.7929954334452957E-3</v>
      </c>
      <c r="F290" s="56">
        <v>86956</v>
      </c>
      <c r="G290" s="56">
        <v>70126</v>
      </c>
      <c r="H290" s="57">
        <f>(G290-'2016'!G231)/'2016'!G231</f>
        <v>0.34992684992684991</v>
      </c>
      <c r="I290" s="56">
        <v>70472</v>
      </c>
      <c r="J290" s="56">
        <v>32268</v>
      </c>
      <c r="K290" s="57">
        <f>(J290-'2016'!J231)/'2016'!J231</f>
        <v>1.9365029221292056E-2</v>
      </c>
      <c r="L290" s="56">
        <v>32583</v>
      </c>
    </row>
    <row r="291" spans="1:12" x14ac:dyDescent="0.25">
      <c r="A291" s="66" t="s">
        <v>12</v>
      </c>
      <c r="B291" s="54" t="s">
        <v>13</v>
      </c>
      <c r="C291" s="54" t="s">
        <v>11</v>
      </c>
      <c r="D291" s="56">
        <v>74571</v>
      </c>
      <c r="E291" s="57">
        <f>(D291-'2016'!D232)/'2016'!D232</f>
        <v>1.8646012621916237E-2</v>
      </c>
      <c r="F291" s="56">
        <v>74850</v>
      </c>
      <c r="G291" s="56">
        <v>67069</v>
      </c>
      <c r="H291" s="57">
        <f>(G291-'2016'!G232)/'2016'!G232</f>
        <v>0.2696210199522962</v>
      </c>
      <c r="I291" s="56">
        <v>67385</v>
      </c>
      <c r="J291" s="56">
        <v>31715</v>
      </c>
      <c r="K291" s="57">
        <f>(J291-'2016'!J232)/'2016'!J232</f>
        <v>-7.6347820645201667E-3</v>
      </c>
      <c r="L291" s="56">
        <v>32154</v>
      </c>
    </row>
    <row r="292" spans="1:12" x14ac:dyDescent="0.25">
      <c r="A292" s="66" t="s">
        <v>14</v>
      </c>
      <c r="B292" s="54" t="s">
        <v>15</v>
      </c>
      <c r="C292" s="54" t="s">
        <v>11</v>
      </c>
      <c r="D292" s="56">
        <v>69108</v>
      </c>
      <c r="E292" s="57">
        <f>(D292-'2016'!D233)/'2016'!D233</f>
        <v>-2.0730895126893484E-2</v>
      </c>
      <c r="F292" s="56">
        <v>73800</v>
      </c>
      <c r="G292" s="56">
        <v>66666</v>
      </c>
      <c r="H292" s="57">
        <f>(G292-'2016'!G233)/'2016'!G233</f>
        <v>0.31732764242100897</v>
      </c>
      <c r="I292" s="56">
        <v>68775</v>
      </c>
      <c r="J292" s="56">
        <v>32541</v>
      </c>
      <c r="K292" s="57">
        <f>(J292-'2016'!J233)/'2016'!J233</f>
        <v>2.734017363851618E-2</v>
      </c>
      <c r="L292" s="56">
        <v>33025</v>
      </c>
    </row>
    <row r="293" spans="1:12" ht="15.75" thickBot="1" x14ac:dyDescent="0.3">
      <c r="A293" s="93" t="s">
        <v>298</v>
      </c>
      <c r="B293" s="94"/>
      <c r="C293" s="94"/>
      <c r="D293" s="94"/>
      <c r="E293" s="94"/>
      <c r="F293" s="95"/>
      <c r="G293" s="96"/>
      <c r="H293" s="97"/>
      <c r="I293" s="56"/>
      <c r="J293" s="56"/>
      <c r="K293" s="70"/>
      <c r="L293" s="56"/>
    </row>
    <row r="294" spans="1:12" ht="19.5" thickBot="1" x14ac:dyDescent="0.35">
      <c r="A294" s="83" t="s">
        <v>300</v>
      </c>
      <c r="B294" s="84"/>
      <c r="C294" s="84"/>
      <c r="D294" s="85"/>
      <c r="E294" s="85"/>
      <c r="F294" s="85"/>
      <c r="G294" s="85"/>
      <c r="H294" s="85"/>
      <c r="I294" s="85"/>
      <c r="J294" s="85"/>
      <c r="K294" s="85"/>
      <c r="L294" s="86"/>
    </row>
    <row r="295" spans="1:12" ht="45" x14ac:dyDescent="0.25">
      <c r="A295" s="33" t="s">
        <v>2</v>
      </c>
      <c r="B295" s="1" t="s">
        <v>3</v>
      </c>
      <c r="C295" s="32" t="s">
        <v>4</v>
      </c>
      <c r="D295" s="22" t="s">
        <v>78</v>
      </c>
      <c r="E295" s="23" t="s">
        <v>232</v>
      </c>
      <c r="F295" s="24" t="s">
        <v>85</v>
      </c>
      <c r="G295" s="22" t="s">
        <v>79</v>
      </c>
      <c r="H295" s="56" t="s">
        <v>232</v>
      </c>
      <c r="I295" s="51" t="s">
        <v>82</v>
      </c>
      <c r="J295" s="22" t="s">
        <v>80</v>
      </c>
      <c r="K295" s="23" t="s">
        <v>232</v>
      </c>
      <c r="L295" s="24" t="s">
        <v>81</v>
      </c>
    </row>
    <row r="296" spans="1:12" x14ac:dyDescent="0.25">
      <c r="A296" s="33" t="s">
        <v>5</v>
      </c>
      <c r="B296" s="1" t="s">
        <v>6</v>
      </c>
      <c r="C296" s="32" t="s">
        <v>7</v>
      </c>
      <c r="D296" s="56">
        <v>143678</v>
      </c>
      <c r="E296" s="41">
        <f>(D296-'2016'!D220)/'2016'!D220</f>
        <v>0</v>
      </c>
      <c r="F296" s="56">
        <v>171821</v>
      </c>
      <c r="G296" s="56">
        <v>109051</v>
      </c>
      <c r="H296" s="41">
        <f>(G296-'2016'!G220)/'2016'!G220</f>
        <v>9.7059444885969237E-2</v>
      </c>
      <c r="I296" s="56">
        <v>110132</v>
      </c>
      <c r="J296" s="56">
        <v>38211</v>
      </c>
      <c r="K296" s="41">
        <f>(J296-'2016'!J220)/'2016'!J220</f>
        <v>3.045019031368946E-3</v>
      </c>
      <c r="L296" s="56">
        <v>39108</v>
      </c>
    </row>
    <row r="297" spans="1:12" x14ac:dyDescent="0.25">
      <c r="A297" s="33" t="s">
        <v>8</v>
      </c>
      <c r="B297" s="1" t="s">
        <v>9</v>
      </c>
      <c r="C297" s="32" t="s">
        <v>7</v>
      </c>
      <c r="D297" s="56">
        <v>159489</v>
      </c>
      <c r="E297" s="41">
        <f>(D297-'2016'!D221)/'2016'!D221</f>
        <v>7.4962761260927296E-2</v>
      </c>
      <c r="F297" s="56">
        <v>166666</v>
      </c>
      <c r="G297" s="56">
        <v>104166</v>
      </c>
      <c r="H297" s="41">
        <f>(G297-'2016'!G221)/'2016'!G221</f>
        <v>0.25520864713750346</v>
      </c>
      <c r="I297" s="56">
        <v>105042</v>
      </c>
      <c r="J297" s="56">
        <v>36023</v>
      </c>
      <c r="K297" s="41">
        <f>(J297-'2016'!J221)/'2016'!J221</f>
        <v>-2.1606049693914295E-3</v>
      </c>
      <c r="L297" s="56">
        <v>36873</v>
      </c>
    </row>
    <row r="298" spans="1:12" x14ac:dyDescent="0.25">
      <c r="A298" s="33" t="s">
        <v>10</v>
      </c>
      <c r="B298" s="1" t="s">
        <v>9</v>
      </c>
      <c r="C298" s="32" t="s">
        <v>11</v>
      </c>
      <c r="D298" s="56">
        <v>61462</v>
      </c>
      <c r="E298" s="41">
        <f>(D298-'2016'!D222)/'2016'!D222</f>
        <v>4.297455840781712E-3</v>
      </c>
      <c r="F298" s="56">
        <v>65061</v>
      </c>
      <c r="G298" s="56">
        <v>57471</v>
      </c>
      <c r="H298" s="41">
        <f>(G298-'2016'!G222)/'2016'!G222</f>
        <v>0.3482932551319648</v>
      </c>
      <c r="I298" s="56">
        <v>57937</v>
      </c>
      <c r="J298" s="56">
        <v>28449</v>
      </c>
      <c r="K298" s="41">
        <f>(J298-'2016'!J222)/'2016'!J222</f>
        <v>8.6752234700893882E-2</v>
      </c>
      <c r="L298" s="56">
        <v>28546</v>
      </c>
    </row>
    <row r="299" spans="1:12" x14ac:dyDescent="0.25">
      <c r="A299" s="33" t="s">
        <v>12</v>
      </c>
      <c r="B299" s="1" t="s">
        <v>13</v>
      </c>
      <c r="C299" s="32" t="s">
        <v>7</v>
      </c>
      <c r="D299" s="56">
        <v>150602</v>
      </c>
      <c r="E299" s="41">
        <f>(D299-'2016'!D223)/'2016'!D223</f>
        <v>0.10843533109097733</v>
      </c>
      <c r="F299" s="56">
        <v>162866</v>
      </c>
      <c r="G299" s="56">
        <v>99601</v>
      </c>
      <c r="H299" s="41">
        <f>(G299-'2016'!G223)/'2016'!G223</f>
        <v>0.10856233374514453</v>
      </c>
      <c r="I299" s="56">
        <v>108577</v>
      </c>
      <c r="J299" s="56">
        <v>36023</v>
      </c>
      <c r="K299" s="41">
        <f>(J299-'2016'!J223)/'2016'!J223</f>
        <v>9.7264267294539745E-3</v>
      </c>
      <c r="L299" s="56">
        <v>37397</v>
      </c>
    </row>
    <row r="300" spans="1:12" x14ac:dyDescent="0.25">
      <c r="A300" s="33" t="s">
        <v>14</v>
      </c>
      <c r="B300" s="1" t="s">
        <v>15</v>
      </c>
      <c r="C300" s="32" t="s">
        <v>7</v>
      </c>
      <c r="D300" s="56">
        <v>133689</v>
      </c>
      <c r="E300" s="41">
        <f>(D300-'2016'!D224)/'2016'!D224</f>
        <v>8.0226201696512716E-3</v>
      </c>
      <c r="F300" s="56">
        <v>141242</v>
      </c>
      <c r="G300" s="56">
        <v>101112</v>
      </c>
      <c r="H300" s="41">
        <f>(G300-'2016'!G224)/'2016'!G224</f>
        <v>0.14459072436862541</v>
      </c>
      <c r="I300" s="56">
        <v>106496</v>
      </c>
      <c r="J300" s="56">
        <v>37411</v>
      </c>
      <c r="K300" s="41">
        <f>(J300-'2016'!J224)/'2016'!J224</f>
        <v>5.2763394867176946E-2</v>
      </c>
      <c r="L300" s="56">
        <v>37764</v>
      </c>
    </row>
    <row r="301" spans="1:12" ht="15.75" thickBot="1" x14ac:dyDescent="0.3">
      <c r="A301" s="87" t="s">
        <v>302</v>
      </c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9"/>
    </row>
    <row r="302" spans="1:12" ht="15.75" thickBot="1" x14ac:dyDescent="0.3">
      <c r="A302" s="15"/>
      <c r="B302" s="13"/>
      <c r="C302" s="21"/>
    </row>
    <row r="303" spans="1:12" ht="18.75" x14ac:dyDescent="0.3">
      <c r="A303" s="90" t="s">
        <v>301</v>
      </c>
      <c r="B303" s="91"/>
      <c r="C303" s="91"/>
      <c r="D303" s="91"/>
      <c r="E303" s="91"/>
      <c r="F303" s="91"/>
      <c r="G303" s="91"/>
      <c r="H303" s="91"/>
      <c r="I303" s="91"/>
      <c r="J303" s="91"/>
      <c r="K303" s="91"/>
      <c r="L303" s="92"/>
    </row>
    <row r="304" spans="1:12" ht="45" x14ac:dyDescent="0.25">
      <c r="A304" s="66" t="s">
        <v>2</v>
      </c>
      <c r="B304" s="54" t="s">
        <v>3</v>
      </c>
      <c r="C304" s="54" t="s">
        <v>4</v>
      </c>
      <c r="D304" s="55" t="s">
        <v>78</v>
      </c>
      <c r="E304" s="55" t="s">
        <v>232</v>
      </c>
      <c r="F304" s="55" t="s">
        <v>85</v>
      </c>
      <c r="G304" s="55" t="s">
        <v>79</v>
      </c>
      <c r="H304" s="55" t="s">
        <v>232</v>
      </c>
      <c r="I304" s="55" t="s">
        <v>82</v>
      </c>
      <c r="J304" s="55" t="s">
        <v>80</v>
      </c>
      <c r="K304" s="55" t="s">
        <v>232</v>
      </c>
      <c r="L304" s="67" t="s">
        <v>81</v>
      </c>
    </row>
    <row r="305" spans="1:12" x14ac:dyDescent="0.25">
      <c r="A305" s="66" t="s">
        <v>5</v>
      </c>
      <c r="B305" s="54" t="s">
        <v>6</v>
      </c>
      <c r="C305" s="54" t="s">
        <v>7</v>
      </c>
      <c r="D305" s="56" t="s">
        <v>249</v>
      </c>
      <c r="E305" s="57" t="e">
        <f>(D305-'2016'!D246)/'2016'!D246</f>
        <v>#VALUE!</v>
      </c>
      <c r="F305" s="56" t="s">
        <v>249</v>
      </c>
      <c r="G305" s="56">
        <v>102775</v>
      </c>
      <c r="H305" s="57">
        <f>(G305-'2016'!G229)/'2016'!G229</f>
        <v>9.2502630935550056E-2</v>
      </c>
      <c r="I305" s="56">
        <v>103627</v>
      </c>
      <c r="J305" s="56">
        <v>37050</v>
      </c>
      <c r="K305" s="57">
        <f>(J305-'2016'!J229)/'2016'!J229</f>
        <v>4.8002603531038975E-3</v>
      </c>
      <c r="L305" s="56">
        <v>37216</v>
      </c>
    </row>
    <row r="306" spans="1:12" x14ac:dyDescent="0.25">
      <c r="A306" s="66" t="s">
        <v>8</v>
      </c>
      <c r="B306" s="54" t="s">
        <v>9</v>
      </c>
      <c r="C306" s="54" t="s">
        <v>7</v>
      </c>
      <c r="D306" s="56">
        <v>147058</v>
      </c>
      <c r="E306" s="57">
        <f>(D306-'2016'!D230)/'2016'!D230</f>
        <v>3.087912627144189E-2</v>
      </c>
      <c r="F306" s="56">
        <v>149476</v>
      </c>
      <c r="G306" s="56">
        <v>92936</v>
      </c>
      <c r="H306" s="57">
        <f>(G306-'2016'!G230)/'2016'!G230</f>
        <v>0.16635082391034248</v>
      </c>
      <c r="I306" s="56">
        <v>93283</v>
      </c>
      <c r="J306" s="56">
        <v>34317</v>
      </c>
      <c r="K306" s="57">
        <f>(J306-'2016'!J230)/'2016'!J230</f>
        <v>-1.6112847271997476E-2</v>
      </c>
      <c r="L306" s="56">
        <v>34879</v>
      </c>
    </row>
    <row r="307" spans="1:12" x14ac:dyDescent="0.25">
      <c r="A307" s="66" t="s">
        <v>10</v>
      </c>
      <c r="B307" s="54" t="s">
        <v>9</v>
      </c>
      <c r="C307" s="54" t="s">
        <v>11</v>
      </c>
      <c r="D307" s="56">
        <v>82101</v>
      </c>
      <c r="E307" s="57">
        <f>(D307-'2016'!D231)/'2016'!D231</f>
        <v>3.2833905725176436E-2</v>
      </c>
      <c r="F307" s="56">
        <v>83892</v>
      </c>
      <c r="G307" s="56">
        <v>67159</v>
      </c>
      <c r="H307" s="57">
        <f>(G307-'2016'!G231)/'2016'!G231</f>
        <v>0.29281204281204282</v>
      </c>
      <c r="I307" s="56">
        <v>71942</v>
      </c>
      <c r="J307" s="56">
        <v>31655</v>
      </c>
      <c r="K307" s="57">
        <f>(J307-'2016'!J231)/'2016'!J231</f>
        <v>0</v>
      </c>
      <c r="L307" s="56">
        <v>32310</v>
      </c>
    </row>
    <row r="308" spans="1:12" x14ac:dyDescent="0.25">
      <c r="A308" s="66" t="s">
        <v>12</v>
      </c>
      <c r="B308" s="54" t="s">
        <v>13</v>
      </c>
      <c r="C308" s="54" t="s">
        <v>11</v>
      </c>
      <c r="D308" s="56">
        <v>73800</v>
      </c>
      <c r="E308" s="57">
        <f>(D308-'2016'!D232)/'2016'!D232</f>
        <v>8.1140890090976147E-3</v>
      </c>
      <c r="F308" s="56">
        <v>75585</v>
      </c>
      <c r="G308" s="56">
        <v>67385</v>
      </c>
      <c r="H308" s="57">
        <f>(G308-'2016'!G232)/'2016'!G232</f>
        <v>0.27560292280316512</v>
      </c>
      <c r="I308" s="56">
        <v>68027</v>
      </c>
      <c r="J308" s="56">
        <v>32154</v>
      </c>
      <c r="K308" s="57">
        <f>(J308-'2016'!J232)/'2016'!J232</f>
        <v>6.1015676335304612E-3</v>
      </c>
      <c r="L308" s="56">
        <v>32268</v>
      </c>
    </row>
    <row r="309" spans="1:12" x14ac:dyDescent="0.25">
      <c r="A309" s="66" t="s">
        <v>14</v>
      </c>
      <c r="B309" s="54" t="s">
        <v>15</v>
      </c>
      <c r="C309" s="54" t="s">
        <v>11</v>
      </c>
      <c r="D309" s="56">
        <v>72780</v>
      </c>
      <c r="E309" s="57">
        <f>(D309-'2016'!D233)/'2016'!D233</f>
        <v>3.1301809525159062E-2</v>
      </c>
      <c r="F309" s="56">
        <v>73421</v>
      </c>
      <c r="G309" s="56">
        <v>66979</v>
      </c>
      <c r="H309" s="57">
        <f>(G309-'2016'!G233)/'2016'!G233</f>
        <v>0.32351255755132691</v>
      </c>
      <c r="I309" s="56">
        <v>68540</v>
      </c>
      <c r="J309" s="56">
        <v>32862</v>
      </c>
      <c r="K309" s="57">
        <f>(J309-'2016'!J233)/'2016'!J233</f>
        <v>3.7474348855564325E-2</v>
      </c>
      <c r="L309" s="56">
        <v>32862</v>
      </c>
    </row>
    <row r="310" spans="1:12" ht="15.75" thickBot="1" x14ac:dyDescent="0.3">
      <c r="A310" s="93" t="s">
        <v>303</v>
      </c>
      <c r="B310" s="94"/>
      <c r="C310" s="94"/>
      <c r="D310" s="94"/>
      <c r="E310" s="94"/>
      <c r="F310" s="95"/>
      <c r="G310" s="96"/>
      <c r="H310" s="97"/>
      <c r="I310" s="56"/>
      <c r="J310" s="56"/>
      <c r="K310" s="70"/>
      <c r="L310" s="56"/>
    </row>
    <row r="311" spans="1:12" ht="19.5" thickBot="1" x14ac:dyDescent="0.35">
      <c r="A311" s="83" t="s">
        <v>304</v>
      </c>
      <c r="B311" s="84"/>
      <c r="C311" s="84"/>
      <c r="D311" s="85"/>
      <c r="E311" s="85"/>
      <c r="F311" s="85"/>
      <c r="G311" s="85"/>
      <c r="H311" s="85"/>
      <c r="I311" s="85"/>
      <c r="J311" s="85"/>
      <c r="K311" s="85"/>
      <c r="L311" s="86"/>
    </row>
    <row r="312" spans="1:12" ht="45" x14ac:dyDescent="0.25">
      <c r="A312" s="33" t="s">
        <v>2</v>
      </c>
      <c r="B312" s="1" t="s">
        <v>3</v>
      </c>
      <c r="C312" s="32" t="s">
        <v>4</v>
      </c>
      <c r="D312" s="22" t="s">
        <v>78</v>
      </c>
      <c r="E312" s="23" t="s">
        <v>232</v>
      </c>
      <c r="F312" s="24" t="s">
        <v>85</v>
      </c>
      <c r="G312" s="22" t="s">
        <v>79</v>
      </c>
      <c r="H312" s="56" t="s">
        <v>232</v>
      </c>
      <c r="I312" s="51" t="s">
        <v>82</v>
      </c>
      <c r="J312" s="22" t="s">
        <v>80</v>
      </c>
      <c r="K312" s="23" t="s">
        <v>232</v>
      </c>
      <c r="L312" s="24" t="s">
        <v>81</v>
      </c>
    </row>
    <row r="313" spans="1:12" x14ac:dyDescent="0.25">
      <c r="A313" s="33" t="s">
        <v>5</v>
      </c>
      <c r="B313" s="1" t="s">
        <v>6</v>
      </c>
      <c r="C313" s="32" t="s">
        <v>7</v>
      </c>
      <c r="D313" s="56">
        <v>153846</v>
      </c>
      <c r="E313" s="41">
        <f>(D313-'2016'!D220)/'2016'!D220</f>
        <v>7.0769359261682374E-2</v>
      </c>
      <c r="F313" s="56">
        <v>158478</v>
      </c>
      <c r="G313" s="56">
        <v>110987</v>
      </c>
      <c r="H313" s="41">
        <f>(G313-'2016'!G220)/'2016'!G220</f>
        <v>0.11653571823788014</v>
      </c>
      <c r="I313" s="56">
        <v>112612</v>
      </c>
      <c r="J313" s="56">
        <v>37864</v>
      </c>
      <c r="K313" s="41">
        <f>(J313-'2016'!J220)/'2016'!J220</f>
        <v>-6.0637878986743669E-3</v>
      </c>
      <c r="L313" s="56">
        <v>38595</v>
      </c>
    </row>
    <row r="314" spans="1:12" x14ac:dyDescent="0.25">
      <c r="A314" s="33" t="s">
        <v>8</v>
      </c>
      <c r="B314" s="1" t="s">
        <v>9</v>
      </c>
      <c r="C314" s="32" t="s">
        <v>7</v>
      </c>
      <c r="D314" s="56">
        <v>152905</v>
      </c>
      <c r="E314" s="41">
        <f>(D314-'2016'!D221)/'2016'!D221</f>
        <v>3.0586316364151059E-2</v>
      </c>
      <c r="F314" s="56">
        <v>155763</v>
      </c>
      <c r="G314" s="56">
        <v>101936</v>
      </c>
      <c r="H314" s="41">
        <f>(G314-'2016'!G221)/'2016'!G221</f>
        <v>0.22833696844084014</v>
      </c>
      <c r="I314" s="56">
        <v>103734</v>
      </c>
      <c r="J314" s="56">
        <v>36350</v>
      </c>
      <c r="K314" s="41">
        <f>(J314-'2016'!J221)/'2016'!J221</f>
        <v>6.8973158638264871E-3</v>
      </c>
      <c r="L314" s="56">
        <v>36697</v>
      </c>
    </row>
    <row r="315" spans="1:12" x14ac:dyDescent="0.25">
      <c r="A315" s="33" t="s">
        <v>10</v>
      </c>
      <c r="B315" s="1" t="s">
        <v>9</v>
      </c>
      <c r="C315" s="32" t="s">
        <v>11</v>
      </c>
      <c r="D315" s="56">
        <v>64432</v>
      </c>
      <c r="E315" s="41">
        <f>(D315-'2016'!D222)/'2016'!D222</f>
        <v>5.2827660582689256E-2</v>
      </c>
      <c r="F315" s="56">
        <v>64516</v>
      </c>
      <c r="G315" s="56">
        <v>56497</v>
      </c>
      <c r="H315" s="41">
        <f>(G315-'2016'!G222)/'2016'!G222</f>
        <v>0.32544281524926688</v>
      </c>
      <c r="I315" s="56">
        <v>57405</v>
      </c>
      <c r="J315" s="56">
        <v>28312</v>
      </c>
      <c r="K315" s="41">
        <f>(J315-'2016'!J222)/'2016'!J222</f>
        <v>8.1518832607533037E-2</v>
      </c>
      <c r="L315" s="56">
        <v>28686</v>
      </c>
    </row>
    <row r="316" spans="1:12" x14ac:dyDescent="0.25">
      <c r="A316" s="33" t="s">
        <v>12</v>
      </c>
      <c r="B316" s="1" t="s">
        <v>13</v>
      </c>
      <c r="C316" s="32" t="s">
        <v>7</v>
      </c>
      <c r="D316" s="56">
        <v>124533</v>
      </c>
      <c r="E316" s="41">
        <f>(D316-'2016'!D223)/'2016'!D223</f>
        <v>-8.3433307082557459E-2</v>
      </c>
      <c r="F316" s="56">
        <v>140056</v>
      </c>
      <c r="G316" s="56">
        <v>105374</v>
      </c>
      <c r="H316" s="41">
        <f>(G316-'2016'!G223)/'2016'!G223</f>
        <v>0.17281600943826728</v>
      </c>
      <c r="I316" s="56">
        <v>106496</v>
      </c>
      <c r="J316" s="56">
        <v>35676</v>
      </c>
      <c r="K316" s="41">
        <f>(J316-'2016'!J223)/'2016'!J223</f>
        <v>0</v>
      </c>
      <c r="L316" s="56">
        <v>37397</v>
      </c>
    </row>
    <row r="317" spans="1:12" x14ac:dyDescent="0.25">
      <c r="A317" s="33" t="s">
        <v>14</v>
      </c>
      <c r="B317" s="1" t="s">
        <v>15</v>
      </c>
      <c r="C317" s="32" t="s">
        <v>7</v>
      </c>
      <c r="D317" s="56">
        <v>135317</v>
      </c>
      <c r="E317" s="41">
        <f>(D317-'2016'!D224)/'2016'!D224</f>
        <v>2.0297832233741753E-2</v>
      </c>
      <c r="F317" s="56">
        <v>135869</v>
      </c>
      <c r="G317" s="56">
        <v>103305</v>
      </c>
      <c r="H317" s="41">
        <f>(G317-'2016'!G224)/'2016'!G224</f>
        <v>0.16941554692717825</v>
      </c>
      <c r="I317" s="56">
        <v>104602</v>
      </c>
      <c r="J317" s="56">
        <v>37037</v>
      </c>
      <c r="K317" s="41">
        <f>(J317-'2016'!J224)/'2016'!J224</f>
        <v>4.2238856371004052E-2</v>
      </c>
      <c r="L317" s="56">
        <v>37950</v>
      </c>
    </row>
    <row r="318" spans="1:12" ht="15.75" thickBot="1" x14ac:dyDescent="0.3">
      <c r="A318" s="87" t="s">
        <v>306</v>
      </c>
      <c r="B318" s="88"/>
      <c r="C318" s="88"/>
      <c r="D318" s="88"/>
      <c r="E318" s="88"/>
      <c r="F318" s="88"/>
      <c r="G318" s="88"/>
      <c r="H318" s="88"/>
      <c r="I318" s="88"/>
      <c r="J318" s="88"/>
      <c r="K318" s="88"/>
      <c r="L318" s="89"/>
    </row>
    <row r="319" spans="1:12" ht="15.75" thickBot="1" x14ac:dyDescent="0.3">
      <c r="A319" s="15"/>
      <c r="B319" s="13"/>
      <c r="C319" s="21"/>
    </row>
    <row r="320" spans="1:12" ht="18.75" x14ac:dyDescent="0.3">
      <c r="A320" s="90" t="s">
        <v>305</v>
      </c>
      <c r="B320" s="91"/>
      <c r="C320" s="91"/>
      <c r="D320" s="91"/>
      <c r="E320" s="91"/>
      <c r="F320" s="91"/>
      <c r="G320" s="91"/>
      <c r="H320" s="91"/>
      <c r="I320" s="91"/>
      <c r="J320" s="91"/>
      <c r="K320" s="91"/>
      <c r="L320" s="92"/>
    </row>
    <row r="321" spans="1:12" ht="45" x14ac:dyDescent="0.25">
      <c r="A321" s="66" t="s">
        <v>2</v>
      </c>
      <c r="B321" s="54" t="s">
        <v>3</v>
      </c>
      <c r="C321" s="54" t="s">
        <v>4</v>
      </c>
      <c r="D321" s="55" t="s">
        <v>78</v>
      </c>
      <c r="E321" s="55" t="s">
        <v>232</v>
      </c>
      <c r="F321" s="55" t="s">
        <v>85</v>
      </c>
      <c r="G321" s="55" t="s">
        <v>79</v>
      </c>
      <c r="H321" s="55" t="s">
        <v>232</v>
      </c>
      <c r="I321" s="55" t="s">
        <v>82</v>
      </c>
      <c r="J321" s="55" t="s">
        <v>80</v>
      </c>
      <c r="K321" s="55" t="s">
        <v>232</v>
      </c>
      <c r="L321" s="67" t="s">
        <v>81</v>
      </c>
    </row>
    <row r="322" spans="1:12" x14ac:dyDescent="0.25">
      <c r="A322" s="66" t="s">
        <v>5</v>
      </c>
      <c r="B322" s="54" t="s">
        <v>6</v>
      </c>
      <c r="C322" s="54" t="s">
        <v>7</v>
      </c>
      <c r="D322" s="56">
        <v>147928</v>
      </c>
      <c r="E322" s="57">
        <f>(D322-'2016'!D229)/'2016'!D229</f>
        <v>-7.4011447282780092E-3</v>
      </c>
      <c r="F322" s="56">
        <v>151975</v>
      </c>
      <c r="G322" s="56">
        <v>102040</v>
      </c>
      <c r="H322" s="57">
        <f>(G322-'2016'!G229)/'2016'!G229</f>
        <v>8.4689549605093922E-2</v>
      </c>
      <c r="I322" s="56">
        <v>103305</v>
      </c>
      <c r="J322" s="56">
        <v>36549</v>
      </c>
      <c r="K322" s="57">
        <f>(J322-'2016'!J229)/'2016'!J229</f>
        <v>-8.7869172565291677E-3</v>
      </c>
      <c r="L322" s="56">
        <v>37050</v>
      </c>
    </row>
    <row r="323" spans="1:12" x14ac:dyDescent="0.25">
      <c r="A323" s="66" t="s">
        <v>8</v>
      </c>
      <c r="B323" s="54" t="s">
        <v>9</v>
      </c>
      <c r="C323" s="54" t="s">
        <v>7</v>
      </c>
      <c r="D323" s="56">
        <v>142450</v>
      </c>
      <c r="E323" s="57">
        <f>(D323-'2016'!D230)/'2016'!D230</f>
        <v>-1.4230335148927818E-3</v>
      </c>
      <c r="F323" s="56">
        <v>146198</v>
      </c>
      <c r="G323" s="56">
        <v>92421</v>
      </c>
      <c r="H323" s="57">
        <f>(G323-'2016'!G230)/'2016'!G230</f>
        <v>0.15988755161205306</v>
      </c>
      <c r="I323" s="56">
        <v>94161</v>
      </c>
      <c r="J323" s="56">
        <v>34435</v>
      </c>
      <c r="K323" s="57">
        <f>(J323-'2016'!J230)/'2016'!J230</f>
        <v>-1.2729722755812953E-2</v>
      </c>
      <c r="L323" s="56">
        <v>34602</v>
      </c>
    </row>
    <row r="324" spans="1:12" x14ac:dyDescent="0.25">
      <c r="A324" s="66" t="s">
        <v>10</v>
      </c>
      <c r="B324" s="54" t="s">
        <v>9</v>
      </c>
      <c r="C324" s="54" t="s">
        <v>11</v>
      </c>
      <c r="D324" s="56">
        <v>80645</v>
      </c>
      <c r="E324" s="57">
        <f>(D324-'2016'!D231)/'2016'!D231</f>
        <v>1.4517366745920923E-2</v>
      </c>
      <c r="F324" s="56">
        <v>86580</v>
      </c>
      <c r="G324" s="56">
        <v>70372</v>
      </c>
      <c r="H324" s="57">
        <f>(G324-'2016'!G231)/'2016'!G231</f>
        <v>0.35466235466235468</v>
      </c>
      <c r="I324" s="56">
        <v>72411</v>
      </c>
      <c r="J324" s="56">
        <v>31806</v>
      </c>
      <c r="K324" s="57">
        <f>(J324-'2016'!J231)/'2016'!J231</f>
        <v>4.77017848681093E-3</v>
      </c>
      <c r="L324" s="56">
        <v>32425</v>
      </c>
    </row>
    <row r="325" spans="1:12" x14ac:dyDescent="0.25">
      <c r="A325" s="66" t="s">
        <v>12</v>
      </c>
      <c r="B325" s="54" t="s">
        <v>13</v>
      </c>
      <c r="C325" s="54" t="s">
        <v>11</v>
      </c>
      <c r="D325" s="56">
        <v>73637</v>
      </c>
      <c r="E325" s="57">
        <f>(D325-'2016'!D232)/'2016'!D232</f>
        <v>5.8874955604731856E-3</v>
      </c>
      <c r="F325" s="56">
        <v>74183</v>
      </c>
      <c r="G325" s="56">
        <v>66979</v>
      </c>
      <c r="H325" s="57">
        <f>(G325-'2016'!G232)/'2016'!G232</f>
        <v>0.26791731344413738</v>
      </c>
      <c r="I325" s="56">
        <v>68119</v>
      </c>
      <c r="J325" s="56">
        <v>32000</v>
      </c>
      <c r="K325" s="57">
        <f>(J325-'2016'!J232)/'2016'!J232</f>
        <v>1.2828937075628148E-3</v>
      </c>
      <c r="L325" s="56">
        <v>32154</v>
      </c>
    </row>
    <row r="326" spans="1:12" x14ac:dyDescent="0.25">
      <c r="A326" s="66" t="s">
        <v>14</v>
      </c>
      <c r="B326" s="54" t="s">
        <v>15</v>
      </c>
      <c r="C326" s="54" t="s">
        <v>11</v>
      </c>
      <c r="D326" s="56">
        <v>73099</v>
      </c>
      <c r="E326" s="57">
        <f>(D326-'2016'!D233)/'2016'!D233</f>
        <v>3.5822079891173426E-2</v>
      </c>
      <c r="F326" s="56">
        <v>74128</v>
      </c>
      <c r="G326" s="56">
        <v>66844</v>
      </c>
      <c r="H326" s="57">
        <f>(G326-'2016'!G233)/'2016'!G233</f>
        <v>0.3208449423992728</v>
      </c>
      <c r="I326" s="56">
        <v>69444</v>
      </c>
      <c r="J326" s="56">
        <v>32446</v>
      </c>
      <c r="K326" s="57">
        <f>(J326-'2016'!J233)/'2016'!J233</f>
        <v>2.4340962904498817E-2</v>
      </c>
      <c r="L326" s="56">
        <v>32583</v>
      </c>
    </row>
    <row r="327" spans="1:12" ht="15.75" thickBot="1" x14ac:dyDescent="0.3">
      <c r="A327" s="93" t="s">
        <v>307</v>
      </c>
      <c r="B327" s="94"/>
      <c r="C327" s="94"/>
      <c r="D327" s="94"/>
      <c r="E327" s="94"/>
      <c r="F327" s="95"/>
      <c r="G327" s="96"/>
      <c r="H327" s="97"/>
      <c r="I327" s="56"/>
      <c r="J327" s="56"/>
      <c r="K327" s="70"/>
      <c r="L327" s="56"/>
    </row>
    <row r="328" spans="1:12" ht="19.5" thickBot="1" x14ac:dyDescent="0.35">
      <c r="A328" s="83" t="s">
        <v>308</v>
      </c>
      <c r="B328" s="84"/>
      <c r="C328" s="84"/>
      <c r="D328" s="85"/>
      <c r="E328" s="85"/>
      <c r="F328" s="85"/>
      <c r="G328" s="85"/>
      <c r="H328" s="85"/>
      <c r="I328" s="85"/>
      <c r="J328" s="85"/>
      <c r="K328" s="85"/>
      <c r="L328" s="86"/>
    </row>
    <row r="329" spans="1:12" ht="45" x14ac:dyDescent="0.25">
      <c r="A329" s="33" t="s">
        <v>2</v>
      </c>
      <c r="B329" s="1" t="s">
        <v>3</v>
      </c>
      <c r="C329" s="32" t="s">
        <v>4</v>
      </c>
      <c r="D329" s="22" t="s">
        <v>78</v>
      </c>
      <c r="E329" s="23" t="s">
        <v>232</v>
      </c>
      <c r="F329" s="24" t="s">
        <v>85</v>
      </c>
      <c r="G329" s="22" t="s">
        <v>79</v>
      </c>
      <c r="H329" s="56" t="s">
        <v>232</v>
      </c>
      <c r="I329" s="51" t="s">
        <v>82</v>
      </c>
      <c r="J329" s="22" t="s">
        <v>80</v>
      </c>
      <c r="K329" s="23" t="s">
        <v>232</v>
      </c>
      <c r="L329" s="24" t="s">
        <v>81</v>
      </c>
    </row>
    <row r="330" spans="1:12" x14ac:dyDescent="0.25">
      <c r="A330" s="33" t="s">
        <v>5</v>
      </c>
      <c r="B330" s="1" t="s">
        <v>6</v>
      </c>
      <c r="C330" s="32" t="s">
        <v>7</v>
      </c>
      <c r="D330" s="56">
        <v>153846</v>
      </c>
      <c r="E330" s="41">
        <f>(D330-'2016'!D220)/'2016'!D220</f>
        <v>7.0769359261682374E-2</v>
      </c>
      <c r="F330" s="56">
        <v>156250</v>
      </c>
      <c r="G330" s="56">
        <v>110987</v>
      </c>
      <c r="H330" s="41">
        <f>(G330-'2016'!G220)/'2016'!G220</f>
        <v>0.11653571823788014</v>
      </c>
      <c r="I330" s="56">
        <v>112994</v>
      </c>
      <c r="J330" s="56">
        <v>38182</v>
      </c>
      <c r="K330" s="41">
        <f>(J330-'2016'!J220)/'2016'!J220</f>
        <v>2.2837642735267097E-3</v>
      </c>
      <c r="L330" s="56">
        <v>39108</v>
      </c>
    </row>
    <row r="331" spans="1:12" x14ac:dyDescent="0.25">
      <c r="A331" s="33" t="s">
        <v>8</v>
      </c>
      <c r="B331" s="1" t="s">
        <v>9</v>
      </c>
      <c r="C331" s="32" t="s">
        <v>7</v>
      </c>
      <c r="D331" s="56">
        <v>132625</v>
      </c>
      <c r="E331" s="41">
        <f>(D331-'2016'!D221)/'2016'!D221</f>
        <v>-0.10610176117330673</v>
      </c>
      <c r="F331" s="56">
        <v>153609</v>
      </c>
      <c r="G331" s="56">
        <v>104931</v>
      </c>
      <c r="H331" s="41">
        <f>(G331-'2016'!G221)/'2016'!G221</f>
        <v>0.26442695843927361</v>
      </c>
      <c r="I331" s="56">
        <v>105374</v>
      </c>
      <c r="J331" s="56">
        <v>36536</v>
      </c>
      <c r="K331" s="41">
        <f>(J331-'2016'!J221)/'2016'!J221</f>
        <v>1.2049527713913741E-2</v>
      </c>
      <c r="L331" s="56">
        <v>36697</v>
      </c>
    </row>
    <row r="332" spans="1:12" x14ac:dyDescent="0.25">
      <c r="A332" s="33" t="s">
        <v>10</v>
      </c>
      <c r="B332" s="1" t="s">
        <v>9</v>
      </c>
      <c r="C332" s="32" t="s">
        <v>11</v>
      </c>
      <c r="D332" s="56">
        <v>63011</v>
      </c>
      <c r="E332" s="41">
        <f>(D332-'2016'!D222)/'2016'!D222</f>
        <v>2.9608326933446626E-2</v>
      </c>
      <c r="F332" s="56">
        <v>65061</v>
      </c>
      <c r="G332" s="56">
        <v>56433</v>
      </c>
      <c r="H332" s="41">
        <f>(G332-'2016'!G222)/'2016'!G222</f>
        <v>0.32394134897360705</v>
      </c>
      <c r="I332" s="56">
        <v>57012</v>
      </c>
      <c r="J332" s="56">
        <v>28409</v>
      </c>
      <c r="K332" s="41">
        <f>(J332-'2016'!J222)/'2016'!J222</f>
        <v>8.5224234089693637E-2</v>
      </c>
      <c r="L332" s="56">
        <v>28546</v>
      </c>
    </row>
    <row r="333" spans="1:12" x14ac:dyDescent="0.25">
      <c r="A333" s="33" t="s">
        <v>12</v>
      </c>
      <c r="B333" s="1" t="s">
        <v>13</v>
      </c>
      <c r="C333" s="32" t="s">
        <v>7</v>
      </c>
      <c r="D333" s="56">
        <v>135869</v>
      </c>
      <c r="E333" s="41">
        <f>(D333-'2016'!D223)/'2016'!D223</f>
        <v>0</v>
      </c>
      <c r="F333" s="56">
        <v>149253</v>
      </c>
      <c r="G333" s="56">
        <v>108108</v>
      </c>
      <c r="H333" s="41">
        <f>(G333-'2016'!G223)/'2016'!G223</f>
        <v>0.20324551737954522</v>
      </c>
      <c r="I333" s="56">
        <v>108813</v>
      </c>
      <c r="J333" s="56">
        <v>36710</v>
      </c>
      <c r="K333" s="41">
        <f>(J333-'2016'!J223)/'2016'!J223</f>
        <v>2.8983069850880144E-2</v>
      </c>
      <c r="L333" s="56">
        <v>37551</v>
      </c>
    </row>
    <row r="334" spans="1:12" x14ac:dyDescent="0.25">
      <c r="A334" s="33" t="s">
        <v>14</v>
      </c>
      <c r="B334" s="1" t="s">
        <v>15</v>
      </c>
      <c r="C334" s="32" t="s">
        <v>7</v>
      </c>
      <c r="D334" s="56">
        <v>128534</v>
      </c>
      <c r="E334" s="41">
        <f>(D334-'2016'!D224)/'2016'!D224</f>
        <v>-3.0846371347785107E-2</v>
      </c>
      <c r="F334" s="56">
        <v>132625</v>
      </c>
      <c r="G334" s="56">
        <v>104931</v>
      </c>
      <c r="H334" s="41">
        <f>(G334-'2016'!G224)/'2016'!G224</f>
        <v>0.18782191331122156</v>
      </c>
      <c r="I334" s="56">
        <v>106269</v>
      </c>
      <c r="J334" s="56">
        <v>37216</v>
      </c>
      <c r="K334" s="41">
        <f>(J334-'2016'!J224)/'2016'!J224</f>
        <v>4.7276001800990543E-2</v>
      </c>
      <c r="L334" s="56">
        <v>37764</v>
      </c>
    </row>
    <row r="335" spans="1:12" ht="15.75" thickBot="1" x14ac:dyDescent="0.3">
      <c r="A335" s="87" t="s">
        <v>310</v>
      </c>
      <c r="B335" s="88"/>
      <c r="C335" s="88"/>
      <c r="D335" s="88"/>
      <c r="E335" s="88"/>
      <c r="F335" s="88"/>
      <c r="G335" s="88"/>
      <c r="H335" s="88"/>
      <c r="I335" s="88"/>
      <c r="J335" s="88"/>
      <c r="K335" s="88"/>
      <c r="L335" s="89"/>
    </row>
    <row r="336" spans="1:12" ht="15.75" thickBot="1" x14ac:dyDescent="0.3">
      <c r="A336" s="15"/>
      <c r="B336" s="13"/>
      <c r="C336" s="21"/>
    </row>
    <row r="337" spans="1:12" ht="18.75" x14ac:dyDescent="0.3">
      <c r="A337" s="90" t="s">
        <v>309</v>
      </c>
      <c r="B337" s="91"/>
      <c r="C337" s="91"/>
      <c r="D337" s="91"/>
      <c r="E337" s="91"/>
      <c r="F337" s="91"/>
      <c r="G337" s="91"/>
      <c r="H337" s="91"/>
      <c r="I337" s="91"/>
      <c r="J337" s="91"/>
      <c r="K337" s="91"/>
      <c r="L337" s="92"/>
    </row>
    <row r="338" spans="1:12" ht="45" x14ac:dyDescent="0.25">
      <c r="A338" s="66" t="s">
        <v>2</v>
      </c>
      <c r="B338" s="54" t="s">
        <v>3</v>
      </c>
      <c r="C338" s="54" t="s">
        <v>4</v>
      </c>
      <c r="D338" s="55" t="s">
        <v>78</v>
      </c>
      <c r="E338" s="55" t="s">
        <v>232</v>
      </c>
      <c r="F338" s="55" t="s">
        <v>85</v>
      </c>
      <c r="G338" s="55" t="s">
        <v>79</v>
      </c>
      <c r="H338" s="55" t="s">
        <v>232</v>
      </c>
      <c r="I338" s="55" t="s">
        <v>82</v>
      </c>
      <c r="J338" s="55" t="s">
        <v>80</v>
      </c>
      <c r="K338" s="55" t="s">
        <v>232</v>
      </c>
      <c r="L338" s="67" t="s">
        <v>81</v>
      </c>
    </row>
    <row r="339" spans="1:12" x14ac:dyDescent="0.25">
      <c r="A339" s="66" t="s">
        <v>5</v>
      </c>
      <c r="B339" s="54" t="s">
        <v>6</v>
      </c>
      <c r="C339" s="54" t="s">
        <v>7</v>
      </c>
      <c r="D339" s="56">
        <v>152439</v>
      </c>
      <c r="E339" s="57">
        <f>(D339-'2016'!D229)/'2016'!D229</f>
        <v>2.2867725506773757E-2</v>
      </c>
      <c r="F339" s="56">
        <v>154320</v>
      </c>
      <c r="G339" s="56">
        <v>104931</v>
      </c>
      <c r="H339" s="57">
        <f>(G339-'2016'!G229)/'2016'!G229</f>
        <v>0.11542100283822138</v>
      </c>
      <c r="I339" s="56">
        <v>105374</v>
      </c>
      <c r="J339" s="56">
        <v>37037</v>
      </c>
      <c r="K339" s="57">
        <f>(J339-'2016'!J229)/'2016'!J229</f>
        <v>4.4476988582431588E-3</v>
      </c>
      <c r="L339" s="56">
        <v>37216</v>
      </c>
    </row>
    <row r="340" spans="1:12" x14ac:dyDescent="0.25">
      <c r="A340" s="66" t="s">
        <v>8</v>
      </c>
      <c r="B340" s="54" t="s">
        <v>9</v>
      </c>
      <c r="C340" s="54" t="s">
        <v>7</v>
      </c>
      <c r="D340" s="56">
        <v>145560</v>
      </c>
      <c r="E340" s="57">
        <f>(D340-'2016'!D230)/'2016'!D230</f>
        <v>2.0378120333957226E-2</v>
      </c>
      <c r="F340" s="56">
        <v>150602</v>
      </c>
      <c r="G340" s="56">
        <v>92421</v>
      </c>
      <c r="H340" s="57">
        <f>(G340-'2016'!G230)/'2016'!G230</f>
        <v>0.15988755161205306</v>
      </c>
      <c r="I340" s="56">
        <v>95877</v>
      </c>
      <c r="J340" s="56">
        <v>34317</v>
      </c>
      <c r="K340" s="57">
        <f>(J340-'2016'!J230)/'2016'!J230</f>
        <v>-1.6112847271997476E-2</v>
      </c>
      <c r="L340" s="56">
        <v>34542</v>
      </c>
    </row>
    <row r="341" spans="1:12" x14ac:dyDescent="0.25">
      <c r="A341" s="66" t="s">
        <v>10</v>
      </c>
      <c r="B341" s="54" t="s">
        <v>9</v>
      </c>
      <c r="C341" s="54" t="s">
        <v>11</v>
      </c>
      <c r="D341" s="56">
        <v>83752</v>
      </c>
      <c r="E341" s="57">
        <f>(D341-'2016'!D231)/'2016'!D231</f>
        <v>5.3603552603439381E-2</v>
      </c>
      <c r="F341" s="56">
        <v>86281</v>
      </c>
      <c r="G341" s="56">
        <v>71787</v>
      </c>
      <c r="H341" s="57">
        <f>(G341-'2016'!G231)/'2016'!G231</f>
        <v>0.3819011319011319</v>
      </c>
      <c r="I341" s="56">
        <v>73099</v>
      </c>
      <c r="J341" s="56">
        <v>32000</v>
      </c>
      <c r="K341" s="57">
        <f>(J341-'2016'!J231)/'2016'!J231</f>
        <v>1.0898752171852788E-2</v>
      </c>
      <c r="L341" s="56">
        <v>32425</v>
      </c>
    </row>
    <row r="342" spans="1:12" x14ac:dyDescent="0.25">
      <c r="A342" s="66" t="s">
        <v>12</v>
      </c>
      <c r="B342" s="54" t="s">
        <v>13</v>
      </c>
      <c r="C342" s="54" t="s">
        <v>11</v>
      </c>
      <c r="D342" s="56">
        <v>74571</v>
      </c>
      <c r="E342" s="57">
        <f>(D342-'2016'!D232)/'2016'!D232</f>
        <v>1.8646012621916237E-2</v>
      </c>
      <c r="F342" s="56">
        <v>76277</v>
      </c>
      <c r="G342" s="56">
        <v>67385</v>
      </c>
      <c r="H342" s="57">
        <f>(G342-'2016'!G232)/'2016'!G232</f>
        <v>0.27560292280316512</v>
      </c>
      <c r="I342" s="56">
        <v>68027</v>
      </c>
      <c r="J342" s="56">
        <v>32268</v>
      </c>
      <c r="K342" s="57">
        <f>(J342-'2016'!J232)/'2016'!J232</f>
        <v>9.6686379423636531E-3</v>
      </c>
      <c r="L342" s="56">
        <v>32425</v>
      </c>
    </row>
    <row r="343" spans="1:12" x14ac:dyDescent="0.25">
      <c r="A343" s="66" t="s">
        <v>14</v>
      </c>
      <c r="B343" s="54" t="s">
        <v>15</v>
      </c>
      <c r="C343" s="54" t="s">
        <v>11</v>
      </c>
      <c r="D343" s="56">
        <v>73099</v>
      </c>
      <c r="E343" s="57">
        <f>(D343-'2016'!D233)/'2016'!D233</f>
        <v>3.5822079891173426E-2</v>
      </c>
      <c r="F343" s="56">
        <v>73475</v>
      </c>
      <c r="G343" s="56">
        <v>66006</v>
      </c>
      <c r="H343" s="57">
        <f>(G343-'2016'!G233)/'2016'!G233</f>
        <v>0.30428596834430022</v>
      </c>
      <c r="I343" s="56">
        <v>68870</v>
      </c>
      <c r="J343" s="56">
        <v>32829</v>
      </c>
      <c r="K343" s="57">
        <f>(J343-'2016'!J233)/'2016'!J233</f>
        <v>3.6432517758484606E-2</v>
      </c>
      <c r="L343" s="56">
        <v>33025</v>
      </c>
    </row>
    <row r="344" spans="1:12" ht="15.75" thickBot="1" x14ac:dyDescent="0.3">
      <c r="A344" s="112" t="s">
        <v>311</v>
      </c>
      <c r="B344" s="107"/>
      <c r="C344" s="107"/>
      <c r="D344" s="107"/>
      <c r="E344" s="107"/>
      <c r="F344" s="113"/>
      <c r="G344" s="101"/>
      <c r="H344" s="114"/>
      <c r="I344" s="64"/>
      <c r="J344" s="64"/>
      <c r="K344" s="65"/>
      <c r="L344" s="64"/>
    </row>
    <row r="345" spans="1:12" ht="18.75" x14ac:dyDescent="0.3">
      <c r="A345" s="83" t="s">
        <v>315</v>
      </c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108"/>
    </row>
    <row r="346" spans="1:12" ht="45" x14ac:dyDescent="0.25">
      <c r="A346" s="33" t="s">
        <v>2</v>
      </c>
      <c r="B346" s="1" t="s">
        <v>3</v>
      </c>
      <c r="C346" s="1" t="s">
        <v>4</v>
      </c>
      <c r="D346" s="4" t="s">
        <v>78</v>
      </c>
      <c r="E346" s="4" t="s">
        <v>325</v>
      </c>
      <c r="F346" s="4" t="s">
        <v>85</v>
      </c>
      <c r="G346" s="4" t="s">
        <v>79</v>
      </c>
      <c r="H346" s="42" t="s">
        <v>232</v>
      </c>
      <c r="I346" s="4" t="s">
        <v>82</v>
      </c>
      <c r="J346" s="4" t="s">
        <v>80</v>
      </c>
      <c r="K346" s="4" t="s">
        <v>326</v>
      </c>
      <c r="L346" s="72" t="s">
        <v>81</v>
      </c>
    </row>
    <row r="347" spans="1:12" x14ac:dyDescent="0.25">
      <c r="A347" s="33" t="s">
        <v>5</v>
      </c>
      <c r="B347" s="1" t="s">
        <v>6</v>
      </c>
      <c r="C347" s="1" t="s">
        <v>7</v>
      </c>
      <c r="D347" s="42">
        <v>158730</v>
      </c>
      <c r="E347" s="41">
        <f>(D347-'2017'!D330)/'2017'!D330</f>
        <v>3.1746031746031744E-2</v>
      </c>
      <c r="F347" s="42">
        <v>164473</v>
      </c>
      <c r="G347" s="42">
        <v>110497</v>
      </c>
      <c r="H347" s="41">
        <f>(G347-'2017'!G330)/'2017'!G330</f>
        <v>-4.414931478461441E-3</v>
      </c>
      <c r="I347" s="42">
        <v>111982</v>
      </c>
      <c r="J347" s="42">
        <v>38211</v>
      </c>
      <c r="K347" s="41">
        <f>(J347-'2017'!J330)/'2017'!J330</f>
        <v>7.5952019276098683E-4</v>
      </c>
      <c r="L347" s="46">
        <v>38402</v>
      </c>
    </row>
    <row r="348" spans="1:12" x14ac:dyDescent="0.25">
      <c r="A348" s="33" t="s">
        <v>8</v>
      </c>
      <c r="B348" s="1" t="s">
        <v>9</v>
      </c>
      <c r="C348" s="1" t="s">
        <v>7</v>
      </c>
      <c r="D348" s="42">
        <v>152905</v>
      </c>
      <c r="E348" s="41">
        <f>(D348-'2017'!D331)/'2017'!D331</f>
        <v>0.15291234684260133</v>
      </c>
      <c r="F348" s="42">
        <v>158478</v>
      </c>
      <c r="G348" s="42">
        <v>102040</v>
      </c>
      <c r="H348" s="41">
        <f>(G348-'2017'!G331)/'2017'!G331</f>
        <v>-2.7551438564389932E-2</v>
      </c>
      <c r="I348" s="42">
        <v>103734</v>
      </c>
      <c r="J348" s="42">
        <v>35752</v>
      </c>
      <c r="K348" s="41">
        <f>(J348-'2017'!J331)/'2017'!J331</f>
        <v>-2.1458287716225093E-2</v>
      </c>
      <c r="L348" s="46">
        <v>35997</v>
      </c>
    </row>
    <row r="349" spans="1:12" x14ac:dyDescent="0.25">
      <c r="A349" s="33" t="s">
        <v>10</v>
      </c>
      <c r="B349" s="1" t="s">
        <v>9</v>
      </c>
      <c r="C349" s="1" t="s">
        <v>11</v>
      </c>
      <c r="D349" s="42">
        <v>60313</v>
      </c>
      <c r="E349" s="41">
        <f>(D349-'2017'!D332)/'2017'!D332</f>
        <v>-4.2817920680516097E-2</v>
      </c>
      <c r="F349" s="42">
        <v>62073</v>
      </c>
      <c r="G349" s="42">
        <v>55096</v>
      </c>
      <c r="H349" s="41">
        <f>(G349-'2017'!G332)/'2017'!G332</f>
        <v>-2.3691811528715467E-2</v>
      </c>
      <c r="I349" s="42">
        <v>56338</v>
      </c>
      <c r="J349" s="42">
        <v>28587</v>
      </c>
      <c r="K349" s="41">
        <f>(J349-'2017'!J332)/'2017'!J332</f>
        <v>6.2656200499841596E-3</v>
      </c>
      <c r="L349" s="46">
        <v>28587</v>
      </c>
    </row>
    <row r="350" spans="1:12" x14ac:dyDescent="0.25">
      <c r="A350" s="33" t="s">
        <v>12</v>
      </c>
      <c r="B350" s="1" t="s">
        <v>13</v>
      </c>
      <c r="C350" s="1" t="s">
        <v>7</v>
      </c>
      <c r="D350" s="42">
        <v>146198</v>
      </c>
      <c r="E350" s="41">
        <f>(D350-'2017'!D333)/'2017'!D333</f>
        <v>7.6021756250506001E-2</v>
      </c>
      <c r="F350" s="42">
        <v>152671</v>
      </c>
      <c r="G350" s="42">
        <v>103626</v>
      </c>
      <c r="H350" s="41">
        <f>(G350-'2017'!G333)/'2017'!G333</f>
        <v>-4.1458541458541456E-2</v>
      </c>
      <c r="I350" s="42">
        <v>106044</v>
      </c>
      <c r="J350" s="42">
        <v>37188</v>
      </c>
      <c r="K350" s="41">
        <f>(J350-'2017'!J333)/'2017'!J333</f>
        <v>1.3020975211114137E-2</v>
      </c>
      <c r="L350" s="46">
        <v>37369</v>
      </c>
    </row>
    <row r="351" spans="1:12" x14ac:dyDescent="0.25">
      <c r="A351" s="33" t="s">
        <v>14</v>
      </c>
      <c r="B351" s="1" t="s">
        <v>15</v>
      </c>
      <c r="C351" s="1" t="s">
        <v>7</v>
      </c>
      <c r="D351" s="42">
        <v>133689</v>
      </c>
      <c r="E351" s="41">
        <f>(D351-'2017'!D334)/'2017'!D334</f>
        <v>4.0106119781536401E-2</v>
      </c>
      <c r="F351" s="42">
        <v>136986</v>
      </c>
      <c r="G351" s="42">
        <v>103626</v>
      </c>
      <c r="H351" s="41">
        <f>(G351-'2017'!G334)/'2017'!G334</f>
        <v>-1.2436744146153186E-2</v>
      </c>
      <c r="I351" s="42">
        <v>105820</v>
      </c>
      <c r="J351" s="42">
        <v>37579</v>
      </c>
      <c r="K351" s="41">
        <f>(J351-'2017'!J334)/'2017'!J334</f>
        <v>9.7538693035253646E-3</v>
      </c>
      <c r="L351" s="46">
        <v>37907</v>
      </c>
    </row>
    <row r="352" spans="1:12" ht="15.75" thickBot="1" x14ac:dyDescent="0.3">
      <c r="A352" s="109" t="s">
        <v>313</v>
      </c>
      <c r="B352" s="110"/>
      <c r="C352" s="110"/>
      <c r="D352" s="110"/>
      <c r="E352" s="110"/>
      <c r="F352" s="110"/>
      <c r="G352" s="110"/>
      <c r="H352" s="110"/>
      <c r="I352" s="110"/>
      <c r="J352" s="110"/>
      <c r="K352" s="110"/>
      <c r="L352" s="111"/>
    </row>
    <row r="353" spans="1:12" ht="15.75" thickBot="1" x14ac:dyDescent="0.3">
      <c r="A353" s="15"/>
      <c r="B353" s="13"/>
      <c r="C353" s="21"/>
    </row>
    <row r="354" spans="1:12" ht="18.75" x14ac:dyDescent="0.3">
      <c r="A354" s="83" t="s">
        <v>314</v>
      </c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108"/>
    </row>
    <row r="355" spans="1:12" ht="45" x14ac:dyDescent="0.25">
      <c r="A355" s="33" t="s">
        <v>2</v>
      </c>
      <c r="B355" s="1" t="s">
        <v>3</v>
      </c>
      <c r="C355" s="1" t="s">
        <v>4</v>
      </c>
      <c r="D355" s="4" t="s">
        <v>78</v>
      </c>
      <c r="E355" s="4" t="s">
        <v>325</v>
      </c>
      <c r="F355" s="4" t="s">
        <v>85</v>
      </c>
      <c r="G355" s="4" t="s">
        <v>79</v>
      </c>
      <c r="H355" s="4" t="s">
        <v>325</v>
      </c>
      <c r="I355" s="4" t="s">
        <v>82</v>
      </c>
      <c r="J355" s="4" t="s">
        <v>80</v>
      </c>
      <c r="K355" s="4" t="s">
        <v>325</v>
      </c>
      <c r="L355" s="72" t="s">
        <v>81</v>
      </c>
    </row>
    <row r="356" spans="1:12" x14ac:dyDescent="0.25">
      <c r="A356" s="33" t="s">
        <v>5</v>
      </c>
      <c r="B356" s="1" t="s">
        <v>6</v>
      </c>
      <c r="C356" s="1" t="s">
        <v>7</v>
      </c>
      <c r="D356" s="42">
        <v>149253</v>
      </c>
      <c r="E356" s="41">
        <f>(D356-'2017'!D339)/'2017'!D339</f>
        <v>-2.0900163344026133E-2</v>
      </c>
      <c r="F356" s="42">
        <v>150375</v>
      </c>
      <c r="G356" s="42">
        <v>102774</v>
      </c>
      <c r="H356" s="41">
        <f>(G356-'2017'!G339)/'2017'!G339</f>
        <v>-2.055636561168768E-2</v>
      </c>
      <c r="I356" s="42">
        <v>103734</v>
      </c>
      <c r="J356" s="42">
        <v>37050</v>
      </c>
      <c r="K356" s="41">
        <f>(J356-'2017'!J339)/'2017'!J339</f>
        <v>3.5100035100035098E-4</v>
      </c>
      <c r="L356" s="46">
        <v>37050</v>
      </c>
    </row>
    <row r="357" spans="1:12" x14ac:dyDescent="0.25">
      <c r="A357" s="33" t="s">
        <v>8</v>
      </c>
      <c r="B357" s="1" t="s">
        <v>9</v>
      </c>
      <c r="C357" s="1" t="s">
        <v>7</v>
      </c>
      <c r="D357" s="42">
        <v>143678</v>
      </c>
      <c r="E357" s="41">
        <f>(D357-'2017'!D340)/'2017'!D340</f>
        <v>-1.2929376202253366E-2</v>
      </c>
      <c r="F357" s="42">
        <v>144508</v>
      </c>
      <c r="G357" s="42">
        <v>92421</v>
      </c>
      <c r="H357" s="41">
        <f>(G357-'2017'!G340)/'2017'!G340</f>
        <v>0</v>
      </c>
      <c r="I357" s="42">
        <v>93720</v>
      </c>
      <c r="J357" s="42">
        <v>33990</v>
      </c>
      <c r="K357" s="41">
        <f>(J357-'2017'!J340)/'2017'!J340</f>
        <v>-9.5288049654690104E-3</v>
      </c>
      <c r="L357" s="46">
        <v>34542</v>
      </c>
    </row>
    <row r="358" spans="1:12" x14ac:dyDescent="0.25">
      <c r="A358" s="33" t="s">
        <v>10</v>
      </c>
      <c r="B358" s="1" t="s">
        <v>9</v>
      </c>
      <c r="C358" s="1" t="s">
        <v>11</v>
      </c>
      <c r="D358" s="42">
        <v>79491</v>
      </c>
      <c r="E358" s="41">
        <f>(D358-'2017'!D341)/'2017'!D341</f>
        <v>-5.0876396981564619E-2</v>
      </c>
      <c r="F358" s="42">
        <v>82304</v>
      </c>
      <c r="G358" s="42">
        <v>68870</v>
      </c>
      <c r="H358" s="41">
        <f>(G358-'2017'!G341)/'2017'!G341</f>
        <v>-4.0634098095755501E-2</v>
      </c>
      <c r="I358" s="42">
        <v>69783</v>
      </c>
      <c r="J358" s="42">
        <v>32000</v>
      </c>
      <c r="K358" s="41">
        <f>(J358-'2017'!J341)/'2017'!J341</f>
        <v>0</v>
      </c>
      <c r="L358" s="46">
        <v>32154</v>
      </c>
    </row>
    <row r="359" spans="1:12" x14ac:dyDescent="0.25">
      <c r="A359" s="33" t="s">
        <v>12</v>
      </c>
      <c r="B359" s="1" t="s">
        <v>13</v>
      </c>
      <c r="C359" s="1" t="s">
        <v>11</v>
      </c>
      <c r="D359" s="42">
        <v>72621</v>
      </c>
      <c r="E359" s="41">
        <f>(D359-'2017'!D342)/'2017'!D342</f>
        <v>-2.6149575572273404E-2</v>
      </c>
      <c r="F359" s="42">
        <v>73206</v>
      </c>
      <c r="G359" s="42">
        <v>64474</v>
      </c>
      <c r="H359" s="41">
        <f>(G359-'2017'!G342)/'2017'!G342</f>
        <v>-4.319952511686577E-2</v>
      </c>
      <c r="I359" s="42">
        <v>65019</v>
      </c>
      <c r="J359" s="42">
        <v>31847</v>
      </c>
      <c r="K359" s="41">
        <f>(J359-'2017'!J342)/'2017'!J342</f>
        <v>-1.3046981529688856E-2</v>
      </c>
      <c r="L359" s="46">
        <v>32000</v>
      </c>
    </row>
    <row r="360" spans="1:12" x14ac:dyDescent="0.25">
      <c r="A360" s="33" t="s">
        <v>14</v>
      </c>
      <c r="B360" s="1" t="s">
        <v>15</v>
      </c>
      <c r="C360" s="1" t="s">
        <v>11</v>
      </c>
      <c r="D360" s="42">
        <v>70621</v>
      </c>
      <c r="E360" s="41">
        <f>(D360-'2017'!D343)/'2017'!D343</f>
        <v>-3.3899232547640872E-2</v>
      </c>
      <c r="F360" s="42">
        <v>71326</v>
      </c>
      <c r="G360" s="42">
        <v>62656</v>
      </c>
      <c r="H360" s="41">
        <f>(G360-'2017'!G343)/'2017'!G343</f>
        <v>-5.0752961851952855E-2</v>
      </c>
      <c r="I360" s="42">
        <v>67385</v>
      </c>
      <c r="J360" s="42">
        <v>31806</v>
      </c>
      <c r="K360" s="41">
        <f>(J360-'2017'!J343)/'2017'!J343</f>
        <v>-3.1161473087818695E-2</v>
      </c>
      <c r="L360" s="46">
        <v>32583</v>
      </c>
    </row>
    <row r="361" spans="1:12" ht="15.75" thickBot="1" x14ac:dyDescent="0.3">
      <c r="A361" s="109" t="s">
        <v>312</v>
      </c>
      <c r="B361" s="110"/>
      <c r="C361" s="110"/>
      <c r="D361" s="110"/>
      <c r="E361" s="110"/>
      <c r="F361" s="110"/>
      <c r="G361" s="110"/>
      <c r="H361" s="110"/>
      <c r="I361" s="73"/>
      <c r="J361" s="73"/>
      <c r="K361" s="74"/>
      <c r="L361" s="49"/>
    </row>
    <row r="362" spans="1:12" ht="18.75" x14ac:dyDescent="0.3">
      <c r="A362" s="83" t="s">
        <v>316</v>
      </c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108"/>
    </row>
    <row r="363" spans="1:12" ht="45" x14ac:dyDescent="0.25">
      <c r="A363" s="33" t="s">
        <v>2</v>
      </c>
      <c r="B363" s="1" t="s">
        <v>3</v>
      </c>
      <c r="C363" s="1" t="s">
        <v>4</v>
      </c>
      <c r="D363" s="4" t="s">
        <v>78</v>
      </c>
      <c r="E363" s="4" t="s">
        <v>325</v>
      </c>
      <c r="F363" s="4" t="s">
        <v>85</v>
      </c>
      <c r="G363" s="4" t="s">
        <v>79</v>
      </c>
      <c r="H363" s="42" t="s">
        <v>325</v>
      </c>
      <c r="I363" s="4" t="s">
        <v>82</v>
      </c>
      <c r="J363" s="4" t="s">
        <v>80</v>
      </c>
      <c r="K363" s="4" t="s">
        <v>325</v>
      </c>
      <c r="L363" s="72" t="s">
        <v>81</v>
      </c>
    </row>
    <row r="364" spans="1:12" x14ac:dyDescent="0.25">
      <c r="A364" s="33" t="s">
        <v>5</v>
      </c>
      <c r="B364" s="1" t="s">
        <v>6</v>
      </c>
      <c r="C364" s="1" t="s">
        <v>7</v>
      </c>
      <c r="D364" s="42">
        <v>158730</v>
      </c>
      <c r="E364" s="41">
        <f>(D364-'2017'!D330)/'2017'!D330</f>
        <v>3.1746031746031744E-2</v>
      </c>
      <c r="F364" s="42">
        <v>165016</v>
      </c>
      <c r="G364" s="42">
        <v>110987</v>
      </c>
      <c r="H364" s="41">
        <f>(G364-'2017'!G330)/'2017'!G330</f>
        <v>0</v>
      </c>
      <c r="I364" s="42">
        <v>111607</v>
      </c>
      <c r="J364" s="42">
        <v>38095</v>
      </c>
      <c r="K364" s="41">
        <f>(J364-'2017'!J330)/'2017'!J330</f>
        <v>-2.2785605782829604E-3</v>
      </c>
      <c r="L364" s="42">
        <v>38595</v>
      </c>
    </row>
    <row r="365" spans="1:12" x14ac:dyDescent="0.25">
      <c r="A365" s="33" t="s">
        <v>8</v>
      </c>
      <c r="B365" s="1" t="s">
        <v>9</v>
      </c>
      <c r="C365" s="1" t="s">
        <v>7</v>
      </c>
      <c r="D365" s="42">
        <v>157728</v>
      </c>
      <c r="E365" s="41">
        <f>(D365-'2017'!D331)/'2017'!D331</f>
        <v>0.1892780395852969</v>
      </c>
      <c r="F365" s="42">
        <v>163398</v>
      </c>
      <c r="G365" s="42">
        <v>98522</v>
      </c>
      <c r="H365" s="41">
        <f>(G365-'2017'!G331)/'2017'!G331</f>
        <v>-6.107823236221898E-2</v>
      </c>
      <c r="I365" s="42">
        <v>100300</v>
      </c>
      <c r="J365" s="42">
        <v>36166</v>
      </c>
      <c r="K365" s="41">
        <f>(J365-'2017'!J331)/'2017'!J331</f>
        <v>-1.0126998029340924E-2</v>
      </c>
      <c r="L365" s="42">
        <v>36350</v>
      </c>
    </row>
    <row r="366" spans="1:12" x14ac:dyDescent="0.25">
      <c r="A366" s="33" t="s">
        <v>10</v>
      </c>
      <c r="B366" s="1" t="s">
        <v>9</v>
      </c>
      <c r="C366" s="1" t="s">
        <v>11</v>
      </c>
      <c r="D366" s="42">
        <v>63011</v>
      </c>
      <c r="E366" s="41">
        <f>(D366-'2017'!D332)/'2017'!D332</f>
        <v>0</v>
      </c>
      <c r="F366" s="42">
        <v>63051</v>
      </c>
      <c r="G366" s="42">
        <v>54945</v>
      </c>
      <c r="H366" s="41">
        <f>(G366-'2017'!G332)/'2017'!G332</f>
        <v>-2.6367550901068525E-2</v>
      </c>
      <c r="I366" s="42">
        <v>56022</v>
      </c>
      <c r="J366" s="42">
        <v>28216</v>
      </c>
      <c r="K366" s="41">
        <f>(J366-'2017'!J332)/'2017'!J332</f>
        <v>-6.7936217395895664E-3</v>
      </c>
      <c r="L366" s="42">
        <v>28498</v>
      </c>
    </row>
    <row r="367" spans="1:12" x14ac:dyDescent="0.25">
      <c r="A367" s="33" t="s">
        <v>12</v>
      </c>
      <c r="B367" s="1" t="s">
        <v>13</v>
      </c>
      <c r="C367" s="1" t="s">
        <v>7</v>
      </c>
      <c r="D367" s="42">
        <v>148148</v>
      </c>
      <c r="E367" s="41">
        <f>(D367-'2017'!D333)/'2017'!D333</f>
        <v>9.0373815955074377E-2</v>
      </c>
      <c r="F367" s="42">
        <v>154320</v>
      </c>
      <c r="G367" s="42">
        <v>105374</v>
      </c>
      <c r="H367" s="41">
        <f>(G367-'2017'!G333)/'2017'!G333</f>
        <v>-2.5289525289525289E-2</v>
      </c>
      <c r="I367" s="42">
        <v>106496</v>
      </c>
      <c r="J367" s="42">
        <v>36873</v>
      </c>
      <c r="K367" s="41">
        <f>(J367-'2017'!J333)/'2017'!J333</f>
        <v>4.4402070280577495E-3</v>
      </c>
      <c r="L367" s="42">
        <v>37735</v>
      </c>
    </row>
    <row r="368" spans="1:12" x14ac:dyDescent="0.25">
      <c r="A368" s="33" t="s">
        <v>14</v>
      </c>
      <c r="B368" s="1" t="s">
        <v>15</v>
      </c>
      <c r="C368" s="1" t="s">
        <v>7</v>
      </c>
      <c r="D368" s="42">
        <v>132625</v>
      </c>
      <c r="E368" s="41">
        <f>(D368-'2017'!D334)/'2017'!D334</f>
        <v>3.1828154418286216E-2</v>
      </c>
      <c r="F368" s="42">
        <v>139470</v>
      </c>
      <c r="G368" s="42">
        <v>82169</v>
      </c>
      <c r="H368" s="41">
        <f>(G368-'2017'!G334)/'2017'!G334</f>
        <v>-0.21692350211091099</v>
      </c>
      <c r="I368" s="42">
        <v>105374</v>
      </c>
      <c r="J368" s="42">
        <v>36576</v>
      </c>
      <c r="K368" s="41">
        <f>(J368-'2017'!J334)/'2017'!J334</f>
        <v>-1.7196904557179708E-2</v>
      </c>
      <c r="L368" s="42">
        <v>37397</v>
      </c>
    </row>
    <row r="369" spans="1:12" ht="15.75" thickBot="1" x14ac:dyDescent="0.3">
      <c r="A369" s="109" t="s">
        <v>318</v>
      </c>
      <c r="B369" s="110"/>
      <c r="C369" s="110"/>
      <c r="D369" s="110"/>
      <c r="E369" s="110"/>
      <c r="F369" s="110"/>
      <c r="G369" s="110"/>
      <c r="H369" s="110"/>
      <c r="I369" s="110"/>
      <c r="J369" s="110"/>
      <c r="K369" s="110"/>
      <c r="L369" s="111"/>
    </row>
    <row r="370" spans="1:12" ht="15.75" thickBot="1" x14ac:dyDescent="0.3">
      <c r="A370" s="15"/>
      <c r="B370" s="13"/>
      <c r="C370" s="21"/>
    </row>
    <row r="371" spans="1:12" ht="18.75" x14ac:dyDescent="0.3">
      <c r="A371" s="83" t="s">
        <v>317</v>
      </c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108"/>
    </row>
    <row r="372" spans="1:12" ht="45" x14ac:dyDescent="0.25">
      <c r="A372" s="33" t="s">
        <v>2</v>
      </c>
      <c r="B372" s="1" t="s">
        <v>3</v>
      </c>
      <c r="C372" s="1" t="s">
        <v>4</v>
      </c>
      <c r="D372" s="4" t="s">
        <v>78</v>
      </c>
      <c r="E372" s="4" t="s">
        <v>325</v>
      </c>
      <c r="F372" s="4" t="s">
        <v>85</v>
      </c>
      <c r="G372" s="4" t="s">
        <v>79</v>
      </c>
      <c r="H372" s="4" t="s">
        <v>325</v>
      </c>
      <c r="I372" s="4" t="s">
        <v>82</v>
      </c>
      <c r="J372" s="4" t="s">
        <v>80</v>
      </c>
      <c r="K372" s="4" t="s">
        <v>325</v>
      </c>
      <c r="L372" s="72" t="s">
        <v>81</v>
      </c>
    </row>
    <row r="373" spans="1:12" x14ac:dyDescent="0.25">
      <c r="A373" s="33" t="s">
        <v>5</v>
      </c>
      <c r="B373" s="1" t="s">
        <v>6</v>
      </c>
      <c r="C373" s="1" t="s">
        <v>7</v>
      </c>
      <c r="D373" s="42">
        <v>148588</v>
      </c>
      <c r="E373" s="41">
        <f>(D373-'2017'!D339)/'2017'!D339</f>
        <v>-2.5262564042010247E-2</v>
      </c>
      <c r="F373" s="42">
        <v>152671</v>
      </c>
      <c r="G373" s="42">
        <v>103734</v>
      </c>
      <c r="H373" s="41">
        <f>(G373-'2017'!G339)/'2017'!G339</f>
        <v>-1.1407496354747405E-2</v>
      </c>
      <c r="I373" s="42">
        <v>105042</v>
      </c>
      <c r="J373" s="42">
        <v>37037</v>
      </c>
      <c r="K373" s="41">
        <f>(J373-'2017'!J339)/'2017'!J339</f>
        <v>0</v>
      </c>
      <c r="L373" s="42">
        <v>37050</v>
      </c>
    </row>
    <row r="374" spans="1:12" x14ac:dyDescent="0.25">
      <c r="A374" s="33" t="s">
        <v>8</v>
      </c>
      <c r="B374" s="1" t="s">
        <v>9</v>
      </c>
      <c r="C374" s="1" t="s">
        <v>7</v>
      </c>
      <c r="D374" s="42">
        <v>144927</v>
      </c>
      <c r="E374" s="41">
        <f>(D374-'2017'!D340)/'2017'!D340</f>
        <v>-4.3487221764220941E-3</v>
      </c>
      <c r="F374" s="42">
        <v>146842</v>
      </c>
      <c r="G374" s="42">
        <v>92421</v>
      </c>
      <c r="H374" s="41">
        <f>(G374-'2017'!G340)/'2017'!G340</f>
        <v>0</v>
      </c>
      <c r="I374" s="42">
        <v>95057</v>
      </c>
      <c r="J374" s="42">
        <v>34317</v>
      </c>
      <c r="K374" s="41">
        <f>(J374-'2017'!J340)/'2017'!J340</f>
        <v>0</v>
      </c>
      <c r="L374" s="42">
        <v>34602</v>
      </c>
    </row>
    <row r="375" spans="1:12" x14ac:dyDescent="0.25">
      <c r="A375" s="33" t="s">
        <v>10</v>
      </c>
      <c r="B375" s="1" t="s">
        <v>9</v>
      </c>
      <c r="C375" s="1" t="s">
        <v>11</v>
      </c>
      <c r="D375" s="42">
        <v>83125</v>
      </c>
      <c r="E375" s="41">
        <f>(D375-'2017'!D341)/'2017'!D341</f>
        <v>-7.486388384754991E-3</v>
      </c>
      <c r="F375" s="42">
        <v>85251</v>
      </c>
      <c r="G375" s="42">
        <v>70274</v>
      </c>
      <c r="H375" s="41">
        <f>(G375-'2017'!G341)/'2017'!G341</f>
        <v>-2.1076239430537564E-2</v>
      </c>
      <c r="I375" s="42">
        <v>71275</v>
      </c>
      <c r="J375" s="42">
        <v>31240</v>
      </c>
      <c r="K375" s="41">
        <f>(J375-'2017'!J341)/'2017'!J341</f>
        <v>-2.375E-2</v>
      </c>
      <c r="L375" s="42">
        <v>32000</v>
      </c>
    </row>
    <row r="376" spans="1:12" x14ac:dyDescent="0.25">
      <c r="A376" s="33" t="s">
        <v>12</v>
      </c>
      <c r="B376" s="1" t="s">
        <v>13</v>
      </c>
      <c r="C376" s="1" t="s">
        <v>11</v>
      </c>
      <c r="D376" s="42">
        <v>72886</v>
      </c>
      <c r="E376" s="41">
        <f>(D376-'2017'!D342)/'2017'!D342</f>
        <v>-2.2595915302195225E-2</v>
      </c>
      <c r="F376" s="42">
        <v>73583</v>
      </c>
      <c r="G376" s="42">
        <v>66755</v>
      </c>
      <c r="H376" s="41">
        <f>(G376-'2017'!G342)/'2017'!G342</f>
        <v>-9.3492617051272545E-3</v>
      </c>
      <c r="I376" s="42">
        <v>66844</v>
      </c>
      <c r="J376" s="42">
        <v>31847</v>
      </c>
      <c r="K376" s="41">
        <f>(J376-'2017'!J342)/'2017'!J342</f>
        <v>-1.3046981529688856E-2</v>
      </c>
      <c r="L376" s="42">
        <v>32020</v>
      </c>
    </row>
    <row r="377" spans="1:12" x14ac:dyDescent="0.25">
      <c r="A377" s="33" t="s">
        <v>14</v>
      </c>
      <c r="B377" s="1" t="s">
        <v>15</v>
      </c>
      <c r="C377" s="1" t="s">
        <v>11</v>
      </c>
      <c r="D377" s="42">
        <v>70621</v>
      </c>
      <c r="E377" s="41">
        <f>(D377-'2017'!D343)/'2017'!D343</f>
        <v>-3.3899232547640872E-2</v>
      </c>
      <c r="F377" s="42">
        <v>71326</v>
      </c>
      <c r="G377" s="42">
        <v>65231</v>
      </c>
      <c r="H377" s="41">
        <f>(G377-'2017'!G343)/'2017'!G343</f>
        <v>-1.1741356846347301E-2</v>
      </c>
      <c r="I377" s="42">
        <v>67069</v>
      </c>
      <c r="J377" s="42">
        <v>32133</v>
      </c>
      <c r="K377" s="41">
        <f>(J377-'2017'!J343)/'2017'!J343</f>
        <v>-2.1200767613999819E-2</v>
      </c>
      <c r="L377" s="42">
        <v>32446</v>
      </c>
    </row>
    <row r="378" spans="1:12" ht="15.75" thickBot="1" x14ac:dyDescent="0.3">
      <c r="A378" s="109" t="s">
        <v>319</v>
      </c>
      <c r="B378" s="110"/>
      <c r="C378" s="110"/>
      <c r="D378" s="110"/>
      <c r="E378" s="110"/>
      <c r="F378" s="110"/>
      <c r="G378" s="110"/>
      <c r="H378" s="110"/>
      <c r="I378" s="73"/>
      <c r="J378" s="73"/>
      <c r="K378" s="74"/>
      <c r="L378" s="49"/>
    </row>
    <row r="379" spans="1:12" ht="18.75" x14ac:dyDescent="0.3">
      <c r="A379" s="83" t="s">
        <v>320</v>
      </c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108"/>
    </row>
    <row r="380" spans="1:12" ht="45" x14ac:dyDescent="0.25">
      <c r="A380" s="33" t="s">
        <v>2</v>
      </c>
      <c r="B380" s="1" t="s">
        <v>3</v>
      </c>
      <c r="C380" s="1" t="s">
        <v>4</v>
      </c>
      <c r="D380" s="4" t="s">
        <v>78</v>
      </c>
      <c r="E380" s="4" t="s">
        <v>325</v>
      </c>
      <c r="F380" s="4" t="s">
        <v>85</v>
      </c>
      <c r="G380" s="4" t="s">
        <v>79</v>
      </c>
      <c r="H380" s="42" t="s">
        <v>232</v>
      </c>
      <c r="I380" s="4" t="s">
        <v>82</v>
      </c>
      <c r="J380" s="4" t="s">
        <v>80</v>
      </c>
      <c r="K380" s="4" t="s">
        <v>232</v>
      </c>
      <c r="L380" s="72" t="s">
        <v>81</v>
      </c>
    </row>
    <row r="381" spans="1:12" x14ac:dyDescent="0.25">
      <c r="A381" s="33" t="s">
        <v>5</v>
      </c>
      <c r="B381" s="1" t="s">
        <v>6</v>
      </c>
      <c r="C381" s="1" t="s">
        <v>7</v>
      </c>
      <c r="D381" s="42">
        <v>165016</v>
      </c>
      <c r="E381" s="41">
        <f>(D381-'2017'!D330)/'2017'!D330</f>
        <v>7.260507260507261E-2</v>
      </c>
      <c r="F381" s="42">
        <v>169779</v>
      </c>
      <c r="G381" s="42">
        <v>110132</v>
      </c>
      <c r="H381" s="41">
        <f>(G381-'2017'!G330)/'2017'!G330</f>
        <v>-7.7036049267031276E-3</v>
      </c>
      <c r="I381" s="42">
        <v>111607</v>
      </c>
      <c r="J381" s="42">
        <v>38051</v>
      </c>
      <c r="K381" s="41">
        <f>(J381-'2017'!J330)/'2017'!J330</f>
        <v>-3.4309360431616994E-3</v>
      </c>
      <c r="L381" s="42">
        <v>38565</v>
      </c>
    </row>
    <row r="382" spans="1:12" x14ac:dyDescent="0.25">
      <c r="A382" s="33" t="s">
        <v>8</v>
      </c>
      <c r="B382" s="1" t="s">
        <v>9</v>
      </c>
      <c r="C382" s="1" t="s">
        <v>7</v>
      </c>
      <c r="D382" s="42">
        <v>160000</v>
      </c>
      <c r="E382" s="41">
        <f>(D382-'2017'!D331)/'2017'!D331</f>
        <v>0.20640904806786051</v>
      </c>
      <c r="F382" s="42">
        <v>163398</v>
      </c>
      <c r="G382" s="42">
        <v>100300</v>
      </c>
      <c r="H382" s="41">
        <f>(G382-'2017'!G331)/'2017'!G331</f>
        <v>-4.4133764092594181E-2</v>
      </c>
      <c r="I382" s="42">
        <v>102354</v>
      </c>
      <c r="J382" s="42">
        <v>36036</v>
      </c>
      <c r="K382" s="41">
        <f>(J382-'2017'!J331)/'2017'!J331</f>
        <v>-1.3685132472082329E-2</v>
      </c>
      <c r="L382" s="42">
        <v>36363</v>
      </c>
    </row>
    <row r="383" spans="1:12" x14ac:dyDescent="0.25">
      <c r="A383" s="33" t="s">
        <v>10</v>
      </c>
      <c r="B383" s="1" t="s">
        <v>9</v>
      </c>
      <c r="C383" s="1" t="s">
        <v>11</v>
      </c>
      <c r="D383" s="42">
        <v>62073</v>
      </c>
      <c r="E383" s="41">
        <f>(D383-'2017'!D332)/'2017'!D332</f>
        <v>-1.488628969545E-2</v>
      </c>
      <c r="F383" s="42">
        <v>63091</v>
      </c>
      <c r="G383" s="42">
        <v>54824</v>
      </c>
      <c r="H383" s="41">
        <f>(G383-'2017'!G332)/'2017'!G332</f>
        <v>-2.8511686424609713E-2</v>
      </c>
      <c r="I383" s="42">
        <v>55401</v>
      </c>
      <c r="J383" s="42">
        <v>28176</v>
      </c>
      <c r="K383" s="41">
        <f>(J383-'2017'!J332)/'2017'!J332</f>
        <v>-8.2016262452039839E-3</v>
      </c>
      <c r="L383" s="42">
        <v>28587</v>
      </c>
    </row>
    <row r="384" spans="1:12" x14ac:dyDescent="0.25">
      <c r="A384" s="33" t="s">
        <v>12</v>
      </c>
      <c r="B384" s="1" t="s">
        <v>13</v>
      </c>
      <c r="C384" s="1" t="s">
        <v>7</v>
      </c>
      <c r="D384" s="42">
        <v>131061</v>
      </c>
      <c r="E384" s="41">
        <f>(D384-'2017'!D333)/'2017'!D333</f>
        <v>-3.5387027210033194E-2</v>
      </c>
      <c r="F384" s="42">
        <v>137931</v>
      </c>
      <c r="G384" s="42">
        <v>106723</v>
      </c>
      <c r="H384" s="41">
        <f>(G384-'2017'!G333)/'2017'!G333</f>
        <v>-1.2811262811262811E-2</v>
      </c>
      <c r="I384" s="42">
        <v>107642</v>
      </c>
      <c r="J384" s="42">
        <v>36023</v>
      </c>
      <c r="K384" s="41">
        <f>(J384-'2017'!J333)/'2017'!J333</f>
        <v>-1.8714246799237264E-2</v>
      </c>
      <c r="L384" s="42">
        <v>37397</v>
      </c>
    </row>
    <row r="385" spans="1:12" x14ac:dyDescent="0.25">
      <c r="A385" s="33" t="s">
        <v>14</v>
      </c>
      <c r="B385" s="1" t="s">
        <v>15</v>
      </c>
      <c r="C385" s="1" t="s">
        <v>7</v>
      </c>
      <c r="D385" s="42">
        <v>134228</v>
      </c>
      <c r="E385" s="41">
        <f>(D385-'2017'!D334)/'2017'!D334</f>
        <v>4.4299562761603933E-2</v>
      </c>
      <c r="F385" s="42">
        <v>136425</v>
      </c>
      <c r="G385" s="42">
        <v>104058</v>
      </c>
      <c r="H385" s="41">
        <f>(G385-'2017'!G334)/'2017'!G334</f>
        <v>-8.3197529805300631E-3</v>
      </c>
      <c r="I385" s="42">
        <v>105596</v>
      </c>
      <c r="J385" s="42">
        <v>37411</v>
      </c>
      <c r="K385" s="41">
        <f>(J385-'2017'!J334)/'2017'!J334</f>
        <v>5.239681857265692E-3</v>
      </c>
      <c r="L385" s="42">
        <v>37721</v>
      </c>
    </row>
    <row r="386" spans="1:12" ht="15.75" thickBot="1" x14ac:dyDescent="0.3">
      <c r="A386" s="109" t="s">
        <v>322</v>
      </c>
      <c r="B386" s="110"/>
      <c r="C386" s="110"/>
      <c r="D386" s="110"/>
      <c r="E386" s="110"/>
      <c r="F386" s="110"/>
      <c r="G386" s="110"/>
      <c r="H386" s="110"/>
      <c r="I386" s="110"/>
      <c r="J386" s="110"/>
      <c r="K386" s="110"/>
      <c r="L386" s="111"/>
    </row>
    <row r="387" spans="1:12" ht="15.75" thickBot="1" x14ac:dyDescent="0.3">
      <c r="A387" s="15"/>
      <c r="B387" s="13"/>
      <c r="C387" s="21"/>
    </row>
    <row r="388" spans="1:12" ht="18.75" x14ac:dyDescent="0.3">
      <c r="A388" s="83" t="s">
        <v>321</v>
      </c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108"/>
    </row>
    <row r="389" spans="1:12" ht="45" x14ac:dyDescent="0.25">
      <c r="A389" s="33" t="s">
        <v>2</v>
      </c>
      <c r="B389" s="1" t="s">
        <v>3</v>
      </c>
      <c r="C389" s="1" t="s">
        <v>4</v>
      </c>
      <c r="D389" s="4" t="s">
        <v>78</v>
      </c>
      <c r="E389" s="4" t="s">
        <v>325</v>
      </c>
      <c r="F389" s="4" t="s">
        <v>85</v>
      </c>
      <c r="G389" s="4" t="s">
        <v>79</v>
      </c>
      <c r="H389" s="4" t="s">
        <v>232</v>
      </c>
      <c r="I389" s="4" t="s">
        <v>82</v>
      </c>
      <c r="J389" s="4" t="s">
        <v>80</v>
      </c>
      <c r="K389" s="4" t="s">
        <v>232</v>
      </c>
      <c r="L389" s="72" t="s">
        <v>81</v>
      </c>
    </row>
    <row r="390" spans="1:12" x14ac:dyDescent="0.25">
      <c r="A390" s="33" t="s">
        <v>5</v>
      </c>
      <c r="B390" s="1" t="s">
        <v>6</v>
      </c>
      <c r="C390" s="1" t="s">
        <v>7</v>
      </c>
      <c r="D390" s="42">
        <v>147275</v>
      </c>
      <c r="E390" s="41">
        <f>(D390-'2017'!D339)/'2017'!D339</f>
        <v>-3.3875845420135269E-2</v>
      </c>
      <c r="F390" s="42">
        <v>150602</v>
      </c>
      <c r="G390" s="42">
        <v>102040</v>
      </c>
      <c r="H390" s="41">
        <f>(G390-'2017'!G339)/'2017'!G339</f>
        <v>-2.7551438564389932E-2</v>
      </c>
      <c r="I390" s="42">
        <v>102880</v>
      </c>
      <c r="J390" s="42">
        <v>36697</v>
      </c>
      <c r="K390" s="41">
        <f>(J390-'2017'!J339)/'2017'!J339</f>
        <v>-9.1800091800091806E-3</v>
      </c>
      <c r="L390" s="42">
        <v>37050</v>
      </c>
    </row>
    <row r="391" spans="1:12" x14ac:dyDescent="0.25">
      <c r="A391" s="33" t="s">
        <v>8</v>
      </c>
      <c r="B391" s="1" t="s">
        <v>9</v>
      </c>
      <c r="C391" s="1" t="s">
        <v>7</v>
      </c>
      <c r="D391" s="42">
        <v>143266</v>
      </c>
      <c r="E391" s="41">
        <f>(D391-'2017'!D340)/'2017'!D340</f>
        <v>-1.5759824127507559E-2</v>
      </c>
      <c r="F391" s="42">
        <v>145772</v>
      </c>
      <c r="G391" s="42">
        <v>92850</v>
      </c>
      <c r="H391" s="41">
        <f>(G391-'2017'!G340)/'2017'!G340</f>
        <v>4.641802187814458E-3</v>
      </c>
      <c r="I391" s="42">
        <v>93283</v>
      </c>
      <c r="J391" s="42">
        <v>34153</v>
      </c>
      <c r="K391" s="41">
        <f>(J391-'2017'!J340)/'2017'!J340</f>
        <v>-4.7789725209080045E-3</v>
      </c>
      <c r="L391" s="42">
        <v>34317</v>
      </c>
    </row>
    <row r="392" spans="1:12" x14ac:dyDescent="0.25">
      <c r="A392" s="33" t="s">
        <v>10</v>
      </c>
      <c r="B392" s="1" t="s">
        <v>9</v>
      </c>
      <c r="C392" s="1" t="s">
        <v>11</v>
      </c>
      <c r="D392" s="42">
        <v>82644</v>
      </c>
      <c r="E392" s="41">
        <f>(D392-'2017'!D341)/'2017'!D341</f>
        <v>-1.3229534817078996E-2</v>
      </c>
      <c r="F392" s="42">
        <v>82644</v>
      </c>
      <c r="G392" s="42">
        <v>67476</v>
      </c>
      <c r="H392" s="41">
        <f>(G392-'2017'!G341)/'2017'!G341</f>
        <v>-6.0052655773329432E-2</v>
      </c>
      <c r="I392" s="42">
        <v>70077</v>
      </c>
      <c r="J392" s="42">
        <v>31585</v>
      </c>
      <c r="K392" s="41">
        <f>(J392-'2017'!J341)/'2017'!J341</f>
        <v>-1.2968749999999999E-2</v>
      </c>
      <c r="L392" s="42">
        <v>31867</v>
      </c>
    </row>
    <row r="393" spans="1:12" x14ac:dyDescent="0.25">
      <c r="A393" s="33" t="s">
        <v>12</v>
      </c>
      <c r="B393" s="1" t="s">
        <v>13</v>
      </c>
      <c r="C393" s="1" t="s">
        <v>11</v>
      </c>
      <c r="D393" s="42">
        <v>72568</v>
      </c>
      <c r="E393" s="41">
        <f>(D393-'2017'!D342)/'2017'!D342</f>
        <v>-2.6860307626289041E-2</v>
      </c>
      <c r="F393" s="42">
        <v>72886</v>
      </c>
      <c r="G393" s="42">
        <v>66533</v>
      </c>
      <c r="H393" s="41">
        <f>(G393-'2017'!G342)/'2017'!G342</f>
        <v>-1.2643763448838762E-2</v>
      </c>
      <c r="I393" s="42">
        <v>66755</v>
      </c>
      <c r="J393" s="42">
        <v>31416</v>
      </c>
      <c r="K393" s="41">
        <f>(J393-'2017'!J342)/'2017'!J342</f>
        <v>-2.6403867608776495E-2</v>
      </c>
      <c r="L393" s="42">
        <v>31735</v>
      </c>
    </row>
    <row r="394" spans="1:12" x14ac:dyDescent="0.25">
      <c r="A394" s="33" t="s">
        <v>14</v>
      </c>
      <c r="B394" s="1" t="s">
        <v>15</v>
      </c>
      <c r="C394" s="1" t="s">
        <v>11</v>
      </c>
      <c r="D394" s="42">
        <v>71530</v>
      </c>
      <c r="E394" s="41">
        <f>(D394-'2017'!D343)/'2017'!D343</f>
        <v>-2.146404191575808E-2</v>
      </c>
      <c r="F394" s="42">
        <v>71633</v>
      </c>
      <c r="G394" s="42">
        <v>65231</v>
      </c>
      <c r="H394" s="41">
        <f>(G394-'2017'!G343)/'2017'!G343</f>
        <v>-1.1741356846347301E-2</v>
      </c>
      <c r="I394" s="42">
        <v>65919</v>
      </c>
      <c r="J394" s="42">
        <v>31826</v>
      </c>
      <c r="K394" s="41">
        <f>(J394-'2017'!J343)/'2017'!J343</f>
        <v>-3.0552255627646289E-2</v>
      </c>
      <c r="L394" s="42">
        <v>32446</v>
      </c>
    </row>
    <row r="395" spans="1:12" ht="15.75" thickBot="1" x14ac:dyDescent="0.3">
      <c r="A395" s="109" t="s">
        <v>323</v>
      </c>
      <c r="B395" s="110"/>
      <c r="C395" s="110"/>
      <c r="D395" s="110"/>
      <c r="E395" s="110"/>
      <c r="F395" s="110"/>
      <c r="G395" s="110"/>
      <c r="H395" s="110"/>
      <c r="I395" s="73"/>
      <c r="J395" s="73"/>
      <c r="K395" s="74"/>
      <c r="L395" s="49"/>
    </row>
  </sheetData>
  <mergeCells count="114">
    <mergeCell ref="A379:L379"/>
    <mergeCell ref="A386:L386"/>
    <mergeCell ref="A388:L388"/>
    <mergeCell ref="A395:E395"/>
    <mergeCell ref="F395:H395"/>
    <mergeCell ref="A362:L362"/>
    <mergeCell ref="A369:L369"/>
    <mergeCell ref="A371:L371"/>
    <mergeCell ref="A378:E378"/>
    <mergeCell ref="F378:H378"/>
    <mergeCell ref="A294:L294"/>
    <mergeCell ref="A301:L301"/>
    <mergeCell ref="A303:L303"/>
    <mergeCell ref="A310:E310"/>
    <mergeCell ref="F310:H310"/>
    <mergeCell ref="A328:L328"/>
    <mergeCell ref="A335:L335"/>
    <mergeCell ref="A337:L337"/>
    <mergeCell ref="A344:E344"/>
    <mergeCell ref="F344:H344"/>
    <mergeCell ref="A345:L345"/>
    <mergeCell ref="A352:L352"/>
    <mergeCell ref="A354:L354"/>
    <mergeCell ref="A361:E361"/>
    <mergeCell ref="F361:H361"/>
    <mergeCell ref="A311:L311"/>
    <mergeCell ref="A318:L318"/>
    <mergeCell ref="A320:L320"/>
    <mergeCell ref="A327:E327"/>
    <mergeCell ref="F327:H327"/>
    <mergeCell ref="A226:L226"/>
    <mergeCell ref="A233:L233"/>
    <mergeCell ref="A235:L235"/>
    <mergeCell ref="A242:E242"/>
    <mergeCell ref="F242:H242"/>
    <mergeCell ref="A260:L260"/>
    <mergeCell ref="A267:L267"/>
    <mergeCell ref="A269:L269"/>
    <mergeCell ref="A276:E276"/>
    <mergeCell ref="F276:H276"/>
    <mergeCell ref="A158:L158"/>
    <mergeCell ref="A165:L165"/>
    <mergeCell ref="A167:L167"/>
    <mergeCell ref="A174:E174"/>
    <mergeCell ref="F174:H174"/>
    <mergeCell ref="A192:L192"/>
    <mergeCell ref="A199:L199"/>
    <mergeCell ref="A201:L201"/>
    <mergeCell ref="A208:E208"/>
    <mergeCell ref="F208:H208"/>
    <mergeCell ref="A37:L37"/>
    <mergeCell ref="A44:L44"/>
    <mergeCell ref="A46:L46"/>
    <mergeCell ref="A53:E53"/>
    <mergeCell ref="F53:H53"/>
    <mergeCell ref="A90:L90"/>
    <mergeCell ref="A97:L97"/>
    <mergeCell ref="A99:L99"/>
    <mergeCell ref="A106:E106"/>
    <mergeCell ref="F106:H106"/>
    <mergeCell ref="A72:L72"/>
    <mergeCell ref="A79:L79"/>
    <mergeCell ref="A81:L81"/>
    <mergeCell ref="A88:E88"/>
    <mergeCell ref="F88:H88"/>
    <mergeCell ref="A71:E71"/>
    <mergeCell ref="F71:H71"/>
    <mergeCell ref="A55:L55"/>
    <mergeCell ref="A62:L62"/>
    <mergeCell ref="A64:L64"/>
    <mergeCell ref="A35:E35"/>
    <mergeCell ref="F35:H35"/>
    <mergeCell ref="A26:L26"/>
    <mergeCell ref="A28:L28"/>
    <mergeCell ref="A1:L1"/>
    <mergeCell ref="A8:L8"/>
    <mergeCell ref="A10:L10"/>
    <mergeCell ref="A17:L17"/>
    <mergeCell ref="A19:L19"/>
    <mergeCell ref="A141:L141"/>
    <mergeCell ref="A148:L148"/>
    <mergeCell ref="A150:L150"/>
    <mergeCell ref="A157:E157"/>
    <mergeCell ref="F157:H157"/>
    <mergeCell ref="A107:L107"/>
    <mergeCell ref="A114:L114"/>
    <mergeCell ref="A116:L116"/>
    <mergeCell ref="A123:E123"/>
    <mergeCell ref="F123:H123"/>
    <mergeCell ref="A124:L124"/>
    <mergeCell ref="A131:L131"/>
    <mergeCell ref="A133:L133"/>
    <mergeCell ref="A140:E140"/>
    <mergeCell ref="F140:H140"/>
    <mergeCell ref="A209:L209"/>
    <mergeCell ref="A216:L216"/>
    <mergeCell ref="A218:L218"/>
    <mergeCell ref="A225:E225"/>
    <mergeCell ref="F225:H225"/>
    <mergeCell ref="A175:L175"/>
    <mergeCell ref="A182:L182"/>
    <mergeCell ref="A184:L184"/>
    <mergeCell ref="A191:E191"/>
    <mergeCell ref="F191:H191"/>
    <mergeCell ref="A277:L277"/>
    <mergeCell ref="A284:L284"/>
    <mergeCell ref="A286:L286"/>
    <mergeCell ref="A293:E293"/>
    <mergeCell ref="F293:H293"/>
    <mergeCell ref="A243:L243"/>
    <mergeCell ref="A250:L250"/>
    <mergeCell ref="A252:L252"/>
    <mergeCell ref="A259:E259"/>
    <mergeCell ref="F259:H259"/>
  </mergeCells>
  <conditionalFormatting sqref="E66:E70 H66:H70 K66:K70">
    <cfRule type="colorScale" priority="69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57:E61 H57:H61 K57:K61">
    <cfRule type="colorScale" priority="67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48:E52 H48:H52 K48:K52">
    <cfRule type="colorScale" priority="66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39:E43 H39:H43 K39:K43">
    <cfRule type="colorScale" priority="6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30:E34 H30:H34 K30:K34">
    <cfRule type="colorScale" priority="6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1:E25 H21:H25 K21:K25">
    <cfRule type="colorScale" priority="63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3:E7 H3:H7 K3:K7">
    <cfRule type="colorScale" priority="60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2:E16 H12:H16 K12:K16">
    <cfRule type="colorScale" priority="59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83:E87 H83:H87 K83:K87">
    <cfRule type="colorScale" priority="58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01:E105 H101:H105 K101:K105">
    <cfRule type="colorScale" priority="5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92:E96 K92:K96">
    <cfRule type="colorScale" priority="5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92:H96">
    <cfRule type="colorScale" priority="53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74:E78 H74:H78 K74:K78">
    <cfRule type="colorScale" priority="5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18:E122 H118:H122 K118:K122">
    <cfRule type="colorScale" priority="51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09:E113 K109:K113">
    <cfRule type="colorScale" priority="50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109:H113">
    <cfRule type="colorScale" priority="49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35:E139 H135:H139 K135:K139">
    <cfRule type="colorScale" priority="48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26:E130 K126:K130">
    <cfRule type="colorScale" priority="47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126:H130">
    <cfRule type="colorScale" priority="46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52:E156 H152:H156 K152:K156">
    <cfRule type="colorScale" priority="4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43:E147 K143:K147">
    <cfRule type="colorScale" priority="4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143:H147">
    <cfRule type="colorScale" priority="43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69:E173 H169:H173 K169:K173">
    <cfRule type="colorScale" priority="4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60:E164 K160:K164">
    <cfRule type="colorScale" priority="41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160:H164">
    <cfRule type="colorScale" priority="40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86:E190 H186:H190 K186:K190">
    <cfRule type="colorScale" priority="39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77:E181 K177:K181">
    <cfRule type="colorScale" priority="38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177:H181">
    <cfRule type="colorScale" priority="37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03:E207 H203:H207 K203:K207">
    <cfRule type="colorScale" priority="36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94:E198 K194:K198">
    <cfRule type="colorScale" priority="3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194:H198">
    <cfRule type="colorScale" priority="3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20:E224 H220:H224 K220:K224">
    <cfRule type="colorScale" priority="33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11:E215 K211:K215">
    <cfRule type="colorScale" priority="3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211:H215">
    <cfRule type="colorScale" priority="31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37:E241 H237:H241 K237:K241">
    <cfRule type="colorScale" priority="30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28:E232 K228:K232">
    <cfRule type="colorScale" priority="29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228:H232">
    <cfRule type="colorScale" priority="28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54:E258 H254:H258 K254:K258">
    <cfRule type="colorScale" priority="27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45:E249 K245:K249">
    <cfRule type="colorScale" priority="26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245:H249">
    <cfRule type="colorScale" priority="2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71:E275 H271:H275 K271:K275">
    <cfRule type="colorScale" priority="2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62:E266 K262:K266">
    <cfRule type="colorScale" priority="23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262:H266">
    <cfRule type="colorScale" priority="2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88:E292 H288:H292 K288:K292">
    <cfRule type="colorScale" priority="21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79:E283 K279:K283">
    <cfRule type="colorScale" priority="20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279:H283">
    <cfRule type="colorScale" priority="19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305:H309 K305:K309 E305:E309">
    <cfRule type="colorScale" priority="18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96:E300 K296:K300">
    <cfRule type="colorScale" priority="17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296:H300">
    <cfRule type="colorScale" priority="16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322:E326 H322:H326 K322:K326">
    <cfRule type="colorScale" priority="1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313:E317 K313:K317">
    <cfRule type="colorScale" priority="1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313:H317">
    <cfRule type="colorScale" priority="13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339:E343 H339:H343 K339:K343">
    <cfRule type="colorScale" priority="1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330:E334 K330:K334">
    <cfRule type="colorScale" priority="11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330:H334">
    <cfRule type="colorScale" priority="10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356:E360 H356:H360 K356:K360">
    <cfRule type="colorScale" priority="9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347:E351 K347:K351">
    <cfRule type="colorScale" priority="8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347:H351">
    <cfRule type="colorScale" priority="7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373:E377 H373:H377 K373:K377">
    <cfRule type="colorScale" priority="6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364:E368 K364:K368">
    <cfRule type="colorScale" priority="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364:H368">
    <cfRule type="colorScale" priority="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390:E394 H390:H394 K390:K394">
    <cfRule type="colorScale" priority="3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381:E385 K381:K385">
    <cfRule type="colorScale" priority="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381:H385">
    <cfRule type="colorScale" priority="1">
      <colorScale>
        <cfvo type="min"/>
        <cfvo type="num" val="0"/>
        <cfvo type="max"/>
        <color rgb="FFF8696B"/>
        <color theme="0"/>
        <color rgb="FF63BE7B"/>
      </colorScale>
    </cfRule>
  </conditionalFormatting>
  <hyperlinks>
    <hyperlink ref="A8:L8" r:id="rId1" location="system_information" display="Worst of 3 : 8108_sp_online_poll_smp_17.0d41" xr:uid="{00000000-0004-0000-0A00-000000000000}"/>
    <hyperlink ref="A17:L17" r:id="rId2" display="Worst of 3 : 8108_sp_online_poll_no_smp_17.0d41" xr:uid="{00000000-0004-0000-0A00-000001000000}"/>
    <hyperlink ref="A26:L26" r:id="rId3" display="Worst of 3 : 8108_sp_online_poll_smp_17.0d80" xr:uid="{00000000-0004-0000-0A00-000002000000}"/>
    <hyperlink ref="A35:E35" r:id="rId4" location="TSsummary" display="Worst of 3 : 8108_sp_online_poll_no_smp_17.0d80" xr:uid="{00000000-0004-0000-0A00-000003000000}"/>
    <hyperlink ref="F35:H35" r:id="rId5" display="T1 Cases were run again" xr:uid="{00000000-0004-0000-0A00-000004000000}"/>
    <hyperlink ref="A44:L44" r:id="rId6" location="TSsummary" display="Worst of 3 : 8108_sp_online_poll_smp_17.0d88" xr:uid="{00000000-0004-0000-0A00-000005000000}"/>
    <hyperlink ref="A53:E53" r:id="rId7" location="TSsummary" display="Worst of 3 : 8108_sp_online_poll_no_smp_17.0d88" xr:uid="{00000000-0004-0000-0A00-000006000000}"/>
    <hyperlink ref="F53:H53" r:id="rId8" display="T1 Cases were run again" xr:uid="{00000000-0004-0000-0A00-000007000000}"/>
    <hyperlink ref="A62:L62" r:id="rId9" display="Worst of 3 : 8108_sp_online_poll_smp_17.0a2" xr:uid="{00000000-0004-0000-0A00-000008000000}"/>
    <hyperlink ref="A71:E71" r:id="rId10" location="TSsummary" display="Worst of 3 : 8108_sp_online_poll_no_smp_17.0a2" xr:uid="{00000000-0004-0000-0A00-000009000000}"/>
    <hyperlink ref="A79:L79" r:id="rId11" location="TSsummary" display="Worst of 3 : 8108_sp_online_poll_smp_17.0a8" xr:uid="{00000000-0004-0000-0A00-00000A000000}"/>
    <hyperlink ref="A88:E88" r:id="rId12" display="Worst of 3 : 8108_sp_online_poll_no_smp_17.0a8" xr:uid="{00000000-0004-0000-0A00-00000B000000}"/>
    <hyperlink ref="A97:L97" r:id="rId13" display="Worst of 3 : 8108_sp_online_poll_smp_17.0a14" xr:uid="{00000000-0004-0000-0A00-00000C000000}"/>
    <hyperlink ref="A106:E106" r:id="rId14" display="Worst of 3 : 8108_sp_online_poll_no_smp_17.0a14" xr:uid="{00000000-0004-0000-0A00-00000D000000}"/>
    <hyperlink ref="A114:L114" r:id="rId15" display="Worst of 3 : 8108_sp_online_poll_smp_17.0a21" xr:uid="{00000000-0004-0000-0A00-00000E000000}"/>
    <hyperlink ref="A123:E123" r:id="rId16" display="Worst of 3 : 8108_sp_online_poll_no_smp_17.0a21" xr:uid="{00000000-0004-0000-0A00-00000F000000}"/>
    <hyperlink ref="A131:L131" r:id="rId17" location="TSsummary" display="Worst of 3 : 8108_sp_online_poll_smp_17.0a31" xr:uid="{00000000-0004-0000-0A00-000010000000}"/>
    <hyperlink ref="A140:E140" r:id="rId18" display="Worst of 3 : 8108_sp_online_poll_no_smp_17.0a31" xr:uid="{00000000-0004-0000-0A00-000011000000}"/>
    <hyperlink ref="A148:L148" r:id="rId19" location="test_daqmx-Benchmark.lvproj%5CRT%20Target%5CT1%20-%20AI-AO%5CTest_DAQmx_AI-AO_01_RPoll_SCPol" display="Worst of 3 : 8108_sp_online_poll_smp_17.0a40" xr:uid="{00000000-0004-0000-0A00-000012000000}"/>
    <hyperlink ref="A157:E157" r:id="rId20" display="Worst of 3 : 8108_sp_online_poll_no_smp_17.0a40" xr:uid="{00000000-0004-0000-0A00-000013000000}"/>
    <hyperlink ref="A165:L165" r:id="rId21" location="test_daqmx-Benchmark.lvproj%5CRT%20Target%5CT1%20-%20AI-AO%5CTest_DAQmx_AI-AO_01_RPoll_SCPol" display="Worst of 3 : 8108_sp_online_poll_smp_17.0a48" xr:uid="{00000000-0004-0000-0A00-000014000000}"/>
    <hyperlink ref="A174:E174" r:id="rId22" display="Worst of 3 : 8108_sp_online_poll_no_smp_17.0a48" xr:uid="{00000000-0004-0000-0A00-000015000000}"/>
    <hyperlink ref="A182:L182" r:id="rId23" display="Worst of 3 : 8108_sp_online_poll_smp_17.0b3" xr:uid="{00000000-0004-0000-0A00-000016000000}"/>
    <hyperlink ref="A191:E191" r:id="rId24" location="system_information" display="Worst of 3 : 8108_sp_online_poll_no_smp_17.0b3" xr:uid="{00000000-0004-0000-0A00-000017000000}"/>
    <hyperlink ref="A199:L199" r:id="rId25" display="Worst of 3 : 8108_sp_online_poll_smp_17.0b8" xr:uid="{00000000-0004-0000-0A00-000018000000}"/>
    <hyperlink ref="A208:E208" r:id="rId26" display="Worst of 3 : 8108_sp_online_poll_no_smp_17.0b8" xr:uid="{00000000-0004-0000-0A00-000019000000}"/>
    <hyperlink ref="A216:L216" r:id="rId27" display="Worst of 3 : 8108_sp_online_poll_smp_17.0b12" xr:uid="{00000000-0004-0000-0A00-00001A000000}"/>
    <hyperlink ref="A225:E225" r:id="rId28" display="Worst of 3 : 8108_sp_online_poll_no_smp_17.0b12" xr:uid="{00000000-0004-0000-0A00-00001B000000}"/>
    <hyperlink ref="A233:L233" r:id="rId29" display="Worst of 3 : 8108_sp_online_poll_smp_17.0b19" xr:uid="{00000000-0004-0000-0A00-00001C000000}"/>
    <hyperlink ref="A242:E242" r:id="rId30" display="Worst of 3 : 8108_sp_online_poll_no_smp_17.0b19" xr:uid="{00000000-0004-0000-0A00-00001D000000}"/>
    <hyperlink ref="A250:L250" r:id="rId31" display="Worst of 3 : 8108_sp_online_poll_smp_17.0b23" xr:uid="{00000000-0004-0000-0A00-00001E000000}"/>
    <hyperlink ref="A259:E259" r:id="rId32" display="Worst of 3 : 8108_sp_online_poll_no_smp_17.0b23" xr:uid="{00000000-0004-0000-0A00-00001F000000}"/>
    <hyperlink ref="A267:L267" r:id="rId33" display="Worst of 3 : 8108_sp_online_poll_smp_17.0b28" xr:uid="{00000000-0004-0000-0A00-000020000000}"/>
    <hyperlink ref="A276:E276" r:id="rId34" display="Worst of 3 : 8108_sp_online_poll_no_smp_17.0b28" xr:uid="{00000000-0004-0000-0A00-000021000000}"/>
    <hyperlink ref="A284:L284" r:id="rId35" display="Worst of 3 : 8108_sp_online_poll_smp_17.0b35" xr:uid="{00000000-0004-0000-0A00-000022000000}"/>
    <hyperlink ref="A293:E293" r:id="rId36" display="Worst of 3 : 8108_sp_online_poll_no_smp_17.0b35" xr:uid="{00000000-0004-0000-0A00-000023000000}"/>
    <hyperlink ref="A301:L301" r:id="rId37" location="test_daqmx-Benchmark.lvproj%5CRT%20Target%5CT1%20-%20AI-AO%5CTest_DAQmx_AI-AO_01_RPoll_SCPol" display="Worst of 3 : 8108_sp_online_poll_smp_17.0b40" xr:uid="{00000000-0004-0000-0A00-000024000000}"/>
    <hyperlink ref="A310:E310" r:id="rId38" display="Worst of 3 : 8108_sp_online_poll_no_smp_17.0b40" xr:uid="{00000000-0004-0000-0A00-000025000000}"/>
    <hyperlink ref="A318:L318" r:id="rId39" display="Worst of 3 : 8108_sp_online_poll_smp_17.0rc0" xr:uid="{00000000-0004-0000-0A00-000026000000}"/>
    <hyperlink ref="A327:E327" r:id="rId40" display="Worst of 3 : 8108_sp_online_poll_no_smp_17.0rc0" xr:uid="{00000000-0004-0000-0A00-000027000000}"/>
    <hyperlink ref="A335:L335" r:id="rId41" display="Worst of 3 : 8108_sp_online_poll_smp_17.0" xr:uid="{00000000-0004-0000-0A00-000028000000}"/>
    <hyperlink ref="A344:E344" r:id="rId42" display="Worst of 3 : 8108_sp_online_poll_no_smp_17.0" xr:uid="{00000000-0004-0000-0A00-000029000000}"/>
    <hyperlink ref="A352:L352" r:id="rId43" display="Worst of 3 : 8108_sp_online_poll_smp_17.0.1b3" xr:uid="{65A9334C-01A1-41C5-AA05-D4BF0D626305}"/>
    <hyperlink ref="A361:E361" r:id="rId44" display="Worst of 3 : 8108_sp_online_poll_no_smp_17.0.1b3" xr:uid="{715C0432-99A4-48D0-811B-0EDC5A5FE9B6}"/>
    <hyperlink ref="A369:L369" r:id="rId45" display="Worst of 3 : 8108_sp_online_poll_smp_17.0.1b10" xr:uid="{55868813-EF3B-44DC-85C4-87C8FE44BA9D}"/>
    <hyperlink ref="A378:E378" r:id="rId46" display="Worst of 3 : 8108_sp_online_poll_no_smp_17.0.1b10" xr:uid="{226AD10B-8BA6-416C-A56E-11801B252DDD}"/>
    <hyperlink ref="A386:L386" r:id="rId47" display="Worst of 3 : 8108_sp_online_poll_smp_17.0.1" xr:uid="{665C3758-3E6D-4E86-80CB-279751626078}"/>
    <hyperlink ref="A395:E395" r:id="rId48" display="Worst of 3 : 8108_sp_online_poll_no_smp_17.0.1" xr:uid="{6E3748E6-67CE-4D96-AF48-2D69611CF8F5}"/>
  </hyperlinks>
  <pageMargins left="0.7" right="0.7" top="0.75" bottom="0.75" header="0.3" footer="0.3"/>
  <pageSetup paperSize="9" orientation="portrait" r:id="rId49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518F0-E711-4910-977D-618A81E8C2E1}">
  <dimension ref="A1:O276"/>
  <sheetViews>
    <sheetView topLeftCell="A238" workbookViewId="0">
      <selection activeCell="D216" sqref="D216"/>
    </sheetView>
  </sheetViews>
  <sheetFormatPr defaultRowHeight="15" x14ac:dyDescent="0.25"/>
  <cols>
    <col min="2" max="2" width="21.7109375" customWidth="1"/>
    <col min="3" max="3" width="17.140625" customWidth="1"/>
    <col min="4" max="4" width="11" customWidth="1"/>
    <col min="6" max="6" width="11.5703125" bestFit="1" customWidth="1"/>
    <col min="9" max="9" width="11.5703125" bestFit="1" customWidth="1"/>
    <col min="12" max="12" width="9.85546875" bestFit="1" customWidth="1"/>
  </cols>
  <sheetData>
    <row r="1" spans="1:12" ht="18.75" x14ac:dyDescent="0.3">
      <c r="A1" s="83" t="s">
        <v>324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108"/>
    </row>
    <row r="2" spans="1:12" ht="45" x14ac:dyDescent="0.25">
      <c r="A2" s="33" t="s">
        <v>2</v>
      </c>
      <c r="B2" s="1" t="s">
        <v>3</v>
      </c>
      <c r="C2" s="1" t="s">
        <v>4</v>
      </c>
      <c r="D2" s="4" t="s">
        <v>78</v>
      </c>
      <c r="E2" s="4" t="s">
        <v>325</v>
      </c>
      <c r="F2" s="4" t="s">
        <v>85</v>
      </c>
      <c r="G2" s="4" t="s">
        <v>79</v>
      </c>
      <c r="H2" s="42" t="s">
        <v>325</v>
      </c>
      <c r="I2" s="4" t="s">
        <v>82</v>
      </c>
      <c r="J2" s="4" t="s">
        <v>80</v>
      </c>
      <c r="K2" s="4" t="s">
        <v>325</v>
      </c>
      <c r="L2" s="72" t="s">
        <v>81</v>
      </c>
    </row>
    <row r="3" spans="1:12" x14ac:dyDescent="0.25">
      <c r="A3" s="33" t="s">
        <v>5</v>
      </c>
      <c r="B3" s="1" t="s">
        <v>6</v>
      </c>
      <c r="C3" s="1" t="s">
        <v>7</v>
      </c>
      <c r="D3" s="42">
        <v>167224</v>
      </c>
      <c r="E3" s="41">
        <f>(D3-'2017'!D330)/'2017'!D330</f>
        <v>8.6957086957086954E-2</v>
      </c>
      <c r="F3" s="42">
        <v>171232</v>
      </c>
      <c r="G3" s="42">
        <v>111607</v>
      </c>
      <c r="H3" s="41">
        <f>(G3-'2017'!G330)/'2017'!G330</f>
        <v>5.5862398298899872E-3</v>
      </c>
      <c r="I3" s="42">
        <v>111982</v>
      </c>
      <c r="J3" s="42">
        <v>38925</v>
      </c>
      <c r="K3" s="41">
        <f>(J3-'2017'!J330)/'2017'!J330</f>
        <v>1.9459431145565975E-2</v>
      </c>
      <c r="L3" s="42">
        <v>38925</v>
      </c>
    </row>
    <row r="4" spans="1:12" x14ac:dyDescent="0.25">
      <c r="A4" s="33" t="s">
        <v>8</v>
      </c>
      <c r="B4" s="1" t="s">
        <v>9</v>
      </c>
      <c r="C4" s="1" t="s">
        <v>7</v>
      </c>
      <c r="D4" s="42">
        <v>161030</v>
      </c>
      <c r="E4" s="41">
        <f>(D4-'2017'!D331)/'2017'!D331</f>
        <v>0.21417530631479736</v>
      </c>
      <c r="F4" s="42">
        <v>167224</v>
      </c>
      <c r="G4" s="42">
        <v>102459</v>
      </c>
      <c r="H4" s="41">
        <f>(G4-'2017'!G331)/'2017'!G331</f>
        <v>-2.3558338336621208E-2</v>
      </c>
      <c r="I4" s="42">
        <v>103734</v>
      </c>
      <c r="J4" s="42">
        <v>35676</v>
      </c>
      <c r="K4" s="41">
        <f>(J4-'2017'!J331)/'2017'!J331</f>
        <v>-2.3538427851981607E-2</v>
      </c>
      <c r="L4" s="42">
        <v>36710</v>
      </c>
    </row>
    <row r="5" spans="1:12" x14ac:dyDescent="0.25">
      <c r="A5" s="33" t="s">
        <v>10</v>
      </c>
      <c r="B5" s="1" t="s">
        <v>9</v>
      </c>
      <c r="C5" s="1" t="s">
        <v>11</v>
      </c>
      <c r="D5" s="42">
        <v>63572</v>
      </c>
      <c r="E5" s="41">
        <f>(D5-'2017'!D332)/'2017'!D332</f>
        <v>8.90320737648982E-3</v>
      </c>
      <c r="F5" s="42">
        <v>65019</v>
      </c>
      <c r="G5" s="42">
        <v>57012</v>
      </c>
      <c r="H5" s="41">
        <f>(G5-'2017'!G332)/'2017'!G332</f>
        <v>1.0259954282069002E-2</v>
      </c>
      <c r="I5" s="42">
        <v>57471</v>
      </c>
      <c r="J5" s="42">
        <v>28735</v>
      </c>
      <c r="K5" s="41">
        <f>(J5-'2017'!J332)/'2017'!J332</f>
        <v>1.1475236720757507E-2</v>
      </c>
      <c r="L5" s="42">
        <v>28960</v>
      </c>
    </row>
    <row r="6" spans="1:12" x14ac:dyDescent="0.25">
      <c r="A6" s="33" t="s">
        <v>12</v>
      </c>
      <c r="B6" s="1" t="s">
        <v>13</v>
      </c>
      <c r="C6" s="1" t="s">
        <v>7</v>
      </c>
      <c r="D6" s="42">
        <v>151515</v>
      </c>
      <c r="E6" s="41">
        <f>(D6-'2017'!D333)/'2017'!D333</f>
        <v>0.11515503904496242</v>
      </c>
      <c r="F6" s="42">
        <v>156494</v>
      </c>
      <c r="G6" s="42">
        <v>103734</v>
      </c>
      <c r="H6" s="41">
        <f>(G6-'2017'!G333)/'2017'!G333</f>
        <v>-4.0459540459540456E-2</v>
      </c>
      <c r="I6" s="42">
        <v>106951</v>
      </c>
      <c r="J6" s="42">
        <v>35752</v>
      </c>
      <c r="K6" s="41">
        <f>(J6-'2017'!J333)/'2017'!J333</f>
        <v>-2.6096431490057206E-2</v>
      </c>
      <c r="L6" s="42">
        <v>37551</v>
      </c>
    </row>
    <row r="7" spans="1:12" x14ac:dyDescent="0.25">
      <c r="A7" s="33" t="s">
        <v>14</v>
      </c>
      <c r="B7" s="1" t="s">
        <v>15</v>
      </c>
      <c r="C7" s="1" t="s">
        <v>7</v>
      </c>
      <c r="D7" s="42">
        <v>134408</v>
      </c>
      <c r="E7" s="41">
        <f>(D7-'2017'!D334)/'2017'!D334</f>
        <v>4.569997043583799E-2</v>
      </c>
      <c r="F7" s="42">
        <v>141242</v>
      </c>
      <c r="G7" s="42">
        <v>96805</v>
      </c>
      <c r="H7" s="41">
        <f>(G7-'2017'!G334)/'2017'!G334</f>
        <v>-7.7441366231142367E-2</v>
      </c>
      <c r="I7" s="42">
        <v>103734</v>
      </c>
      <c r="J7" s="42">
        <v>37579</v>
      </c>
      <c r="K7" s="41">
        <f>(J7-'2017'!J334)/'2017'!J334</f>
        <v>9.7538693035253646E-3</v>
      </c>
      <c r="L7" s="42">
        <v>37764</v>
      </c>
    </row>
    <row r="8" spans="1:12" ht="15.75" thickBot="1" x14ac:dyDescent="0.3">
      <c r="A8" s="109" t="s">
        <v>328</v>
      </c>
      <c r="B8" s="110"/>
      <c r="C8" s="110"/>
      <c r="D8" s="110"/>
      <c r="E8" s="110"/>
      <c r="F8" s="110"/>
      <c r="G8" s="110"/>
      <c r="H8" s="110"/>
      <c r="I8" s="110"/>
      <c r="J8" s="110"/>
      <c r="K8" s="110"/>
      <c r="L8" s="111"/>
    </row>
    <row r="9" spans="1:12" ht="15.75" thickBot="1" x14ac:dyDescent="0.3">
      <c r="A9" s="15"/>
      <c r="B9" s="13"/>
      <c r="C9" s="21"/>
    </row>
    <row r="10" spans="1:12" ht="18.75" x14ac:dyDescent="0.3">
      <c r="A10" s="83" t="s">
        <v>327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108"/>
    </row>
    <row r="11" spans="1:12" ht="45" x14ac:dyDescent="0.25">
      <c r="A11" s="33" t="s">
        <v>2</v>
      </c>
      <c r="B11" s="1" t="s">
        <v>3</v>
      </c>
      <c r="C11" s="1" t="s">
        <v>4</v>
      </c>
      <c r="D11" s="4" t="s">
        <v>78</v>
      </c>
      <c r="E11" s="4" t="s">
        <v>325</v>
      </c>
      <c r="F11" s="4" t="s">
        <v>85</v>
      </c>
      <c r="G11" s="4" t="s">
        <v>79</v>
      </c>
      <c r="H11" s="4" t="s">
        <v>325</v>
      </c>
      <c r="I11" s="4" t="s">
        <v>82</v>
      </c>
      <c r="J11" s="4" t="s">
        <v>80</v>
      </c>
      <c r="K11" s="4" t="s">
        <v>325</v>
      </c>
      <c r="L11" s="72" t="s">
        <v>81</v>
      </c>
    </row>
    <row r="12" spans="1:12" x14ac:dyDescent="0.25">
      <c r="A12" s="33" t="s">
        <v>5</v>
      </c>
      <c r="B12" s="1" t="s">
        <v>6</v>
      </c>
      <c r="C12" s="1" t="s">
        <v>7</v>
      </c>
      <c r="D12" s="42">
        <v>145772</v>
      </c>
      <c r="E12" s="41">
        <f>(D12-'2017'!D339)/'2017'!D339</f>
        <v>-4.3735526997684321E-2</v>
      </c>
      <c r="F12" s="42">
        <v>147710</v>
      </c>
      <c r="G12" s="42">
        <v>99304</v>
      </c>
      <c r="H12" s="41">
        <f>(G12-'2017'!G339)/'2017'!G339</f>
        <v>-5.3625715946669719E-2</v>
      </c>
      <c r="I12" s="42">
        <v>103199</v>
      </c>
      <c r="J12" s="42">
        <v>36697</v>
      </c>
      <c r="K12" s="41">
        <f>(J12-'2017'!J339)/'2017'!J339</f>
        <v>-9.1800091800091806E-3</v>
      </c>
      <c r="L12" s="42">
        <v>37216</v>
      </c>
    </row>
    <row r="13" spans="1:12" x14ac:dyDescent="0.25">
      <c r="A13" s="33" t="s">
        <v>8</v>
      </c>
      <c r="B13" s="1" t="s">
        <v>9</v>
      </c>
      <c r="C13" s="1" t="s">
        <v>7</v>
      </c>
      <c r="D13" s="42">
        <v>142450</v>
      </c>
      <c r="E13" s="41">
        <f>(D13-'2017'!D340)/'2017'!D340</f>
        <v>-2.1365759824127507E-2</v>
      </c>
      <c r="F13" s="42">
        <v>145137</v>
      </c>
      <c r="G13" s="42">
        <v>91575</v>
      </c>
      <c r="H13" s="41">
        <f>(G13-'2017'!G340)/'2017'!G340</f>
        <v>-9.1537637549907493E-3</v>
      </c>
      <c r="I13" s="42">
        <v>93720</v>
      </c>
      <c r="J13" s="42">
        <v>34602</v>
      </c>
      <c r="K13" s="41">
        <f>(J13-'2017'!J340)/'2017'!J340</f>
        <v>8.3049217588950092E-3</v>
      </c>
      <c r="L13" s="42">
        <v>35001</v>
      </c>
    </row>
    <row r="14" spans="1:12" x14ac:dyDescent="0.25">
      <c r="A14" s="33" t="s">
        <v>10</v>
      </c>
      <c r="B14" s="1" t="s">
        <v>9</v>
      </c>
      <c r="C14" s="1" t="s">
        <v>11</v>
      </c>
      <c r="D14" s="42">
        <v>81833</v>
      </c>
      <c r="E14" s="41">
        <f>(D14-'2017'!D341)/'2017'!D341</f>
        <v>-2.2912885662431944E-2</v>
      </c>
      <c r="F14" s="42">
        <v>83333</v>
      </c>
      <c r="G14" s="42">
        <v>67159</v>
      </c>
      <c r="H14" s="41">
        <f>(G14-'2017'!G341)/'2017'!G341</f>
        <v>-6.4468497081644302E-2</v>
      </c>
      <c r="I14" s="42">
        <v>70821</v>
      </c>
      <c r="J14" s="42">
        <v>32113</v>
      </c>
      <c r="K14" s="41">
        <f>(J14-'2017'!J341)/'2017'!J341</f>
        <v>3.5312500000000001E-3</v>
      </c>
      <c r="L14" s="42">
        <v>32583</v>
      </c>
    </row>
    <row r="15" spans="1:12" x14ac:dyDescent="0.25">
      <c r="A15" s="33" t="s">
        <v>12</v>
      </c>
      <c r="B15" s="1" t="s">
        <v>13</v>
      </c>
      <c r="C15" s="1" t="s">
        <v>11</v>
      </c>
      <c r="D15" s="42">
        <v>72833</v>
      </c>
      <c r="E15" s="41">
        <f>(D15-'2017'!D342)/'2017'!D342</f>
        <v>-2.3306647356210859E-2</v>
      </c>
      <c r="F15" s="42">
        <v>73529</v>
      </c>
      <c r="G15" s="42">
        <v>66137</v>
      </c>
      <c r="H15" s="41">
        <f>(G15-'2017'!G342)/'2017'!G342</f>
        <v>-1.8520442234918749E-2</v>
      </c>
      <c r="I15" s="42">
        <v>66445</v>
      </c>
      <c r="J15" s="42">
        <v>32000</v>
      </c>
      <c r="K15" s="41">
        <f>(J15-'2017'!J342)/'2017'!J342</f>
        <v>-8.3054419238874425E-3</v>
      </c>
      <c r="L15" s="42">
        <v>32154</v>
      </c>
    </row>
    <row r="16" spans="1:12" x14ac:dyDescent="0.25">
      <c r="A16" s="33" t="s">
        <v>14</v>
      </c>
      <c r="B16" s="1" t="s">
        <v>15</v>
      </c>
      <c r="C16" s="1" t="s">
        <v>11</v>
      </c>
      <c r="D16" s="42">
        <v>70972</v>
      </c>
      <c r="E16" s="41">
        <f>(D16-'2017'!D343)/'2017'!D343</f>
        <v>-2.9097525273943554E-2</v>
      </c>
      <c r="F16" s="42">
        <v>71326</v>
      </c>
      <c r="G16" s="42">
        <v>66979</v>
      </c>
      <c r="H16" s="41">
        <f>(G16-'2017'!G343)/'2017'!G343</f>
        <v>1.4741084143865709E-2</v>
      </c>
      <c r="I16" s="42">
        <v>67385</v>
      </c>
      <c r="J16" s="42">
        <v>32133</v>
      </c>
      <c r="K16" s="41">
        <f>(J16-'2017'!J343)/'2017'!J343</f>
        <v>-2.1200767613999819E-2</v>
      </c>
      <c r="L16" s="42">
        <v>32268</v>
      </c>
    </row>
    <row r="17" spans="1:12" ht="15.75" thickBot="1" x14ac:dyDescent="0.3">
      <c r="A17" s="109" t="s">
        <v>329</v>
      </c>
      <c r="B17" s="110"/>
      <c r="C17" s="110"/>
      <c r="D17" s="110"/>
      <c r="E17" s="110"/>
      <c r="F17" s="110"/>
      <c r="G17" s="110"/>
      <c r="H17" s="110"/>
      <c r="I17" s="73"/>
      <c r="J17" s="73"/>
      <c r="K17" s="74"/>
      <c r="L17" s="49"/>
    </row>
    <row r="18" spans="1:12" ht="18.75" x14ac:dyDescent="0.3">
      <c r="A18" s="83" t="s">
        <v>330</v>
      </c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108"/>
    </row>
    <row r="19" spans="1:12" ht="45" x14ac:dyDescent="0.25">
      <c r="A19" s="33" t="s">
        <v>2</v>
      </c>
      <c r="B19" s="1" t="s">
        <v>3</v>
      </c>
      <c r="C19" s="1" t="s">
        <v>4</v>
      </c>
      <c r="D19" s="4" t="s">
        <v>78</v>
      </c>
      <c r="E19" s="4" t="s">
        <v>325</v>
      </c>
      <c r="F19" s="4" t="s">
        <v>85</v>
      </c>
      <c r="G19" s="4" t="s">
        <v>79</v>
      </c>
      <c r="H19" s="42" t="s">
        <v>325</v>
      </c>
      <c r="I19" s="4" t="s">
        <v>82</v>
      </c>
      <c r="J19" s="4" t="s">
        <v>80</v>
      </c>
      <c r="K19" s="4" t="s">
        <v>325</v>
      </c>
      <c r="L19" s="72" t="s">
        <v>81</v>
      </c>
    </row>
    <row r="20" spans="1:12" x14ac:dyDescent="0.25">
      <c r="A20" s="33" t="s">
        <v>5</v>
      </c>
      <c r="B20" s="1" t="s">
        <v>6</v>
      </c>
      <c r="C20" s="1" t="s">
        <v>7</v>
      </c>
      <c r="D20" s="42">
        <v>153139</v>
      </c>
      <c r="E20" s="41">
        <f>(D20-'2017'!D330)/'2017'!D330</f>
        <v>-4.5955045955045955E-3</v>
      </c>
      <c r="F20" s="42">
        <v>168634</v>
      </c>
      <c r="G20" s="42">
        <v>110011</v>
      </c>
      <c r="H20" s="41">
        <f>(G20-'2017'!G330)/'2017'!G330</f>
        <v>-8.79382269995585E-3</v>
      </c>
      <c r="I20" s="42">
        <v>112612</v>
      </c>
      <c r="J20" s="42">
        <v>38595</v>
      </c>
      <c r="K20" s="41">
        <f>(J20-'2017'!J330)/'2017'!J330</f>
        <v>1.0816615158975433E-2</v>
      </c>
      <c r="L20" s="42">
        <v>39108</v>
      </c>
    </row>
    <row r="21" spans="1:12" x14ac:dyDescent="0.25">
      <c r="A21" s="33" t="s">
        <v>8</v>
      </c>
      <c r="B21" s="1" t="s">
        <v>9</v>
      </c>
      <c r="C21" s="1" t="s">
        <v>7</v>
      </c>
      <c r="D21" s="42">
        <v>161290</v>
      </c>
      <c r="E21" s="41">
        <f>(D21-'2017'!D331)/'2017'!D331</f>
        <v>0.21613572101790762</v>
      </c>
      <c r="F21" s="42">
        <v>162866</v>
      </c>
      <c r="G21" s="42">
        <v>102040</v>
      </c>
      <c r="H21" s="41">
        <f>(G21-'2017'!G331)/'2017'!G331</f>
        <v>-2.7551438564389932E-2</v>
      </c>
      <c r="I21" s="42">
        <v>104931</v>
      </c>
      <c r="J21" s="42">
        <v>36536</v>
      </c>
      <c r="K21" s="41">
        <f>(J21-'2017'!J331)/'2017'!J331</f>
        <v>0</v>
      </c>
      <c r="L21" s="42">
        <v>36873</v>
      </c>
    </row>
    <row r="22" spans="1:12" x14ac:dyDescent="0.25">
      <c r="A22" s="33" t="s">
        <v>10</v>
      </c>
      <c r="B22" s="1" t="s">
        <v>9</v>
      </c>
      <c r="C22" s="1" t="s">
        <v>11</v>
      </c>
      <c r="D22" s="42">
        <v>63331</v>
      </c>
      <c r="E22" s="41">
        <f>(D22-'2017'!D332)/'2017'!D332</f>
        <v>5.078478360921109E-3</v>
      </c>
      <c r="F22" s="42">
        <v>63613</v>
      </c>
      <c r="G22" s="42">
        <v>57110</v>
      </c>
      <c r="H22" s="41">
        <f>(G22-'2017'!G332)/'2017'!G332</f>
        <v>1.1996526854854429E-2</v>
      </c>
      <c r="I22" s="42">
        <v>57937</v>
      </c>
      <c r="J22" s="42">
        <v>28409</v>
      </c>
      <c r="K22" s="41">
        <f>(J22-'2017'!J332)/'2017'!J332</f>
        <v>0</v>
      </c>
      <c r="L22" s="42">
        <v>28918</v>
      </c>
    </row>
    <row r="23" spans="1:12" x14ac:dyDescent="0.25">
      <c r="A23" s="33" t="s">
        <v>12</v>
      </c>
      <c r="B23" s="1" t="s">
        <v>13</v>
      </c>
      <c r="C23" s="1" t="s">
        <v>7</v>
      </c>
      <c r="D23" s="42">
        <v>148809</v>
      </c>
      <c r="E23" s="41">
        <f>(D23-'2017'!D333)/'2017'!D333</f>
        <v>9.5238796193392164E-2</v>
      </c>
      <c r="F23" s="42">
        <v>154320</v>
      </c>
      <c r="G23" s="42">
        <v>105596</v>
      </c>
      <c r="H23" s="41">
        <f>(G23-'2017'!G333)/'2017'!G333</f>
        <v>-2.3236023236023237E-2</v>
      </c>
      <c r="I23" s="42">
        <v>107181</v>
      </c>
      <c r="J23" s="42">
        <v>36724</v>
      </c>
      <c r="K23" s="41">
        <f>(J23-'2017'!J333)/'2017'!J333</f>
        <v>3.8136747480250615E-4</v>
      </c>
      <c r="L23" s="42">
        <v>37735</v>
      </c>
    </row>
    <row r="24" spans="1:12" x14ac:dyDescent="0.25">
      <c r="A24" s="33" t="s">
        <v>14</v>
      </c>
      <c r="B24" s="1" t="s">
        <v>15</v>
      </c>
      <c r="C24" s="1" t="s">
        <v>7</v>
      </c>
      <c r="D24" s="42">
        <v>129533</v>
      </c>
      <c r="E24" s="41">
        <f>(D24-'2017'!D334)/'2017'!D334</f>
        <v>7.7722625919990039E-3</v>
      </c>
      <c r="F24" s="42">
        <v>136425</v>
      </c>
      <c r="G24" s="42">
        <v>105042</v>
      </c>
      <c r="H24" s="41">
        <f>(G24-'2017'!G334)/'2017'!G334</f>
        <v>1.0578380078337193E-3</v>
      </c>
      <c r="I24" s="42">
        <v>105820</v>
      </c>
      <c r="J24" s="42">
        <v>37721</v>
      </c>
      <c r="K24" s="41">
        <f>(J24-'2017'!J334)/'2017'!J334</f>
        <v>1.3569432502149613E-2</v>
      </c>
      <c r="L24" s="42">
        <v>37950</v>
      </c>
    </row>
    <row r="25" spans="1:12" ht="15.75" thickBot="1" x14ac:dyDescent="0.3">
      <c r="A25" s="109" t="s">
        <v>332</v>
      </c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1"/>
    </row>
    <row r="26" spans="1:12" ht="15.75" thickBot="1" x14ac:dyDescent="0.3">
      <c r="A26" s="15"/>
      <c r="B26" s="13"/>
      <c r="C26" s="21"/>
    </row>
    <row r="27" spans="1:12" ht="18.75" x14ac:dyDescent="0.3">
      <c r="A27" s="83" t="s">
        <v>331</v>
      </c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108"/>
    </row>
    <row r="28" spans="1:12" ht="45" x14ac:dyDescent="0.25">
      <c r="A28" s="33" t="s">
        <v>2</v>
      </c>
      <c r="B28" s="1" t="s">
        <v>3</v>
      </c>
      <c r="C28" s="1" t="s">
        <v>4</v>
      </c>
      <c r="D28" s="4" t="s">
        <v>78</v>
      </c>
      <c r="E28" s="4" t="s">
        <v>325</v>
      </c>
      <c r="F28" s="4" t="s">
        <v>85</v>
      </c>
      <c r="G28" s="4" t="s">
        <v>79</v>
      </c>
      <c r="H28" s="4" t="s">
        <v>325</v>
      </c>
      <c r="I28" s="4" t="s">
        <v>82</v>
      </c>
      <c r="J28" s="4" t="s">
        <v>80</v>
      </c>
      <c r="K28" s="4" t="s">
        <v>325</v>
      </c>
      <c r="L28" s="72" t="s">
        <v>81</v>
      </c>
    </row>
    <row r="29" spans="1:12" x14ac:dyDescent="0.25">
      <c r="A29" s="33" t="s">
        <v>5</v>
      </c>
      <c r="B29" s="1" t="s">
        <v>6</v>
      </c>
      <c r="C29" s="1" t="s">
        <v>7</v>
      </c>
      <c r="D29" s="42">
        <v>149253</v>
      </c>
      <c r="E29" s="41">
        <f>(D29-'2017'!D339)/'2017'!D339</f>
        <v>-2.0900163344026133E-2</v>
      </c>
      <c r="F29" s="42">
        <v>153139</v>
      </c>
      <c r="G29" s="42">
        <v>102459</v>
      </c>
      <c r="H29" s="41">
        <f>(G29-'2017'!G339)/'2017'!G339</f>
        <v>-2.3558338336621208E-2</v>
      </c>
      <c r="I29" s="42">
        <v>103626</v>
      </c>
      <c r="J29" s="42">
        <v>37050</v>
      </c>
      <c r="K29" s="41">
        <f>(J29-'2017'!J339)/'2017'!J339</f>
        <v>3.5100035100035098E-4</v>
      </c>
      <c r="L29" s="42">
        <v>37216</v>
      </c>
    </row>
    <row r="30" spans="1:12" x14ac:dyDescent="0.25">
      <c r="A30" s="33" t="s">
        <v>8</v>
      </c>
      <c r="B30" s="1" t="s">
        <v>9</v>
      </c>
      <c r="C30" s="1" t="s">
        <v>7</v>
      </c>
      <c r="D30" s="42">
        <v>145137</v>
      </c>
      <c r="E30" s="41">
        <f>(D30-'2017'!D340)/'2017'!D340</f>
        <v>-2.9060181368507831E-3</v>
      </c>
      <c r="F30" s="42">
        <v>147928</v>
      </c>
      <c r="G30" s="42">
        <v>92506</v>
      </c>
      <c r="H30" s="41">
        <f>(G30-'2017'!G340)/'2017'!G340</f>
        <v>9.1970439618701378E-4</v>
      </c>
      <c r="I30" s="42">
        <v>94161</v>
      </c>
      <c r="J30" s="42">
        <v>34435</v>
      </c>
      <c r="K30" s="41">
        <f>(J30-'2017'!J340)/'2017'!J340</f>
        <v>3.4385290089460033E-3</v>
      </c>
      <c r="L30" s="42">
        <v>34542</v>
      </c>
    </row>
    <row r="31" spans="1:12" x14ac:dyDescent="0.25">
      <c r="A31" s="33" t="s">
        <v>10</v>
      </c>
      <c r="B31" s="1" t="s">
        <v>9</v>
      </c>
      <c r="C31" s="1" t="s">
        <v>11</v>
      </c>
      <c r="D31" s="42">
        <v>84175</v>
      </c>
      <c r="E31" s="41">
        <f>(D31-'2017'!D341)/'2017'!D341</f>
        <v>5.0506256567007359E-3</v>
      </c>
      <c r="F31" s="42">
        <v>84745</v>
      </c>
      <c r="G31" s="42">
        <v>71839</v>
      </c>
      <c r="H31" s="41">
        <f>(G31-'2017'!G341)/'2017'!G341</f>
        <v>7.2436513574881251E-4</v>
      </c>
      <c r="I31" s="42">
        <v>72150</v>
      </c>
      <c r="J31" s="42">
        <v>32404</v>
      </c>
      <c r="K31" s="41">
        <f>(J31-'2017'!J341)/'2017'!J341</f>
        <v>1.2625000000000001E-2</v>
      </c>
      <c r="L31" s="42">
        <v>32425</v>
      </c>
    </row>
    <row r="32" spans="1:12" x14ac:dyDescent="0.25">
      <c r="A32" s="33" t="s">
        <v>12</v>
      </c>
      <c r="B32" s="1" t="s">
        <v>13</v>
      </c>
      <c r="C32" s="1" t="s">
        <v>11</v>
      </c>
      <c r="D32" s="42">
        <v>75187</v>
      </c>
      <c r="E32" s="41">
        <f>(D32-'2017'!D342)/'2017'!D342</f>
        <v>8.2605838730873925E-3</v>
      </c>
      <c r="F32" s="42">
        <v>75585</v>
      </c>
      <c r="G32" s="42">
        <v>67613</v>
      </c>
      <c r="H32" s="41">
        <f>(G32-'2017'!G342)/'2017'!G342</f>
        <v>3.3835423313793873E-3</v>
      </c>
      <c r="I32" s="42">
        <v>68027</v>
      </c>
      <c r="J32" s="42">
        <v>32154</v>
      </c>
      <c r="K32" s="41">
        <f>(J32-'2017'!J342)/'2017'!J342</f>
        <v>-3.532911863146151E-3</v>
      </c>
      <c r="L32" s="42">
        <v>32425</v>
      </c>
    </row>
    <row r="33" spans="1:12" x14ac:dyDescent="0.25">
      <c r="A33" s="33" t="s">
        <v>14</v>
      </c>
      <c r="B33" s="1" t="s">
        <v>15</v>
      </c>
      <c r="C33" s="1" t="s">
        <v>11</v>
      </c>
      <c r="D33" s="42">
        <v>36900</v>
      </c>
      <c r="E33" s="41">
        <f>(D33-'2017'!D343)/'2017'!D343</f>
        <v>-0.4952051327651541</v>
      </c>
      <c r="F33" s="42">
        <v>72463</v>
      </c>
      <c r="G33" s="42">
        <v>8532</v>
      </c>
      <c r="H33" s="41">
        <f>(G33-'2017'!G343)/'2017'!G343</f>
        <v>-0.87073902372511591</v>
      </c>
      <c r="I33" s="42">
        <v>65703</v>
      </c>
      <c r="J33" s="42">
        <v>7112</v>
      </c>
      <c r="K33" s="41">
        <f>(J33-'2017'!J343)/'2017'!J343</f>
        <v>-0.78336227116269153</v>
      </c>
      <c r="L33" s="42">
        <v>32541</v>
      </c>
    </row>
    <row r="34" spans="1:12" ht="15.75" thickBot="1" x14ac:dyDescent="0.3">
      <c r="A34" s="109" t="s">
        <v>333</v>
      </c>
      <c r="B34" s="110"/>
      <c r="C34" s="110"/>
      <c r="D34" s="110"/>
      <c r="E34" s="110"/>
      <c r="F34" s="110"/>
      <c r="G34" s="110"/>
      <c r="H34" s="110"/>
      <c r="I34" s="73"/>
      <c r="J34" s="73"/>
      <c r="K34" s="74"/>
      <c r="L34" s="49"/>
    </row>
    <row r="35" spans="1:12" ht="18.75" x14ac:dyDescent="0.3">
      <c r="A35" s="83" t="s">
        <v>334</v>
      </c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108"/>
    </row>
    <row r="36" spans="1:12" ht="45" x14ac:dyDescent="0.25">
      <c r="A36" s="33" t="s">
        <v>2</v>
      </c>
      <c r="B36" s="1" t="s">
        <v>3</v>
      </c>
      <c r="C36" s="1" t="s">
        <v>4</v>
      </c>
      <c r="D36" s="4" t="s">
        <v>78</v>
      </c>
      <c r="E36" s="4" t="s">
        <v>325</v>
      </c>
      <c r="F36" s="4" t="s">
        <v>85</v>
      </c>
      <c r="G36" s="4" t="s">
        <v>79</v>
      </c>
      <c r="H36" s="42" t="s">
        <v>325</v>
      </c>
      <c r="I36" s="4" t="s">
        <v>82</v>
      </c>
      <c r="J36" s="4" t="s">
        <v>80</v>
      </c>
      <c r="K36" s="4" t="s">
        <v>325</v>
      </c>
      <c r="L36" s="72" t="s">
        <v>81</v>
      </c>
    </row>
    <row r="37" spans="1:12" x14ac:dyDescent="0.25">
      <c r="A37" s="33" t="s">
        <v>5</v>
      </c>
      <c r="B37" s="1" t="s">
        <v>6</v>
      </c>
      <c r="C37" s="1" t="s">
        <v>7</v>
      </c>
      <c r="D37" s="42">
        <v>159235</v>
      </c>
      <c r="E37" s="41">
        <f>(D37-'2017'!D330)/'2017'!D330</f>
        <v>3.5028535028535028E-2</v>
      </c>
      <c r="F37" s="42">
        <v>170068</v>
      </c>
      <c r="G37" s="42">
        <v>109051</v>
      </c>
      <c r="H37" s="41">
        <f>(G37-'2017'!G330)/'2017'!G330</f>
        <v>-1.7443484372043572E-2</v>
      </c>
      <c r="I37" s="42">
        <v>111982</v>
      </c>
      <c r="J37" s="42">
        <v>38729</v>
      </c>
      <c r="K37" s="41">
        <f>(J37-'2017'!J330)/'2017'!J330</f>
        <v>1.4326122256560683E-2</v>
      </c>
      <c r="L37" s="42">
        <v>38925</v>
      </c>
    </row>
    <row r="38" spans="1:12" x14ac:dyDescent="0.25">
      <c r="A38" s="33" t="s">
        <v>8</v>
      </c>
      <c r="B38" s="1" t="s">
        <v>9</v>
      </c>
      <c r="C38" s="1" t="s">
        <v>7</v>
      </c>
      <c r="D38" s="42">
        <v>158478</v>
      </c>
      <c r="E38" s="41">
        <f>(D38-'2017'!D331)/'2017'!D331</f>
        <v>0.19493308199811499</v>
      </c>
      <c r="F38" s="42">
        <v>165016</v>
      </c>
      <c r="G38" s="42">
        <v>103305</v>
      </c>
      <c r="H38" s="41">
        <f>(G38-'2017'!G331)/'2017'!G331</f>
        <v>-1.5495897303942591E-2</v>
      </c>
      <c r="I38" s="42">
        <v>104493</v>
      </c>
      <c r="J38" s="42">
        <v>36205</v>
      </c>
      <c r="K38" s="41">
        <f>(J38-'2017'!J331)/'2017'!J331</f>
        <v>-9.0595576965185019E-3</v>
      </c>
      <c r="L38" s="42">
        <v>36523</v>
      </c>
    </row>
    <row r="39" spans="1:12" x14ac:dyDescent="0.25">
      <c r="A39" s="33" t="s">
        <v>10</v>
      </c>
      <c r="B39" s="1" t="s">
        <v>9</v>
      </c>
      <c r="C39" s="1" t="s">
        <v>11</v>
      </c>
      <c r="D39" s="42">
        <v>62383</v>
      </c>
      <c r="E39" s="41">
        <f>(D39-'2017'!D332)/'2017'!D332</f>
        <v>-9.9665137833076772E-3</v>
      </c>
      <c r="F39" s="42">
        <v>63572</v>
      </c>
      <c r="G39" s="42">
        <v>55493</v>
      </c>
      <c r="H39" s="41">
        <f>(G39-'2017'!G332)/'2017'!G332</f>
        <v>-1.6656920596105115E-2</v>
      </c>
      <c r="I39" s="42">
        <v>57903</v>
      </c>
      <c r="J39" s="42">
        <v>28409</v>
      </c>
      <c r="K39" s="41">
        <f>(J39-'2017'!J332)/'2017'!J332</f>
        <v>0</v>
      </c>
      <c r="L39" s="42">
        <v>28960</v>
      </c>
    </row>
    <row r="40" spans="1:12" x14ac:dyDescent="0.25">
      <c r="A40" s="33" t="s">
        <v>12</v>
      </c>
      <c r="B40" s="1" t="s">
        <v>13</v>
      </c>
      <c r="C40" s="1" t="s">
        <v>7</v>
      </c>
      <c r="D40" s="42">
        <v>152671</v>
      </c>
      <c r="E40" s="41">
        <f>(D40-'2017'!D333)/'2017'!D333</f>
        <v>0.12366323443905526</v>
      </c>
      <c r="F40" s="42">
        <v>158982</v>
      </c>
      <c r="G40" s="42">
        <v>105485</v>
      </c>
      <c r="H40" s="41">
        <f>(G40-'2017'!G333)/'2017'!G333</f>
        <v>-2.4262774262774262E-2</v>
      </c>
      <c r="I40" s="42">
        <v>106951</v>
      </c>
      <c r="J40" s="42">
        <v>37735</v>
      </c>
      <c r="K40" s="41">
        <f>(J40-'2017'!J333)/'2017'!J333</f>
        <v>2.7921547262326343E-2</v>
      </c>
      <c r="L40" s="42">
        <v>38095</v>
      </c>
    </row>
    <row r="41" spans="1:12" x14ac:dyDescent="0.25">
      <c r="A41" s="33" t="s">
        <v>14</v>
      </c>
      <c r="B41" s="1" t="s">
        <v>15</v>
      </c>
      <c r="C41" s="1" t="s">
        <v>7</v>
      </c>
      <c r="D41" s="42">
        <v>129870</v>
      </c>
      <c r="E41" s="41">
        <f>(D41-'2017'!D334)/'2017'!D334</f>
        <v>1.0394136959870541E-2</v>
      </c>
      <c r="F41" s="42">
        <v>138888</v>
      </c>
      <c r="G41" s="42">
        <v>13280</v>
      </c>
      <c r="H41" s="41">
        <f>(G41-'2017'!G334)/'2017'!G334</f>
        <v>-0.87344064194565951</v>
      </c>
      <c r="I41" s="42">
        <v>80515</v>
      </c>
      <c r="J41" s="42">
        <v>3038</v>
      </c>
      <c r="K41" s="41">
        <f>(J41-'2017'!J334)/'2017'!J334</f>
        <v>-0.91836844368013759</v>
      </c>
      <c r="L41" s="42">
        <v>5701</v>
      </c>
    </row>
    <row r="42" spans="1:12" ht="15.75" thickBot="1" x14ac:dyDescent="0.3">
      <c r="A42" s="109" t="s">
        <v>336</v>
      </c>
      <c r="B42" s="110"/>
      <c r="C42" s="110"/>
      <c r="D42" s="110"/>
      <c r="E42" s="110"/>
      <c r="F42" s="110"/>
      <c r="G42" s="110"/>
      <c r="H42" s="110"/>
      <c r="I42" s="110"/>
      <c r="J42" s="110"/>
      <c r="K42" s="110"/>
      <c r="L42" s="111"/>
    </row>
    <row r="43" spans="1:12" ht="15.75" thickBot="1" x14ac:dyDescent="0.3">
      <c r="A43" s="15"/>
      <c r="B43" s="13"/>
      <c r="C43" s="21"/>
    </row>
    <row r="44" spans="1:12" ht="18.75" x14ac:dyDescent="0.3">
      <c r="A44" s="83" t="s">
        <v>335</v>
      </c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108"/>
    </row>
    <row r="45" spans="1:12" ht="45" x14ac:dyDescent="0.25">
      <c r="A45" s="33" t="s">
        <v>2</v>
      </c>
      <c r="B45" s="1" t="s">
        <v>3</v>
      </c>
      <c r="C45" s="1" t="s">
        <v>4</v>
      </c>
      <c r="D45" s="4" t="s">
        <v>78</v>
      </c>
      <c r="E45" s="4" t="s">
        <v>325</v>
      </c>
      <c r="F45" s="4" t="s">
        <v>85</v>
      </c>
      <c r="G45" s="4" t="s">
        <v>79</v>
      </c>
      <c r="H45" s="4" t="s">
        <v>325</v>
      </c>
      <c r="I45" s="4" t="s">
        <v>82</v>
      </c>
      <c r="J45" s="4" t="s">
        <v>80</v>
      </c>
      <c r="K45" s="4" t="s">
        <v>325</v>
      </c>
      <c r="L45" s="72" t="s">
        <v>81</v>
      </c>
    </row>
    <row r="46" spans="1:12" x14ac:dyDescent="0.25">
      <c r="A46" s="33" t="s">
        <v>5</v>
      </c>
      <c r="B46" s="1" t="s">
        <v>6</v>
      </c>
      <c r="C46" s="1" t="s">
        <v>7</v>
      </c>
      <c r="D46" s="42">
        <v>146842</v>
      </c>
      <c r="E46" s="41">
        <f>(D46-'2017'!D339)/'2017'!D339</f>
        <v>-3.6716325874612141E-2</v>
      </c>
      <c r="F46" s="42">
        <v>149253</v>
      </c>
      <c r="G46" s="42">
        <v>101214</v>
      </c>
      <c r="H46" s="41">
        <f>(G46-'2017'!G339)/'2017'!G339</f>
        <v>-3.5423278154215629E-2</v>
      </c>
      <c r="I46" s="42">
        <v>101214</v>
      </c>
      <c r="J46" s="42">
        <v>36697</v>
      </c>
      <c r="K46" s="41">
        <f>(J46-'2017'!J339)/'2017'!J339</f>
        <v>-9.1800091800091806E-3</v>
      </c>
      <c r="L46" s="42">
        <v>37050</v>
      </c>
    </row>
    <row r="47" spans="1:12" x14ac:dyDescent="0.25">
      <c r="A47" s="33" t="s">
        <v>8</v>
      </c>
      <c r="B47" s="1" t="s">
        <v>9</v>
      </c>
      <c r="C47" s="1" t="s">
        <v>7</v>
      </c>
      <c r="D47" s="42">
        <v>142653</v>
      </c>
      <c r="E47" s="41">
        <f>(D47-'2017'!D340)/'2017'!D340</f>
        <v>-1.9971145919208573E-2</v>
      </c>
      <c r="F47" s="42">
        <v>146842</v>
      </c>
      <c r="G47" s="42">
        <v>91659</v>
      </c>
      <c r="H47" s="41">
        <f>(G47-'2017'!G340)/'2017'!G340</f>
        <v>-8.2448794105235822E-3</v>
      </c>
      <c r="I47" s="42">
        <v>93283</v>
      </c>
      <c r="J47" s="42">
        <v>34153</v>
      </c>
      <c r="K47" s="41">
        <f>(J47-'2017'!J340)/'2017'!J340</f>
        <v>-4.7789725209080045E-3</v>
      </c>
      <c r="L47" s="42">
        <v>34317</v>
      </c>
    </row>
    <row r="48" spans="1:12" x14ac:dyDescent="0.25">
      <c r="A48" s="33" t="s">
        <v>10</v>
      </c>
      <c r="B48" s="1" t="s">
        <v>9</v>
      </c>
      <c r="C48" s="1" t="s">
        <v>11</v>
      </c>
      <c r="D48" s="42">
        <v>83752</v>
      </c>
      <c r="E48" s="41">
        <f>(D48-'2017'!D341)/'2017'!D341</f>
        <v>0</v>
      </c>
      <c r="F48" s="42">
        <v>84175</v>
      </c>
      <c r="G48" s="42">
        <v>68587</v>
      </c>
      <c r="H48" s="41">
        <f>(G48-'2017'!G341)/'2017'!G341</f>
        <v>-4.4576316046080769E-2</v>
      </c>
      <c r="I48" s="42">
        <v>70274</v>
      </c>
      <c r="J48" s="42">
        <v>32268</v>
      </c>
      <c r="K48" s="41">
        <f>(J48-'2017'!J341)/'2017'!J341</f>
        <v>8.3750000000000005E-3</v>
      </c>
      <c r="L48" s="42">
        <v>32562</v>
      </c>
    </row>
    <row r="49" spans="1:12" x14ac:dyDescent="0.25">
      <c r="A49" s="33" t="s">
        <v>12</v>
      </c>
      <c r="B49" s="1" t="s">
        <v>13</v>
      </c>
      <c r="C49" s="1" t="s">
        <v>11</v>
      </c>
      <c r="D49" s="42">
        <v>73260</v>
      </c>
      <c r="E49" s="41">
        <f>(D49-'2017'!D342)/'2017'!D342</f>
        <v>-1.7580560807820736E-2</v>
      </c>
      <c r="F49" s="42">
        <v>74183</v>
      </c>
      <c r="G49" s="42">
        <v>66666</v>
      </c>
      <c r="H49" s="41">
        <f>(G49-'2017'!G342)/'2017'!G342</f>
        <v>-1.0670030422200787E-2</v>
      </c>
      <c r="I49" s="42">
        <v>67385</v>
      </c>
      <c r="J49" s="42">
        <v>32113</v>
      </c>
      <c r="K49" s="41">
        <f>(J49-'2017'!J342)/'2017'!J342</f>
        <v>-4.80352051568117E-3</v>
      </c>
      <c r="L49" s="42">
        <v>32154</v>
      </c>
    </row>
    <row r="50" spans="1:12" x14ac:dyDescent="0.25">
      <c r="A50" s="33" t="s">
        <v>14</v>
      </c>
      <c r="B50" s="1" t="s">
        <v>15</v>
      </c>
      <c r="C50" s="1" t="s">
        <v>11</v>
      </c>
      <c r="D50" s="42">
        <v>71839</v>
      </c>
      <c r="E50" s="41">
        <f>(D50-'2017'!D343)/'2017'!D343</f>
        <v>-1.7236897905580105E-2</v>
      </c>
      <c r="F50" s="42">
        <v>72568</v>
      </c>
      <c r="G50" s="42">
        <v>65231</v>
      </c>
      <c r="H50" s="41">
        <f>(G50-'2017'!G343)/'2017'!G343</f>
        <v>-1.1741356846347301E-2</v>
      </c>
      <c r="I50" s="42">
        <v>67704</v>
      </c>
      <c r="J50" s="42">
        <v>32268</v>
      </c>
      <c r="K50" s="41">
        <f>(J50-'2017'!J343)/'2017'!J343</f>
        <v>-1.7088549757836059E-2</v>
      </c>
      <c r="L50" s="42">
        <v>32743</v>
      </c>
    </row>
    <row r="51" spans="1:12" ht="15.75" thickBot="1" x14ac:dyDescent="0.3">
      <c r="A51" s="109" t="s">
        <v>337</v>
      </c>
      <c r="B51" s="110"/>
      <c r="C51" s="110"/>
      <c r="D51" s="110"/>
      <c r="E51" s="110"/>
      <c r="F51" s="110"/>
      <c r="G51" s="110"/>
      <c r="H51" s="110"/>
      <c r="I51" s="73"/>
      <c r="J51" s="73"/>
      <c r="K51" s="74"/>
      <c r="L51" s="49"/>
    </row>
    <row r="52" spans="1:12" ht="18.75" x14ac:dyDescent="0.3">
      <c r="A52" s="83" t="s">
        <v>339</v>
      </c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108"/>
    </row>
    <row r="53" spans="1:12" ht="45" x14ac:dyDescent="0.25">
      <c r="A53" s="33" t="s">
        <v>2</v>
      </c>
      <c r="B53" s="1" t="s">
        <v>3</v>
      </c>
      <c r="C53" s="1" t="s">
        <v>4</v>
      </c>
      <c r="D53" s="4" t="s">
        <v>78</v>
      </c>
      <c r="E53" s="4" t="s">
        <v>325</v>
      </c>
      <c r="F53" s="4" t="s">
        <v>85</v>
      </c>
      <c r="G53" s="4" t="s">
        <v>79</v>
      </c>
      <c r="H53" s="42" t="s">
        <v>325</v>
      </c>
      <c r="I53" s="4" t="s">
        <v>82</v>
      </c>
      <c r="J53" s="4" t="s">
        <v>80</v>
      </c>
      <c r="K53" s="4" t="s">
        <v>325</v>
      </c>
      <c r="L53" s="72" t="s">
        <v>81</v>
      </c>
    </row>
    <row r="54" spans="1:12" x14ac:dyDescent="0.25">
      <c r="A54" s="33" t="s">
        <v>5</v>
      </c>
      <c r="B54" s="1" t="s">
        <v>6</v>
      </c>
      <c r="C54" s="1" t="s">
        <v>7</v>
      </c>
      <c r="D54" s="42">
        <v>168918</v>
      </c>
      <c r="E54" s="41">
        <f>(D54-'2017'!D330)/'2017'!D330</f>
        <v>9.7968097968097967E-2</v>
      </c>
      <c r="F54" s="42">
        <v>170648</v>
      </c>
      <c r="G54" s="42">
        <v>103842</v>
      </c>
      <c r="H54" s="41">
        <f>(G54-'2017'!G330)/'2017'!G330</f>
        <v>-6.4376909007361219E-2</v>
      </c>
      <c r="I54" s="42">
        <v>106269</v>
      </c>
      <c r="J54" s="42">
        <v>38744</v>
      </c>
      <c r="K54" s="41">
        <f>(J54-'2017'!J330)/'2017'!J330</f>
        <v>1.4718977528678436E-2</v>
      </c>
      <c r="L54" s="42">
        <v>38774</v>
      </c>
    </row>
    <row r="55" spans="1:12" x14ac:dyDescent="0.25">
      <c r="A55" s="33" t="s">
        <v>8</v>
      </c>
      <c r="B55" s="1" t="s">
        <v>9</v>
      </c>
      <c r="C55" s="1" t="s">
        <v>7</v>
      </c>
      <c r="D55" s="42">
        <v>163398</v>
      </c>
      <c r="E55" s="41">
        <f>(D55-'2017'!D331)/'2017'!D331</f>
        <v>0.23203016022620171</v>
      </c>
      <c r="F55" s="42">
        <v>167504</v>
      </c>
      <c r="G55" s="42">
        <v>95057</v>
      </c>
      <c r="H55" s="41">
        <f>(G55-'2017'!G331)/'2017'!G331</f>
        <v>-9.4099932336487793E-2</v>
      </c>
      <c r="I55" s="42">
        <v>96805</v>
      </c>
      <c r="J55" s="42">
        <v>36023</v>
      </c>
      <c r="K55" s="41">
        <f>(J55-'2017'!J331)/'2017'!J331</f>
        <v>-1.4040945916356471E-2</v>
      </c>
      <c r="L55" s="42">
        <v>36697</v>
      </c>
    </row>
    <row r="56" spans="1:12" x14ac:dyDescent="0.25">
      <c r="A56" s="33" t="s">
        <v>10</v>
      </c>
      <c r="B56" s="1" t="s">
        <v>9</v>
      </c>
      <c r="C56" s="1" t="s">
        <v>11</v>
      </c>
      <c r="D56" s="42">
        <v>63897</v>
      </c>
      <c r="E56" s="41">
        <f>(D56-'2017'!D332)/'2017'!D332</f>
        <v>1.4061036961800321E-2</v>
      </c>
      <c r="F56" s="42">
        <v>65359</v>
      </c>
      <c r="G56" s="42">
        <v>44444</v>
      </c>
      <c r="H56" s="41">
        <f>(G56-'2017'!G332)/'2017'!G332</f>
        <v>-0.21244661811351515</v>
      </c>
      <c r="I56" s="42">
        <v>44662</v>
      </c>
      <c r="J56" s="42">
        <v>26695</v>
      </c>
      <c r="K56" s="41">
        <f>(J56-'2017'!J332)/'2017'!J332</f>
        <v>-6.0332993065577809E-2</v>
      </c>
      <c r="L56" s="42">
        <v>27487</v>
      </c>
    </row>
    <row r="57" spans="1:12" x14ac:dyDescent="0.25">
      <c r="A57" s="33" t="s">
        <v>12</v>
      </c>
      <c r="B57" s="1" t="s">
        <v>13</v>
      </c>
      <c r="C57" s="1" t="s">
        <v>7</v>
      </c>
      <c r="D57" s="42">
        <v>128205</v>
      </c>
      <c r="E57" s="41">
        <f>(D57-'2017'!D333)/'2017'!D333</f>
        <v>-5.6407274654262561E-2</v>
      </c>
      <c r="F57" s="42">
        <v>158982</v>
      </c>
      <c r="G57" s="42">
        <v>97847</v>
      </c>
      <c r="H57" s="41">
        <f>(G57-'2017'!G333)/'2017'!G333</f>
        <v>-9.4914344914344917E-2</v>
      </c>
      <c r="I57" s="42">
        <v>98814</v>
      </c>
      <c r="J57" s="42">
        <v>36900</v>
      </c>
      <c r="K57" s="41">
        <f>(J57-'2017'!J333)/'2017'!J333</f>
        <v>5.1757014437482972E-3</v>
      </c>
      <c r="L57" s="42">
        <v>37551</v>
      </c>
    </row>
    <row r="58" spans="1:12" x14ac:dyDescent="0.25">
      <c r="A58" s="33" t="s">
        <v>14</v>
      </c>
      <c r="B58" s="1" t="s">
        <v>15</v>
      </c>
      <c r="C58" s="1" t="s">
        <v>7</v>
      </c>
      <c r="D58" s="42">
        <v>133333</v>
      </c>
      <c r="E58" s="41">
        <f>(D58-'2017'!D334)/'2017'!D334</f>
        <v>3.7336424603606831E-2</v>
      </c>
      <c r="F58" s="42">
        <v>138312</v>
      </c>
      <c r="G58" s="42">
        <v>93023</v>
      </c>
      <c r="H58" s="41">
        <f>(G58-'2017'!G334)/'2017'!G334</f>
        <v>-0.11348409907463</v>
      </c>
      <c r="I58" s="42">
        <v>95238</v>
      </c>
      <c r="J58" s="42">
        <v>37257</v>
      </c>
      <c r="K58" s="41">
        <f>(J58-'2017'!J334)/'2017'!J334</f>
        <v>1.1016766981943251E-3</v>
      </c>
      <c r="L58" s="42">
        <v>37721</v>
      </c>
    </row>
    <row r="59" spans="1:12" ht="15.75" thickBot="1" x14ac:dyDescent="0.3">
      <c r="A59" s="109" t="s">
        <v>338</v>
      </c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1"/>
    </row>
    <row r="60" spans="1:12" ht="15.75" thickBot="1" x14ac:dyDescent="0.3">
      <c r="A60" s="15"/>
      <c r="B60" s="13"/>
      <c r="C60" s="21"/>
    </row>
    <row r="61" spans="1:12" ht="18.75" x14ac:dyDescent="0.3">
      <c r="A61" s="83" t="s">
        <v>340</v>
      </c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108"/>
    </row>
    <row r="62" spans="1:12" ht="45" x14ac:dyDescent="0.25">
      <c r="A62" s="33" t="s">
        <v>2</v>
      </c>
      <c r="B62" s="1" t="s">
        <v>3</v>
      </c>
      <c r="C62" s="1" t="s">
        <v>4</v>
      </c>
      <c r="D62" s="4" t="s">
        <v>78</v>
      </c>
      <c r="E62" s="4" t="s">
        <v>325</v>
      </c>
      <c r="F62" s="4" t="s">
        <v>85</v>
      </c>
      <c r="G62" s="4" t="s">
        <v>79</v>
      </c>
      <c r="H62" s="4" t="s">
        <v>325</v>
      </c>
      <c r="I62" s="4" t="s">
        <v>82</v>
      </c>
      <c r="J62" s="4" t="s">
        <v>80</v>
      </c>
      <c r="K62" s="4" t="s">
        <v>325</v>
      </c>
      <c r="L62" s="72" t="s">
        <v>81</v>
      </c>
    </row>
    <row r="63" spans="1:12" x14ac:dyDescent="0.25">
      <c r="A63" s="33" t="s">
        <v>5</v>
      </c>
      <c r="B63" s="1" t="s">
        <v>6</v>
      </c>
      <c r="C63" s="1" t="s">
        <v>7</v>
      </c>
      <c r="D63" s="42">
        <v>149253</v>
      </c>
      <c r="E63" s="41">
        <f>(D63-'2017'!D339)/'2017'!D339</f>
        <v>-2.0900163344026133E-2</v>
      </c>
      <c r="F63" s="42">
        <v>151285</v>
      </c>
      <c r="G63" s="42">
        <v>93283</v>
      </c>
      <c r="H63" s="41">
        <f>(G63-'2017'!G339)/'2017'!G339</f>
        <v>-0.11100628031754201</v>
      </c>
      <c r="I63" s="42">
        <v>93720</v>
      </c>
      <c r="J63" s="42">
        <v>36859</v>
      </c>
      <c r="K63" s="41">
        <f>(J63-'2017'!J339)/'2017'!J339</f>
        <v>-4.8060048060048063E-3</v>
      </c>
      <c r="L63" s="42">
        <v>37397</v>
      </c>
    </row>
    <row r="64" spans="1:12" x14ac:dyDescent="0.25">
      <c r="A64" s="33" t="s">
        <v>8</v>
      </c>
      <c r="B64" s="1" t="s">
        <v>9</v>
      </c>
      <c r="C64" s="1" t="s">
        <v>7</v>
      </c>
      <c r="D64" s="42">
        <v>143266</v>
      </c>
      <c r="E64" s="41">
        <f>(D64-'2017'!D340)/'2017'!D340</f>
        <v>-1.5759824127507559E-2</v>
      </c>
      <c r="F64" s="42">
        <v>146842</v>
      </c>
      <c r="G64" s="42">
        <v>79428</v>
      </c>
      <c r="H64" s="41">
        <f>(G64-'2017'!G340)/'2017'!G340</f>
        <v>-0.14058493199597494</v>
      </c>
      <c r="I64" s="42">
        <v>81234</v>
      </c>
      <c r="J64" s="42">
        <v>34602</v>
      </c>
      <c r="K64" s="41">
        <f>(J64-'2017'!J340)/'2017'!J340</f>
        <v>8.3049217588950092E-3</v>
      </c>
      <c r="L64" s="42">
        <v>34710</v>
      </c>
    </row>
    <row r="65" spans="1:12" x14ac:dyDescent="0.25">
      <c r="A65" s="33" t="s">
        <v>10</v>
      </c>
      <c r="B65" s="1" t="s">
        <v>9</v>
      </c>
      <c r="C65" s="1" t="s">
        <v>11</v>
      </c>
      <c r="D65" s="42">
        <v>82236</v>
      </c>
      <c r="E65" s="41">
        <f>(D65-'2017'!D341)/'2017'!D341</f>
        <v>-1.8101060273187506E-2</v>
      </c>
      <c r="F65" s="42">
        <v>86281</v>
      </c>
      <c r="G65" s="42">
        <v>53219</v>
      </c>
      <c r="H65" s="41">
        <f>(G65-'2017'!G341)/'2017'!G341</f>
        <v>-0.25865407385738365</v>
      </c>
      <c r="I65" s="42">
        <v>54406</v>
      </c>
      <c r="J65" s="42">
        <v>32154</v>
      </c>
      <c r="K65" s="41">
        <f>(J65-'2017'!J341)/'2017'!J341</f>
        <v>4.8124999999999999E-3</v>
      </c>
      <c r="L65" s="42">
        <v>32583</v>
      </c>
    </row>
    <row r="66" spans="1:12" x14ac:dyDescent="0.25">
      <c r="A66" s="33" t="s">
        <v>12</v>
      </c>
      <c r="B66" s="1" t="s">
        <v>13</v>
      </c>
      <c r="C66" s="1" t="s">
        <v>11</v>
      </c>
      <c r="D66" s="42">
        <v>73421</v>
      </c>
      <c r="E66" s="41">
        <f>(D66-'2017'!D342)/'2017'!D342</f>
        <v>-1.5421544568263803E-2</v>
      </c>
      <c r="F66" s="42">
        <v>74460</v>
      </c>
      <c r="G66" s="42">
        <v>53361</v>
      </c>
      <c r="H66" s="41">
        <f>(G66-'2017'!G342)/'2017'!G342</f>
        <v>-0.2081175335757216</v>
      </c>
      <c r="I66" s="42">
        <v>53734</v>
      </c>
      <c r="J66" s="42">
        <v>32113</v>
      </c>
      <c r="K66" s="41">
        <f>(J66-'2017'!J342)/'2017'!J342</f>
        <v>-4.80352051568117E-3</v>
      </c>
      <c r="L66" s="42">
        <v>32268</v>
      </c>
    </row>
    <row r="67" spans="1:12" x14ac:dyDescent="0.25">
      <c r="A67" s="33" t="s">
        <v>14</v>
      </c>
      <c r="B67" s="1" t="s">
        <v>15</v>
      </c>
      <c r="C67" s="1" t="s">
        <v>11</v>
      </c>
      <c r="D67" s="42">
        <v>72150</v>
      </c>
      <c r="E67" s="41">
        <f>(D67-'2017'!D343)/'2017'!D343</f>
        <v>-1.2982393739996443E-2</v>
      </c>
      <c r="F67" s="42">
        <v>72463</v>
      </c>
      <c r="G67" s="42">
        <v>51706</v>
      </c>
      <c r="H67" s="41">
        <f>(G67-'2017'!G343)/'2017'!G343</f>
        <v>-0.21664697148744053</v>
      </c>
      <c r="I67" s="42">
        <v>53361</v>
      </c>
      <c r="J67" s="42">
        <v>32446</v>
      </c>
      <c r="K67" s="41">
        <f>(J67-'2017'!J343)/'2017'!J343</f>
        <v>-1.1666514362301624E-2</v>
      </c>
      <c r="L67" s="42">
        <v>32743</v>
      </c>
    </row>
    <row r="68" spans="1:12" ht="15.75" thickBot="1" x14ac:dyDescent="0.3">
      <c r="A68" s="109" t="s">
        <v>341</v>
      </c>
      <c r="B68" s="110"/>
      <c r="C68" s="110"/>
      <c r="D68" s="110"/>
      <c r="E68" s="110"/>
      <c r="F68" s="110"/>
      <c r="G68" s="110"/>
      <c r="H68" s="110"/>
      <c r="I68" s="73"/>
      <c r="J68" s="73"/>
      <c r="K68" s="74"/>
      <c r="L68" s="49"/>
    </row>
    <row r="69" spans="1:12" ht="18.75" x14ac:dyDescent="0.3">
      <c r="A69" s="83" t="s">
        <v>342</v>
      </c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108"/>
    </row>
    <row r="70" spans="1:12" ht="45" x14ac:dyDescent="0.25">
      <c r="A70" s="33" t="s">
        <v>2</v>
      </c>
      <c r="B70" s="1" t="s">
        <v>3</v>
      </c>
      <c r="C70" s="1" t="s">
        <v>4</v>
      </c>
      <c r="D70" s="4" t="s">
        <v>78</v>
      </c>
      <c r="E70" s="4" t="s">
        <v>325</v>
      </c>
      <c r="F70" s="4" t="s">
        <v>85</v>
      </c>
      <c r="G70" s="4" t="s">
        <v>79</v>
      </c>
      <c r="H70" s="42" t="s">
        <v>325</v>
      </c>
      <c r="I70" s="4" t="s">
        <v>82</v>
      </c>
      <c r="J70" s="4" t="s">
        <v>80</v>
      </c>
      <c r="K70" s="4" t="s">
        <v>325</v>
      </c>
      <c r="L70" s="72" t="s">
        <v>81</v>
      </c>
    </row>
    <row r="71" spans="1:12" x14ac:dyDescent="0.25">
      <c r="A71" s="33" t="s">
        <v>5</v>
      </c>
      <c r="B71" s="1" t="s">
        <v>6</v>
      </c>
      <c r="C71" s="1" t="s">
        <v>7</v>
      </c>
      <c r="D71" s="42">
        <v>168350</v>
      </c>
      <c r="E71" s="41">
        <f>(D71-'2017'!D330)/'2017'!D330</f>
        <v>9.4276094276094277E-2</v>
      </c>
      <c r="F71" s="42">
        <v>169204</v>
      </c>
      <c r="G71" s="42">
        <v>107874</v>
      </c>
      <c r="H71" s="41">
        <f>(G71-'2017'!G330)/'2017'!G330</f>
        <v>-2.804832998459279E-2</v>
      </c>
      <c r="I71" s="42">
        <v>111982</v>
      </c>
      <c r="J71" s="42">
        <v>36023</v>
      </c>
      <c r="K71" s="41">
        <f>(J71-'2017'!J330)/'2017'!J330</f>
        <v>-5.6544968833481743E-2</v>
      </c>
      <c r="L71" s="42">
        <v>38431</v>
      </c>
    </row>
    <row r="72" spans="1:12" x14ac:dyDescent="0.25">
      <c r="A72" s="33" t="s">
        <v>8</v>
      </c>
      <c r="B72" s="1" t="s">
        <v>9</v>
      </c>
      <c r="C72" s="1" t="s">
        <v>7</v>
      </c>
      <c r="D72" s="42">
        <v>163666</v>
      </c>
      <c r="E72" s="41">
        <f>(D72-'2017'!D331)/'2017'!D331</f>
        <v>0.23405089538171536</v>
      </c>
      <c r="F72" s="42">
        <v>165837</v>
      </c>
      <c r="G72" s="42">
        <v>98814</v>
      </c>
      <c r="H72" s="41">
        <f>(G72-'2017'!G331)/'2017'!G331</f>
        <v>-5.8295451296566318E-2</v>
      </c>
      <c r="I72" s="42">
        <v>103305</v>
      </c>
      <c r="J72" s="42">
        <v>35855</v>
      </c>
      <c r="K72" s="41">
        <f>(J72-'2017'!J331)/'2017'!J331</f>
        <v>-1.8639150426976132E-2</v>
      </c>
      <c r="L72" s="42">
        <v>35997</v>
      </c>
    </row>
    <row r="73" spans="1:12" x14ac:dyDescent="0.25">
      <c r="A73" s="33" t="s">
        <v>10</v>
      </c>
      <c r="B73" s="1" t="s">
        <v>9</v>
      </c>
      <c r="C73" s="1" t="s">
        <v>11</v>
      </c>
      <c r="D73" s="42">
        <v>63572</v>
      </c>
      <c r="E73" s="41">
        <f>(D73-'2017'!D332)/'2017'!D332</f>
        <v>8.90320737648982E-3</v>
      </c>
      <c r="F73" s="42">
        <v>64516</v>
      </c>
      <c r="G73" s="42">
        <v>55897</v>
      </c>
      <c r="H73" s="41">
        <f>(G73-'2017'!G332)/'2017'!G332</f>
        <v>-9.497988765438661E-3</v>
      </c>
      <c r="I73" s="42">
        <v>58072</v>
      </c>
      <c r="J73" s="42">
        <v>28176</v>
      </c>
      <c r="K73" s="41">
        <f>(J73-'2017'!J332)/'2017'!J332</f>
        <v>-8.2016262452039839E-3</v>
      </c>
      <c r="L73" s="42">
        <v>28587</v>
      </c>
    </row>
    <row r="74" spans="1:12" x14ac:dyDescent="0.25">
      <c r="A74" s="33" t="s">
        <v>12</v>
      </c>
      <c r="B74" s="1" t="s">
        <v>13</v>
      </c>
      <c r="C74" s="1" t="s">
        <v>7</v>
      </c>
      <c r="D74" s="42">
        <v>138312</v>
      </c>
      <c r="E74" s="41">
        <f>(D74-'2017'!D333)/'2017'!D333</f>
        <v>1.7980554799107963E-2</v>
      </c>
      <c r="F74" s="42">
        <v>147928</v>
      </c>
      <c r="G74" s="42">
        <v>104493</v>
      </c>
      <c r="H74" s="41">
        <f>(G74-'2017'!G333)/'2017'!G333</f>
        <v>-3.343878343878344E-2</v>
      </c>
      <c r="I74" s="42">
        <v>107411</v>
      </c>
      <c r="J74" s="42">
        <v>36710</v>
      </c>
      <c r="K74" s="41">
        <f>(J74-'2017'!J333)/'2017'!J333</f>
        <v>0</v>
      </c>
      <c r="L74" s="42">
        <v>36900</v>
      </c>
    </row>
    <row r="75" spans="1:12" x14ac:dyDescent="0.25">
      <c r="A75" s="33" t="s">
        <v>14</v>
      </c>
      <c r="B75" s="1" t="s">
        <v>15</v>
      </c>
      <c r="C75" s="1" t="s">
        <v>7</v>
      </c>
      <c r="D75" s="42">
        <v>129533</v>
      </c>
      <c r="E75" s="41">
        <f>(D75-'2017'!D334)/'2017'!D334</f>
        <v>7.7722625919990039E-3</v>
      </c>
      <c r="F75" s="42">
        <v>138121</v>
      </c>
      <c r="G75" s="42">
        <v>103842</v>
      </c>
      <c r="H75" s="41">
        <f>(G75-'2017'!G334)/'2017'!G334</f>
        <v>-1.0378248563341625E-2</v>
      </c>
      <c r="I75" s="42">
        <v>106951</v>
      </c>
      <c r="J75" s="42">
        <v>37078</v>
      </c>
      <c r="K75" s="41">
        <f>(J75-'2017'!J334)/'2017'!J334</f>
        <v>-3.7080825451418745E-3</v>
      </c>
      <c r="L75" s="42">
        <v>37950</v>
      </c>
    </row>
    <row r="76" spans="1:12" ht="15.75" thickBot="1" x14ac:dyDescent="0.3">
      <c r="A76" s="109" t="s">
        <v>343</v>
      </c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1"/>
    </row>
    <row r="77" spans="1:12" ht="15.75" thickBot="1" x14ac:dyDescent="0.3">
      <c r="A77" s="15"/>
      <c r="B77" s="13"/>
      <c r="C77" s="21"/>
    </row>
    <row r="78" spans="1:12" ht="18.75" x14ac:dyDescent="0.3">
      <c r="A78" s="83" t="s">
        <v>345</v>
      </c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108"/>
    </row>
    <row r="79" spans="1:12" ht="45" x14ac:dyDescent="0.25">
      <c r="A79" s="33" t="s">
        <v>2</v>
      </c>
      <c r="B79" s="1" t="s">
        <v>3</v>
      </c>
      <c r="C79" s="1" t="s">
        <v>4</v>
      </c>
      <c r="D79" s="4" t="s">
        <v>78</v>
      </c>
      <c r="E79" s="4" t="s">
        <v>325</v>
      </c>
      <c r="F79" s="4" t="s">
        <v>85</v>
      </c>
      <c r="G79" s="4" t="s">
        <v>79</v>
      </c>
      <c r="H79" s="4" t="s">
        <v>325</v>
      </c>
      <c r="I79" s="4" t="s">
        <v>82</v>
      </c>
      <c r="J79" s="4" t="s">
        <v>80</v>
      </c>
      <c r="K79" s="4" t="s">
        <v>325</v>
      </c>
      <c r="L79" s="72" t="s">
        <v>81</v>
      </c>
    </row>
    <row r="80" spans="1:12" x14ac:dyDescent="0.25">
      <c r="A80" s="33" t="s">
        <v>5</v>
      </c>
      <c r="B80" s="1" t="s">
        <v>6</v>
      </c>
      <c r="C80" s="1" t="s">
        <v>7</v>
      </c>
      <c r="D80" s="42">
        <v>145772</v>
      </c>
      <c r="E80" s="41">
        <f>(D80-'2017'!D339)/'2017'!D339</f>
        <v>-4.3735526997684321E-2</v>
      </c>
      <c r="F80" s="42">
        <v>148148</v>
      </c>
      <c r="G80" s="42">
        <v>101626</v>
      </c>
      <c r="H80" s="41">
        <f>(G80-'2017'!G339)/'2017'!G339</f>
        <v>-3.1496888431445429E-2</v>
      </c>
      <c r="I80" s="42">
        <v>102040</v>
      </c>
      <c r="J80" s="42">
        <v>36536</v>
      </c>
      <c r="K80" s="41">
        <f>(J80-'2017'!J339)/'2017'!J339</f>
        <v>-1.3527013527013527E-2</v>
      </c>
      <c r="L80" s="42">
        <v>36710</v>
      </c>
    </row>
    <row r="81" spans="1:12" x14ac:dyDescent="0.25">
      <c r="A81" s="33" t="s">
        <v>8</v>
      </c>
      <c r="B81" s="1" t="s">
        <v>9</v>
      </c>
      <c r="C81" s="1" t="s">
        <v>7</v>
      </c>
      <c r="D81" s="42">
        <v>142450</v>
      </c>
      <c r="E81" s="41">
        <f>(D81-'2017'!D340)/'2017'!D340</f>
        <v>-2.1365759824127507E-2</v>
      </c>
      <c r="F81" s="42">
        <v>143266</v>
      </c>
      <c r="G81" s="42">
        <v>92850</v>
      </c>
      <c r="H81" s="41">
        <f>(G81-'2017'!G340)/'2017'!G340</f>
        <v>4.641802187814458E-3</v>
      </c>
      <c r="I81" s="42">
        <v>92936</v>
      </c>
      <c r="J81" s="42">
        <v>34317</v>
      </c>
      <c r="K81" s="41">
        <f>(J81-'2017'!J340)/'2017'!J340</f>
        <v>0</v>
      </c>
      <c r="L81" s="42">
        <v>34435</v>
      </c>
    </row>
    <row r="82" spans="1:12" x14ac:dyDescent="0.25">
      <c r="A82" s="33" t="s">
        <v>10</v>
      </c>
      <c r="B82" s="1" t="s">
        <v>9</v>
      </c>
      <c r="C82" s="1" t="s">
        <v>11</v>
      </c>
      <c r="D82" s="42">
        <v>83472</v>
      </c>
      <c r="E82" s="41">
        <f>(D82-'2017'!D341)/'2017'!D341</f>
        <v>-3.3432037443881938E-3</v>
      </c>
      <c r="F82" s="42">
        <v>85251</v>
      </c>
      <c r="G82" s="42">
        <v>69589</v>
      </c>
      <c r="H82" s="41">
        <f>(G82-'2017'!G341)/'2017'!G341</f>
        <v>-3.0618357084151726E-2</v>
      </c>
      <c r="I82" s="42">
        <v>71275</v>
      </c>
      <c r="J82" s="42">
        <v>32154</v>
      </c>
      <c r="K82" s="41">
        <f>(J82-'2017'!J341)/'2017'!J341</f>
        <v>4.8124999999999999E-3</v>
      </c>
      <c r="L82" s="42">
        <v>32310</v>
      </c>
    </row>
    <row r="83" spans="1:12" x14ac:dyDescent="0.25">
      <c r="A83" s="33" t="s">
        <v>12</v>
      </c>
      <c r="B83" s="1" t="s">
        <v>13</v>
      </c>
      <c r="C83" s="1" t="s">
        <v>11</v>
      </c>
      <c r="D83" s="42">
        <v>71839</v>
      </c>
      <c r="E83" s="41">
        <f>(D83-'2017'!D342)/'2017'!D342</f>
        <v>-3.6636225878692787E-2</v>
      </c>
      <c r="F83" s="42">
        <v>71994</v>
      </c>
      <c r="G83" s="42">
        <v>65061</v>
      </c>
      <c r="H83" s="41">
        <f>(G83-'2017'!G342)/'2017'!G342</f>
        <v>-3.4488387623358312E-2</v>
      </c>
      <c r="I83" s="42">
        <v>65919</v>
      </c>
      <c r="J83" s="42">
        <v>32000</v>
      </c>
      <c r="K83" s="41">
        <f>(J83-'2017'!J342)/'2017'!J342</f>
        <v>-8.3054419238874425E-3</v>
      </c>
      <c r="L83" s="42">
        <v>32310</v>
      </c>
    </row>
    <row r="84" spans="1:12" x14ac:dyDescent="0.25">
      <c r="A84" s="33" t="s">
        <v>14</v>
      </c>
      <c r="B84" s="1" t="s">
        <v>15</v>
      </c>
      <c r="C84" s="1" t="s">
        <v>11</v>
      </c>
      <c r="D84" s="42">
        <v>70077</v>
      </c>
      <c r="E84" s="41">
        <f>(D84-'2017'!D343)/'2017'!D343</f>
        <v>-4.1341194817986565E-2</v>
      </c>
      <c r="F84" s="42">
        <v>70771</v>
      </c>
      <c r="G84" s="42">
        <v>64432</v>
      </c>
      <c r="H84" s="41">
        <f>(G84-'2017'!G343)/'2017'!G343</f>
        <v>-2.3846317001484714E-2</v>
      </c>
      <c r="I84" s="42">
        <v>65019</v>
      </c>
      <c r="J84" s="42">
        <v>31826</v>
      </c>
      <c r="K84" s="41">
        <f>(J84-'2017'!J343)/'2017'!J343</f>
        <v>-3.0552255627646289E-2</v>
      </c>
      <c r="L84" s="42">
        <v>32289</v>
      </c>
    </row>
    <row r="85" spans="1:12" ht="15.75" thickBot="1" x14ac:dyDescent="0.3">
      <c r="A85" s="109" t="s">
        <v>344</v>
      </c>
      <c r="B85" s="110"/>
      <c r="C85" s="110"/>
      <c r="D85" s="110"/>
      <c r="E85" s="110"/>
      <c r="F85" s="110"/>
      <c r="G85" s="110"/>
      <c r="H85" s="110"/>
      <c r="I85" s="42"/>
      <c r="J85" s="42"/>
      <c r="K85" s="74"/>
      <c r="L85" s="49"/>
    </row>
    <row r="86" spans="1:12" ht="18.75" x14ac:dyDescent="0.3">
      <c r="A86" s="83" t="s">
        <v>347</v>
      </c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108"/>
    </row>
    <row r="87" spans="1:12" ht="45" x14ac:dyDescent="0.25">
      <c r="A87" s="33" t="s">
        <v>2</v>
      </c>
      <c r="B87" s="1" t="s">
        <v>3</v>
      </c>
      <c r="C87" s="1" t="s">
        <v>4</v>
      </c>
      <c r="D87" s="4" t="s">
        <v>78</v>
      </c>
      <c r="E87" s="4" t="s">
        <v>325</v>
      </c>
      <c r="F87" s="4" t="s">
        <v>85</v>
      </c>
      <c r="G87" s="4" t="s">
        <v>79</v>
      </c>
      <c r="H87" s="42" t="s">
        <v>325</v>
      </c>
      <c r="I87" s="4" t="s">
        <v>82</v>
      </c>
      <c r="J87" s="4" t="s">
        <v>80</v>
      </c>
      <c r="K87" s="4" t="s">
        <v>325</v>
      </c>
      <c r="L87" s="72" t="s">
        <v>81</v>
      </c>
    </row>
    <row r="88" spans="1:12" x14ac:dyDescent="0.25">
      <c r="A88" s="33" t="s">
        <v>5</v>
      </c>
      <c r="B88" s="1" t="s">
        <v>6</v>
      </c>
      <c r="C88" s="1" t="s">
        <v>7</v>
      </c>
      <c r="D88" s="42">
        <v>155763</v>
      </c>
      <c r="E88" s="41">
        <f>(D88-'2017'!D330)/'2017'!D330</f>
        <v>1.246051246051246E-2</v>
      </c>
      <c r="F88" s="42">
        <v>161030</v>
      </c>
      <c r="G88" s="42">
        <v>110619</v>
      </c>
      <c r="H88" s="41">
        <f>(G88-'2017'!G330)/'2017'!G330</f>
        <v>-3.3157036409669602E-3</v>
      </c>
      <c r="I88" s="42">
        <v>112107</v>
      </c>
      <c r="J88" s="42">
        <v>37735</v>
      </c>
      <c r="K88" s="41">
        <f>(J88-'2017'!J330)/'2017'!J330</f>
        <v>-1.1707087109109005E-2</v>
      </c>
      <c r="L88" s="42">
        <v>38925</v>
      </c>
    </row>
    <row r="89" spans="1:12" x14ac:dyDescent="0.25">
      <c r="A89" s="33" t="s">
        <v>8</v>
      </c>
      <c r="B89" s="1" t="s">
        <v>9</v>
      </c>
      <c r="C89" s="1" t="s">
        <v>7</v>
      </c>
      <c r="D89" s="42">
        <v>154320</v>
      </c>
      <c r="E89" s="41">
        <f>(D89-'2017'!D331)/'2017'!D331</f>
        <v>0.16358152686145147</v>
      </c>
      <c r="F89" s="42">
        <v>161290</v>
      </c>
      <c r="G89" s="42">
        <v>100806</v>
      </c>
      <c r="H89" s="41">
        <f>(G89-'2017'!G331)/'2017'!G331</f>
        <v>-3.9311547588415242E-2</v>
      </c>
      <c r="I89" s="42">
        <v>103199</v>
      </c>
      <c r="J89" s="42">
        <v>36179</v>
      </c>
      <c r="K89" s="41">
        <f>(J89-'2017'!J331)/'2017'!J331</f>
        <v>-9.7711845850667837E-3</v>
      </c>
      <c r="L89" s="42">
        <v>36350</v>
      </c>
    </row>
    <row r="90" spans="1:12" x14ac:dyDescent="0.25">
      <c r="A90" s="33" t="s">
        <v>10</v>
      </c>
      <c r="B90" s="1" t="s">
        <v>9</v>
      </c>
      <c r="C90" s="1" t="s">
        <v>11</v>
      </c>
      <c r="D90" s="42">
        <v>63091</v>
      </c>
      <c r="E90" s="41">
        <f>(D90-'2017'!D332)/'2017'!D332</f>
        <v>1.2696195902302772E-3</v>
      </c>
      <c r="F90" s="42">
        <v>64184</v>
      </c>
      <c r="G90" s="42">
        <v>55279</v>
      </c>
      <c r="H90" s="41">
        <f>(G90-'2017'!G332)/'2017'!G332</f>
        <v>-2.0449028050963089E-2</v>
      </c>
      <c r="I90" s="42">
        <v>55897</v>
      </c>
      <c r="J90" s="42">
        <v>28312</v>
      </c>
      <c r="K90" s="41">
        <f>(J90-'2017'!J332)/'2017'!J332</f>
        <v>-3.4144109261149635E-3</v>
      </c>
      <c r="L90" s="42">
        <v>28587</v>
      </c>
    </row>
    <row r="91" spans="1:12" x14ac:dyDescent="0.25">
      <c r="A91" s="33" t="s">
        <v>12</v>
      </c>
      <c r="B91" s="1" t="s">
        <v>13</v>
      </c>
      <c r="C91" s="1" t="s">
        <v>7</v>
      </c>
      <c r="D91" s="42">
        <v>126262</v>
      </c>
      <c r="E91" s="41">
        <f>(D91-'2017'!D333)/'2017'!D333</f>
        <v>-7.0707814144506845E-2</v>
      </c>
      <c r="F91" s="42">
        <v>148148</v>
      </c>
      <c r="G91" s="42">
        <v>103734</v>
      </c>
      <c r="H91" s="41">
        <f>(G91-'2017'!G333)/'2017'!G333</f>
        <v>-4.0459540459540456E-2</v>
      </c>
      <c r="I91" s="42">
        <v>107874</v>
      </c>
      <c r="J91" s="42">
        <v>36549</v>
      </c>
      <c r="K91" s="41">
        <f>(J91-'2017'!J333)/'2017'!J333</f>
        <v>-4.3857259602288201E-3</v>
      </c>
      <c r="L91" s="42">
        <v>37369</v>
      </c>
    </row>
    <row r="92" spans="1:12" x14ac:dyDescent="0.25">
      <c r="A92" s="33" t="s">
        <v>14</v>
      </c>
      <c r="B92" s="1" t="s">
        <v>15</v>
      </c>
      <c r="C92" s="1" t="s">
        <v>7</v>
      </c>
      <c r="D92" s="42">
        <v>135501</v>
      </c>
      <c r="E92" s="41">
        <f>(D92-'2017'!D334)/'2017'!D334</f>
        <v>5.4203557035492553E-2</v>
      </c>
      <c r="F92" s="42">
        <v>137741</v>
      </c>
      <c r="G92" s="42">
        <v>99403</v>
      </c>
      <c r="H92" s="41">
        <f>(G92-'2017'!G334)/'2017'!G334</f>
        <v>-5.2682238804547747E-2</v>
      </c>
      <c r="I92" s="42">
        <v>102354</v>
      </c>
      <c r="J92" s="42">
        <v>36403</v>
      </c>
      <c r="K92" s="41">
        <f>(J92-'2017'!J334)/'2017'!J334</f>
        <v>-2.1845442820292348E-2</v>
      </c>
      <c r="L92" s="42">
        <v>37593</v>
      </c>
    </row>
    <row r="93" spans="1:12" ht="15.75" thickBot="1" x14ac:dyDescent="0.3">
      <c r="A93" s="109" t="s">
        <v>346</v>
      </c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1"/>
    </row>
    <row r="94" spans="1:12" ht="15.75" thickBot="1" x14ac:dyDescent="0.3">
      <c r="A94" s="15"/>
      <c r="B94" s="13"/>
      <c r="C94" s="21"/>
    </row>
    <row r="95" spans="1:12" ht="18.75" x14ac:dyDescent="0.3">
      <c r="A95" s="83" t="s">
        <v>348</v>
      </c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108"/>
    </row>
    <row r="96" spans="1:12" ht="45" x14ac:dyDescent="0.25">
      <c r="A96" s="33" t="s">
        <v>2</v>
      </c>
      <c r="B96" s="1" t="s">
        <v>3</v>
      </c>
      <c r="C96" s="1" t="s">
        <v>4</v>
      </c>
      <c r="D96" s="4" t="s">
        <v>78</v>
      </c>
      <c r="E96" s="4" t="s">
        <v>325</v>
      </c>
      <c r="F96" s="4" t="s">
        <v>85</v>
      </c>
      <c r="G96" s="4" t="s">
        <v>79</v>
      </c>
      <c r="H96" s="4" t="s">
        <v>325</v>
      </c>
      <c r="I96" s="4" t="s">
        <v>82</v>
      </c>
      <c r="J96" s="4" t="s">
        <v>80</v>
      </c>
      <c r="K96" s="4" t="s">
        <v>325</v>
      </c>
      <c r="L96" s="72" t="s">
        <v>81</v>
      </c>
    </row>
    <row r="97" spans="1:15" x14ac:dyDescent="0.25">
      <c r="A97" s="33" t="s">
        <v>5</v>
      </c>
      <c r="B97" s="1" t="s">
        <v>6</v>
      </c>
      <c r="C97" s="1" t="s">
        <v>7</v>
      </c>
      <c r="D97" s="42">
        <v>150375</v>
      </c>
      <c r="E97" s="41">
        <f>(D97-'2017'!D339)/'2017'!D339</f>
        <v>-1.3539842166374747E-2</v>
      </c>
      <c r="F97" s="42">
        <v>152439</v>
      </c>
      <c r="G97" s="42">
        <v>102459</v>
      </c>
      <c r="H97" s="41">
        <f>(G97-'2017'!G339)/'2017'!G339</f>
        <v>-2.3558338336621208E-2</v>
      </c>
      <c r="I97" s="42">
        <v>102880</v>
      </c>
      <c r="J97" s="42">
        <v>36873</v>
      </c>
      <c r="K97" s="41">
        <f>(J97-'2017'!J339)/'2017'!J339</f>
        <v>-4.428004428004428E-3</v>
      </c>
      <c r="L97" s="42">
        <v>37050</v>
      </c>
    </row>
    <row r="98" spans="1:15" x14ac:dyDescent="0.25">
      <c r="A98" s="33" t="s">
        <v>8</v>
      </c>
      <c r="B98" s="1" t="s">
        <v>9</v>
      </c>
      <c r="C98" s="1" t="s">
        <v>7</v>
      </c>
      <c r="D98" s="42">
        <v>143884</v>
      </c>
      <c r="E98" s="41">
        <f>(D98-'2017'!D340)/'2017'!D340</f>
        <v>-1.1514152239626272E-2</v>
      </c>
      <c r="F98" s="42">
        <v>146198</v>
      </c>
      <c r="G98" s="42">
        <v>92936</v>
      </c>
      <c r="H98" s="41">
        <f>(G98-'2017'!G340)/'2017'!G340</f>
        <v>5.5723266357213192E-3</v>
      </c>
      <c r="I98" s="42">
        <v>94161</v>
      </c>
      <c r="J98" s="42">
        <v>34106</v>
      </c>
      <c r="K98" s="41">
        <f>(J98-'2017'!J340)/'2017'!J340</f>
        <v>-6.1485561092170064E-3</v>
      </c>
      <c r="L98" s="42">
        <v>34435</v>
      </c>
    </row>
    <row r="99" spans="1:15" x14ac:dyDescent="0.25">
      <c r="A99" s="33" t="s">
        <v>10</v>
      </c>
      <c r="B99" s="1" t="s">
        <v>9</v>
      </c>
      <c r="C99" s="1" t="s">
        <v>11</v>
      </c>
      <c r="D99" s="42">
        <v>82644</v>
      </c>
      <c r="E99" s="41">
        <f>(D99-'2017'!D341)/'2017'!D341</f>
        <v>-1.3229534817078996E-2</v>
      </c>
      <c r="F99" s="42">
        <v>84817</v>
      </c>
      <c r="G99" s="42">
        <v>70126</v>
      </c>
      <c r="H99" s="41">
        <f>(G99-'2017'!G341)/'2017'!G341</f>
        <v>-2.3137894047668799E-2</v>
      </c>
      <c r="I99" s="42">
        <v>71275</v>
      </c>
      <c r="J99" s="42">
        <v>32113</v>
      </c>
      <c r="K99" s="41">
        <f>(J99-'2017'!J341)/'2017'!J341</f>
        <v>3.5312500000000001E-3</v>
      </c>
      <c r="L99" s="42">
        <v>32425</v>
      </c>
    </row>
    <row r="100" spans="1:15" x14ac:dyDescent="0.25">
      <c r="A100" s="33" t="s">
        <v>12</v>
      </c>
      <c r="B100" s="1" t="s">
        <v>13</v>
      </c>
      <c r="C100" s="1" t="s">
        <v>11</v>
      </c>
      <c r="D100" s="42">
        <v>73800</v>
      </c>
      <c r="E100" s="41">
        <f>(D100-'2017'!D342)/'2017'!D342</f>
        <v>-1.0339139880114253E-2</v>
      </c>
      <c r="F100" s="42">
        <v>74239</v>
      </c>
      <c r="G100" s="42">
        <v>65832</v>
      </c>
      <c r="H100" s="41">
        <f>(G100-'2017'!G342)/'2017'!G342</f>
        <v>-2.3046672108035914E-2</v>
      </c>
      <c r="I100" s="42">
        <v>66225</v>
      </c>
      <c r="J100" s="42">
        <v>32154</v>
      </c>
      <c r="K100" s="41">
        <f>(J100-'2017'!J342)/'2017'!J342</f>
        <v>-3.532911863146151E-3</v>
      </c>
      <c r="L100" s="42">
        <v>32425</v>
      </c>
    </row>
    <row r="101" spans="1:15" x14ac:dyDescent="0.25">
      <c r="A101" s="33" t="s">
        <v>14</v>
      </c>
      <c r="B101" s="1" t="s">
        <v>15</v>
      </c>
      <c r="C101" s="1" t="s">
        <v>11</v>
      </c>
      <c r="D101" s="42">
        <v>71633</v>
      </c>
      <c r="E101" s="41">
        <f>(D101-'2017'!D343)/'2017'!D343</f>
        <v>-2.0054993912365423E-2</v>
      </c>
      <c r="F101" s="42">
        <v>72463</v>
      </c>
      <c r="G101" s="42">
        <v>64935</v>
      </c>
      <c r="H101" s="41">
        <f>(G101-'2017'!G343)/'2017'!G343</f>
        <v>-1.6225797654758657E-2</v>
      </c>
      <c r="I101" s="42">
        <v>66979</v>
      </c>
      <c r="J101" s="42">
        <v>31525</v>
      </c>
      <c r="K101" s="41">
        <f>(J101-'2017'!J343)/'2017'!J343</f>
        <v>-3.9720978403241035E-2</v>
      </c>
      <c r="L101" s="42">
        <v>32862</v>
      </c>
    </row>
    <row r="102" spans="1:15" ht="15.75" thickBot="1" x14ac:dyDescent="0.3">
      <c r="A102" s="109" t="s">
        <v>349</v>
      </c>
      <c r="B102" s="110"/>
      <c r="C102" s="110"/>
      <c r="D102" s="110"/>
      <c r="E102" s="110"/>
      <c r="F102" s="110"/>
      <c r="G102" s="110"/>
      <c r="H102" s="110"/>
      <c r="I102" s="42"/>
      <c r="J102" s="42"/>
      <c r="K102" s="74"/>
      <c r="L102" s="49"/>
    </row>
    <row r="103" spans="1:15" ht="18.75" x14ac:dyDescent="0.3">
      <c r="A103" s="83" t="s">
        <v>350</v>
      </c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108"/>
    </row>
    <row r="104" spans="1:15" ht="45" x14ac:dyDescent="0.25">
      <c r="A104" s="33" t="s">
        <v>2</v>
      </c>
      <c r="B104" s="1" t="s">
        <v>3</v>
      </c>
      <c r="C104" s="1" t="s">
        <v>4</v>
      </c>
      <c r="D104" s="4" t="s">
        <v>78</v>
      </c>
      <c r="E104" s="4" t="s">
        <v>325</v>
      </c>
      <c r="F104" s="4" t="s">
        <v>85</v>
      </c>
      <c r="G104" s="4" t="s">
        <v>79</v>
      </c>
      <c r="H104" s="42" t="s">
        <v>325</v>
      </c>
      <c r="I104" s="4" t="s">
        <v>82</v>
      </c>
      <c r="J104" s="4" t="s">
        <v>80</v>
      </c>
      <c r="K104" s="4" t="s">
        <v>325</v>
      </c>
      <c r="L104" s="72" t="s">
        <v>81</v>
      </c>
    </row>
    <row r="105" spans="1:15" x14ac:dyDescent="0.25">
      <c r="A105" s="33" t="s">
        <v>5</v>
      </c>
      <c r="B105" s="1" t="s">
        <v>6</v>
      </c>
      <c r="C105" s="1" t="s">
        <v>7</v>
      </c>
      <c r="D105" s="42">
        <v>169491</v>
      </c>
      <c r="E105" s="41">
        <f>(D105-'2017'!D330)/'2017'!D330</f>
        <v>0.10169260169260169</v>
      </c>
      <c r="F105" s="42">
        <v>172413</v>
      </c>
      <c r="G105" s="42">
        <v>109649</v>
      </c>
      <c r="H105" s="41">
        <f>(G105-'2017'!G330)/'2017'!G330</f>
        <v>-1.2055465955472262E-2</v>
      </c>
      <c r="I105" s="42">
        <v>111607</v>
      </c>
      <c r="J105" s="42">
        <v>38565</v>
      </c>
      <c r="K105" s="41">
        <f>(J105-'2017'!J330)/'2017'!J330</f>
        <v>1.0030904614739929E-2</v>
      </c>
      <c r="L105" s="42">
        <v>38774</v>
      </c>
    </row>
    <row r="106" spans="1:15" x14ac:dyDescent="0.25">
      <c r="A106" s="33" t="s">
        <v>8</v>
      </c>
      <c r="B106" s="1" t="s">
        <v>9</v>
      </c>
      <c r="C106" s="1" t="s">
        <v>7</v>
      </c>
      <c r="D106" s="42">
        <v>165016</v>
      </c>
      <c r="E106" s="41">
        <f>(D106-'2017'!D331)/'2017'!D331</f>
        <v>0.24422997172478794</v>
      </c>
      <c r="F106" s="42">
        <v>168067</v>
      </c>
      <c r="G106" s="42">
        <v>103199</v>
      </c>
      <c r="H106" s="41">
        <f>(G106-'2017'!G331)/'2017'!G331</f>
        <v>-1.650608495106308E-2</v>
      </c>
      <c r="I106" s="42">
        <v>104602</v>
      </c>
      <c r="J106" s="42">
        <v>36192</v>
      </c>
      <c r="K106" s="41">
        <f>(J106-'2017'!J331)/'2017'!J331</f>
        <v>-9.4153711407926437E-3</v>
      </c>
      <c r="L106" s="42">
        <v>36616</v>
      </c>
    </row>
    <row r="107" spans="1:15" x14ac:dyDescent="0.25">
      <c r="A107" s="33" t="s">
        <v>10</v>
      </c>
      <c r="B107" s="1" t="s">
        <v>9</v>
      </c>
      <c r="C107" s="1" t="s">
        <v>11</v>
      </c>
      <c r="D107" s="42">
        <v>63856</v>
      </c>
      <c r="E107" s="41">
        <f>(D107-'2017'!D332)/'2017'!D332</f>
        <v>1.3410356921807304E-2</v>
      </c>
      <c r="F107" s="42">
        <v>65019</v>
      </c>
      <c r="G107" s="42">
        <v>55897</v>
      </c>
      <c r="H107" s="41">
        <f>(G107-'2017'!G332)/'2017'!G332</f>
        <v>-9.497988765438661E-3</v>
      </c>
      <c r="I107" s="42">
        <v>58072</v>
      </c>
      <c r="J107" s="42">
        <v>28587</v>
      </c>
      <c r="K107" s="41">
        <f>(J107-'2017'!J332)/'2017'!J332</f>
        <v>6.2656200499841596E-3</v>
      </c>
      <c r="L107" s="42">
        <v>28686</v>
      </c>
    </row>
    <row r="108" spans="1:15" x14ac:dyDescent="0.25">
      <c r="A108" s="33" t="s">
        <v>12</v>
      </c>
      <c r="B108" s="1" t="s">
        <v>13</v>
      </c>
      <c r="C108" s="1" t="s">
        <v>7</v>
      </c>
      <c r="D108" s="42">
        <v>135869</v>
      </c>
      <c r="E108" s="41">
        <f>(D108-'2017'!D333)/'2017'!D333</f>
        <v>0</v>
      </c>
      <c r="F108" s="42">
        <v>155763</v>
      </c>
      <c r="G108" s="42">
        <v>106044</v>
      </c>
      <c r="H108" s="41">
        <f>(G108-'2017'!G333)/'2017'!G333</f>
        <v>-1.9092019092019092E-2</v>
      </c>
      <c r="I108" s="42">
        <v>106951</v>
      </c>
      <c r="J108" s="42">
        <v>36337</v>
      </c>
      <c r="K108" s="41">
        <f>(J108-'2017'!J333)/'2017'!J333</f>
        <v>-1.0160719150095341E-2</v>
      </c>
      <c r="L108" s="42">
        <v>37735</v>
      </c>
      <c r="O108" s="42"/>
    </row>
    <row r="109" spans="1:15" x14ac:dyDescent="0.25">
      <c r="A109" s="33" t="s">
        <v>14</v>
      </c>
      <c r="B109" s="1" t="s">
        <v>15</v>
      </c>
      <c r="C109" s="1" t="s">
        <v>7</v>
      </c>
      <c r="D109" s="42">
        <v>132625</v>
      </c>
      <c r="E109" s="41">
        <f>(D109-'2017'!D334)/'2017'!D334</f>
        <v>3.1828154418286216E-2</v>
      </c>
      <c r="F109" s="42">
        <v>140056</v>
      </c>
      <c r="G109" s="42">
        <v>102354</v>
      </c>
      <c r="H109" s="41">
        <f>(G109-'2017'!G334)/'2017'!G334</f>
        <v>-2.455899591159905E-2</v>
      </c>
      <c r="I109" s="42">
        <v>106269</v>
      </c>
      <c r="J109" s="42">
        <v>37537</v>
      </c>
      <c r="K109" s="41">
        <f>(J109-'2017'!J334)/'2017'!J334</f>
        <v>8.6253224419604469E-3</v>
      </c>
      <c r="L109" s="42">
        <v>37950</v>
      </c>
    </row>
    <row r="110" spans="1:15" ht="15.75" thickBot="1" x14ac:dyDescent="0.3">
      <c r="A110" s="109" t="s">
        <v>351</v>
      </c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1"/>
    </row>
    <row r="111" spans="1:15" ht="15.75" thickBot="1" x14ac:dyDescent="0.3">
      <c r="A111" s="15"/>
      <c r="B111" s="13"/>
      <c r="C111" s="21"/>
    </row>
    <row r="112" spans="1:15" ht="18.75" x14ac:dyDescent="0.3">
      <c r="A112" s="83" t="s">
        <v>352</v>
      </c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108"/>
    </row>
    <row r="113" spans="1:12" ht="45" x14ac:dyDescent="0.25">
      <c r="A113" s="33" t="s">
        <v>2</v>
      </c>
      <c r="B113" s="1" t="s">
        <v>3</v>
      </c>
      <c r="C113" s="1" t="s">
        <v>4</v>
      </c>
      <c r="D113" s="4" t="s">
        <v>78</v>
      </c>
      <c r="E113" s="4" t="s">
        <v>325</v>
      </c>
      <c r="F113" s="4" t="s">
        <v>85</v>
      </c>
      <c r="G113" s="4" t="s">
        <v>79</v>
      </c>
      <c r="H113" s="4" t="s">
        <v>325</v>
      </c>
      <c r="I113" s="4" t="s">
        <v>82</v>
      </c>
      <c r="J113" s="4" t="s">
        <v>80</v>
      </c>
      <c r="K113" s="4" t="s">
        <v>325</v>
      </c>
      <c r="L113" s="72" t="s">
        <v>81</v>
      </c>
    </row>
    <row r="114" spans="1:12" x14ac:dyDescent="0.25">
      <c r="A114" s="33" t="s">
        <v>5</v>
      </c>
      <c r="B114" s="1" t="s">
        <v>6</v>
      </c>
      <c r="C114" s="1" t="s">
        <v>7</v>
      </c>
      <c r="D114" s="42" t="s">
        <v>249</v>
      </c>
      <c r="E114" s="41" t="e">
        <f>(D114-'2017'!D356)/'2017'!D356</f>
        <v>#VALUE!</v>
      </c>
      <c r="F114" s="42" t="s">
        <v>249</v>
      </c>
      <c r="G114" s="42" t="s">
        <v>249</v>
      </c>
      <c r="H114" s="41" t="e">
        <f>(G114-'2017'!G356)/'2017'!G356</f>
        <v>#VALUE!</v>
      </c>
      <c r="I114" s="42" t="s">
        <v>249</v>
      </c>
      <c r="J114" s="42">
        <v>37050</v>
      </c>
      <c r="K114" s="41">
        <f>(J114-'2017'!J339)/'2017'!J339</f>
        <v>3.5100035100035098E-4</v>
      </c>
      <c r="L114" s="42">
        <v>37216</v>
      </c>
    </row>
    <row r="115" spans="1:12" x14ac:dyDescent="0.25">
      <c r="A115" s="33" t="s">
        <v>8</v>
      </c>
      <c r="B115" s="1" t="s">
        <v>9</v>
      </c>
      <c r="C115" s="1" t="s">
        <v>7</v>
      </c>
      <c r="D115" s="42">
        <v>140056</v>
      </c>
      <c r="E115" s="41">
        <f>(D115-'2017'!D340)/'2017'!D349</f>
        <v>-9.125727455109181E-2</v>
      </c>
      <c r="F115" s="42">
        <v>141843</v>
      </c>
      <c r="G115" s="42">
        <v>89847</v>
      </c>
      <c r="H115" s="41">
        <f>(G115-'2017'!G340)/'2017'!G340</f>
        <v>-2.7850813126886746E-2</v>
      </c>
      <c r="I115" s="42">
        <v>92421</v>
      </c>
      <c r="J115" s="42">
        <v>34435</v>
      </c>
      <c r="K115" s="41">
        <f>(J115-'2017'!J340)/'2017'!J340</f>
        <v>3.4385290089460033E-3</v>
      </c>
      <c r="L115" s="42">
        <v>34602</v>
      </c>
    </row>
    <row r="116" spans="1:12" x14ac:dyDescent="0.25">
      <c r="A116" s="33" t="s">
        <v>10</v>
      </c>
      <c r="B116" s="1" t="s">
        <v>9</v>
      </c>
      <c r="C116" s="1" t="s">
        <v>11</v>
      </c>
      <c r="D116" s="42">
        <v>81037</v>
      </c>
      <c r="E116" s="41">
        <f>(D116-'2017'!D341)/'2017'!D350</f>
        <v>-1.8570705481607136E-2</v>
      </c>
      <c r="F116" s="42">
        <v>84459</v>
      </c>
      <c r="G116" s="42">
        <v>70422</v>
      </c>
      <c r="H116" s="41">
        <f>(G116-'2017'!G341)/'2017'!G341</f>
        <v>-1.9014584813406326E-2</v>
      </c>
      <c r="I116" s="42">
        <v>71174</v>
      </c>
      <c r="J116" s="42">
        <v>32268</v>
      </c>
      <c r="K116" s="41">
        <f>(J116-'2017'!J341)/'2017'!J341</f>
        <v>8.3750000000000005E-3</v>
      </c>
      <c r="L116" s="42">
        <v>32310</v>
      </c>
    </row>
    <row r="117" spans="1:12" x14ac:dyDescent="0.25">
      <c r="A117" s="33" t="s">
        <v>12</v>
      </c>
      <c r="B117" s="1" t="s">
        <v>13</v>
      </c>
      <c r="C117" s="1" t="s">
        <v>11</v>
      </c>
      <c r="D117" s="42">
        <v>75244</v>
      </c>
      <c r="E117" s="41">
        <f>(D117-'2017'!D342)/'2017'!D351</f>
        <v>5.0340716139697355E-3</v>
      </c>
      <c r="F117" s="42">
        <v>75930</v>
      </c>
      <c r="G117" s="42">
        <v>67613</v>
      </c>
      <c r="H117" s="41">
        <f>(G117-'2017'!G342)/'2017'!G342</f>
        <v>3.3835423313793873E-3</v>
      </c>
      <c r="I117" s="42">
        <v>67888</v>
      </c>
      <c r="J117" s="42">
        <v>32268</v>
      </c>
      <c r="K117" s="41">
        <f>(J117-'2017'!J342)/'2017'!J342</f>
        <v>0</v>
      </c>
      <c r="L117" s="42">
        <v>32310</v>
      </c>
    </row>
    <row r="118" spans="1:12" x14ac:dyDescent="0.25">
      <c r="A118" s="33" t="s">
        <v>14</v>
      </c>
      <c r="B118" s="1" t="s">
        <v>15</v>
      </c>
      <c r="C118" s="1" t="s">
        <v>11</v>
      </c>
      <c r="D118" s="42">
        <v>72727</v>
      </c>
      <c r="E118" s="41" t="e">
        <f>(D118-'2017'!D343)/'2017'!D352</f>
        <v>#DIV/0!</v>
      </c>
      <c r="F118" s="42">
        <v>73046</v>
      </c>
      <c r="G118" s="42">
        <v>67613</v>
      </c>
      <c r="H118" s="41">
        <f>(G118-'2017'!G343)/'2017'!G343</f>
        <v>2.4346271551071115E-2</v>
      </c>
      <c r="I118" s="42">
        <v>68587</v>
      </c>
      <c r="J118" s="42">
        <v>32541</v>
      </c>
      <c r="K118" s="41">
        <f>(J118-'2017'!J343)/'2017'!J343</f>
        <v>-8.7727314264826831E-3</v>
      </c>
      <c r="L118" s="42">
        <v>32862</v>
      </c>
    </row>
    <row r="119" spans="1:12" ht="15.75" thickBot="1" x14ac:dyDescent="0.3">
      <c r="A119" s="109" t="s">
        <v>353</v>
      </c>
      <c r="B119" s="110"/>
      <c r="C119" s="110"/>
      <c r="D119" s="110"/>
      <c r="E119" s="110"/>
      <c r="F119" s="110"/>
      <c r="G119" s="110"/>
      <c r="H119" s="110"/>
      <c r="I119" s="42"/>
      <c r="J119" s="42"/>
      <c r="K119" s="74"/>
      <c r="L119" s="49"/>
    </row>
    <row r="120" spans="1:12" ht="18.75" x14ac:dyDescent="0.3">
      <c r="A120" s="83" t="s">
        <v>354</v>
      </c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108"/>
    </row>
    <row r="121" spans="1:12" ht="45" x14ac:dyDescent="0.25">
      <c r="A121" s="33" t="s">
        <v>2</v>
      </c>
      <c r="B121" s="1" t="s">
        <v>3</v>
      </c>
      <c r="C121" s="1" t="s">
        <v>4</v>
      </c>
      <c r="D121" s="4" t="s">
        <v>78</v>
      </c>
      <c r="E121" s="4" t="s">
        <v>325</v>
      </c>
      <c r="F121" s="4" t="s">
        <v>85</v>
      </c>
      <c r="G121" s="4" t="s">
        <v>79</v>
      </c>
      <c r="H121" s="42" t="s">
        <v>325</v>
      </c>
      <c r="I121" s="4" t="s">
        <v>82</v>
      </c>
      <c r="J121" s="4" t="s">
        <v>80</v>
      </c>
      <c r="K121" s="4" t="s">
        <v>325</v>
      </c>
      <c r="L121" s="72" t="s">
        <v>81</v>
      </c>
    </row>
    <row r="122" spans="1:12" x14ac:dyDescent="0.25">
      <c r="A122" s="33" t="s">
        <v>5</v>
      </c>
      <c r="B122" s="1" t="s">
        <v>6</v>
      </c>
      <c r="C122" s="1" t="s">
        <v>7</v>
      </c>
      <c r="D122" s="42">
        <v>143678</v>
      </c>
      <c r="E122" s="41">
        <f>(D122-'2017'!D330)/'2017'!D330</f>
        <v>-6.6092066092066096E-2</v>
      </c>
      <c r="F122" s="42">
        <v>160771</v>
      </c>
      <c r="G122" s="42">
        <v>110619</v>
      </c>
      <c r="H122" s="41">
        <f>(G122-'2017'!G330)/'2017'!G330</f>
        <v>-3.3157036409669602E-3</v>
      </c>
      <c r="I122" s="42">
        <v>111982</v>
      </c>
      <c r="J122" s="42">
        <v>38372</v>
      </c>
      <c r="K122" s="41">
        <f>(J122-'2017'!J330)/'2017'!J330</f>
        <v>4.9761667801581895E-3</v>
      </c>
      <c r="L122" s="42">
        <v>38402</v>
      </c>
    </row>
    <row r="123" spans="1:12" x14ac:dyDescent="0.25">
      <c r="A123" s="33" t="s">
        <v>8</v>
      </c>
      <c r="B123" s="1" t="s">
        <v>9</v>
      </c>
      <c r="C123" s="1" t="s">
        <v>7</v>
      </c>
      <c r="D123" s="42">
        <v>155520</v>
      </c>
      <c r="E123" s="41">
        <f>(D123-'2017'!D331)/'2017'!D331</f>
        <v>0.17262959472196041</v>
      </c>
      <c r="F123" s="42">
        <v>159235</v>
      </c>
      <c r="G123" s="42">
        <v>101214</v>
      </c>
      <c r="H123" s="41">
        <f>(G123-'2017'!G331)/'2017'!G331</f>
        <v>-3.5423278154215629E-2</v>
      </c>
      <c r="I123" s="42">
        <v>103199</v>
      </c>
      <c r="J123" s="42">
        <v>35752</v>
      </c>
      <c r="K123" s="41">
        <f>(J123-'2017'!J331)/'2017'!J331</f>
        <v>-2.1458287716225093E-2</v>
      </c>
      <c r="L123" s="42">
        <v>36205</v>
      </c>
    </row>
    <row r="124" spans="1:12" x14ac:dyDescent="0.25">
      <c r="A124" s="33" t="s">
        <v>10</v>
      </c>
      <c r="B124" s="1" t="s">
        <v>9</v>
      </c>
      <c r="C124" s="1" t="s">
        <v>11</v>
      </c>
      <c r="D124" s="42">
        <v>63011</v>
      </c>
      <c r="E124" s="41">
        <f>(D124-'2017'!D332)/'2017'!D332</f>
        <v>0</v>
      </c>
      <c r="F124" s="42">
        <v>63572</v>
      </c>
      <c r="G124" s="42">
        <v>55834</v>
      </c>
      <c r="H124" s="41">
        <f>(G124-'2017'!G332)/'2017'!G332</f>
        <v>-1.0614356847943578E-2</v>
      </c>
      <c r="I124" s="42">
        <v>57537</v>
      </c>
      <c r="J124" s="42">
        <v>28587</v>
      </c>
      <c r="K124" s="41">
        <f>(J124-'2017'!J332)/'2017'!J332</f>
        <v>6.2656200499841596E-3</v>
      </c>
      <c r="L124" s="42">
        <v>28587</v>
      </c>
    </row>
    <row r="125" spans="1:12" x14ac:dyDescent="0.25">
      <c r="A125" s="33" t="s">
        <v>12</v>
      </c>
      <c r="B125" s="1" t="s">
        <v>13</v>
      </c>
      <c r="C125" s="1" t="s">
        <v>7</v>
      </c>
      <c r="D125" s="42">
        <v>145348</v>
      </c>
      <c r="E125" s="41">
        <f>(D125-'2017'!D333)/'2017'!D333</f>
        <v>6.9765730225437736E-2</v>
      </c>
      <c r="F125" s="42">
        <v>154083</v>
      </c>
      <c r="G125" s="42">
        <v>103305</v>
      </c>
      <c r="H125" s="41">
        <f>(G125-'2017'!G333)/'2017'!G333</f>
        <v>-4.4427794427794425E-2</v>
      </c>
      <c r="I125" s="42">
        <v>106044</v>
      </c>
      <c r="J125" s="42">
        <v>36873</v>
      </c>
      <c r="K125" s="41">
        <f>(J125-'2017'!J333)/'2017'!J333</f>
        <v>4.4402070280577495E-3</v>
      </c>
      <c r="L125" s="42">
        <v>37551</v>
      </c>
    </row>
    <row r="126" spans="1:12" x14ac:dyDescent="0.25">
      <c r="A126" s="33" t="s">
        <v>14</v>
      </c>
      <c r="B126" s="1" t="s">
        <v>15</v>
      </c>
      <c r="C126" s="1" t="s">
        <v>7</v>
      </c>
      <c r="D126" s="42">
        <v>129533</v>
      </c>
      <c r="E126" s="41">
        <f>(D126-'2017'!D334)/'2017'!D334</f>
        <v>7.7722625919990039E-3</v>
      </c>
      <c r="F126" s="42">
        <v>136425</v>
      </c>
      <c r="G126" s="42">
        <v>100401</v>
      </c>
      <c r="H126" s="41">
        <f>(G126-'2017'!G334)/'2017'!G334</f>
        <v>-4.3171226806186923E-2</v>
      </c>
      <c r="I126" s="42">
        <v>102880</v>
      </c>
      <c r="J126" s="42">
        <v>37411</v>
      </c>
      <c r="K126" s="41">
        <f>(J126-'2017'!J334)/'2017'!J334</f>
        <v>5.239681857265692E-3</v>
      </c>
      <c r="L126" s="42">
        <v>37764</v>
      </c>
    </row>
    <row r="127" spans="1:12" ht="15.75" thickBot="1" x14ac:dyDescent="0.3">
      <c r="A127" s="109" t="s">
        <v>355</v>
      </c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1"/>
    </row>
    <row r="128" spans="1:12" ht="15.75" thickBot="1" x14ac:dyDescent="0.3">
      <c r="A128" s="15"/>
      <c r="B128" s="13"/>
      <c r="C128" s="21"/>
    </row>
    <row r="129" spans="1:12" ht="18.75" x14ac:dyDescent="0.3">
      <c r="A129" s="83" t="s">
        <v>356</v>
      </c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108"/>
    </row>
    <row r="130" spans="1:12" ht="45" x14ac:dyDescent="0.25">
      <c r="A130" s="33" t="s">
        <v>2</v>
      </c>
      <c r="B130" s="1" t="s">
        <v>3</v>
      </c>
      <c r="C130" s="1" t="s">
        <v>4</v>
      </c>
      <c r="D130" s="4" t="s">
        <v>78</v>
      </c>
      <c r="E130" s="4" t="s">
        <v>325</v>
      </c>
      <c r="F130" s="4" t="s">
        <v>85</v>
      </c>
      <c r="G130" s="4" t="s">
        <v>79</v>
      </c>
      <c r="H130" s="4" t="s">
        <v>325</v>
      </c>
      <c r="I130" s="4" t="s">
        <v>82</v>
      </c>
      <c r="J130" s="4" t="s">
        <v>80</v>
      </c>
      <c r="K130" s="4" t="s">
        <v>325</v>
      </c>
      <c r="L130" s="72" t="s">
        <v>81</v>
      </c>
    </row>
    <row r="131" spans="1:12" x14ac:dyDescent="0.25">
      <c r="A131" s="33" t="s">
        <v>5</v>
      </c>
      <c r="B131" s="1" t="s">
        <v>6</v>
      </c>
      <c r="C131" s="1" t="s">
        <v>7</v>
      </c>
      <c r="D131" s="42">
        <v>150602</v>
      </c>
      <c r="E131" s="41">
        <f>(D131-'2017'!D339)/'2017'!D339</f>
        <v>-1.2050721928115508E-2</v>
      </c>
      <c r="F131" s="42">
        <v>152671</v>
      </c>
      <c r="G131" s="42">
        <v>101112</v>
      </c>
      <c r="H131" s="41">
        <f>(G131-'2017'!G339)/'2017'!G339</f>
        <v>-3.6395345512765534E-2</v>
      </c>
      <c r="I131" s="42">
        <v>101626</v>
      </c>
      <c r="J131" s="42">
        <v>37050</v>
      </c>
      <c r="K131" s="41">
        <f>(J131-'2017'!J339)/'2017'!J339</f>
        <v>3.5100035100035098E-4</v>
      </c>
      <c r="L131" s="42">
        <v>37216</v>
      </c>
    </row>
    <row r="132" spans="1:12" x14ac:dyDescent="0.25">
      <c r="A132" s="33" t="s">
        <v>8</v>
      </c>
      <c r="B132" s="1" t="s">
        <v>9</v>
      </c>
      <c r="C132" s="1" t="s">
        <v>7</v>
      </c>
      <c r="D132" s="42">
        <v>145137</v>
      </c>
      <c r="E132" s="41">
        <f>(D132-'2017'!D340)/'2017'!D340</f>
        <v>-2.9060181368507831E-3</v>
      </c>
      <c r="F132" s="42">
        <v>149476</v>
      </c>
      <c r="G132" s="42">
        <v>93720</v>
      </c>
      <c r="H132" s="41">
        <f>(G132-'2017'!G340)/'2017'!G340</f>
        <v>1.405524718408154E-2</v>
      </c>
      <c r="I132" s="42">
        <v>94607</v>
      </c>
      <c r="J132" s="42">
        <v>34542</v>
      </c>
      <c r="K132" s="41">
        <f>(J132-'2017'!J340)/'2017'!J340</f>
        <v>6.5565171780750066E-3</v>
      </c>
      <c r="L132" s="42">
        <v>34710</v>
      </c>
    </row>
    <row r="133" spans="1:12" x14ac:dyDescent="0.25">
      <c r="A133" s="33" t="s">
        <v>10</v>
      </c>
      <c r="B133" s="1" t="s">
        <v>9</v>
      </c>
      <c r="C133" s="1" t="s">
        <v>11</v>
      </c>
      <c r="D133" s="42">
        <v>83822</v>
      </c>
      <c r="E133" s="41">
        <f>(D133-'2017'!D341)/'2017'!D341</f>
        <v>8.3580093609704844E-4</v>
      </c>
      <c r="F133" s="42">
        <v>86281</v>
      </c>
      <c r="G133" s="42">
        <v>67567</v>
      </c>
      <c r="H133" s="41">
        <f>(G133-'2017'!G341)/'2017'!G341</f>
        <v>-5.8785016785769008E-2</v>
      </c>
      <c r="I133" s="42">
        <v>71530</v>
      </c>
      <c r="J133" s="42">
        <v>32113</v>
      </c>
      <c r="K133" s="41">
        <f>(J133-'2017'!J341)/'2017'!J341</f>
        <v>3.5312500000000001E-3</v>
      </c>
      <c r="L133" s="42">
        <v>32425</v>
      </c>
    </row>
    <row r="134" spans="1:12" x14ac:dyDescent="0.25">
      <c r="A134" s="33" t="s">
        <v>12</v>
      </c>
      <c r="B134" s="1" t="s">
        <v>13</v>
      </c>
      <c r="C134" s="1" t="s">
        <v>11</v>
      </c>
      <c r="D134" s="42">
        <v>73529</v>
      </c>
      <c r="E134" s="41">
        <f>(D134-'2017'!D342)/'2017'!D342</f>
        <v>-1.3973260382722506E-2</v>
      </c>
      <c r="F134" s="42">
        <v>74183</v>
      </c>
      <c r="G134" s="42">
        <v>66137</v>
      </c>
      <c r="H134" s="41">
        <f>(G134-'2017'!G342)/'2017'!G342</f>
        <v>-1.8520442234918749E-2</v>
      </c>
      <c r="I134" s="42">
        <v>67385</v>
      </c>
      <c r="J134" s="42">
        <v>32000</v>
      </c>
      <c r="K134" s="41">
        <f>(J134-'2017'!J342)/'2017'!J342</f>
        <v>-8.3054419238874425E-3</v>
      </c>
      <c r="L134" s="42">
        <v>32154</v>
      </c>
    </row>
    <row r="135" spans="1:12" x14ac:dyDescent="0.25">
      <c r="A135" s="33" t="s">
        <v>14</v>
      </c>
      <c r="B135" s="1" t="s">
        <v>15</v>
      </c>
      <c r="C135" s="1" t="s">
        <v>11</v>
      </c>
      <c r="D135" s="42">
        <v>72463</v>
      </c>
      <c r="E135" s="41">
        <f>(D135-'2017'!D343)/'2017'!D343</f>
        <v>-8.7005294190071001E-3</v>
      </c>
      <c r="F135" s="42">
        <v>73099</v>
      </c>
      <c r="G135" s="42">
        <v>65746</v>
      </c>
      <c r="H135" s="41">
        <f>(G135-'2017'!G343)/'2017'!G343</f>
        <v>-3.9390358452261916E-3</v>
      </c>
      <c r="I135" s="42">
        <v>66533</v>
      </c>
      <c r="J135" s="42">
        <v>32583</v>
      </c>
      <c r="K135" s="41">
        <f>(J135-'2017'!J343)/'2017'!J343</f>
        <v>-7.493374760120625E-3</v>
      </c>
      <c r="L135" s="42">
        <v>32743</v>
      </c>
    </row>
    <row r="136" spans="1:12" ht="15.75" thickBot="1" x14ac:dyDescent="0.3">
      <c r="A136" s="109" t="s">
        <v>357</v>
      </c>
      <c r="B136" s="110"/>
      <c r="C136" s="110"/>
      <c r="D136" s="110"/>
      <c r="E136" s="110"/>
      <c r="F136" s="110"/>
      <c r="G136" s="110"/>
      <c r="H136" s="110"/>
      <c r="I136" s="42"/>
      <c r="J136" s="42"/>
      <c r="K136" s="74"/>
      <c r="L136" s="49"/>
    </row>
    <row r="137" spans="1:12" ht="18.75" x14ac:dyDescent="0.3">
      <c r="A137" s="83" t="s">
        <v>358</v>
      </c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108"/>
    </row>
    <row r="138" spans="1:12" ht="45" x14ac:dyDescent="0.25">
      <c r="A138" s="33" t="s">
        <v>2</v>
      </c>
      <c r="B138" s="1" t="s">
        <v>3</v>
      </c>
      <c r="C138" s="1" t="s">
        <v>4</v>
      </c>
      <c r="D138" s="4" t="s">
        <v>78</v>
      </c>
      <c r="E138" s="4" t="s">
        <v>325</v>
      </c>
      <c r="F138" s="4" t="s">
        <v>85</v>
      </c>
      <c r="G138" s="4" t="s">
        <v>79</v>
      </c>
      <c r="H138" s="42" t="s">
        <v>325</v>
      </c>
      <c r="I138" s="4" t="s">
        <v>82</v>
      </c>
      <c r="J138" s="4" t="s">
        <v>80</v>
      </c>
      <c r="K138" s="4" t="s">
        <v>325</v>
      </c>
      <c r="L138" s="72" t="s">
        <v>81</v>
      </c>
    </row>
    <row r="139" spans="1:12" x14ac:dyDescent="0.25">
      <c r="A139" s="33" t="s">
        <v>5</v>
      </c>
      <c r="B139" s="1" t="s">
        <v>6</v>
      </c>
      <c r="C139" s="1" t="s">
        <v>7</v>
      </c>
      <c r="D139" s="42">
        <v>164744</v>
      </c>
      <c r="E139" s="41">
        <f>(D139-'2017'!D330)/'2017'!D330</f>
        <v>7.0837070837070831E-2</v>
      </c>
      <c r="F139" s="42">
        <v>167224</v>
      </c>
      <c r="G139" s="42">
        <v>101936</v>
      </c>
      <c r="H139" s="41">
        <f>(G139-'2017'!G330)/'2017'!G330</f>
        <v>-8.1550091452152057E-2</v>
      </c>
      <c r="I139" s="42">
        <v>111607</v>
      </c>
      <c r="J139" s="42">
        <v>38402</v>
      </c>
      <c r="K139" s="41">
        <f>(J139-'2017'!J330)/'2017'!J330</f>
        <v>5.7618773243936936E-3</v>
      </c>
      <c r="L139" s="42">
        <v>38744</v>
      </c>
    </row>
    <row r="140" spans="1:12" x14ac:dyDescent="0.25">
      <c r="A140" s="33" t="s">
        <v>8</v>
      </c>
      <c r="B140" s="1" t="s">
        <v>9</v>
      </c>
      <c r="C140" s="1" t="s">
        <v>7</v>
      </c>
      <c r="D140" s="42">
        <v>157232</v>
      </c>
      <c r="E140" s="41">
        <f>(D140-'2017'!D331)/'2017'!D331</f>
        <v>0.18553817153628652</v>
      </c>
      <c r="F140" s="42">
        <v>164203</v>
      </c>
      <c r="G140" s="42">
        <v>102880</v>
      </c>
      <c r="H140" s="41">
        <f>(G140-'2017'!G331)/'2017'!G331</f>
        <v>-1.9546177964567191E-2</v>
      </c>
      <c r="I140" s="42">
        <v>104166</v>
      </c>
      <c r="J140" s="42">
        <v>36023</v>
      </c>
      <c r="K140" s="41">
        <f>(J140-'2017'!J331)/'2017'!J331</f>
        <v>-1.4040945916356471E-2</v>
      </c>
      <c r="L140" s="42">
        <v>36036</v>
      </c>
    </row>
    <row r="141" spans="1:12" x14ac:dyDescent="0.25">
      <c r="A141" s="33" t="s">
        <v>10</v>
      </c>
      <c r="B141" s="1" t="s">
        <v>9</v>
      </c>
      <c r="C141" s="1" t="s">
        <v>11</v>
      </c>
      <c r="D141" s="42">
        <v>61199</v>
      </c>
      <c r="E141" s="41">
        <f>(D141-'2017'!D332)/'2017'!D332</f>
        <v>-2.8756883718715778E-2</v>
      </c>
      <c r="F141" s="42">
        <v>63572</v>
      </c>
      <c r="G141" s="42">
        <v>55218</v>
      </c>
      <c r="H141" s="41">
        <f>(G141-'2017'!G332)/'2017'!G332</f>
        <v>-2.1529955876880547E-2</v>
      </c>
      <c r="I141" s="42">
        <v>55897</v>
      </c>
      <c r="J141" s="42">
        <v>27870</v>
      </c>
      <c r="K141" s="41">
        <f>(J141-'2017'!J332)/'2017'!J332</f>
        <v>-1.8972860713154283E-2</v>
      </c>
      <c r="L141" s="42">
        <v>28587</v>
      </c>
    </row>
    <row r="142" spans="1:12" x14ac:dyDescent="0.25">
      <c r="A142" s="33" t="s">
        <v>12</v>
      </c>
      <c r="B142" s="1" t="s">
        <v>13</v>
      </c>
      <c r="C142" s="1" t="s">
        <v>7</v>
      </c>
      <c r="D142" s="42">
        <v>129032</v>
      </c>
      <c r="E142" s="41">
        <f>(D142-'2017'!D333)/'2017'!D333</f>
        <v>-5.0320529333402024E-2</v>
      </c>
      <c r="F142" s="42">
        <v>138312</v>
      </c>
      <c r="G142" s="42">
        <v>105932</v>
      </c>
      <c r="H142" s="41">
        <f>(G142-'2017'!G333)/'2017'!G333</f>
        <v>-2.0128020128020129E-2</v>
      </c>
      <c r="I142" s="42">
        <v>106269</v>
      </c>
      <c r="J142" s="42">
        <v>36900</v>
      </c>
      <c r="K142" s="41">
        <f>(J142-'2017'!J333)/'2017'!J333</f>
        <v>5.1757014437482972E-3</v>
      </c>
      <c r="L142" s="42">
        <v>37735</v>
      </c>
    </row>
    <row r="143" spans="1:12" x14ac:dyDescent="0.25">
      <c r="A143" s="33" t="s">
        <v>14</v>
      </c>
      <c r="B143" s="1" t="s">
        <v>15</v>
      </c>
      <c r="C143" s="1" t="s">
        <v>7</v>
      </c>
      <c r="D143" s="42">
        <v>137551</v>
      </c>
      <c r="E143" s="41">
        <f>(D143-'2017'!D334)/'2017'!D334</f>
        <v>7.015264443649151E-2</v>
      </c>
      <c r="F143" s="42">
        <v>139082</v>
      </c>
      <c r="G143" s="42">
        <v>103734</v>
      </c>
      <c r="H143" s="41">
        <f>(G143-'2017'!G334)/'2017'!G334</f>
        <v>-1.1407496354747405E-2</v>
      </c>
      <c r="I143" s="42">
        <v>105042</v>
      </c>
      <c r="J143" s="42">
        <v>36218</v>
      </c>
      <c r="K143" s="41">
        <f>(J143-'2017'!J334)/'2017'!J334</f>
        <v>-2.6816423043852105E-2</v>
      </c>
      <c r="L143" s="42">
        <v>37950</v>
      </c>
    </row>
    <row r="144" spans="1:12" ht="15.75" thickBot="1" x14ac:dyDescent="0.3">
      <c r="A144" s="109" t="s">
        <v>359</v>
      </c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1"/>
    </row>
    <row r="145" spans="1:12" ht="15.75" thickBot="1" x14ac:dyDescent="0.3">
      <c r="A145" s="15"/>
      <c r="B145" s="13"/>
      <c r="C145" s="21"/>
    </row>
    <row r="146" spans="1:12" ht="18.75" x14ac:dyDescent="0.3">
      <c r="A146" s="83" t="s">
        <v>360</v>
      </c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108"/>
    </row>
    <row r="147" spans="1:12" ht="45" x14ac:dyDescent="0.25">
      <c r="A147" s="33" t="s">
        <v>2</v>
      </c>
      <c r="B147" s="1" t="s">
        <v>3</v>
      </c>
      <c r="C147" s="1" t="s">
        <v>4</v>
      </c>
      <c r="D147" s="4" t="s">
        <v>78</v>
      </c>
      <c r="E147" s="4" t="s">
        <v>325</v>
      </c>
      <c r="F147" s="4" t="s">
        <v>85</v>
      </c>
      <c r="G147" s="4" t="s">
        <v>79</v>
      </c>
      <c r="H147" s="4" t="s">
        <v>325</v>
      </c>
      <c r="I147" s="4" t="s">
        <v>82</v>
      </c>
      <c r="J147" s="4" t="s">
        <v>80</v>
      </c>
      <c r="K147" s="4" t="s">
        <v>325</v>
      </c>
      <c r="L147" s="72" t="s">
        <v>81</v>
      </c>
    </row>
    <row r="148" spans="1:12" x14ac:dyDescent="0.25">
      <c r="A148" s="33" t="s">
        <v>5</v>
      </c>
      <c r="B148" s="1" t="s">
        <v>6</v>
      </c>
      <c r="C148" s="1" t="s">
        <v>7</v>
      </c>
      <c r="D148" s="42">
        <v>145137</v>
      </c>
      <c r="E148" s="41">
        <f>(D148-'2017'!D339)/'2017'!D339</f>
        <v>-4.7901127664180428E-2</v>
      </c>
      <c r="F148" s="42">
        <v>145560</v>
      </c>
      <c r="G148" s="42" t="s">
        <v>249</v>
      </c>
      <c r="H148" s="41" t="e">
        <f>(G148-'2017'!G339)/'2017'!G339</f>
        <v>#VALUE!</v>
      </c>
      <c r="I148" s="42" t="s">
        <v>249</v>
      </c>
      <c r="J148" s="42">
        <v>36697</v>
      </c>
      <c r="K148" s="41">
        <f>(J148-'2017'!J339)/'2017'!J339</f>
        <v>-9.1800091800091806E-3</v>
      </c>
      <c r="L148" s="42">
        <v>36873</v>
      </c>
    </row>
    <row r="149" spans="1:12" x14ac:dyDescent="0.25">
      <c r="A149" s="33" t="s">
        <v>8</v>
      </c>
      <c r="B149" s="1" t="s">
        <v>9</v>
      </c>
      <c r="C149" s="1" t="s">
        <v>7</v>
      </c>
      <c r="D149" s="42">
        <v>138888</v>
      </c>
      <c r="E149" s="41">
        <f>(D149-'2017'!D340)/'2017'!D340</f>
        <v>-4.5836768342951362E-2</v>
      </c>
      <c r="F149" s="42">
        <v>139470</v>
      </c>
      <c r="G149" s="42">
        <v>92081</v>
      </c>
      <c r="H149" s="41">
        <f>(G149-'2017'!G340)/'2017'!G340</f>
        <v>-3.6788175847480551E-3</v>
      </c>
      <c r="I149" s="42">
        <v>94161</v>
      </c>
      <c r="J149" s="42">
        <v>34435</v>
      </c>
      <c r="K149" s="41">
        <f>(J149-'2017'!J340)/'2017'!J340</f>
        <v>3.4385290089460033E-3</v>
      </c>
      <c r="L149" s="42">
        <v>34602</v>
      </c>
    </row>
    <row r="150" spans="1:12" x14ac:dyDescent="0.25">
      <c r="A150" s="33" t="s">
        <v>10</v>
      </c>
      <c r="B150" s="1" t="s">
        <v>9</v>
      </c>
      <c r="C150" s="1" t="s">
        <v>11</v>
      </c>
      <c r="D150" s="42">
        <v>81632</v>
      </c>
      <c r="E150" s="41">
        <f>(D150-'2017'!D341)/'2017'!D341</f>
        <v>-2.5312828350367751E-2</v>
      </c>
      <c r="F150" s="42">
        <v>82644</v>
      </c>
      <c r="G150" s="42">
        <v>69204</v>
      </c>
      <c r="H150" s="41">
        <f>(G150-'2017'!G341)/'2017'!G341</f>
        <v>-3.5981445108445816E-2</v>
      </c>
      <c r="I150" s="42">
        <v>70472</v>
      </c>
      <c r="J150" s="42">
        <v>32000</v>
      </c>
      <c r="K150" s="41">
        <f>(J150-'2017'!J341)/'2017'!J341</f>
        <v>0</v>
      </c>
      <c r="L150" s="42">
        <v>32310</v>
      </c>
    </row>
    <row r="151" spans="1:12" x14ac:dyDescent="0.25">
      <c r="A151" s="33" t="s">
        <v>12</v>
      </c>
      <c r="B151" s="1" t="s">
        <v>13</v>
      </c>
      <c r="C151" s="1" t="s">
        <v>11</v>
      </c>
      <c r="D151" s="42">
        <v>71839</v>
      </c>
      <c r="E151" s="41">
        <f>(D151-'2017'!D342)/'2017'!D342</f>
        <v>-3.6636225878692787E-2</v>
      </c>
      <c r="F151" s="42">
        <v>73855</v>
      </c>
      <c r="G151" s="42">
        <v>66445</v>
      </c>
      <c r="H151" s="41">
        <f>(G151-'2017'!G342)/'2017'!G342</f>
        <v>-1.3949692067967649E-2</v>
      </c>
      <c r="I151" s="42">
        <v>67069</v>
      </c>
      <c r="J151" s="42">
        <v>31867</v>
      </c>
      <c r="K151" s="41">
        <f>(J151-'2017'!J342)/'2017'!J342</f>
        <v>-1.2427172430891285E-2</v>
      </c>
      <c r="L151" s="42">
        <v>32000</v>
      </c>
    </row>
    <row r="152" spans="1:12" x14ac:dyDescent="0.25">
      <c r="A152" s="33" t="s">
        <v>14</v>
      </c>
      <c r="B152" s="1" t="s">
        <v>15</v>
      </c>
      <c r="C152" s="1" t="s">
        <v>11</v>
      </c>
      <c r="D152" s="42">
        <v>71530</v>
      </c>
      <c r="E152" s="41">
        <f>(D152-'2017'!D343)/'2017'!D343</f>
        <v>-2.146404191575808E-2</v>
      </c>
      <c r="F152" s="42">
        <v>71633</v>
      </c>
      <c r="G152" s="42">
        <v>65061</v>
      </c>
      <c r="H152" s="41">
        <f>(G152-'2017'!G343)/'2017'!G343</f>
        <v>-1.431688028361058E-2</v>
      </c>
      <c r="I152" s="42">
        <v>67704</v>
      </c>
      <c r="J152" s="42">
        <v>31407</v>
      </c>
      <c r="K152" s="41">
        <f>(J152-'2017'!J343)/'2017'!J343</f>
        <v>-4.3315361418258244E-2</v>
      </c>
      <c r="L152" s="42">
        <v>32446</v>
      </c>
    </row>
    <row r="153" spans="1:12" ht="15.75" thickBot="1" x14ac:dyDescent="0.3">
      <c r="A153" s="109" t="s">
        <v>361</v>
      </c>
      <c r="B153" s="110"/>
      <c r="C153" s="110"/>
      <c r="D153" s="110"/>
      <c r="E153" s="110"/>
      <c r="F153" s="110"/>
      <c r="G153" s="110"/>
      <c r="H153" s="110"/>
      <c r="I153" s="42"/>
      <c r="J153" s="42"/>
      <c r="K153" s="74"/>
      <c r="L153" s="49"/>
    </row>
    <row r="154" spans="1:12" ht="18.75" x14ac:dyDescent="0.3">
      <c r="A154" s="83" t="s">
        <v>362</v>
      </c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108"/>
    </row>
    <row r="155" spans="1:12" ht="45" x14ac:dyDescent="0.25">
      <c r="A155" s="33" t="s">
        <v>2</v>
      </c>
      <c r="B155" s="1" t="s">
        <v>3</v>
      </c>
      <c r="C155" s="1" t="s">
        <v>4</v>
      </c>
      <c r="D155" s="4" t="s">
        <v>78</v>
      </c>
      <c r="E155" s="4" t="s">
        <v>325</v>
      </c>
      <c r="F155" s="4" t="s">
        <v>85</v>
      </c>
      <c r="G155" s="4" t="s">
        <v>79</v>
      </c>
      <c r="H155" s="42" t="s">
        <v>325</v>
      </c>
      <c r="I155" s="4" t="s">
        <v>82</v>
      </c>
      <c r="J155" s="4" t="s">
        <v>80</v>
      </c>
      <c r="K155" s="4" t="s">
        <v>325</v>
      </c>
      <c r="L155" s="72" t="s">
        <v>81</v>
      </c>
    </row>
    <row r="156" spans="1:12" x14ac:dyDescent="0.25">
      <c r="A156" s="33" t="s">
        <v>5</v>
      </c>
      <c r="B156" s="1" t="s">
        <v>6</v>
      </c>
      <c r="C156" s="1" t="s">
        <v>7</v>
      </c>
      <c r="D156" s="42">
        <v>164473</v>
      </c>
      <c r="E156" s="41">
        <f>(D156-'2017'!D330)/'2017'!D330</f>
        <v>6.9075569075569082E-2</v>
      </c>
      <c r="F156" s="42">
        <v>165562</v>
      </c>
      <c r="G156" s="42">
        <v>109529</v>
      </c>
      <c r="H156" s="41">
        <f>(G156-'2017'!G330)/'2017'!G330</f>
        <v>-1.3136673664483229E-2</v>
      </c>
      <c r="I156" s="42">
        <v>111607</v>
      </c>
      <c r="J156" s="42">
        <v>38211</v>
      </c>
      <c r="K156" s="41">
        <f>(J156-'2017'!J330)/'2017'!J330</f>
        <v>7.5952019276098683E-4</v>
      </c>
      <c r="L156" s="42">
        <v>38774</v>
      </c>
    </row>
    <row r="157" spans="1:12" x14ac:dyDescent="0.25">
      <c r="A157" s="33" t="s">
        <v>8</v>
      </c>
      <c r="B157" s="1" t="s">
        <v>9</v>
      </c>
      <c r="C157" s="1" t="s">
        <v>7</v>
      </c>
      <c r="D157" s="42">
        <v>160513</v>
      </c>
      <c r="E157" s="41">
        <f>(D157-'2017'!D331)/'2017'!D331</f>
        <v>0.21027709707822809</v>
      </c>
      <c r="F157" s="42">
        <v>166666</v>
      </c>
      <c r="G157" s="42">
        <v>99800</v>
      </c>
      <c r="H157" s="41">
        <f>(G157-'2017'!G331)/'2017'!G331</f>
        <v>-4.889880016391724E-2</v>
      </c>
      <c r="I157" s="42">
        <v>104058</v>
      </c>
      <c r="J157" s="42">
        <v>36192</v>
      </c>
      <c r="K157" s="41">
        <f>(J157-'2017'!J331)/'2017'!J331</f>
        <v>-9.4153711407926437E-3</v>
      </c>
      <c r="L157" s="42">
        <v>36536</v>
      </c>
    </row>
    <row r="158" spans="1:12" x14ac:dyDescent="0.25">
      <c r="A158" s="33" t="s">
        <v>10</v>
      </c>
      <c r="B158" s="1" t="s">
        <v>9</v>
      </c>
      <c r="C158" s="1" t="s">
        <v>11</v>
      </c>
      <c r="D158" s="42">
        <v>62500</v>
      </c>
      <c r="E158" s="41">
        <f>(D158-'2017'!D332)/'2017'!D332</f>
        <v>-8.1096951325958962E-3</v>
      </c>
      <c r="F158" s="42">
        <v>64516</v>
      </c>
      <c r="G158" s="42">
        <v>56022</v>
      </c>
      <c r="H158" s="41">
        <f>(G158-'2017'!G332)/'2017'!G332</f>
        <v>-7.2829727287225558E-3</v>
      </c>
      <c r="I158" s="42">
        <v>57537</v>
      </c>
      <c r="J158" s="42">
        <v>28587</v>
      </c>
      <c r="K158" s="41">
        <f>(J158-'2017'!J332)/'2017'!J332</f>
        <v>6.2656200499841596E-3</v>
      </c>
      <c r="L158" s="42">
        <v>28587</v>
      </c>
    </row>
    <row r="159" spans="1:12" x14ac:dyDescent="0.25">
      <c r="A159" s="33" t="s">
        <v>12</v>
      </c>
      <c r="B159" s="1" t="s">
        <v>13</v>
      </c>
      <c r="C159" s="1" t="s">
        <v>7</v>
      </c>
      <c r="D159" s="42">
        <v>134952</v>
      </c>
      <c r="E159" s="41">
        <f>(D159-'2017'!D333)/'2017'!D333</f>
        <v>-6.7491480764559977E-3</v>
      </c>
      <c r="F159" s="42">
        <v>159235</v>
      </c>
      <c r="G159" s="42">
        <v>101214</v>
      </c>
      <c r="H159" s="41">
        <f>(G159-'2017'!G333)/'2017'!G333</f>
        <v>-6.3769563769563775E-2</v>
      </c>
      <c r="I159" s="42">
        <v>105596</v>
      </c>
      <c r="J159" s="42">
        <v>36710</v>
      </c>
      <c r="K159" s="41">
        <f>(J159-'2017'!J333)/'2017'!J333</f>
        <v>0</v>
      </c>
      <c r="L159" s="42">
        <v>37397</v>
      </c>
    </row>
    <row r="160" spans="1:12" x14ac:dyDescent="0.25">
      <c r="A160" s="33" t="s">
        <v>14</v>
      </c>
      <c r="B160" s="1" t="s">
        <v>15</v>
      </c>
      <c r="C160" s="1" t="s">
        <v>7</v>
      </c>
      <c r="D160" s="42">
        <v>134048</v>
      </c>
      <c r="E160" s="41">
        <f>(D160-'2017'!D334)/'2017'!D334</f>
        <v>4.2899155087369877E-2</v>
      </c>
      <c r="F160" s="42">
        <v>138888</v>
      </c>
      <c r="G160" s="42">
        <v>102880</v>
      </c>
      <c r="H160" s="41">
        <f>(G160-'2017'!G334)/'2017'!G334</f>
        <v>-1.9546177964567191E-2</v>
      </c>
      <c r="I160" s="42">
        <v>104931</v>
      </c>
      <c r="J160" s="42">
        <v>37593</v>
      </c>
      <c r="K160" s="41">
        <f>(J160-'2017'!J334)/'2017'!J334</f>
        <v>1.0130051590713672E-2</v>
      </c>
      <c r="L160" s="42">
        <v>38095</v>
      </c>
    </row>
    <row r="161" spans="1:12" ht="15.75" thickBot="1" x14ac:dyDescent="0.3">
      <c r="A161" s="109" t="s">
        <v>364</v>
      </c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1"/>
    </row>
    <row r="162" spans="1:12" ht="15.75" thickBot="1" x14ac:dyDescent="0.3">
      <c r="A162" s="15"/>
      <c r="B162" s="13"/>
      <c r="C162" s="21"/>
    </row>
    <row r="163" spans="1:12" ht="18.75" x14ac:dyDescent="0.3">
      <c r="A163" s="83" t="s">
        <v>363</v>
      </c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108"/>
    </row>
    <row r="164" spans="1:12" ht="45" x14ac:dyDescent="0.25">
      <c r="A164" s="33" t="s">
        <v>2</v>
      </c>
      <c r="B164" s="1" t="s">
        <v>3</v>
      </c>
      <c r="C164" s="1" t="s">
        <v>4</v>
      </c>
      <c r="D164" s="4" t="s">
        <v>78</v>
      </c>
      <c r="E164" s="4" t="s">
        <v>325</v>
      </c>
      <c r="F164" s="4" t="s">
        <v>85</v>
      </c>
      <c r="G164" s="4" t="s">
        <v>79</v>
      </c>
      <c r="H164" s="4" t="s">
        <v>325</v>
      </c>
      <c r="I164" s="4" t="s">
        <v>82</v>
      </c>
      <c r="J164" s="4" t="s">
        <v>80</v>
      </c>
      <c r="K164" s="4" t="s">
        <v>325</v>
      </c>
      <c r="L164" s="72" t="s">
        <v>81</v>
      </c>
    </row>
    <row r="165" spans="1:12" x14ac:dyDescent="0.25">
      <c r="A165" s="33" t="s">
        <v>5</v>
      </c>
      <c r="B165" s="1" t="s">
        <v>6</v>
      </c>
      <c r="C165" s="1" t="s">
        <v>7</v>
      </c>
      <c r="D165" s="42">
        <v>147710</v>
      </c>
      <c r="E165" s="41">
        <f>(D165-'2017'!D339)/'2017'!D339</f>
        <v>-3.1022244963559195E-2</v>
      </c>
      <c r="F165" s="42">
        <v>149253</v>
      </c>
      <c r="G165" s="42">
        <v>98522</v>
      </c>
      <c r="H165" s="41">
        <f>(G165-'2017'!G339)/'2017'!G339</f>
        <v>-6.107823236221898E-2</v>
      </c>
      <c r="I165" s="42">
        <v>100300</v>
      </c>
      <c r="J165" s="42">
        <v>36873</v>
      </c>
      <c r="K165" s="41">
        <f>(J165-'2017'!J339)/'2017'!J339</f>
        <v>-4.428004428004428E-3</v>
      </c>
      <c r="L165" s="42">
        <v>37050</v>
      </c>
    </row>
    <row r="166" spans="1:12" x14ac:dyDescent="0.25">
      <c r="A166" s="33" t="s">
        <v>8</v>
      </c>
      <c r="B166" s="1" t="s">
        <v>9</v>
      </c>
      <c r="C166" s="1" t="s">
        <v>7</v>
      </c>
      <c r="D166" s="42">
        <v>140845</v>
      </c>
      <c r="E166" s="41">
        <f>(D166-'2017'!D340)/'2017'!D340</f>
        <v>-3.2392140697993954E-2</v>
      </c>
      <c r="F166" s="42">
        <v>141242</v>
      </c>
      <c r="G166" s="42">
        <v>89445</v>
      </c>
      <c r="H166" s="41">
        <f>(G166-'2017'!G340)/'2017'!G340</f>
        <v>-3.2200473918265332E-2</v>
      </c>
      <c r="I166" s="42">
        <v>93283</v>
      </c>
      <c r="J166" s="42">
        <v>34106</v>
      </c>
      <c r="K166" s="41">
        <f>(J166-'2017'!J340)/'2017'!J340</f>
        <v>-6.1485561092170064E-3</v>
      </c>
      <c r="L166" s="42">
        <v>34270</v>
      </c>
    </row>
    <row r="167" spans="1:12" x14ac:dyDescent="0.25">
      <c r="A167" s="33" t="s">
        <v>10</v>
      </c>
      <c r="B167" s="1" t="s">
        <v>9</v>
      </c>
      <c r="C167" s="1" t="s">
        <v>11</v>
      </c>
      <c r="D167" s="42">
        <v>83056</v>
      </c>
      <c r="E167" s="41">
        <f>(D167-'2017'!D341)/'2017'!D341</f>
        <v>-8.3102493074792248E-3</v>
      </c>
      <c r="F167" s="42">
        <v>85251</v>
      </c>
      <c r="G167" s="42">
        <v>70571</v>
      </c>
      <c r="H167" s="41">
        <f>(G167-'2017'!G341)/'2017'!G341</f>
        <v>-1.693900009751069E-2</v>
      </c>
      <c r="I167" s="42">
        <v>71839</v>
      </c>
      <c r="J167" s="42">
        <v>31715</v>
      </c>
      <c r="K167" s="41">
        <f>(J167-'2017'!J341)/'2017'!J341</f>
        <v>-8.9062499999999992E-3</v>
      </c>
      <c r="L167" s="42">
        <v>32154</v>
      </c>
    </row>
    <row r="168" spans="1:12" x14ac:dyDescent="0.25">
      <c r="A168" s="33" t="s">
        <v>12</v>
      </c>
      <c r="B168" s="1" t="s">
        <v>13</v>
      </c>
      <c r="C168" s="1" t="s">
        <v>11</v>
      </c>
      <c r="D168" s="42">
        <v>74515</v>
      </c>
      <c r="E168" s="41">
        <f>(D168-'2017'!D342)/'2017'!D342</f>
        <v>-7.5096217028067214E-4</v>
      </c>
      <c r="F168" s="42">
        <v>75585</v>
      </c>
      <c r="G168" s="42">
        <v>67567</v>
      </c>
      <c r="H168" s="41">
        <f>(G168-'2017'!G342)/'2017'!G342</f>
        <v>2.7008978259256511E-3</v>
      </c>
      <c r="I168" s="42">
        <v>68027</v>
      </c>
      <c r="J168" s="42">
        <v>31565</v>
      </c>
      <c r="K168" s="41">
        <f>(J168-'2017'!J342)/'2017'!J342</f>
        <v>-2.1786289822734596E-2</v>
      </c>
      <c r="L168" s="42">
        <v>31867</v>
      </c>
    </row>
    <row r="169" spans="1:12" x14ac:dyDescent="0.25">
      <c r="A169" s="33" t="s">
        <v>14</v>
      </c>
      <c r="B169" s="1" t="s">
        <v>15</v>
      </c>
      <c r="C169" s="1" t="s">
        <v>11</v>
      </c>
      <c r="D169" s="42">
        <v>72411</v>
      </c>
      <c r="E169" s="41">
        <f>(D169-'2017'!D343)/'2017'!D343</f>
        <v>-9.4118934595548501E-3</v>
      </c>
      <c r="F169" s="42">
        <v>72886</v>
      </c>
      <c r="G169" s="42">
        <v>66533</v>
      </c>
      <c r="H169" s="41">
        <f>(G169-'2017'!G343)/'2017'!G343</f>
        <v>7.9841226555161654E-3</v>
      </c>
      <c r="I169" s="42">
        <v>68540</v>
      </c>
      <c r="J169" s="42">
        <v>32133</v>
      </c>
      <c r="K169" s="41">
        <f>(J169-'2017'!J343)/'2017'!J343</f>
        <v>-2.1200767613999819E-2</v>
      </c>
      <c r="L169" s="42">
        <v>32446</v>
      </c>
    </row>
    <row r="170" spans="1:12" ht="15.75" thickBot="1" x14ac:dyDescent="0.3">
      <c r="A170" s="109" t="s">
        <v>365</v>
      </c>
      <c r="B170" s="110"/>
      <c r="C170" s="110"/>
      <c r="D170" s="110"/>
      <c r="E170" s="110"/>
      <c r="F170" s="110"/>
      <c r="G170" s="110"/>
      <c r="H170" s="110"/>
      <c r="I170" s="42"/>
      <c r="J170" s="42"/>
      <c r="K170" s="74"/>
      <c r="L170" s="49"/>
    </row>
    <row r="171" spans="1:12" ht="18.75" x14ac:dyDescent="0.3">
      <c r="A171" s="83" t="s">
        <v>367</v>
      </c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108"/>
    </row>
    <row r="172" spans="1:12" ht="45" x14ac:dyDescent="0.25">
      <c r="A172" s="33" t="s">
        <v>2</v>
      </c>
      <c r="B172" s="1" t="s">
        <v>3</v>
      </c>
      <c r="C172" s="1" t="s">
        <v>4</v>
      </c>
      <c r="D172" s="4" t="s">
        <v>78</v>
      </c>
      <c r="E172" s="4" t="s">
        <v>325</v>
      </c>
      <c r="F172" s="4" t="s">
        <v>85</v>
      </c>
      <c r="G172" s="4" t="s">
        <v>79</v>
      </c>
      <c r="H172" s="42" t="s">
        <v>325</v>
      </c>
      <c r="I172" s="4" t="s">
        <v>82</v>
      </c>
      <c r="J172" s="4" t="s">
        <v>80</v>
      </c>
      <c r="K172" s="4" t="s">
        <v>325</v>
      </c>
      <c r="L172" s="72" t="s">
        <v>81</v>
      </c>
    </row>
    <row r="173" spans="1:12" x14ac:dyDescent="0.25">
      <c r="A173" s="33" t="s">
        <v>5</v>
      </c>
      <c r="B173" s="1" t="s">
        <v>6</v>
      </c>
      <c r="C173" s="1" t="s">
        <v>7</v>
      </c>
      <c r="D173" s="42">
        <v>163398</v>
      </c>
      <c r="E173" s="41">
        <f>(D173-'2017'!D330)/'2017'!D330</f>
        <v>6.2088062088062085E-2</v>
      </c>
      <c r="F173" s="42">
        <v>170068</v>
      </c>
      <c r="G173" s="42">
        <v>110987</v>
      </c>
      <c r="H173" s="41">
        <f>(G173-'2017'!G330)/'2017'!G330</f>
        <v>0</v>
      </c>
      <c r="I173" s="42">
        <v>111982</v>
      </c>
      <c r="J173" s="42">
        <v>38095</v>
      </c>
      <c r="K173" s="41">
        <f>(J173-'2017'!J330)/'2017'!J330</f>
        <v>-2.2785605782829604E-3</v>
      </c>
      <c r="L173" s="42">
        <v>38744</v>
      </c>
    </row>
    <row r="174" spans="1:12" x14ac:dyDescent="0.25">
      <c r="A174" s="33" t="s">
        <v>8</v>
      </c>
      <c r="B174" s="1" t="s">
        <v>9</v>
      </c>
      <c r="C174" s="1" t="s">
        <v>7</v>
      </c>
      <c r="D174" s="42">
        <v>159235</v>
      </c>
      <c r="E174" s="41">
        <f>(D174-'2017'!D331)/'2017'!D331</f>
        <v>0.20064090480678606</v>
      </c>
      <c r="F174" s="42">
        <v>165837</v>
      </c>
      <c r="G174" s="42">
        <v>102774</v>
      </c>
      <c r="H174" s="41">
        <f>(G174-'2017'!G331)/'2017'!G331</f>
        <v>-2.055636561168768E-2</v>
      </c>
      <c r="I174" s="42">
        <v>102880</v>
      </c>
      <c r="J174" s="42">
        <v>36010</v>
      </c>
      <c r="K174" s="41">
        <f>(J174-'2017'!J331)/'2017'!J331</f>
        <v>-1.4396759360630611E-2</v>
      </c>
      <c r="L174" s="42">
        <v>36443</v>
      </c>
    </row>
    <row r="175" spans="1:12" x14ac:dyDescent="0.25">
      <c r="A175" s="33" t="s">
        <v>10</v>
      </c>
      <c r="B175" s="1" t="s">
        <v>9</v>
      </c>
      <c r="C175" s="1" t="s">
        <v>11</v>
      </c>
      <c r="D175" s="42">
        <v>63051</v>
      </c>
      <c r="E175" s="41">
        <f>(D175-'2017'!D332)/'2017'!D332</f>
        <v>6.3480979511513862E-4</v>
      </c>
      <c r="F175" s="42">
        <v>63613</v>
      </c>
      <c r="G175" s="42">
        <v>55493</v>
      </c>
      <c r="H175" s="41">
        <f>(G175-'2017'!G332)/'2017'!G332</f>
        <v>-1.6656920596105115E-2</v>
      </c>
      <c r="I175" s="42">
        <v>55897</v>
      </c>
      <c r="J175" s="42">
        <v>28498</v>
      </c>
      <c r="K175" s="41">
        <f>(J175-'2017'!J332)/'2017'!J332</f>
        <v>3.1328100249920798E-3</v>
      </c>
      <c r="L175" s="42">
        <v>28587</v>
      </c>
    </row>
    <row r="176" spans="1:12" x14ac:dyDescent="0.25">
      <c r="A176" s="33" t="s">
        <v>12</v>
      </c>
      <c r="B176" s="1" t="s">
        <v>13</v>
      </c>
      <c r="C176" s="1" t="s">
        <v>7</v>
      </c>
      <c r="D176" s="42">
        <v>151285</v>
      </c>
      <c r="E176" s="41">
        <f>(D176-'2017'!D333)/'2017'!D333</f>
        <v>0.11346223200288513</v>
      </c>
      <c r="F176" s="42">
        <v>155763</v>
      </c>
      <c r="G176" s="42">
        <v>104058</v>
      </c>
      <c r="H176" s="41">
        <f>(G176-'2017'!G333)/'2017'!G333</f>
        <v>-3.7462537462537464E-2</v>
      </c>
      <c r="I176" s="42">
        <v>106951</v>
      </c>
      <c r="J176" s="42">
        <v>36616</v>
      </c>
      <c r="K176" s="41">
        <f>(J176-'2017'!J333)/'2017'!J333</f>
        <v>-2.5606101879596839E-3</v>
      </c>
      <c r="L176" s="42">
        <v>37551</v>
      </c>
    </row>
    <row r="177" spans="1:12" x14ac:dyDescent="0.25">
      <c r="A177" s="33" t="s">
        <v>14</v>
      </c>
      <c r="B177" s="1" t="s">
        <v>15</v>
      </c>
      <c r="C177" s="1" t="s">
        <v>7</v>
      </c>
      <c r="D177" s="42">
        <v>128700</v>
      </c>
      <c r="E177" s="41">
        <f>(D177-'2017'!D334)/'2017'!D334</f>
        <v>1.2914870773491839E-3</v>
      </c>
      <c r="F177" s="42">
        <v>138504</v>
      </c>
      <c r="G177" s="42">
        <v>103305</v>
      </c>
      <c r="H177" s="41">
        <f>(G177-'2017'!G334)/'2017'!G334</f>
        <v>-1.5495897303942591E-2</v>
      </c>
      <c r="I177" s="42">
        <v>106269</v>
      </c>
      <c r="J177" s="42">
        <v>37230</v>
      </c>
      <c r="K177" s="41">
        <f>(J177-'2017'!J334)/'2017'!J334</f>
        <v>3.7618228718830609E-4</v>
      </c>
      <c r="L177" s="42">
        <v>37721</v>
      </c>
    </row>
    <row r="178" spans="1:12" ht="15.75" thickBot="1" x14ac:dyDescent="0.3">
      <c r="A178" s="115" t="s">
        <v>366</v>
      </c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116"/>
    </row>
    <row r="179" spans="1:12" ht="15.75" thickBot="1" x14ac:dyDescent="0.3">
      <c r="A179" s="15"/>
      <c r="B179" s="13"/>
      <c r="C179" s="21"/>
    </row>
    <row r="180" spans="1:12" ht="18.75" x14ac:dyDescent="0.3">
      <c r="A180" s="83" t="s">
        <v>369</v>
      </c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108"/>
    </row>
    <row r="181" spans="1:12" ht="45" x14ac:dyDescent="0.25">
      <c r="A181" s="33" t="s">
        <v>2</v>
      </c>
      <c r="B181" s="1" t="s">
        <v>3</v>
      </c>
      <c r="C181" s="1" t="s">
        <v>4</v>
      </c>
      <c r="D181" s="4" t="s">
        <v>78</v>
      </c>
      <c r="E181" s="4" t="s">
        <v>325</v>
      </c>
      <c r="F181" s="4" t="s">
        <v>85</v>
      </c>
      <c r="G181" s="4" t="s">
        <v>79</v>
      </c>
      <c r="H181" s="4" t="s">
        <v>325</v>
      </c>
      <c r="I181" s="4" t="s">
        <v>82</v>
      </c>
      <c r="J181" s="4" t="s">
        <v>80</v>
      </c>
      <c r="K181" s="4" t="s">
        <v>325</v>
      </c>
      <c r="L181" s="72" t="s">
        <v>81</v>
      </c>
    </row>
    <row r="182" spans="1:12" x14ac:dyDescent="0.25">
      <c r="A182" s="33" t="s">
        <v>5</v>
      </c>
      <c r="B182" s="1" t="s">
        <v>6</v>
      </c>
      <c r="C182" s="1" t="s">
        <v>7</v>
      </c>
      <c r="D182" s="42">
        <v>147492</v>
      </c>
      <c r="E182" s="41">
        <f>(D182-'2017'!D339)/'2017'!D339</f>
        <v>-3.2452325192372032E-2</v>
      </c>
      <c r="F182" s="42">
        <v>149253</v>
      </c>
      <c r="G182" s="42">
        <v>101626</v>
      </c>
      <c r="H182" s="41">
        <f>(G182-'2017'!G339)/'2017'!G339</f>
        <v>-3.1496888431445429E-2</v>
      </c>
      <c r="I182" s="42">
        <v>102040</v>
      </c>
      <c r="J182" s="42">
        <v>36873</v>
      </c>
      <c r="K182" s="41">
        <f>(J182-'2017'!J339)/'2017'!J339</f>
        <v>-4.428004428004428E-3</v>
      </c>
      <c r="L182" s="42">
        <v>37050</v>
      </c>
    </row>
    <row r="183" spans="1:12" x14ac:dyDescent="0.25">
      <c r="A183" s="33" t="s">
        <v>8</v>
      </c>
      <c r="B183" s="1" t="s">
        <v>9</v>
      </c>
      <c r="C183" s="1" t="s">
        <v>7</v>
      </c>
      <c r="D183" s="42">
        <v>143678</v>
      </c>
      <c r="E183" s="41">
        <f>(D183-'2017'!D340)/'2017'!D340</f>
        <v>-1.2929376202253366E-2</v>
      </c>
      <c r="F183" s="42">
        <v>145137</v>
      </c>
      <c r="G183" s="42">
        <v>92421</v>
      </c>
      <c r="H183" s="41">
        <f>(G183-'2017'!G340)/'2017'!G340</f>
        <v>0</v>
      </c>
      <c r="I183" s="42">
        <v>93283</v>
      </c>
      <c r="J183" s="42">
        <v>34602</v>
      </c>
      <c r="K183" s="41">
        <f>(J183-'2017'!J340)/'2017'!J340</f>
        <v>8.3049217588950092E-3</v>
      </c>
      <c r="L183" s="42">
        <v>34602</v>
      </c>
    </row>
    <row r="184" spans="1:12" x14ac:dyDescent="0.25">
      <c r="A184" s="33" t="s">
        <v>10</v>
      </c>
      <c r="B184" s="1" t="s">
        <v>9</v>
      </c>
      <c r="C184" s="1" t="s">
        <v>11</v>
      </c>
      <c r="D184" s="42">
        <v>81499</v>
      </c>
      <c r="E184" s="41">
        <f>(D184-'2017'!D341)/'2017'!D341</f>
        <v>-2.6900850128952145E-2</v>
      </c>
      <c r="F184" s="42">
        <v>82644</v>
      </c>
      <c r="G184" s="42">
        <v>67159</v>
      </c>
      <c r="H184" s="41">
        <f>(G184-'2017'!G341)/'2017'!G341</f>
        <v>-6.4468497081644302E-2</v>
      </c>
      <c r="I184" s="42">
        <v>69252</v>
      </c>
      <c r="J184" s="42">
        <v>31867</v>
      </c>
      <c r="K184" s="41">
        <f>(J184-'2017'!J341)/'2017'!J341</f>
        <v>-4.1562500000000002E-3</v>
      </c>
      <c r="L184" s="42">
        <v>32268</v>
      </c>
    </row>
    <row r="185" spans="1:12" x14ac:dyDescent="0.25">
      <c r="A185" s="33" t="s">
        <v>12</v>
      </c>
      <c r="B185" s="1" t="s">
        <v>13</v>
      </c>
      <c r="C185" s="1" t="s">
        <v>11</v>
      </c>
      <c r="D185" s="42">
        <v>74239</v>
      </c>
      <c r="E185" s="41">
        <f>(D185-'2017'!D342)/'2017'!D342</f>
        <v>-4.4521328666639846E-3</v>
      </c>
      <c r="F185" s="42">
        <v>74515</v>
      </c>
      <c r="G185" s="42">
        <v>67069</v>
      </c>
      <c r="H185" s="41">
        <f>(G185-'2017'!G342)/'2017'!G342</f>
        <v>-4.6894709505082731E-3</v>
      </c>
      <c r="I185" s="42">
        <v>68259</v>
      </c>
      <c r="J185" s="42">
        <v>32000</v>
      </c>
      <c r="K185" s="41">
        <f>(J185-'2017'!J342)/'2017'!J342</f>
        <v>-8.3054419238874425E-3</v>
      </c>
      <c r="L185" s="42">
        <v>32154</v>
      </c>
    </row>
    <row r="186" spans="1:12" x14ac:dyDescent="0.25">
      <c r="A186" s="33" t="s">
        <v>14</v>
      </c>
      <c r="B186" s="1" t="s">
        <v>15</v>
      </c>
      <c r="C186" s="1" t="s">
        <v>11</v>
      </c>
      <c r="D186" s="42">
        <v>72150</v>
      </c>
      <c r="E186" s="41">
        <f>(D186-'2017'!D343)/'2017'!D343</f>
        <v>-1.2982393739996443E-2</v>
      </c>
      <c r="F186" s="42">
        <v>72463</v>
      </c>
      <c r="G186" s="42">
        <v>65146</v>
      </c>
      <c r="H186" s="41">
        <f>(G186-'2017'!G343)/'2017'!G343</f>
        <v>-1.3029118564978941E-2</v>
      </c>
      <c r="I186" s="42">
        <v>65832</v>
      </c>
      <c r="J186" s="42">
        <v>32701</v>
      </c>
      <c r="K186" s="41">
        <f>(J186-'2017'!J343)/'2017'!J343</f>
        <v>-3.8989917451034148E-3</v>
      </c>
      <c r="L186" s="42">
        <v>32743</v>
      </c>
    </row>
    <row r="187" spans="1:12" ht="15.75" thickBot="1" x14ac:dyDescent="0.3">
      <c r="A187" s="109" t="s">
        <v>368</v>
      </c>
      <c r="B187" s="110"/>
      <c r="C187" s="110"/>
      <c r="D187" s="110"/>
      <c r="E187" s="110"/>
      <c r="F187" s="110"/>
      <c r="G187" s="110"/>
      <c r="H187" s="110"/>
      <c r="I187" s="42"/>
      <c r="J187" s="42"/>
      <c r="K187" s="74"/>
      <c r="L187" s="49"/>
    </row>
    <row r="188" spans="1:12" ht="18.75" x14ac:dyDescent="0.3">
      <c r="A188" s="83" t="s">
        <v>370</v>
      </c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108"/>
    </row>
    <row r="189" spans="1:12" ht="45" x14ac:dyDescent="0.25">
      <c r="A189" s="33" t="s">
        <v>2</v>
      </c>
      <c r="B189" s="1" t="s">
        <v>3</v>
      </c>
      <c r="C189" s="1" t="s">
        <v>4</v>
      </c>
      <c r="D189" s="4" t="s">
        <v>78</v>
      </c>
      <c r="E189" s="4" t="s">
        <v>325</v>
      </c>
      <c r="F189" s="4" t="s">
        <v>85</v>
      </c>
      <c r="G189" s="4" t="s">
        <v>79</v>
      </c>
      <c r="H189" s="42" t="s">
        <v>325</v>
      </c>
      <c r="I189" s="4" t="s">
        <v>82</v>
      </c>
      <c r="J189" s="4" t="s">
        <v>80</v>
      </c>
      <c r="K189" s="4" t="s">
        <v>325</v>
      </c>
      <c r="L189" s="72" t="s">
        <v>81</v>
      </c>
    </row>
    <row r="190" spans="1:12" x14ac:dyDescent="0.25">
      <c r="A190" s="33" t="s">
        <v>5</v>
      </c>
      <c r="B190" s="1" t="s">
        <v>6</v>
      </c>
      <c r="C190" s="1" t="s">
        <v>7</v>
      </c>
      <c r="D190" s="42">
        <v>150150</v>
      </c>
      <c r="E190" s="41">
        <f>(D190-'2017'!D330)/'2017'!D330</f>
        <v>-2.4024024024024024E-2</v>
      </c>
      <c r="F190" s="42">
        <v>161290</v>
      </c>
      <c r="G190" s="42">
        <v>110987</v>
      </c>
      <c r="H190" s="41">
        <f>(G190-'2017'!G330)/'2017'!G330</f>
        <v>0</v>
      </c>
      <c r="I190" s="42">
        <v>112107</v>
      </c>
      <c r="J190" s="42">
        <v>38372</v>
      </c>
      <c r="K190" s="41">
        <f>(J190-'2017'!J330)/'2017'!J330</f>
        <v>4.9761667801581895E-3</v>
      </c>
      <c r="L190" s="42">
        <v>38744</v>
      </c>
    </row>
    <row r="191" spans="1:12" x14ac:dyDescent="0.25">
      <c r="A191" s="33" t="s">
        <v>8</v>
      </c>
      <c r="B191" s="1" t="s">
        <v>9</v>
      </c>
      <c r="C191" s="1" t="s">
        <v>7</v>
      </c>
      <c r="D191" s="42">
        <v>154083</v>
      </c>
      <c r="E191" s="41">
        <f>(D191-'2017'!D331)/'2017'!D331</f>
        <v>0.16179453345900094</v>
      </c>
      <c r="F191" s="42">
        <v>161550</v>
      </c>
      <c r="G191" s="42">
        <v>102040</v>
      </c>
      <c r="H191" s="41">
        <f>(G191-'2017'!G331)/'2017'!G331</f>
        <v>-2.7551438564389932E-2</v>
      </c>
      <c r="I191" s="42">
        <v>104493</v>
      </c>
      <c r="J191" s="42">
        <v>36350</v>
      </c>
      <c r="K191" s="41">
        <f>(J191-'2017'!J331)/'2017'!J331</f>
        <v>-5.0908692796146271E-3</v>
      </c>
      <c r="L191" s="42">
        <v>36350</v>
      </c>
    </row>
    <row r="192" spans="1:12" x14ac:dyDescent="0.25">
      <c r="A192" s="33" t="s">
        <v>10</v>
      </c>
      <c r="B192" s="1" t="s">
        <v>9</v>
      </c>
      <c r="C192" s="1" t="s">
        <v>11</v>
      </c>
      <c r="D192" s="42">
        <v>60096</v>
      </c>
      <c r="E192" s="41">
        <f>(D192-'2017'!D332)/'2017'!D332</f>
        <v>-4.6261763819015728E-2</v>
      </c>
      <c r="F192" s="42">
        <v>61162</v>
      </c>
      <c r="G192" s="42">
        <v>54945</v>
      </c>
      <c r="H192" s="41">
        <f>(G192-'2017'!G332)/'2017'!G332</f>
        <v>-2.6367550901068525E-2</v>
      </c>
      <c r="I192" s="42">
        <v>57405</v>
      </c>
      <c r="J192" s="42">
        <v>28137</v>
      </c>
      <c r="K192" s="41">
        <f>(J192-'2017'!J332)/'2017'!J332</f>
        <v>-9.5744306381780418E-3</v>
      </c>
      <c r="L192" s="42">
        <v>28918</v>
      </c>
    </row>
    <row r="193" spans="1:12" x14ac:dyDescent="0.25">
      <c r="A193" s="33" t="s">
        <v>12</v>
      </c>
      <c r="B193" s="1" t="s">
        <v>13</v>
      </c>
      <c r="C193" s="1" t="s">
        <v>7</v>
      </c>
      <c r="D193" s="42">
        <v>128534</v>
      </c>
      <c r="E193" s="41">
        <f>(D193-'2017'!D333)/'2017'!D333</f>
        <v>-5.398582458103026E-2</v>
      </c>
      <c r="F193" s="42">
        <v>147058</v>
      </c>
      <c r="G193" s="42">
        <v>104493</v>
      </c>
      <c r="H193" s="41">
        <f>(G193-'2017'!G333)/'2017'!G333</f>
        <v>-3.343878343878344E-2</v>
      </c>
      <c r="I193" s="42">
        <v>105820</v>
      </c>
      <c r="J193" s="42">
        <v>37188</v>
      </c>
      <c r="K193" s="41">
        <f>(J193-'2017'!J333)/'2017'!J333</f>
        <v>1.3020975211114137E-2</v>
      </c>
      <c r="L193" s="42">
        <v>37551</v>
      </c>
    </row>
    <row r="194" spans="1:12" x14ac:dyDescent="0.25">
      <c r="A194" s="33" t="s">
        <v>14</v>
      </c>
      <c r="B194" s="1" t="s">
        <v>15</v>
      </c>
      <c r="C194" s="1" t="s">
        <v>7</v>
      </c>
      <c r="D194" s="42">
        <v>119474</v>
      </c>
      <c r="E194" s="41">
        <f>(D194-'2017'!D334)/'2017'!D334</f>
        <v>-7.0487186269780761E-2</v>
      </c>
      <c r="F194" s="42">
        <v>136425</v>
      </c>
      <c r="G194" s="42">
        <v>102880</v>
      </c>
      <c r="H194" s="41">
        <f>(G194-'2017'!G334)/'2017'!G334</f>
        <v>-1.9546177964567191E-2</v>
      </c>
      <c r="I194" s="42">
        <v>106044</v>
      </c>
      <c r="J194" s="42">
        <v>36751</v>
      </c>
      <c r="K194" s="41">
        <f>(J194-'2017'!J334)/'2017'!J334</f>
        <v>-1.2494625967325881E-2</v>
      </c>
      <c r="L194" s="42">
        <v>37721</v>
      </c>
    </row>
    <row r="195" spans="1:12" ht="15.75" thickBot="1" x14ac:dyDescent="0.3">
      <c r="A195" s="115" t="s">
        <v>371</v>
      </c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116"/>
    </row>
    <row r="196" spans="1:12" ht="15.75" thickBot="1" x14ac:dyDescent="0.3">
      <c r="A196" s="15"/>
      <c r="B196" s="13"/>
      <c r="C196" s="21"/>
    </row>
    <row r="197" spans="1:12" ht="18.75" x14ac:dyDescent="0.3">
      <c r="A197" s="83" t="s">
        <v>372</v>
      </c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108"/>
    </row>
    <row r="198" spans="1:12" ht="45" x14ac:dyDescent="0.25">
      <c r="A198" s="33" t="s">
        <v>2</v>
      </c>
      <c r="B198" s="1" t="s">
        <v>3</v>
      </c>
      <c r="C198" s="1" t="s">
        <v>4</v>
      </c>
      <c r="D198" s="4" t="s">
        <v>78</v>
      </c>
      <c r="E198" s="4" t="s">
        <v>325</v>
      </c>
      <c r="F198" s="4" t="s">
        <v>85</v>
      </c>
      <c r="G198" s="4" t="s">
        <v>79</v>
      </c>
      <c r="H198" s="4" t="s">
        <v>325</v>
      </c>
      <c r="I198" s="4" t="s">
        <v>82</v>
      </c>
      <c r="J198" s="4" t="s">
        <v>80</v>
      </c>
      <c r="K198" s="4" t="s">
        <v>325</v>
      </c>
      <c r="L198" s="72" t="s">
        <v>81</v>
      </c>
    </row>
    <row r="199" spans="1:12" x14ac:dyDescent="0.25">
      <c r="A199" s="33" t="s">
        <v>5</v>
      </c>
      <c r="B199" s="1" t="s">
        <v>6</v>
      </c>
      <c r="C199" s="1" t="s">
        <v>7</v>
      </c>
      <c r="D199" s="42">
        <v>146412</v>
      </c>
      <c r="E199" s="41">
        <f>(D199-'2017'!D339)/'2017'!D339</f>
        <v>-3.9537126325940211E-2</v>
      </c>
      <c r="F199" s="42">
        <v>150602</v>
      </c>
      <c r="G199" s="42">
        <v>101214</v>
      </c>
      <c r="H199" s="41">
        <f>(G199-'2017'!G339)/'2017'!G339</f>
        <v>-3.5423278154215629E-2</v>
      </c>
      <c r="I199" s="42">
        <v>102040</v>
      </c>
      <c r="J199" s="42">
        <v>36350</v>
      </c>
      <c r="K199" s="41">
        <f>(J199-'2017'!J339)/'2017'!J339</f>
        <v>-1.854901854901855E-2</v>
      </c>
      <c r="L199" s="42">
        <v>36350</v>
      </c>
    </row>
    <row r="200" spans="1:12" x14ac:dyDescent="0.25">
      <c r="A200" s="33" t="s">
        <v>8</v>
      </c>
      <c r="B200" s="1" t="s">
        <v>9</v>
      </c>
      <c r="C200" s="1" t="s">
        <v>7</v>
      </c>
      <c r="D200" s="42">
        <v>138888</v>
      </c>
      <c r="E200" s="41">
        <f>(D200-'2017'!D340)/'2017'!D340</f>
        <v>-4.5836768342951362E-2</v>
      </c>
      <c r="F200" s="42">
        <v>139664</v>
      </c>
      <c r="G200" s="42">
        <v>91240</v>
      </c>
      <c r="H200" s="41">
        <f>(G200-'2017'!G340)/'2017'!G340</f>
        <v>-1.2778481081139569E-2</v>
      </c>
      <c r="I200" s="42">
        <v>93720</v>
      </c>
      <c r="J200" s="42">
        <v>34036</v>
      </c>
      <c r="K200" s="41">
        <f>(J200-'2017'!J340)/'2017'!J340</f>
        <v>-8.1883614535070079E-3</v>
      </c>
      <c r="L200" s="42">
        <v>34106</v>
      </c>
    </row>
    <row r="201" spans="1:12" x14ac:dyDescent="0.25">
      <c r="A201" s="33" t="s">
        <v>10</v>
      </c>
      <c r="B201" s="1" t="s">
        <v>9</v>
      </c>
      <c r="C201" s="1" t="s">
        <v>11</v>
      </c>
      <c r="D201" s="42">
        <v>82712</v>
      </c>
      <c r="E201" s="41">
        <f>(D201-'2017'!D341)/'2017'!D341</f>
        <v>-1.2417613907727576E-2</v>
      </c>
      <c r="F201" s="42">
        <v>83752</v>
      </c>
      <c r="G201" s="42">
        <v>66533</v>
      </c>
      <c r="H201" s="41">
        <f>(G201-'2017'!G341)/'2017'!G341</f>
        <v>-7.3188738908158857E-2</v>
      </c>
      <c r="I201" s="42">
        <v>70972</v>
      </c>
      <c r="J201" s="42">
        <v>31133</v>
      </c>
      <c r="K201" s="41">
        <f>(J201-'2017'!J341)/'2017'!J341</f>
        <v>-2.709375E-2</v>
      </c>
      <c r="L201" s="42">
        <v>31715</v>
      </c>
    </row>
    <row r="202" spans="1:12" x14ac:dyDescent="0.25">
      <c r="A202" s="33" t="s">
        <v>12</v>
      </c>
      <c r="B202" s="1" t="s">
        <v>13</v>
      </c>
      <c r="C202" s="1" t="s">
        <v>11</v>
      </c>
      <c r="D202" s="42">
        <v>72411</v>
      </c>
      <c r="E202" s="41">
        <f>(D202-'2017'!D342)/'2017'!D342</f>
        <v>-2.8965683710825925E-2</v>
      </c>
      <c r="F202" s="42">
        <v>73800</v>
      </c>
      <c r="G202" s="42">
        <v>67069</v>
      </c>
      <c r="H202" s="41">
        <f>(G202-'2017'!G342)/'2017'!G342</f>
        <v>-4.6894709505082731E-3</v>
      </c>
      <c r="I202" s="42">
        <v>67385</v>
      </c>
      <c r="J202" s="42">
        <v>31585</v>
      </c>
      <c r="K202" s="41">
        <f>(J202-'2017'!J342)/'2017'!J342</f>
        <v>-2.1166480723937026E-2</v>
      </c>
      <c r="L202" s="42">
        <v>31735</v>
      </c>
    </row>
    <row r="203" spans="1:12" x14ac:dyDescent="0.25">
      <c r="A203" s="33" t="s">
        <v>14</v>
      </c>
      <c r="B203" s="1" t="s">
        <v>15</v>
      </c>
      <c r="C203" s="1" t="s">
        <v>11</v>
      </c>
      <c r="D203" s="42">
        <v>70571</v>
      </c>
      <c r="E203" s="41">
        <f>(D203-'2017'!D343)/'2017'!D343</f>
        <v>-3.4583236432782938E-2</v>
      </c>
      <c r="F203" s="42">
        <v>71839</v>
      </c>
      <c r="G203" s="42">
        <v>65231</v>
      </c>
      <c r="H203" s="41">
        <f>(G203-'2017'!G343)/'2017'!G343</f>
        <v>-1.1741356846347301E-2</v>
      </c>
      <c r="I203" s="42">
        <v>65530</v>
      </c>
      <c r="J203" s="42">
        <v>31979</v>
      </c>
      <c r="K203" s="41">
        <f>(J203-'2017'!J343)/'2017'!J343</f>
        <v>-2.5891742057327364E-2</v>
      </c>
      <c r="L203" s="42">
        <v>32446</v>
      </c>
    </row>
    <row r="204" spans="1:12" ht="15.75" thickBot="1" x14ac:dyDescent="0.3">
      <c r="A204" s="109" t="s">
        <v>373</v>
      </c>
      <c r="B204" s="110"/>
      <c r="C204" s="110"/>
      <c r="D204" s="110"/>
      <c r="E204" s="110"/>
      <c r="F204" s="110"/>
      <c r="G204" s="110"/>
      <c r="H204" s="110"/>
      <c r="I204" s="42"/>
      <c r="J204" s="42"/>
      <c r="K204" s="74"/>
      <c r="L204" s="49"/>
    </row>
    <row r="205" spans="1:12" ht="18.75" x14ac:dyDescent="0.3">
      <c r="A205" s="83" t="s">
        <v>375</v>
      </c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108"/>
    </row>
    <row r="206" spans="1:12" ht="45" x14ac:dyDescent="0.25">
      <c r="A206" s="33" t="s">
        <v>2</v>
      </c>
      <c r="B206" s="1" t="s">
        <v>3</v>
      </c>
      <c r="C206" s="1" t="s">
        <v>4</v>
      </c>
      <c r="D206" s="4" t="s">
        <v>78</v>
      </c>
      <c r="E206" s="4" t="s">
        <v>325</v>
      </c>
      <c r="F206" s="4" t="s">
        <v>85</v>
      </c>
      <c r="G206" s="4" t="s">
        <v>79</v>
      </c>
      <c r="H206" s="42" t="s">
        <v>325</v>
      </c>
      <c r="I206" s="4" t="s">
        <v>82</v>
      </c>
      <c r="J206" s="4" t="s">
        <v>80</v>
      </c>
      <c r="K206" s="4" t="s">
        <v>325</v>
      </c>
      <c r="L206" s="72" t="s">
        <v>81</v>
      </c>
    </row>
    <row r="207" spans="1:12" x14ac:dyDescent="0.25">
      <c r="A207" s="33" t="s">
        <v>5</v>
      </c>
      <c r="B207" s="1" t="s">
        <v>6</v>
      </c>
      <c r="C207" s="1" t="s">
        <v>7</v>
      </c>
      <c r="D207" s="42">
        <v>162866</v>
      </c>
      <c r="E207" s="41">
        <f>(D207-'2017'!D330)/'2017'!D330</f>
        <v>5.8630058630058629E-2</v>
      </c>
      <c r="F207" s="42">
        <v>168634</v>
      </c>
      <c r="G207" s="42">
        <v>110497</v>
      </c>
      <c r="H207" s="41">
        <f>(G207-'2017'!G330)/'2017'!G330</f>
        <v>-4.414931478461441E-3</v>
      </c>
      <c r="I207" s="42">
        <v>110497</v>
      </c>
      <c r="J207" s="42">
        <v>38402</v>
      </c>
      <c r="K207" s="41">
        <f>(J207-'2017'!J330)/'2017'!J330</f>
        <v>5.7618773243936936E-3</v>
      </c>
      <c r="L207" s="42">
        <v>39108</v>
      </c>
    </row>
    <row r="208" spans="1:12" x14ac:dyDescent="0.25">
      <c r="A208" s="33" t="s">
        <v>8</v>
      </c>
      <c r="B208" s="1" t="s">
        <v>9</v>
      </c>
      <c r="C208" s="1" t="s">
        <v>7</v>
      </c>
      <c r="D208" s="42">
        <v>160000</v>
      </c>
      <c r="E208" s="41">
        <f>(D208-'2017'!D331)/'2017'!D331</f>
        <v>0.20640904806786051</v>
      </c>
      <c r="F208" s="42">
        <v>162866</v>
      </c>
      <c r="G208" s="42">
        <v>96805</v>
      </c>
      <c r="H208" s="41">
        <f>(G208-'2017'!G331)/'2017'!G331</f>
        <v>-7.7441366231142367E-2</v>
      </c>
      <c r="I208" s="42">
        <v>101112</v>
      </c>
      <c r="J208" s="42">
        <v>36023</v>
      </c>
      <c r="K208" s="41">
        <f>(J208-'2017'!J331)/'2017'!J331</f>
        <v>-1.4040945916356471E-2</v>
      </c>
      <c r="L208" s="42">
        <v>36376</v>
      </c>
    </row>
    <row r="209" spans="1:12" x14ac:dyDescent="0.25">
      <c r="A209" s="33" t="s">
        <v>10</v>
      </c>
      <c r="B209" s="1" t="s">
        <v>9</v>
      </c>
      <c r="C209" s="1" t="s">
        <v>11</v>
      </c>
      <c r="D209" s="42">
        <v>62500</v>
      </c>
      <c r="E209" s="41">
        <f>(D209-'2017'!D332)/'2017'!D332</f>
        <v>-8.1096951325958962E-3</v>
      </c>
      <c r="F209" s="42">
        <v>65019</v>
      </c>
      <c r="G209" s="42">
        <v>55991</v>
      </c>
      <c r="H209" s="41">
        <f>(G209-'2017'!G332)/'2017'!G332</f>
        <v>-7.8322967058281501E-3</v>
      </c>
      <c r="I209" s="42">
        <v>57012</v>
      </c>
      <c r="J209" s="42">
        <v>28176</v>
      </c>
      <c r="K209" s="41">
        <f>(J209-'2017'!J332)/'2017'!J332</f>
        <v>-8.2016262452039839E-3</v>
      </c>
      <c r="L209" s="42">
        <v>28918</v>
      </c>
    </row>
    <row r="210" spans="1:12" x14ac:dyDescent="0.25">
      <c r="A210" s="33" t="s">
        <v>12</v>
      </c>
      <c r="B210" s="1" t="s">
        <v>13</v>
      </c>
      <c r="C210" s="1" t="s">
        <v>7</v>
      </c>
      <c r="D210" s="42">
        <v>131752</v>
      </c>
      <c r="E210" s="41">
        <f>(D210-'2017'!D333)/'2017'!D333</f>
        <v>-3.0301246053183583E-2</v>
      </c>
      <c r="F210" s="42">
        <v>149700</v>
      </c>
      <c r="G210" s="42">
        <v>98522</v>
      </c>
      <c r="H210" s="41">
        <f>(G210-'2017'!G333)/'2017'!G333</f>
        <v>-8.8670588670588676E-2</v>
      </c>
      <c r="I210" s="42">
        <v>105596</v>
      </c>
      <c r="J210" s="42">
        <v>36900</v>
      </c>
      <c r="K210" s="41">
        <f>(J210-'2017'!J333)/'2017'!J333</f>
        <v>5.1757014437482972E-3</v>
      </c>
      <c r="L210" s="42">
        <v>37050</v>
      </c>
    </row>
    <row r="211" spans="1:12" x14ac:dyDescent="0.25">
      <c r="A211" s="33" t="s">
        <v>14</v>
      </c>
      <c r="B211" s="1" t="s">
        <v>15</v>
      </c>
      <c r="C211" s="1" t="s">
        <v>7</v>
      </c>
      <c r="D211" s="42">
        <v>134770</v>
      </c>
      <c r="E211" s="41">
        <f>(D211-'2017'!D334)/'2017'!D334</f>
        <v>4.8516345869575365E-2</v>
      </c>
      <c r="F211" s="42">
        <v>137741</v>
      </c>
      <c r="G211" s="42">
        <v>102354</v>
      </c>
      <c r="H211" s="41">
        <f>(G211-'2017'!G334)/'2017'!G334</f>
        <v>-2.455899591159905E-2</v>
      </c>
      <c r="I211" s="42">
        <v>105485</v>
      </c>
      <c r="J211" s="42">
        <v>35536</v>
      </c>
      <c r="K211" s="41">
        <f>(J211-'2017'!J334)/'2017'!J334</f>
        <v>-4.514187446259673E-2</v>
      </c>
      <c r="L211" s="42">
        <v>37764</v>
      </c>
    </row>
    <row r="212" spans="1:12" ht="15.75" thickBot="1" x14ac:dyDescent="0.3">
      <c r="A212" s="115" t="s">
        <v>374</v>
      </c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116"/>
    </row>
    <row r="213" spans="1:12" ht="15.75" thickBot="1" x14ac:dyDescent="0.3">
      <c r="A213" s="15"/>
      <c r="B213" s="13"/>
      <c r="C213" s="21"/>
    </row>
    <row r="214" spans="1:12" ht="18.75" x14ac:dyDescent="0.3">
      <c r="A214" s="83" t="s">
        <v>377</v>
      </c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108"/>
    </row>
    <row r="215" spans="1:12" ht="45" x14ac:dyDescent="0.25">
      <c r="A215" s="33" t="s">
        <v>2</v>
      </c>
      <c r="B215" s="1" t="s">
        <v>3</v>
      </c>
      <c r="C215" s="1" t="s">
        <v>4</v>
      </c>
      <c r="D215" s="4" t="s">
        <v>78</v>
      </c>
      <c r="E215" s="4" t="s">
        <v>325</v>
      </c>
      <c r="F215" s="4" t="s">
        <v>85</v>
      </c>
      <c r="G215" s="4" t="s">
        <v>79</v>
      </c>
      <c r="H215" s="4" t="s">
        <v>325</v>
      </c>
      <c r="I215" s="4" t="s">
        <v>82</v>
      </c>
      <c r="J215" s="4" t="s">
        <v>80</v>
      </c>
      <c r="K215" s="4" t="s">
        <v>325</v>
      </c>
      <c r="L215" s="72" t="s">
        <v>81</v>
      </c>
    </row>
    <row r="216" spans="1:12" x14ac:dyDescent="0.25">
      <c r="A216" s="33" t="s">
        <v>5</v>
      </c>
      <c r="B216" s="1" t="s">
        <v>6</v>
      </c>
      <c r="C216" s="1" t="s">
        <v>7</v>
      </c>
      <c r="D216" s="42">
        <v>147710</v>
      </c>
      <c r="E216" s="41">
        <f>(D216-'2017'!D339)/'2017'!D339</f>
        <v>-3.1022244963559195E-2</v>
      </c>
      <c r="F216" s="42">
        <v>149031</v>
      </c>
      <c r="G216" s="42">
        <v>101626</v>
      </c>
      <c r="H216" s="41">
        <f>(G216-'2017'!G339)/'2017'!G339</f>
        <v>-3.1496888431445429E-2</v>
      </c>
      <c r="I216" s="42">
        <v>102880</v>
      </c>
      <c r="J216" s="42">
        <v>36443</v>
      </c>
      <c r="K216" s="41">
        <f>(J216-'2017'!J339)/'2017'!J339</f>
        <v>-1.6038016038016037E-2</v>
      </c>
      <c r="L216" s="42">
        <v>36873</v>
      </c>
    </row>
    <row r="217" spans="1:12" x14ac:dyDescent="0.25">
      <c r="A217" s="33" t="s">
        <v>8</v>
      </c>
      <c r="B217" s="1" t="s">
        <v>9</v>
      </c>
      <c r="C217" s="1" t="s">
        <v>7</v>
      </c>
      <c r="D217" s="42">
        <v>141843</v>
      </c>
      <c r="E217" s="41">
        <f>(D217-'2017'!D340)/'2017'!D340</f>
        <v>-2.5535861500412201E-2</v>
      </c>
      <c r="F217" s="42">
        <v>145560</v>
      </c>
      <c r="G217" s="42">
        <v>91996</v>
      </c>
      <c r="H217" s="41">
        <f>(G217-'2017'!G340)/'2017'!G340</f>
        <v>-4.5985219809350688E-3</v>
      </c>
      <c r="I217" s="42">
        <v>94161</v>
      </c>
      <c r="J217" s="42">
        <v>34317</v>
      </c>
      <c r="K217" s="41">
        <f>(J217-'2017'!J340)/'2017'!J340</f>
        <v>0</v>
      </c>
      <c r="L217" s="42">
        <v>34435</v>
      </c>
    </row>
    <row r="218" spans="1:12" x14ac:dyDescent="0.25">
      <c r="A218" s="33" t="s">
        <v>10</v>
      </c>
      <c r="B218" s="1" t="s">
        <v>9</v>
      </c>
      <c r="C218" s="1" t="s">
        <v>11</v>
      </c>
      <c r="D218" s="42">
        <v>82304</v>
      </c>
      <c r="E218" s="41">
        <f>(D218-'2017'!D341)/'2017'!D341</f>
        <v>-1.7289139363836088E-2</v>
      </c>
      <c r="F218" s="42">
        <v>83056</v>
      </c>
      <c r="G218" s="42">
        <v>70472</v>
      </c>
      <c r="H218" s="41">
        <f>(G218-'2017'!G341)/'2017'!G341</f>
        <v>-1.8318079875186317E-2</v>
      </c>
      <c r="I218" s="42">
        <v>70972</v>
      </c>
      <c r="J218" s="42">
        <v>32000</v>
      </c>
      <c r="K218" s="41">
        <f>(J218-'2017'!J341)/'2017'!J341</f>
        <v>0</v>
      </c>
      <c r="L218" s="42">
        <v>32310</v>
      </c>
    </row>
    <row r="219" spans="1:12" x14ac:dyDescent="0.25">
      <c r="A219" s="33" t="s">
        <v>12</v>
      </c>
      <c r="B219" s="1" t="s">
        <v>13</v>
      </c>
      <c r="C219" s="1" t="s">
        <v>11</v>
      </c>
      <c r="D219" s="42">
        <v>72568</v>
      </c>
      <c r="E219" s="41">
        <f>(D219-'2017'!D342)/'2017'!D342</f>
        <v>-2.6860307626289041E-2</v>
      </c>
      <c r="F219" s="42">
        <v>74239</v>
      </c>
      <c r="G219" s="42">
        <v>66755</v>
      </c>
      <c r="H219" s="41">
        <f>(G219-'2017'!G342)/'2017'!G342</f>
        <v>-9.3492617051272545E-3</v>
      </c>
      <c r="I219" s="42">
        <v>67704</v>
      </c>
      <c r="J219" s="42">
        <v>31867</v>
      </c>
      <c r="K219" s="41">
        <f>(J219-'2017'!J342)/'2017'!J342</f>
        <v>-1.2427172430891285E-2</v>
      </c>
      <c r="L219" s="42">
        <v>32113</v>
      </c>
    </row>
    <row r="220" spans="1:12" x14ac:dyDescent="0.25">
      <c r="A220" s="33" t="s">
        <v>14</v>
      </c>
      <c r="B220" s="1" t="s">
        <v>15</v>
      </c>
      <c r="C220" s="1" t="s">
        <v>11</v>
      </c>
      <c r="D220" s="42">
        <v>71633</v>
      </c>
      <c r="E220" s="41">
        <f>(D220-'2017'!D343)/'2017'!D343</f>
        <v>-2.0054993912365423E-2</v>
      </c>
      <c r="F220" s="42">
        <v>72254</v>
      </c>
      <c r="G220" s="42">
        <v>66137</v>
      </c>
      <c r="H220" s="41">
        <f>(G220-'2017'!G343)/'2017'!G343</f>
        <v>1.9846680604793505E-3</v>
      </c>
      <c r="I220" s="42">
        <v>68027</v>
      </c>
      <c r="J220" s="42">
        <v>31959</v>
      </c>
      <c r="K220" s="41">
        <f>(J220-'2017'!J343)/'2017'!J343</f>
        <v>-2.6500959517499773E-2</v>
      </c>
      <c r="L220" s="42">
        <v>32289</v>
      </c>
    </row>
    <row r="221" spans="1:12" ht="15.75" thickBot="1" x14ac:dyDescent="0.3">
      <c r="A221" s="109" t="s">
        <v>376</v>
      </c>
      <c r="B221" s="110"/>
      <c r="C221" s="110"/>
      <c r="D221" s="110"/>
      <c r="E221" s="110"/>
      <c r="F221" s="110"/>
      <c r="G221" s="110"/>
      <c r="H221" s="110"/>
      <c r="I221" s="42"/>
      <c r="J221" s="42"/>
      <c r="K221" s="74"/>
      <c r="L221" s="49"/>
    </row>
    <row r="222" spans="1:12" ht="18.75" x14ac:dyDescent="0.3">
      <c r="A222" s="83" t="s">
        <v>375</v>
      </c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108"/>
    </row>
    <row r="223" spans="1:12" ht="45" x14ac:dyDescent="0.25">
      <c r="A223" s="33" t="s">
        <v>2</v>
      </c>
      <c r="B223" s="1" t="s">
        <v>3</v>
      </c>
      <c r="C223" s="1" t="s">
        <v>4</v>
      </c>
      <c r="D223" s="4" t="s">
        <v>78</v>
      </c>
      <c r="E223" s="4" t="s">
        <v>325</v>
      </c>
      <c r="F223" s="4" t="s">
        <v>85</v>
      </c>
      <c r="G223" s="4" t="s">
        <v>79</v>
      </c>
      <c r="H223" s="42" t="s">
        <v>325</v>
      </c>
      <c r="I223" s="4" t="s">
        <v>82</v>
      </c>
      <c r="J223" s="4" t="s">
        <v>80</v>
      </c>
      <c r="K223" s="4" t="s">
        <v>325</v>
      </c>
      <c r="L223" s="72" t="s">
        <v>81</v>
      </c>
    </row>
    <row r="224" spans="1:12" x14ac:dyDescent="0.25">
      <c r="A224" s="33" t="s">
        <v>5</v>
      </c>
      <c r="B224" s="1" t="s">
        <v>6</v>
      </c>
      <c r="C224" s="1" t="s">
        <v>7</v>
      </c>
      <c r="D224" s="42">
        <v>154559</v>
      </c>
      <c r="E224" s="41">
        <f>(D224-'2017'!D330)/'2017'!D330</f>
        <v>4.6345046345046348E-3</v>
      </c>
      <c r="F224" s="42">
        <v>162074</v>
      </c>
      <c r="G224" s="42">
        <v>108108</v>
      </c>
      <c r="H224" s="41">
        <f>(G224-'2017'!G330)/'2017'!G330</f>
        <v>-2.5939974952021407E-2</v>
      </c>
      <c r="I224" s="42">
        <v>111607</v>
      </c>
      <c r="J224" s="42">
        <v>38372</v>
      </c>
      <c r="K224" s="41">
        <f>(J224-'2017'!J330)/'2017'!J330</f>
        <v>4.9761667801581895E-3</v>
      </c>
      <c r="L224" s="42">
        <v>38565</v>
      </c>
    </row>
    <row r="225" spans="1:12" x14ac:dyDescent="0.25">
      <c r="A225" s="33" t="s">
        <v>8</v>
      </c>
      <c r="B225" s="1" t="s">
        <v>9</v>
      </c>
      <c r="C225" s="1" t="s">
        <v>7</v>
      </c>
      <c r="D225" s="42">
        <v>154320</v>
      </c>
      <c r="E225" s="41">
        <f>(D225-'2017'!D331)/'2017'!D331</f>
        <v>0.16358152686145147</v>
      </c>
      <c r="F225" s="42">
        <v>156494</v>
      </c>
      <c r="G225" s="42">
        <v>102880</v>
      </c>
      <c r="H225" s="41">
        <f>(G225-'2017'!G331)/'2017'!G331</f>
        <v>-1.9546177964567191E-2</v>
      </c>
      <c r="I225" s="42">
        <v>104602</v>
      </c>
      <c r="J225" s="42">
        <v>36010</v>
      </c>
      <c r="K225" s="41">
        <f>(J225-'2017'!J331)/'2017'!J331</f>
        <v>-1.4396759360630611E-2</v>
      </c>
      <c r="L225" s="42">
        <v>36363</v>
      </c>
    </row>
    <row r="226" spans="1:12" x14ac:dyDescent="0.25">
      <c r="A226" s="33" t="s">
        <v>10</v>
      </c>
      <c r="B226" s="1" t="s">
        <v>9</v>
      </c>
      <c r="C226" s="1" t="s">
        <v>11</v>
      </c>
      <c r="D226" s="42">
        <v>61349</v>
      </c>
      <c r="E226" s="41">
        <f>(D226-'2017'!D332)/'2017'!D332</f>
        <v>-2.6376346987034009E-2</v>
      </c>
      <c r="F226" s="42">
        <v>63011</v>
      </c>
      <c r="G226" s="42">
        <v>55991</v>
      </c>
      <c r="H226" s="41">
        <f>(G226-'2017'!G332)/'2017'!G332</f>
        <v>-7.8322967058281501E-3</v>
      </c>
      <c r="I226" s="42">
        <v>56882</v>
      </c>
      <c r="J226" s="42">
        <v>28312</v>
      </c>
      <c r="K226" s="41">
        <f>(J226-'2017'!J332)/'2017'!J332</f>
        <v>-3.4144109261149635E-3</v>
      </c>
      <c r="L226" s="42">
        <v>28449</v>
      </c>
    </row>
    <row r="227" spans="1:12" x14ac:dyDescent="0.25">
      <c r="A227" s="33" t="s">
        <v>12</v>
      </c>
      <c r="B227" s="1" t="s">
        <v>13</v>
      </c>
      <c r="C227" s="1" t="s">
        <v>7</v>
      </c>
      <c r="D227" s="42">
        <v>136612</v>
      </c>
      <c r="E227" s="41">
        <f>(D227-'2017'!D333)/'2017'!D333</f>
        <v>5.4685027489714353E-3</v>
      </c>
      <c r="F227" s="42">
        <v>148367</v>
      </c>
      <c r="G227" s="42">
        <v>99601</v>
      </c>
      <c r="H227" s="41">
        <f>(G227-'2017'!G333)/'2017'!G333</f>
        <v>-7.8689828689828684E-2</v>
      </c>
      <c r="I227" s="42">
        <v>107411</v>
      </c>
      <c r="J227" s="42">
        <v>37174</v>
      </c>
      <c r="K227" s="41">
        <f>(J227-'2017'!J333)/'2017'!J333</f>
        <v>1.2639607736311632E-2</v>
      </c>
      <c r="L227" s="42">
        <v>37551</v>
      </c>
    </row>
    <row r="228" spans="1:12" x14ac:dyDescent="0.25">
      <c r="A228" s="33" t="s">
        <v>14</v>
      </c>
      <c r="B228" s="1" t="s">
        <v>15</v>
      </c>
      <c r="C228" s="1" t="s">
        <v>7</v>
      </c>
      <c r="D228" s="42">
        <v>134228</v>
      </c>
      <c r="E228" s="41">
        <f>(D228-'2017'!D334)/'2017'!D334</f>
        <v>4.4299562761603933E-2</v>
      </c>
      <c r="F228" s="42">
        <v>134770</v>
      </c>
      <c r="G228" s="42">
        <v>103734</v>
      </c>
      <c r="H228" s="41">
        <f>(G228-'2017'!G334)/'2017'!G334</f>
        <v>-1.1407496354747405E-2</v>
      </c>
      <c r="I228" s="42">
        <v>106044</v>
      </c>
      <c r="J228" s="42">
        <v>37230</v>
      </c>
      <c r="K228" s="41">
        <f>(J228-'2017'!J334)/'2017'!J334</f>
        <v>3.7618228718830609E-4</v>
      </c>
      <c r="L228" s="42">
        <v>37764</v>
      </c>
    </row>
    <row r="229" spans="1:12" ht="15.75" thickBot="1" x14ac:dyDescent="0.3">
      <c r="A229" s="115" t="s">
        <v>374</v>
      </c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116"/>
    </row>
    <row r="230" spans="1:12" ht="15.75" thickBot="1" x14ac:dyDescent="0.3">
      <c r="A230" s="15"/>
      <c r="B230" s="13"/>
      <c r="C230" s="21"/>
    </row>
    <row r="231" spans="1:12" ht="18.75" x14ac:dyDescent="0.3">
      <c r="A231" s="83" t="s">
        <v>377</v>
      </c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108"/>
    </row>
    <row r="232" spans="1:12" ht="45" x14ac:dyDescent="0.25">
      <c r="A232" s="33" t="s">
        <v>2</v>
      </c>
      <c r="B232" s="1" t="s">
        <v>3</v>
      </c>
      <c r="C232" s="1" t="s">
        <v>4</v>
      </c>
      <c r="D232" s="4" t="s">
        <v>78</v>
      </c>
      <c r="E232" s="4" t="s">
        <v>325</v>
      </c>
      <c r="F232" s="4" t="s">
        <v>85</v>
      </c>
      <c r="G232" s="4" t="s">
        <v>79</v>
      </c>
      <c r="H232" s="4" t="s">
        <v>325</v>
      </c>
      <c r="I232" s="4" t="s">
        <v>82</v>
      </c>
      <c r="J232" s="4" t="s">
        <v>80</v>
      </c>
      <c r="K232" s="4" t="s">
        <v>325</v>
      </c>
      <c r="L232" s="72" t="s">
        <v>81</v>
      </c>
    </row>
    <row r="233" spans="1:12" x14ac:dyDescent="0.25">
      <c r="A233" s="33" t="s">
        <v>5</v>
      </c>
      <c r="B233" s="1" t="s">
        <v>6</v>
      </c>
      <c r="C233" s="1" t="s">
        <v>7</v>
      </c>
      <c r="D233" s="42">
        <v>145137</v>
      </c>
      <c r="E233" s="41">
        <f>(D233-'2017'!D339)/'2017'!D339</f>
        <v>-4.7901127664180428E-2</v>
      </c>
      <c r="F233" s="42">
        <v>147058</v>
      </c>
      <c r="G233" s="42">
        <v>101112</v>
      </c>
      <c r="H233" s="41">
        <f>(G233-'2017'!G339)/'2017'!G339</f>
        <v>-3.6395345512765534E-2</v>
      </c>
      <c r="I233" s="42">
        <v>102040</v>
      </c>
      <c r="J233" s="42">
        <v>36101</v>
      </c>
      <c r="K233" s="41">
        <f>(J233-'2017'!J339)/'2017'!J339</f>
        <v>-2.527202527202527E-2</v>
      </c>
      <c r="L233" s="42">
        <v>36536</v>
      </c>
    </row>
    <row r="234" spans="1:12" x14ac:dyDescent="0.25">
      <c r="A234" s="33" t="s">
        <v>8</v>
      </c>
      <c r="B234" s="1" t="s">
        <v>9</v>
      </c>
      <c r="C234" s="1" t="s">
        <v>7</v>
      </c>
      <c r="D234" s="42">
        <v>139664</v>
      </c>
      <c r="E234" s="41">
        <f>(D234-'2017'!D340)/'2017'!D340</f>
        <v>-4.0505633415773568E-2</v>
      </c>
      <c r="F234" s="42">
        <v>142653</v>
      </c>
      <c r="G234" s="42">
        <v>91240</v>
      </c>
      <c r="H234" s="41">
        <f>(G234-'2017'!G340)/'2017'!G340</f>
        <v>-1.2778481081139569E-2</v>
      </c>
      <c r="I234" s="42">
        <v>92850</v>
      </c>
      <c r="J234" s="42">
        <v>34270</v>
      </c>
      <c r="K234" s="41">
        <f>(J234-'2017'!J340)/'2017'!J340</f>
        <v>-1.3695835883090013E-3</v>
      </c>
      <c r="L234" s="42">
        <v>34602</v>
      </c>
    </row>
    <row r="235" spans="1:12" x14ac:dyDescent="0.25">
      <c r="A235" s="33" t="s">
        <v>10</v>
      </c>
      <c r="B235" s="1" t="s">
        <v>9</v>
      </c>
      <c r="C235" s="1" t="s">
        <v>11</v>
      </c>
      <c r="D235" s="42">
        <v>80580</v>
      </c>
      <c r="E235" s="41">
        <f>(D235-'2017'!D341)/'2017'!D341</f>
        <v>-3.7873722418569108E-2</v>
      </c>
      <c r="F235" s="42">
        <v>85106</v>
      </c>
      <c r="G235" s="42">
        <v>68119</v>
      </c>
      <c r="H235" s="41">
        <f>(G235-'2017'!G341)/'2017'!G341</f>
        <v>-5.1095602267820076E-2</v>
      </c>
      <c r="I235" s="42">
        <v>72463</v>
      </c>
      <c r="J235" s="42">
        <v>31806</v>
      </c>
      <c r="K235" s="41">
        <f>(J235-'2017'!J341)/'2017'!J341</f>
        <v>-6.0625000000000002E-3</v>
      </c>
      <c r="L235" s="42">
        <v>32425</v>
      </c>
    </row>
    <row r="236" spans="1:12" x14ac:dyDescent="0.25">
      <c r="A236" s="33" t="s">
        <v>12</v>
      </c>
      <c r="B236" s="1" t="s">
        <v>13</v>
      </c>
      <c r="C236" s="1" t="s">
        <v>11</v>
      </c>
      <c r="D236" s="42">
        <v>73529</v>
      </c>
      <c r="E236" s="41">
        <f>(D236-'2017'!D342)/'2017'!D342</f>
        <v>-1.3973260382722506E-2</v>
      </c>
      <c r="F236" s="42">
        <v>74515</v>
      </c>
      <c r="G236" s="42">
        <v>67385</v>
      </c>
      <c r="H236" s="41">
        <f>(G236-'2017'!G342)/'2017'!G342</f>
        <v>0</v>
      </c>
      <c r="I236" s="42">
        <v>68027</v>
      </c>
      <c r="J236" s="42">
        <v>32268</v>
      </c>
      <c r="K236" s="41">
        <f>(J236-'2017'!J342)/'2017'!J342</f>
        <v>0</v>
      </c>
      <c r="L236" s="42">
        <v>32425</v>
      </c>
    </row>
    <row r="237" spans="1:12" x14ac:dyDescent="0.25">
      <c r="A237" s="33" t="s">
        <v>14</v>
      </c>
      <c r="B237" s="1" t="s">
        <v>15</v>
      </c>
      <c r="C237" s="1" t="s">
        <v>11</v>
      </c>
      <c r="D237" s="42">
        <v>70472</v>
      </c>
      <c r="E237" s="41">
        <f>(D237-'2017'!D343)/'2017'!D343</f>
        <v>-3.5937564125364231E-2</v>
      </c>
      <c r="F237" s="42">
        <v>71275</v>
      </c>
      <c r="G237" s="42">
        <v>66755</v>
      </c>
      <c r="H237" s="41">
        <f>(G237-'2017'!G343)/'2017'!G343</f>
        <v>1.1347453261824682E-2</v>
      </c>
      <c r="I237" s="42">
        <v>67704</v>
      </c>
      <c r="J237" s="42">
        <v>32446</v>
      </c>
      <c r="K237" s="41">
        <f>(J237-'2017'!J343)/'2017'!J343</f>
        <v>-1.1666514362301624E-2</v>
      </c>
      <c r="L237" s="42">
        <v>32743</v>
      </c>
    </row>
    <row r="238" spans="1:12" ht="15.75" thickBot="1" x14ac:dyDescent="0.3">
      <c r="A238" s="109" t="s">
        <v>376</v>
      </c>
      <c r="B238" s="110"/>
      <c r="C238" s="110"/>
      <c r="D238" s="110"/>
      <c r="E238" s="110"/>
      <c r="F238" s="110"/>
      <c r="G238" s="110"/>
      <c r="H238" s="110"/>
      <c r="I238" s="42"/>
      <c r="J238" s="42"/>
      <c r="K238" s="74"/>
      <c r="L238" s="49"/>
    </row>
    <row r="240" spans="1:12" ht="15.75" thickBot="1" x14ac:dyDescent="0.3"/>
    <row r="241" spans="1:12" ht="18.75" x14ac:dyDescent="0.3">
      <c r="A241" s="83" t="s">
        <v>378</v>
      </c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108"/>
    </row>
    <row r="242" spans="1:12" ht="45" x14ac:dyDescent="0.25">
      <c r="A242" s="33" t="s">
        <v>2</v>
      </c>
      <c r="B242" s="1" t="s">
        <v>3</v>
      </c>
      <c r="C242" s="1" t="s">
        <v>4</v>
      </c>
      <c r="D242" s="4" t="s">
        <v>78</v>
      </c>
      <c r="E242" s="4" t="s">
        <v>382</v>
      </c>
      <c r="F242" s="4" t="s">
        <v>85</v>
      </c>
      <c r="G242" s="4" t="s">
        <v>79</v>
      </c>
      <c r="H242" s="43" t="s">
        <v>382</v>
      </c>
      <c r="I242" s="4" t="s">
        <v>82</v>
      </c>
      <c r="J242" s="4" t="s">
        <v>80</v>
      </c>
      <c r="K242" s="4" t="s">
        <v>382</v>
      </c>
      <c r="L242" s="72" t="s">
        <v>81</v>
      </c>
    </row>
    <row r="243" spans="1:12" x14ac:dyDescent="0.25">
      <c r="A243" s="33" t="s">
        <v>5</v>
      </c>
      <c r="B243" s="1" t="s">
        <v>6</v>
      </c>
      <c r="C243" s="1" t="s">
        <v>7</v>
      </c>
      <c r="D243" s="42">
        <v>159744</v>
      </c>
      <c r="E243" s="41">
        <f>(D243-'2018'!D224)/'2018'!D224</f>
        <v>3.3547059698885218E-2</v>
      </c>
      <c r="F243" s="42">
        <v>162601</v>
      </c>
      <c r="G243" s="42">
        <v>108577</v>
      </c>
      <c r="H243" s="41">
        <f>(G243-'2018'!G224)/'2018'!G224</f>
        <v>4.3382543382543383E-3</v>
      </c>
      <c r="I243" s="42">
        <v>110011</v>
      </c>
      <c r="J243" s="42">
        <v>36023</v>
      </c>
      <c r="K243" s="41">
        <f>(J243-'2018'!J224)/'2018'!J224</f>
        <v>-6.1216512040029189E-2</v>
      </c>
      <c r="L243" s="42">
        <v>37864</v>
      </c>
    </row>
    <row r="244" spans="1:12" x14ac:dyDescent="0.25">
      <c r="A244" s="33" t="s">
        <v>8</v>
      </c>
      <c r="B244" s="1" t="s">
        <v>9</v>
      </c>
      <c r="C244" s="1" t="s">
        <v>7</v>
      </c>
      <c r="D244" s="42">
        <v>156250</v>
      </c>
      <c r="E244" s="41">
        <f>(D244-'2018'!D225)/'2018'!D225</f>
        <v>1.2506480041472265E-2</v>
      </c>
      <c r="F244" s="42">
        <v>158478</v>
      </c>
      <c r="G244" s="42">
        <v>99304</v>
      </c>
      <c r="H244" s="41">
        <f>(G244-'2018'!G225)/'2018'!G225</f>
        <v>-3.4758942457231726E-2</v>
      </c>
      <c r="I244" s="42">
        <v>103199</v>
      </c>
      <c r="J244" s="42">
        <v>35587</v>
      </c>
      <c r="K244" s="41">
        <f>(J244-'2018'!J225)/'2018'!J225</f>
        <v>-1.1746737017495141E-2</v>
      </c>
      <c r="L244" s="42">
        <v>36036</v>
      </c>
    </row>
    <row r="245" spans="1:12" x14ac:dyDescent="0.25">
      <c r="A245" s="33" t="s">
        <v>10</v>
      </c>
      <c r="B245" s="1" t="s">
        <v>9</v>
      </c>
      <c r="C245" s="1" t="s">
        <v>11</v>
      </c>
      <c r="D245" s="42">
        <v>60350</v>
      </c>
      <c r="E245" s="41">
        <f>(D245-'2018'!D226)/'2018'!D226</f>
        <v>-1.6283884007889288E-2</v>
      </c>
      <c r="F245" s="42">
        <v>62034</v>
      </c>
      <c r="G245" s="42">
        <v>53590</v>
      </c>
      <c r="H245" s="41">
        <f>(G245-'2018'!G226)/'2018'!G226</f>
        <v>-4.2881891732599882E-2</v>
      </c>
      <c r="I245" s="42">
        <v>54555</v>
      </c>
      <c r="J245" s="42">
        <v>27909</v>
      </c>
      <c r="K245" s="41">
        <f>(J245-'2018'!J226)/'2018'!J226</f>
        <v>-1.4234246962418762E-2</v>
      </c>
      <c r="L245" s="42">
        <v>28176</v>
      </c>
    </row>
    <row r="246" spans="1:12" x14ac:dyDescent="0.25">
      <c r="A246" s="33" t="s">
        <v>12</v>
      </c>
      <c r="B246" s="1" t="s">
        <v>13</v>
      </c>
      <c r="C246" s="1" t="s">
        <v>7</v>
      </c>
      <c r="D246" s="42">
        <v>134408</v>
      </c>
      <c r="E246" s="41">
        <f>(D246-'2018'!D227)/'2018'!D227</f>
        <v>-1.6133282581325212E-2</v>
      </c>
      <c r="F246" s="42">
        <v>140056</v>
      </c>
      <c r="G246" s="42">
        <v>104493</v>
      </c>
      <c r="H246" s="41">
        <f>(G246-'2018'!G227)/'2018'!G227</f>
        <v>4.9115972731197478E-2</v>
      </c>
      <c r="I246" s="42">
        <v>105820</v>
      </c>
      <c r="J246" s="42">
        <v>36509</v>
      </c>
      <c r="K246" s="41">
        <f>(J246-'2018'!J227)/'2018'!J227</f>
        <v>-1.7888847043632645E-2</v>
      </c>
      <c r="L246" s="42">
        <v>36710</v>
      </c>
    </row>
    <row r="247" spans="1:12" x14ac:dyDescent="0.25">
      <c r="A247" s="33" t="s">
        <v>14</v>
      </c>
      <c r="B247" s="1" t="s">
        <v>15</v>
      </c>
      <c r="C247" s="1" t="s">
        <v>7</v>
      </c>
      <c r="D247" s="42">
        <v>131578</v>
      </c>
      <c r="E247" s="41">
        <f>(D247-'2018'!D228)/'2018'!D228</f>
        <v>-1.9742527639538696E-2</v>
      </c>
      <c r="F247" s="42">
        <v>137551</v>
      </c>
      <c r="G247" s="42">
        <v>98522</v>
      </c>
      <c r="H247" s="41">
        <f>(G247-'2018'!G228)/'2018'!G228</f>
        <v>-5.0243893034106465E-2</v>
      </c>
      <c r="I247" s="42">
        <v>102774</v>
      </c>
      <c r="J247" s="42">
        <v>36873</v>
      </c>
      <c r="K247" s="41">
        <f>(J247-'2018'!J228)/'2018'!J228</f>
        <v>-9.5890410958904115E-3</v>
      </c>
      <c r="L247" s="42">
        <v>37078</v>
      </c>
    </row>
    <row r="248" spans="1:12" ht="15.75" thickBot="1" x14ac:dyDescent="0.3">
      <c r="A248" s="115" t="s">
        <v>380</v>
      </c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116"/>
    </row>
    <row r="249" spans="1:12" ht="15.75" thickBot="1" x14ac:dyDescent="0.3">
      <c r="A249" s="15"/>
      <c r="B249" s="13"/>
      <c r="C249" s="21"/>
    </row>
    <row r="250" spans="1:12" ht="18.75" x14ac:dyDescent="0.3">
      <c r="A250" s="83" t="s">
        <v>379</v>
      </c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108"/>
    </row>
    <row r="251" spans="1:12" ht="45" x14ac:dyDescent="0.25">
      <c r="A251" s="33" t="s">
        <v>2</v>
      </c>
      <c r="B251" s="1" t="s">
        <v>3</v>
      </c>
      <c r="C251" s="1" t="s">
        <v>4</v>
      </c>
      <c r="D251" s="4" t="s">
        <v>78</v>
      </c>
      <c r="E251" s="4" t="s">
        <v>382</v>
      </c>
      <c r="F251" s="4" t="s">
        <v>85</v>
      </c>
      <c r="G251" s="4" t="s">
        <v>79</v>
      </c>
      <c r="H251" s="4" t="s">
        <v>382</v>
      </c>
      <c r="I251" s="4" t="s">
        <v>82</v>
      </c>
      <c r="J251" s="4" t="s">
        <v>80</v>
      </c>
      <c r="K251" s="4" t="s">
        <v>382</v>
      </c>
      <c r="L251" s="72" t="s">
        <v>81</v>
      </c>
    </row>
    <row r="252" spans="1:12" x14ac:dyDescent="0.25">
      <c r="A252" s="33" t="s">
        <v>5</v>
      </c>
      <c r="B252" s="1" t="s">
        <v>6</v>
      </c>
      <c r="C252" s="1" t="s">
        <v>7</v>
      </c>
      <c r="D252" s="42">
        <v>145137</v>
      </c>
      <c r="E252" s="41">
        <f>(D252-'2018'!D233)/'2018'!D233</f>
        <v>0</v>
      </c>
      <c r="F252" s="42">
        <v>145560</v>
      </c>
      <c r="G252" s="42">
        <v>100300</v>
      </c>
      <c r="H252" s="41">
        <f>(G252-'2018'!G233)/'2018'!G233</f>
        <v>-8.0306986312208249E-3</v>
      </c>
      <c r="I252" s="42">
        <v>101626</v>
      </c>
      <c r="J252" s="42">
        <v>36337</v>
      </c>
      <c r="K252" s="41">
        <f>(J252-'2018'!J233)/'2018'!J233</f>
        <v>6.5372150355945818E-3</v>
      </c>
      <c r="L252" s="42">
        <v>36616</v>
      </c>
    </row>
    <row r="253" spans="1:12" x14ac:dyDescent="0.25">
      <c r="A253" s="33" t="s">
        <v>8</v>
      </c>
      <c r="B253" s="1" t="s">
        <v>9</v>
      </c>
      <c r="C253" s="1" t="s">
        <v>7</v>
      </c>
      <c r="D253" s="42">
        <v>140056</v>
      </c>
      <c r="E253" s="41">
        <f>(D253-'2018'!D234)/'2018'!D234</f>
        <v>2.8067361668003207E-3</v>
      </c>
      <c r="F253" s="42">
        <v>142045</v>
      </c>
      <c r="G253" s="42">
        <v>91157</v>
      </c>
      <c r="H253" s="41">
        <f>(G253-'2018'!G234)/'2018'!G234</f>
        <v>-9.0968873301183696E-4</v>
      </c>
      <c r="I253" s="42">
        <v>92936</v>
      </c>
      <c r="J253" s="42">
        <v>33738</v>
      </c>
      <c r="K253" s="41">
        <f>(J253-'2018'!J234)/'2018'!J234</f>
        <v>-1.5523781733294427E-2</v>
      </c>
      <c r="L253" s="42">
        <v>33875</v>
      </c>
    </row>
    <row r="254" spans="1:12" x14ac:dyDescent="0.25">
      <c r="A254" s="33" t="s">
        <v>10</v>
      </c>
      <c r="B254" s="1" t="s">
        <v>9</v>
      </c>
      <c r="C254" s="1" t="s">
        <v>11</v>
      </c>
      <c r="D254" s="42">
        <v>78802</v>
      </c>
      <c r="E254" s="41">
        <f>(D254-'2018'!D235)/'2018'!D235</f>
        <v>-2.2065028543062793E-2</v>
      </c>
      <c r="F254" s="42">
        <v>80710</v>
      </c>
      <c r="G254" s="42">
        <v>65616</v>
      </c>
      <c r="H254" s="41">
        <f>(G254-'2018'!G235)/'2018'!G235</f>
        <v>-3.6744520618329689E-2</v>
      </c>
      <c r="I254" s="42">
        <v>68775</v>
      </c>
      <c r="J254" s="42">
        <v>31715</v>
      </c>
      <c r="K254" s="41">
        <f>(J254-'2018'!J235)/'2018'!J235</f>
        <v>-2.861095390806766E-3</v>
      </c>
      <c r="L254" s="42">
        <v>31867</v>
      </c>
    </row>
    <row r="255" spans="1:12" x14ac:dyDescent="0.25">
      <c r="A255" s="33" t="s">
        <v>12</v>
      </c>
      <c r="B255" s="1" t="s">
        <v>13</v>
      </c>
      <c r="C255" s="1" t="s">
        <v>11</v>
      </c>
      <c r="D255" s="42">
        <v>71225</v>
      </c>
      <c r="E255" s="41">
        <f>(D255-'2018'!D236)/'2018'!D236</f>
        <v>-3.1334575473622651E-2</v>
      </c>
      <c r="F255" s="42">
        <v>71994</v>
      </c>
      <c r="G255" s="42">
        <v>65616</v>
      </c>
      <c r="H255" s="41">
        <f>(G255-'2018'!G236)/'2018'!G236</f>
        <v>-2.6252133264079543E-2</v>
      </c>
      <c r="I255" s="42">
        <v>66533</v>
      </c>
      <c r="J255" s="42">
        <v>31436</v>
      </c>
      <c r="K255" s="41">
        <f>(J255-'2018'!J236)/'2018'!J236</f>
        <v>-2.5784058509978926E-2</v>
      </c>
      <c r="L255" s="42">
        <v>31715</v>
      </c>
    </row>
    <row r="256" spans="1:12" x14ac:dyDescent="0.25">
      <c r="A256" s="33" t="s">
        <v>14</v>
      </c>
      <c r="B256" s="1" t="s">
        <v>15</v>
      </c>
      <c r="C256" s="1" t="s">
        <v>11</v>
      </c>
      <c r="D256" s="42">
        <v>69444</v>
      </c>
      <c r="E256" s="41">
        <f>(D256-'2018'!D237)/'2018'!D237</f>
        <v>-1.4587353842660916E-2</v>
      </c>
      <c r="F256" s="42">
        <v>70126</v>
      </c>
      <c r="G256" s="42">
        <v>70126</v>
      </c>
      <c r="H256" s="41">
        <f>(G256-'2018'!G237)/'2018'!G237</f>
        <v>5.0498090030709313E-2</v>
      </c>
      <c r="I256" s="42">
        <v>64432</v>
      </c>
      <c r="J256" s="42">
        <v>31026</v>
      </c>
      <c r="K256" s="41">
        <f>(J256-'2018'!J237)/'2018'!J237</f>
        <v>-4.3765024964556497E-2</v>
      </c>
      <c r="L256" s="42">
        <v>31426</v>
      </c>
    </row>
    <row r="257" spans="1:12" ht="15.75" thickBot="1" x14ac:dyDescent="0.3">
      <c r="A257" s="109" t="s">
        <v>381</v>
      </c>
      <c r="B257" s="110"/>
      <c r="C257" s="110"/>
      <c r="D257" s="110"/>
      <c r="E257" s="110"/>
      <c r="F257" s="110"/>
      <c r="G257" s="110"/>
      <c r="H257" s="110"/>
      <c r="I257" s="42"/>
      <c r="J257" s="42"/>
      <c r="K257" s="74"/>
      <c r="L257" s="49"/>
    </row>
    <row r="259" spans="1:12" ht="15.75" thickBot="1" x14ac:dyDescent="0.3"/>
    <row r="260" spans="1:12" ht="18.75" x14ac:dyDescent="0.3">
      <c r="A260" s="83" t="s">
        <v>385</v>
      </c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108"/>
    </row>
    <row r="261" spans="1:12" ht="45" x14ac:dyDescent="0.25">
      <c r="A261" s="33" t="s">
        <v>2</v>
      </c>
      <c r="B261" s="1" t="s">
        <v>3</v>
      </c>
      <c r="C261" s="1" t="s">
        <v>4</v>
      </c>
      <c r="D261" s="4" t="s">
        <v>78</v>
      </c>
      <c r="E261" s="4" t="s">
        <v>382</v>
      </c>
      <c r="F261" s="4" t="s">
        <v>85</v>
      </c>
      <c r="G261" s="4" t="s">
        <v>79</v>
      </c>
      <c r="H261" s="43" t="s">
        <v>382</v>
      </c>
      <c r="I261" s="4" t="s">
        <v>82</v>
      </c>
      <c r="J261" s="4" t="s">
        <v>80</v>
      </c>
      <c r="K261" s="4" t="s">
        <v>382</v>
      </c>
      <c r="L261" s="72" t="s">
        <v>81</v>
      </c>
    </row>
    <row r="262" spans="1:12" x14ac:dyDescent="0.25">
      <c r="A262" s="33" t="s">
        <v>5</v>
      </c>
      <c r="B262" s="1" t="s">
        <v>6</v>
      </c>
      <c r="C262" s="1" t="s">
        <v>7</v>
      </c>
      <c r="D262" s="42">
        <v>152207</v>
      </c>
      <c r="E262" s="41">
        <f>(D262-'2018'!D224)/'2018'!D224</f>
        <v>-1.5217489761191519E-2</v>
      </c>
      <c r="F262" s="42">
        <v>160513</v>
      </c>
      <c r="G262" s="42">
        <v>108342</v>
      </c>
      <c r="H262" s="41">
        <f>(G262-'2018'!G224)/'2018'!G224</f>
        <v>2.1645021645021645E-3</v>
      </c>
      <c r="I262" s="42">
        <v>110011</v>
      </c>
      <c r="J262" s="42">
        <v>36023</v>
      </c>
      <c r="K262" s="41">
        <f>(J262-'2018'!J224)/'2018'!J224</f>
        <v>-6.1216512040029189E-2</v>
      </c>
      <c r="L262" s="42">
        <v>37864</v>
      </c>
    </row>
    <row r="263" spans="1:12" x14ac:dyDescent="0.25">
      <c r="A263" s="33" t="s">
        <v>8</v>
      </c>
      <c r="B263" s="1" t="s">
        <v>9</v>
      </c>
      <c r="C263" s="1" t="s">
        <v>7</v>
      </c>
      <c r="D263" s="42">
        <v>155038</v>
      </c>
      <c r="E263" s="41">
        <f>(D263-'2018'!D225)/'2018'!D225</f>
        <v>4.6526697770865729E-3</v>
      </c>
      <c r="F263" s="42">
        <v>158227</v>
      </c>
      <c r="G263" s="42">
        <v>100704</v>
      </c>
      <c r="H263" s="41">
        <f>(G263-'2018'!G225)/'2018'!G225</f>
        <v>-2.1150855365474338E-2</v>
      </c>
      <c r="I263" s="42">
        <v>102459</v>
      </c>
      <c r="J263" s="42">
        <v>35574</v>
      </c>
      <c r="K263" s="41">
        <f>(J263-'2018'!J225)/'2018'!J225</f>
        <v>-1.2107747847820051E-2</v>
      </c>
      <c r="L263" s="42">
        <v>35829</v>
      </c>
    </row>
    <row r="264" spans="1:12" x14ac:dyDescent="0.25">
      <c r="A264" s="33" t="s">
        <v>10</v>
      </c>
      <c r="B264" s="1" t="s">
        <v>9</v>
      </c>
      <c r="C264" s="1" t="s">
        <v>11</v>
      </c>
      <c r="D264" s="42">
        <v>60024</v>
      </c>
      <c r="E264" s="41">
        <f>(D264-'2018'!D226)/'2018'!D226</f>
        <v>-2.1597744054507817E-2</v>
      </c>
      <c r="F264" s="42">
        <v>62034</v>
      </c>
      <c r="G264" s="42">
        <v>54288</v>
      </c>
      <c r="H264" s="41">
        <f>(G264-'2018'!G226)/'2018'!G226</f>
        <v>-3.0415602507545856E-2</v>
      </c>
      <c r="I264" s="42">
        <v>54824</v>
      </c>
      <c r="J264" s="42">
        <v>27839</v>
      </c>
      <c r="K264" s="41">
        <f>(J264-'2018'!J226)/'2018'!J226</f>
        <v>-1.6706696807007631E-2</v>
      </c>
      <c r="L264" s="42">
        <v>28105</v>
      </c>
    </row>
    <row r="265" spans="1:12" x14ac:dyDescent="0.25">
      <c r="A265" s="33" t="s">
        <v>12</v>
      </c>
      <c r="B265" s="1" t="s">
        <v>13</v>
      </c>
      <c r="C265" s="1" t="s">
        <v>7</v>
      </c>
      <c r="D265" s="42">
        <v>145348</v>
      </c>
      <c r="E265" s="41">
        <f>(D265-'2018'!D227)/'2018'!D227</f>
        <v>6.3947530231604835E-2</v>
      </c>
      <c r="F265" s="42">
        <v>155520</v>
      </c>
      <c r="G265" s="42">
        <v>103305</v>
      </c>
      <c r="H265" s="41">
        <f>(G265-'2018'!G227)/'2018'!G227</f>
        <v>3.7188381642754592E-2</v>
      </c>
      <c r="I265" s="42">
        <v>104493</v>
      </c>
      <c r="J265" s="42">
        <v>36023</v>
      </c>
      <c r="K265" s="41">
        <f>(J265-'2018'!J227)/'2018'!J227</f>
        <v>-3.0962500672513046E-2</v>
      </c>
      <c r="L265" s="42">
        <v>36873</v>
      </c>
    </row>
    <row r="266" spans="1:12" x14ac:dyDescent="0.25">
      <c r="A266" s="33" t="s">
        <v>14</v>
      </c>
      <c r="B266" s="1" t="s">
        <v>15</v>
      </c>
      <c r="C266" s="1" t="s">
        <v>7</v>
      </c>
      <c r="D266" s="42">
        <v>136425</v>
      </c>
      <c r="E266" s="41">
        <f>(D266-'2018'!D228)/'2018'!D228</f>
        <v>1.636767291474208E-2</v>
      </c>
      <c r="F266" s="42">
        <v>137551</v>
      </c>
      <c r="G266" s="42">
        <v>96805</v>
      </c>
      <c r="H266" s="41">
        <f>(G266-'2018'!G228)/'2018'!G228</f>
        <v>-6.6795843214375233E-2</v>
      </c>
      <c r="I266" s="42">
        <v>105596</v>
      </c>
      <c r="J266" s="42">
        <v>34506</v>
      </c>
      <c r="K266" s="41">
        <f>(J266-'2018'!J228)/'2018'!J228</f>
        <v>-7.3166800966962126E-2</v>
      </c>
      <c r="L266" s="42">
        <v>36751</v>
      </c>
    </row>
    <row r="267" spans="1:12" ht="15.75" thickBot="1" x14ac:dyDescent="0.3">
      <c r="A267" s="115" t="s">
        <v>384</v>
      </c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116"/>
    </row>
    <row r="268" spans="1:12" ht="15.75" thickBot="1" x14ac:dyDescent="0.3">
      <c r="A268" s="15"/>
      <c r="B268" s="13"/>
      <c r="C268" s="21"/>
    </row>
    <row r="269" spans="1:12" ht="18.75" x14ac:dyDescent="0.3">
      <c r="A269" s="83" t="s">
        <v>386</v>
      </c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108"/>
    </row>
    <row r="270" spans="1:12" ht="45" x14ac:dyDescent="0.25">
      <c r="A270" s="33" t="s">
        <v>2</v>
      </c>
      <c r="B270" s="1" t="s">
        <v>3</v>
      </c>
      <c r="C270" s="1" t="s">
        <v>4</v>
      </c>
      <c r="D270" s="4" t="s">
        <v>78</v>
      </c>
      <c r="E270" s="4" t="s">
        <v>382</v>
      </c>
      <c r="F270" s="4" t="s">
        <v>85</v>
      </c>
      <c r="G270" s="4" t="s">
        <v>79</v>
      </c>
      <c r="H270" s="4" t="s">
        <v>382</v>
      </c>
      <c r="I270" s="4" t="s">
        <v>82</v>
      </c>
      <c r="J270" s="4" t="s">
        <v>80</v>
      </c>
      <c r="K270" s="4" t="s">
        <v>382</v>
      </c>
      <c r="L270" s="72" t="s">
        <v>81</v>
      </c>
    </row>
    <row r="271" spans="1:12" x14ac:dyDescent="0.25">
      <c r="A271" s="33" t="s">
        <v>5</v>
      </c>
      <c r="B271" s="1" t="s">
        <v>6</v>
      </c>
      <c r="C271" s="1" t="s">
        <v>7</v>
      </c>
      <c r="D271" s="42">
        <v>139470</v>
      </c>
      <c r="E271" s="41">
        <f>(D271-'2018'!D233)/'2018'!D233</f>
        <v>-3.9045867008412741E-2</v>
      </c>
      <c r="F271" s="42">
        <v>143061</v>
      </c>
      <c r="G271" s="42">
        <v>97560</v>
      </c>
      <c r="H271" s="41">
        <f>(G271-'2018'!G233)/'2018'!G233</f>
        <v>-3.512936150011868E-2</v>
      </c>
      <c r="I271" s="42">
        <v>99304</v>
      </c>
      <c r="J271" s="42">
        <v>35688</v>
      </c>
      <c r="K271" s="41">
        <f>(J271-'2018'!J233)/'2018'!J233</f>
        <v>-1.1440126312290518E-2</v>
      </c>
      <c r="L271" s="42">
        <v>35868</v>
      </c>
    </row>
    <row r="272" spans="1:12" x14ac:dyDescent="0.25">
      <c r="A272" s="33" t="s">
        <v>8</v>
      </c>
      <c r="B272" s="1" t="s">
        <v>9</v>
      </c>
      <c r="C272" s="1" t="s">
        <v>7</v>
      </c>
      <c r="D272" s="42">
        <v>134228</v>
      </c>
      <c r="E272" s="41">
        <f>(D272-'2018'!D234)/'2018'!D234</f>
        <v>-3.8921984190628936E-2</v>
      </c>
      <c r="F272" s="42">
        <v>134228</v>
      </c>
      <c r="G272" s="42">
        <v>89847</v>
      </c>
      <c r="H272" s="41">
        <f>(G272-'2018'!G234)/'2018'!G234</f>
        <v>-1.5267426567295047E-2</v>
      </c>
      <c r="I272" s="42">
        <v>90661</v>
      </c>
      <c r="J272" s="42">
        <v>33003</v>
      </c>
      <c r="K272" s="41">
        <f>(J272-'2018'!J234)/'2018'!J234</f>
        <v>-3.697111175955646E-2</v>
      </c>
      <c r="L272" s="42">
        <v>33579</v>
      </c>
    </row>
    <row r="273" spans="1:12" x14ac:dyDescent="0.25">
      <c r="A273" s="33" t="s">
        <v>10</v>
      </c>
      <c r="B273" s="1" t="s">
        <v>9</v>
      </c>
      <c r="C273" s="1" t="s">
        <v>11</v>
      </c>
      <c r="D273" s="42">
        <v>78431</v>
      </c>
      <c r="E273" s="41">
        <f>(D273-'2018'!D235)/'2018'!D235</f>
        <v>-2.666914867212708E-2</v>
      </c>
      <c r="F273" s="42">
        <v>79491</v>
      </c>
      <c r="G273" s="42">
        <v>66137</v>
      </c>
      <c r="H273" s="41">
        <f>(G273-'2018'!G235)/'2018'!G235</f>
        <v>-2.9096140577518755E-2</v>
      </c>
      <c r="I273" s="42">
        <v>67704</v>
      </c>
      <c r="J273" s="42">
        <v>30674</v>
      </c>
      <c r="K273" s="41">
        <f>(J273-'2018'!J235)/'2018'!J235</f>
        <v>-3.5590769037288562E-2</v>
      </c>
      <c r="L273" s="42">
        <v>31133</v>
      </c>
    </row>
    <row r="274" spans="1:12" x14ac:dyDescent="0.25">
      <c r="A274" s="33" t="s">
        <v>12</v>
      </c>
      <c r="B274" s="1" t="s">
        <v>13</v>
      </c>
      <c r="C274" s="1" t="s">
        <v>11</v>
      </c>
      <c r="D274" s="42">
        <v>71377</v>
      </c>
      <c r="E274" s="41">
        <f>(D274-'2018'!D236)/'2018'!D236</f>
        <v>-2.9267363897237823E-2</v>
      </c>
      <c r="F274" s="42">
        <v>71736</v>
      </c>
      <c r="G274" s="42">
        <v>64432</v>
      </c>
      <c r="H274" s="41">
        <f>(G274-'2018'!G236)/'2018'!G236</f>
        <v>-4.3822809230540924E-2</v>
      </c>
      <c r="I274" s="42">
        <v>65061</v>
      </c>
      <c r="J274" s="42">
        <v>31133</v>
      </c>
      <c r="K274" s="41">
        <f>(J274-'2018'!J236)/'2018'!J236</f>
        <v>-3.517416635676212E-2</v>
      </c>
      <c r="L274" s="42">
        <v>31289</v>
      </c>
    </row>
    <row r="275" spans="1:12" x14ac:dyDescent="0.25">
      <c r="A275" s="33" t="s">
        <v>14</v>
      </c>
      <c r="B275" s="1" t="s">
        <v>15</v>
      </c>
      <c r="C275" s="1" t="s">
        <v>11</v>
      </c>
      <c r="D275" s="42">
        <v>69686</v>
      </c>
      <c r="E275" s="41">
        <f>(D275-'2018'!D237)/'2018'!D237</f>
        <v>-1.1153365875808832E-2</v>
      </c>
      <c r="F275" s="42">
        <v>70422</v>
      </c>
      <c r="G275" s="42">
        <v>62735</v>
      </c>
      <c r="H275" s="41">
        <f>(G275-'2018'!G237)/'2018'!G237</f>
        <v>-6.0220208224103067E-2</v>
      </c>
      <c r="I275" s="42">
        <v>65061</v>
      </c>
      <c r="J275" s="42">
        <v>18559</v>
      </c>
      <c r="K275" s="41">
        <f>(J275-'2018'!J237)/'2018'!J237</f>
        <v>-0.42800345188929295</v>
      </c>
      <c r="L275" s="42">
        <v>30988</v>
      </c>
    </row>
    <row r="276" spans="1:12" ht="15.75" thickBot="1" x14ac:dyDescent="0.3">
      <c r="A276" s="109" t="s">
        <v>383</v>
      </c>
      <c r="B276" s="110"/>
      <c r="C276" s="110"/>
      <c r="D276" s="110"/>
      <c r="E276" s="110"/>
      <c r="F276" s="110"/>
      <c r="G276" s="110"/>
      <c r="H276" s="110"/>
      <c r="I276" s="42"/>
      <c r="J276" s="42"/>
      <c r="K276" s="74"/>
      <c r="L276" s="49"/>
    </row>
  </sheetData>
  <mergeCells count="80">
    <mergeCell ref="A260:L260"/>
    <mergeCell ref="A267:L267"/>
    <mergeCell ref="A269:L269"/>
    <mergeCell ref="A276:E276"/>
    <mergeCell ref="F276:H276"/>
    <mergeCell ref="A205:L205"/>
    <mergeCell ref="A212:L212"/>
    <mergeCell ref="A214:L214"/>
    <mergeCell ref="A221:E221"/>
    <mergeCell ref="F221:H221"/>
    <mergeCell ref="A171:L171"/>
    <mergeCell ref="A178:L178"/>
    <mergeCell ref="A180:L180"/>
    <mergeCell ref="A187:E187"/>
    <mergeCell ref="F187:H187"/>
    <mergeCell ref="A137:L137"/>
    <mergeCell ref="A144:L144"/>
    <mergeCell ref="A146:L146"/>
    <mergeCell ref="A153:E153"/>
    <mergeCell ref="F153:H153"/>
    <mergeCell ref="A103:L103"/>
    <mergeCell ref="A110:L110"/>
    <mergeCell ref="A112:L112"/>
    <mergeCell ref="A119:E119"/>
    <mergeCell ref="F119:H119"/>
    <mergeCell ref="A69:L69"/>
    <mergeCell ref="A76:L76"/>
    <mergeCell ref="A78:L78"/>
    <mergeCell ref="A85:E85"/>
    <mergeCell ref="F85:H85"/>
    <mergeCell ref="A35:L35"/>
    <mergeCell ref="A42:L42"/>
    <mergeCell ref="A44:L44"/>
    <mergeCell ref="A51:E51"/>
    <mergeCell ref="F51:H51"/>
    <mergeCell ref="A1:L1"/>
    <mergeCell ref="A8:L8"/>
    <mergeCell ref="A10:L10"/>
    <mergeCell ref="A17:E17"/>
    <mergeCell ref="F17:H17"/>
    <mergeCell ref="A18:L18"/>
    <mergeCell ref="A25:L25"/>
    <mergeCell ref="A27:L27"/>
    <mergeCell ref="A34:E34"/>
    <mergeCell ref="F34:H34"/>
    <mergeCell ref="A52:L52"/>
    <mergeCell ref="A59:L59"/>
    <mergeCell ref="A61:L61"/>
    <mergeCell ref="A68:E68"/>
    <mergeCell ref="F68:H68"/>
    <mergeCell ref="A86:L86"/>
    <mergeCell ref="A93:L93"/>
    <mergeCell ref="A95:L95"/>
    <mergeCell ref="A102:E102"/>
    <mergeCell ref="F102:H102"/>
    <mergeCell ref="A120:L120"/>
    <mergeCell ref="A127:L127"/>
    <mergeCell ref="A129:L129"/>
    <mergeCell ref="A136:E136"/>
    <mergeCell ref="F136:H136"/>
    <mergeCell ref="A154:L154"/>
    <mergeCell ref="A161:L161"/>
    <mergeCell ref="A163:L163"/>
    <mergeCell ref="A170:E170"/>
    <mergeCell ref="F170:H170"/>
    <mergeCell ref="A188:L188"/>
    <mergeCell ref="A195:L195"/>
    <mergeCell ref="A197:L197"/>
    <mergeCell ref="A204:E204"/>
    <mergeCell ref="F204:H204"/>
    <mergeCell ref="A222:L222"/>
    <mergeCell ref="A229:L229"/>
    <mergeCell ref="A231:L231"/>
    <mergeCell ref="A238:E238"/>
    <mergeCell ref="F238:H238"/>
    <mergeCell ref="A257:E257"/>
    <mergeCell ref="F257:H257"/>
    <mergeCell ref="A241:L241"/>
    <mergeCell ref="A248:L248"/>
    <mergeCell ref="A250:L250"/>
  </mergeCells>
  <conditionalFormatting sqref="E12:E16 H12:H16 K12:K16">
    <cfRule type="colorScale" priority="50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3:E7 K3:K7">
    <cfRule type="colorScale" priority="49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3:H7">
    <cfRule type="colorScale" priority="48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9:E33 H29:H33 K29:K33">
    <cfRule type="colorScale" priority="47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0:E24 K20:K24">
    <cfRule type="colorScale" priority="46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20:H24">
    <cfRule type="colorScale" priority="4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46:E50 H46:H50 K46:K50">
    <cfRule type="colorScale" priority="4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37:E41 K37:K41">
    <cfRule type="colorScale" priority="43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37:H41">
    <cfRule type="colorScale" priority="4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63:E67 H63:H67 K63:K67">
    <cfRule type="colorScale" priority="41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54:E58 K54:K58">
    <cfRule type="colorScale" priority="40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54:H58">
    <cfRule type="colorScale" priority="39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80:E84 H80:H84 K80:K84">
    <cfRule type="colorScale" priority="38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71:E75 K71:K75">
    <cfRule type="colorScale" priority="37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71:H75">
    <cfRule type="colorScale" priority="36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97:E101 H97:H101 K97:K101">
    <cfRule type="colorScale" priority="3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88:E92 K88:K92">
    <cfRule type="colorScale" priority="3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88:H92">
    <cfRule type="colorScale" priority="33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14:E118 H114:H118 K114:K118">
    <cfRule type="colorScale" priority="3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05:E109 K105:K109">
    <cfRule type="colorScale" priority="31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105:H109">
    <cfRule type="colorScale" priority="30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31:E135 H131:H135 K131:K135">
    <cfRule type="colorScale" priority="29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22:E126 K122:K126">
    <cfRule type="colorScale" priority="28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122:H126">
    <cfRule type="colorScale" priority="27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48:E152 H148:H152 K148:K152">
    <cfRule type="colorScale" priority="26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39:E143 K139:K143">
    <cfRule type="colorScale" priority="2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139:H143">
    <cfRule type="colorScale" priority="2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65:E169 H165:H169 K165:K169">
    <cfRule type="colorScale" priority="23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56:E160 K156:K160">
    <cfRule type="colorScale" priority="2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156:H160">
    <cfRule type="colorScale" priority="21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82:E186 H182:H186 K182:K186">
    <cfRule type="colorScale" priority="20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73:E177 K173:K177">
    <cfRule type="colorScale" priority="19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173:H177">
    <cfRule type="colorScale" priority="18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99:E203 H199:H203 K199:K203">
    <cfRule type="colorScale" priority="17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90:E194 K190:K194">
    <cfRule type="colorScale" priority="16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190:H194">
    <cfRule type="colorScale" priority="1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16:E220 H216:H220 K216:K220">
    <cfRule type="colorScale" priority="1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07:E211 K207:K211">
    <cfRule type="colorScale" priority="13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207:H211">
    <cfRule type="colorScale" priority="1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33:E237 H233:H237 K233:K237">
    <cfRule type="colorScale" priority="11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24:E228 K224:K228">
    <cfRule type="colorScale" priority="10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224:H228">
    <cfRule type="colorScale" priority="9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52:E256 K252:K256">
    <cfRule type="colorScale" priority="8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43:E247 K243:K247">
    <cfRule type="colorScale" priority="7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243:H247">
    <cfRule type="colorScale" priority="6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252:H256">
    <cfRule type="colorScale" priority="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71:E275 K271:K275">
    <cfRule type="colorScale" priority="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62:E266 K262:K266">
    <cfRule type="colorScale" priority="3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262:H266">
    <cfRule type="colorScale" priority="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271:H275">
    <cfRule type="colorScale" priority="1">
      <colorScale>
        <cfvo type="min"/>
        <cfvo type="num" val="0"/>
        <cfvo type="max"/>
        <color rgb="FFF8696B"/>
        <color theme="0"/>
        <color rgb="FF63BE7B"/>
      </colorScale>
    </cfRule>
  </conditionalFormatting>
  <hyperlinks>
    <hyperlink ref="A8:L8" r:id="rId1" location="system_information" display="Worst of 3 : 8108_sp_online_poll_smp_18.0a2" xr:uid="{0B997769-C064-45FF-8C0D-B73B7B1D7AAD}"/>
    <hyperlink ref="A17:E17" r:id="rId2" display="Worst of 3 : 8108_sp_online_poll_no_smp_18.0a2" xr:uid="{4CD0D163-8461-4B6E-BACB-71B04AA175A4}"/>
    <hyperlink ref="A25:L25" r:id="rId3" location="test_daqmx-Benchmark.lvproj%5CRT%20Target%5CT1%20-%20AI-AO%5CTest_DAQmx_AI-AO_01_RPoll_SCPoll.vi" display="Worst of 3 : 8108_sp_online_poll_smp_18.0a11" xr:uid="{81E45A90-220A-450F-9A15-4B3A5732BB1A}"/>
    <hyperlink ref="A34:E34" r:id="rId4" display="Worst of 3 : 8108_sp_online_poll_no_smp_18.0a11" xr:uid="{4001A7B6-59B7-4AAC-954D-3709B8415257}"/>
    <hyperlink ref="A42:L42" r:id="rId5" display="Worst of 3 : 8108_sp_online_poll_smp_18.0b0" xr:uid="{EAAA9482-7A67-4881-BAF9-14155D380F40}"/>
    <hyperlink ref="A51:E51" r:id="rId6" display="Worst of 3 : 8108_sp_online_poll_no_smp_18.0b0" xr:uid="{91F13198-B82C-4317-8EB6-4B16E26DD4A9}"/>
    <hyperlink ref="A59:L59" r:id="rId7" display="Worst of 3 : 8108_sp_online_poll_smp_18.0b7" xr:uid="{92E976CB-40EE-4D21-8CBF-9B1A0B0846EE}"/>
    <hyperlink ref="A68:E68" r:id="rId8" display="Worst of 3 : 8108_sp_online_poll_no_smp_18.0b7" xr:uid="{85435E9B-9371-4C60-B35D-303F67DFF1E0}"/>
    <hyperlink ref="A76:L76" r:id="rId9" display="Worst of 3 : 8108_sp_online_poll_smp_18.0b22" xr:uid="{C82259BF-D9A9-4769-BCC8-6A9F787D972C}"/>
    <hyperlink ref="A85:E85" r:id="rId10" display="Worst of 3 : 8108_sp_online_poll_no_smp_18.0b22" xr:uid="{177D8E21-F3AF-4FFF-B0B2-9929DC09E209}"/>
    <hyperlink ref="A93:L93" r:id="rId11" display="Worst of 3 : 8108_sp_online_poll_smp_18.0b30" xr:uid="{A8140588-1F01-4538-9300-01F99A0DEFED}"/>
    <hyperlink ref="A102:E102" r:id="rId12" display="Worst of 3 : 8108_sp_online_poll_no_smp_18.0b30" xr:uid="{47D9CCE7-4332-43AD-B815-AEBE8963583B}"/>
    <hyperlink ref="A110:L110" r:id="rId13" display="Worst of 3 : 8108_sp_online_poll_smp_18.0b34" xr:uid="{3B6AE410-F250-437A-B96C-EC35B52F67D2}"/>
    <hyperlink ref="A119:E119" r:id="rId14" display="Worst of 3 : 8108_sp_online_poll_no_smp_18.0b34" xr:uid="{FB8D1668-C7AF-44FA-8ABF-851F24701F70}"/>
    <hyperlink ref="A127:L127" r:id="rId15" display="Worst of 3 : 8108_sp_online_poll_smp_18.0b58" xr:uid="{B1B198E5-FB1C-4288-B573-BB70E6495158}"/>
    <hyperlink ref="A136:E136" r:id="rId16" display="Worst of 3 : 8108_sp_online_poll_no_smp_18.0b58" xr:uid="{3D10AF50-2293-4A8D-88F6-67606BFA2CCD}"/>
    <hyperlink ref="A144:L144" r:id="rId17" display="Worst of 3 : 8108_sp_online_poll_smp_18.0b60" xr:uid="{22F9FCCE-F01F-44CA-B701-F41C2F99D3F7}"/>
    <hyperlink ref="A153:E153" r:id="rId18" display="Worst of 3 : 8108_sp_online_poll_no_smp_18.0b60" xr:uid="{24B9F425-6102-4CB0-B43F-8B98FD5F18DD}"/>
    <hyperlink ref="A161:L161" r:id="rId19" display="Worst of 3 : 8108_sp_online_poll_smp_18.0b67" xr:uid="{6DE01C9E-5748-48FC-8284-EB9EE5850881}"/>
    <hyperlink ref="A170:E170" r:id="rId20" display="Worst of 3 : 8108_sp_online_poll_no_smp_18.0b67" xr:uid="{F7EE7E2C-D191-4FB4-AA01-3EADB779117B}"/>
    <hyperlink ref="A178:L178" r:id="rId21" display="Worst of 3 : 8108_sp_online_poll_smp_18.0b72" xr:uid="{648BB571-492F-43AE-8EE3-6739A2945CFF}"/>
    <hyperlink ref="A187:E187" r:id="rId22" display="Worst of 3 : 8108_sp_online_poll_no_smp_18.0b72" xr:uid="{3582525F-3FB1-489A-9247-D523890CFB92}"/>
    <hyperlink ref="A195:L195" r:id="rId23" display="Worst of 3 : 8108_sp_online_poll_smp_18.0rc1" xr:uid="{A8DBCF29-89A5-412E-9BC7-CF6E9D118F7D}"/>
    <hyperlink ref="A204:E204" r:id="rId24" display="Worst of 3 : 8108_sp_online_poll_no_smp_18.0rc1" xr:uid="{115A0D4C-F0C4-44DD-B6B8-B10D35F8152F}"/>
    <hyperlink ref="A212:L212" r:id="rId25" display="Worst of 3 : 8108_sp_online_poll_smp_18.0" xr:uid="{167B8B2F-D30D-41E2-A99A-59368C33C1D7}"/>
    <hyperlink ref="A221:E221" r:id="rId26" display="Worst of 3 : 8108_sp_online_poll_no_smp_18.0" xr:uid="{A2F2281A-474F-4199-88B3-E52B42388292}"/>
    <hyperlink ref="A229:L229" r:id="rId27" display="Worst of 3 : 8108_sp_online_poll_smp_18.0" xr:uid="{0C8B1598-E16C-472F-8199-C8AA21694A96}"/>
    <hyperlink ref="A238:E238" r:id="rId28" display="Worst of 3 : 8108_sp_online_poll_no_smp_18.0" xr:uid="{023B8640-27E6-4674-A6DD-365EB0697831}"/>
    <hyperlink ref="A257:E257" r:id="rId29" display="Worst of 3 : 8108_sp_online_poll_no_smp_18.0.1b3" xr:uid="{ABD127DB-7650-4922-9D91-F203A40BC049}"/>
    <hyperlink ref="A248:L248" r:id="rId30" display="Worst of 3 : 8108_sp_online_poll_smp_18.0.1b3" xr:uid="{D89BEC46-4BBF-4F1A-985F-87620745337C}"/>
    <hyperlink ref="A276:E276" r:id="rId31" display="Worst of 3 : 8108_sp_online_poll_no_smp_18.0.1" xr:uid="{3432CFB8-9635-4DE0-BADC-622A97DA185A}"/>
    <hyperlink ref="A267:L267" r:id="rId32" display="Worst of 3 : 8108_sp_online_poll_smp_18.0.1" xr:uid="{15941259-5D7D-4A6D-AA41-3D767446E18B}"/>
  </hyperlinks>
  <pageMargins left="0.7" right="0.7" top="0.75" bottom="0.75" header="0.3" footer="0.3"/>
  <pageSetup orientation="portrait" r:id="rId3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B780A-9E61-449A-A6DD-5579A62D8391}">
  <dimension ref="A1:L269"/>
  <sheetViews>
    <sheetView topLeftCell="A242" workbookViewId="0">
      <selection activeCell="A260" sqref="A260:E260"/>
    </sheetView>
  </sheetViews>
  <sheetFormatPr defaultRowHeight="15" x14ac:dyDescent="0.25"/>
  <cols>
    <col min="1" max="1" width="4.7109375" bestFit="1" customWidth="1"/>
    <col min="2" max="2" width="26" bestFit="1" customWidth="1"/>
    <col min="3" max="3" width="9.85546875" bestFit="1" customWidth="1"/>
    <col min="4" max="4" width="12.42578125" customWidth="1"/>
    <col min="5" max="5" width="10.140625" customWidth="1"/>
    <col min="6" max="6" width="8.42578125" bestFit="1" customWidth="1"/>
    <col min="7" max="7" width="7.85546875" bestFit="1" customWidth="1"/>
  </cols>
  <sheetData>
    <row r="1" spans="1:12" ht="18.75" x14ac:dyDescent="0.3">
      <c r="A1" s="83" t="s">
        <v>387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108"/>
    </row>
    <row r="2" spans="1:12" ht="45" x14ac:dyDescent="0.25">
      <c r="A2" s="33" t="s">
        <v>2</v>
      </c>
      <c r="B2" s="1" t="s">
        <v>3</v>
      </c>
      <c r="C2" s="1" t="s">
        <v>4</v>
      </c>
      <c r="D2" s="4" t="s">
        <v>78</v>
      </c>
      <c r="E2" s="4" t="s">
        <v>391</v>
      </c>
      <c r="F2" s="4" t="s">
        <v>85</v>
      </c>
      <c r="G2" s="4" t="s">
        <v>79</v>
      </c>
      <c r="H2" s="4" t="s">
        <v>391</v>
      </c>
      <c r="I2" s="4" t="s">
        <v>82</v>
      </c>
      <c r="J2" s="4" t="s">
        <v>80</v>
      </c>
      <c r="K2" s="4" t="s">
        <v>391</v>
      </c>
      <c r="L2" s="72" t="s">
        <v>81</v>
      </c>
    </row>
    <row r="3" spans="1:12" x14ac:dyDescent="0.25">
      <c r="A3" s="33" t="s">
        <v>5</v>
      </c>
      <c r="B3" s="1" t="s">
        <v>6</v>
      </c>
      <c r="C3" s="1" t="s">
        <v>7</v>
      </c>
      <c r="D3" s="42">
        <v>164203</v>
      </c>
      <c r="E3" s="41">
        <f>(D3-'2018'!D207)/'2018'!D207</f>
        <v>8.2092026573993351E-3</v>
      </c>
      <c r="F3" s="42">
        <v>166666</v>
      </c>
      <c r="G3" s="42">
        <v>99304</v>
      </c>
      <c r="H3" s="41">
        <f>(G3-'2018'!G207)/'2018'!G207</f>
        <v>-0.10129686778826574</v>
      </c>
      <c r="I3" s="42">
        <v>104493</v>
      </c>
      <c r="J3" s="42">
        <v>36023</v>
      </c>
      <c r="K3" s="41">
        <f>(J3-'2018'!J207)/'2018'!J207</f>
        <v>-6.194989844278944E-2</v>
      </c>
      <c r="L3" s="42">
        <v>37551</v>
      </c>
    </row>
    <row r="4" spans="1:12" x14ac:dyDescent="0.25">
      <c r="A4" s="33" t="s">
        <v>8</v>
      </c>
      <c r="B4" s="1" t="s">
        <v>9</v>
      </c>
      <c r="C4" s="1" t="s">
        <v>7</v>
      </c>
      <c r="D4" s="42">
        <v>143678</v>
      </c>
      <c r="E4" s="41">
        <f>(D4-'2018'!D208)/'2018'!D208</f>
        <v>-0.10201250000000001</v>
      </c>
      <c r="F4" s="42">
        <v>160000</v>
      </c>
      <c r="G4" s="42">
        <v>90744</v>
      </c>
      <c r="H4" s="41">
        <f>(G4-'2018'!G208)/'2018'!G208</f>
        <v>-6.2610402355250241E-2</v>
      </c>
      <c r="I4" s="42">
        <v>92936</v>
      </c>
      <c r="J4" s="42">
        <v>35174</v>
      </c>
      <c r="K4" s="41">
        <f>(J4-'2018'!J208)/'2018'!J208</f>
        <v>-2.3568275823779253E-2</v>
      </c>
      <c r="L4" s="42">
        <v>35688</v>
      </c>
    </row>
    <row r="5" spans="1:12" x14ac:dyDescent="0.25">
      <c r="A5" s="33" t="s">
        <v>10</v>
      </c>
      <c r="B5" s="1" t="s">
        <v>9</v>
      </c>
      <c r="C5" s="1" t="s">
        <v>11</v>
      </c>
      <c r="D5" s="42">
        <v>60569</v>
      </c>
      <c r="E5" s="41">
        <f>(D5-'2018'!D209)/'2018'!D209</f>
        <v>-3.0896E-2</v>
      </c>
      <c r="F5" s="42">
        <v>63011</v>
      </c>
      <c r="G5" s="42">
        <v>43610</v>
      </c>
      <c r="H5" s="41">
        <f>(G5-'2018'!G209)/'2018'!G209</f>
        <v>-0.22112482363236949</v>
      </c>
      <c r="I5" s="42">
        <v>43821</v>
      </c>
      <c r="J5" s="42">
        <v>25471</v>
      </c>
      <c r="K5" s="41">
        <f>(J5-'2018'!J209)/'2018'!J209</f>
        <v>-9.6003691084611015E-2</v>
      </c>
      <c r="L5" s="42">
        <v>26518</v>
      </c>
    </row>
    <row r="6" spans="1:12" x14ac:dyDescent="0.25">
      <c r="A6" s="33" t="s">
        <v>12</v>
      </c>
      <c r="B6" s="1" t="s">
        <v>13</v>
      </c>
      <c r="C6" s="1" t="s">
        <v>7</v>
      </c>
      <c r="D6" s="42">
        <v>111607</v>
      </c>
      <c r="E6" s="41">
        <f>(D6-'2018'!D210)/'2018'!D210</f>
        <v>-0.15290090473009899</v>
      </c>
      <c r="F6" s="42">
        <v>157977</v>
      </c>
      <c r="G6" s="42">
        <v>95877</v>
      </c>
      <c r="H6" s="41">
        <f>(G6-'2018'!G210)/'2018'!G210</f>
        <v>-2.6846795639552588E-2</v>
      </c>
      <c r="I6" s="42">
        <v>97087</v>
      </c>
      <c r="J6" s="42">
        <v>36010</v>
      </c>
      <c r="K6" s="41">
        <f>(J6-'2018'!J210)/'2018'!J210</f>
        <v>-2.4119241192411923E-2</v>
      </c>
      <c r="L6" s="42">
        <v>36859</v>
      </c>
    </row>
    <row r="7" spans="1:12" x14ac:dyDescent="0.25">
      <c r="A7" s="33" t="s">
        <v>14</v>
      </c>
      <c r="B7" s="1" t="s">
        <v>15</v>
      </c>
      <c r="C7" s="1" t="s">
        <v>7</v>
      </c>
      <c r="D7" s="42">
        <v>134228</v>
      </c>
      <c r="E7" s="41">
        <f>(D7-'2018'!D211)/'2018'!D211</f>
        <v>-4.0216665429991839E-3</v>
      </c>
      <c r="F7" s="42">
        <v>135317</v>
      </c>
      <c r="G7" s="42">
        <v>88261</v>
      </c>
      <c r="H7" s="41">
        <f>(G7-'2018'!G211)/'2018'!G211</f>
        <v>-0.13768880551810384</v>
      </c>
      <c r="I7" s="42">
        <v>94250</v>
      </c>
      <c r="J7" s="42">
        <v>37050</v>
      </c>
      <c r="K7" s="41">
        <f>(J7-'2018'!J211)/'2018'!J211</f>
        <v>4.2604682575416476E-2</v>
      </c>
      <c r="L7" s="42">
        <v>37411</v>
      </c>
    </row>
    <row r="8" spans="1:12" ht="15.75" thickBot="1" x14ac:dyDescent="0.3">
      <c r="A8" s="115" t="s">
        <v>389</v>
      </c>
      <c r="B8" s="96"/>
      <c r="C8" s="96"/>
      <c r="D8" s="96"/>
      <c r="E8" s="96"/>
      <c r="F8" s="96"/>
      <c r="G8" s="96"/>
      <c r="H8" s="96"/>
      <c r="I8" s="96"/>
      <c r="J8" s="96"/>
      <c r="K8" s="96"/>
      <c r="L8" s="116"/>
    </row>
    <row r="9" spans="1:12" ht="15.75" thickBot="1" x14ac:dyDescent="0.3">
      <c r="A9" s="15"/>
      <c r="B9" s="13"/>
      <c r="C9" s="21"/>
    </row>
    <row r="10" spans="1:12" ht="18.75" x14ac:dyDescent="0.3">
      <c r="A10" s="83" t="s">
        <v>388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108"/>
    </row>
    <row r="11" spans="1:12" ht="45" x14ac:dyDescent="0.25">
      <c r="A11" s="33" t="s">
        <v>2</v>
      </c>
      <c r="B11" s="1" t="s">
        <v>3</v>
      </c>
      <c r="C11" s="1" t="s">
        <v>4</v>
      </c>
      <c r="D11" s="4" t="s">
        <v>78</v>
      </c>
      <c r="E11" s="4" t="s">
        <v>391</v>
      </c>
      <c r="F11" s="4" t="s">
        <v>85</v>
      </c>
      <c r="G11" s="4" t="s">
        <v>79</v>
      </c>
      <c r="H11" s="4" t="s">
        <v>391</v>
      </c>
      <c r="I11" s="4" t="s">
        <v>82</v>
      </c>
      <c r="J11" s="4" t="s">
        <v>80</v>
      </c>
      <c r="K11" s="4" t="s">
        <v>391</v>
      </c>
      <c r="L11" s="72" t="s">
        <v>81</v>
      </c>
    </row>
    <row r="12" spans="1:12" x14ac:dyDescent="0.25">
      <c r="A12" s="33" t="s">
        <v>5</v>
      </c>
      <c r="B12" s="1" t="s">
        <v>6</v>
      </c>
      <c r="C12" s="1" t="s">
        <v>7</v>
      </c>
      <c r="D12" s="42">
        <v>143884</v>
      </c>
      <c r="E12" s="41">
        <f>(D12-'2018'!D216)/'2018'!D216</f>
        <v>-2.5902105476948073E-2</v>
      </c>
      <c r="F12" s="42">
        <v>144927</v>
      </c>
      <c r="G12" s="42">
        <v>89445</v>
      </c>
      <c r="H12" s="41">
        <f>(G12-'2018'!G216)/'2018'!G216</f>
        <v>-0.11986105917776947</v>
      </c>
      <c r="I12" s="42">
        <v>90744</v>
      </c>
      <c r="J12" s="42">
        <v>36271</v>
      </c>
      <c r="K12" s="41">
        <f>(J12-'2018'!J216)/'2018'!J216</f>
        <v>-4.7196992563729662E-3</v>
      </c>
      <c r="L12" s="42">
        <v>36443</v>
      </c>
    </row>
    <row r="13" spans="1:12" x14ac:dyDescent="0.25">
      <c r="A13" s="33" t="s">
        <v>8</v>
      </c>
      <c r="B13" s="1" t="s">
        <v>9</v>
      </c>
      <c r="C13" s="1" t="s">
        <v>7</v>
      </c>
      <c r="D13" s="42">
        <v>138888</v>
      </c>
      <c r="E13" s="41">
        <f>(D13-'2018'!D217)/'2018'!D217</f>
        <v>-2.0832892705315031E-2</v>
      </c>
      <c r="F13" s="42">
        <v>140056</v>
      </c>
      <c r="G13" s="42">
        <v>78064</v>
      </c>
      <c r="H13" s="41">
        <f>(G13-'2018'!G217)/'2018'!G217</f>
        <v>-0.15144136701595723</v>
      </c>
      <c r="I13" s="42">
        <v>78802</v>
      </c>
      <c r="J13" s="42">
        <v>33579</v>
      </c>
      <c r="K13" s="41">
        <f>(J13-'2018'!J217)/'2018'!J217</f>
        <v>-2.1505376344086023E-2</v>
      </c>
      <c r="L13" s="42">
        <v>33875</v>
      </c>
    </row>
    <row r="14" spans="1:12" x14ac:dyDescent="0.25">
      <c r="A14" s="33" t="s">
        <v>10</v>
      </c>
      <c r="B14" s="1" t="s">
        <v>9</v>
      </c>
      <c r="C14" s="1" t="s">
        <v>11</v>
      </c>
      <c r="D14" s="42">
        <v>80450</v>
      </c>
      <c r="E14" s="41">
        <f>(D14-'2018'!D218)/'2018'!D218</f>
        <v>-2.2526244167962676E-2</v>
      </c>
      <c r="F14" s="42">
        <v>81833</v>
      </c>
      <c r="G14" s="42">
        <v>52164</v>
      </c>
      <c r="H14" s="41">
        <f>(G14-'2018'!G218)/'2018'!G218</f>
        <v>-0.25979112271540472</v>
      </c>
      <c r="I14" s="42">
        <v>52659</v>
      </c>
      <c r="J14" s="42">
        <v>31289</v>
      </c>
      <c r="K14" s="41">
        <f>(J14-'2018'!J218)/'2018'!J218</f>
        <v>-2.2218749999999999E-2</v>
      </c>
      <c r="L14" s="42">
        <v>31585</v>
      </c>
    </row>
    <row r="15" spans="1:12" x14ac:dyDescent="0.25">
      <c r="A15" s="33" t="s">
        <v>12</v>
      </c>
      <c r="B15" s="1" t="s">
        <v>13</v>
      </c>
      <c r="C15" s="1" t="s">
        <v>11</v>
      </c>
      <c r="D15" s="42">
        <v>72833</v>
      </c>
      <c r="E15" s="41">
        <f>(D15-'2018'!D219)/'2018'!D219</f>
        <v>3.6517473266453535E-3</v>
      </c>
      <c r="F15" s="42">
        <v>73855</v>
      </c>
      <c r="G15" s="42">
        <v>51440</v>
      </c>
      <c r="H15" s="41">
        <f>(G15-'2018'!G219)/'2018'!G219</f>
        <v>-0.22942101715227323</v>
      </c>
      <c r="I15" s="42">
        <v>52192</v>
      </c>
      <c r="J15" s="42">
        <v>31436</v>
      </c>
      <c r="K15" s="41">
        <f>(J15-'2018'!J219)/'2018'!J219</f>
        <v>-1.3524963128000753E-2</v>
      </c>
      <c r="L15" s="42">
        <v>31565</v>
      </c>
    </row>
    <row r="16" spans="1:12" x14ac:dyDescent="0.25">
      <c r="A16" s="33" t="s">
        <v>14</v>
      </c>
      <c r="B16" s="1" t="s">
        <v>15</v>
      </c>
      <c r="C16" s="1" t="s">
        <v>11</v>
      </c>
      <c r="D16" s="42">
        <v>70621</v>
      </c>
      <c r="E16" s="41">
        <f>(D16-'2018'!D220)/'2018'!D220</f>
        <v>-1.4127566903522119E-2</v>
      </c>
      <c r="F16" s="42">
        <v>70972</v>
      </c>
      <c r="G16" s="42">
        <v>50505</v>
      </c>
      <c r="H16" s="41">
        <f>(G16-'2018'!G220)/'2018'!G220</f>
        <v>-0.23635786322330918</v>
      </c>
      <c r="I16" s="42">
        <v>51203</v>
      </c>
      <c r="J16" s="42">
        <v>31595</v>
      </c>
      <c r="K16" s="41">
        <f>(J16-'2018'!J220)/'2018'!J220</f>
        <v>-1.1389592915923527E-2</v>
      </c>
      <c r="L16" s="42">
        <v>31705</v>
      </c>
    </row>
    <row r="17" spans="1:12" ht="15.75" thickBot="1" x14ac:dyDescent="0.3">
      <c r="A17" s="109" t="s">
        <v>390</v>
      </c>
      <c r="B17" s="110"/>
      <c r="C17" s="110"/>
      <c r="D17" s="110"/>
      <c r="E17" s="110"/>
      <c r="F17" s="110"/>
      <c r="G17" s="110"/>
      <c r="H17" s="110"/>
      <c r="I17" s="42"/>
      <c r="J17" s="42"/>
      <c r="K17" s="74"/>
      <c r="L17" s="49"/>
    </row>
    <row r="18" spans="1:12" ht="15.75" thickBot="1" x14ac:dyDescent="0.3"/>
    <row r="19" spans="1:12" ht="18.75" x14ac:dyDescent="0.3">
      <c r="A19" s="83" t="s">
        <v>392</v>
      </c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108"/>
    </row>
    <row r="20" spans="1:12" ht="45" x14ac:dyDescent="0.25">
      <c r="A20" s="33" t="s">
        <v>2</v>
      </c>
      <c r="B20" s="1" t="s">
        <v>3</v>
      </c>
      <c r="C20" s="1" t="s">
        <v>4</v>
      </c>
      <c r="D20" s="4" t="s">
        <v>78</v>
      </c>
      <c r="E20" s="4" t="s">
        <v>391</v>
      </c>
      <c r="F20" s="4" t="s">
        <v>85</v>
      </c>
      <c r="G20" s="4" t="s">
        <v>79</v>
      </c>
      <c r="H20" s="4" t="s">
        <v>391</v>
      </c>
      <c r="I20" s="4" t="s">
        <v>82</v>
      </c>
      <c r="J20" s="4" t="s">
        <v>80</v>
      </c>
      <c r="K20" s="4" t="s">
        <v>391</v>
      </c>
      <c r="L20" s="72" t="s">
        <v>81</v>
      </c>
    </row>
    <row r="21" spans="1:12" x14ac:dyDescent="0.25">
      <c r="A21" s="33" t="s">
        <v>5</v>
      </c>
      <c r="B21" s="1" t="s">
        <v>6</v>
      </c>
      <c r="C21" s="1" t="s">
        <v>7</v>
      </c>
      <c r="D21" s="42">
        <v>163666</v>
      </c>
      <c r="E21" s="41">
        <f>(D21-'2018'!D207)/'2018'!D207</f>
        <v>4.9120135571574181E-3</v>
      </c>
      <c r="F21" s="42">
        <v>168634</v>
      </c>
      <c r="G21" s="42">
        <v>110619</v>
      </c>
      <c r="H21" s="41">
        <f>(G21-'2018'!G207)/'2018'!G207</f>
        <v>1.1041023738201038E-3</v>
      </c>
      <c r="I21" s="42">
        <v>112107</v>
      </c>
      <c r="J21" s="42">
        <v>37907</v>
      </c>
      <c r="K21" s="41">
        <f>(J21-'2018'!J207)/'2018'!J207</f>
        <v>-1.2889953648247488E-2</v>
      </c>
      <c r="L21" s="42">
        <v>38240</v>
      </c>
    </row>
    <row r="22" spans="1:12" x14ac:dyDescent="0.25">
      <c r="A22" s="33" t="s">
        <v>8</v>
      </c>
      <c r="B22" s="1" t="s">
        <v>9</v>
      </c>
      <c r="C22" s="1" t="s">
        <v>7</v>
      </c>
      <c r="D22" s="42">
        <v>156006</v>
      </c>
      <c r="E22" s="41">
        <f>(D22-'2018'!D208)/'2018'!D208</f>
        <v>-2.4962499999999999E-2</v>
      </c>
      <c r="F22" s="42">
        <v>163398</v>
      </c>
      <c r="G22" s="42">
        <v>98328</v>
      </c>
      <c r="H22" s="41">
        <f>(G22-'2018'!G208)/'2018'!G208</f>
        <v>1.5732658437064201E-2</v>
      </c>
      <c r="I22" s="42">
        <v>102354</v>
      </c>
      <c r="J22" s="42">
        <v>34602</v>
      </c>
      <c r="K22" s="41">
        <f>(J22-'2018'!J208)/'2018'!J208</f>
        <v>-3.9447019959470336E-2</v>
      </c>
      <c r="L22" s="42">
        <v>35574</v>
      </c>
    </row>
    <row r="23" spans="1:12" x14ac:dyDescent="0.25">
      <c r="A23" s="33" t="s">
        <v>10</v>
      </c>
      <c r="B23" s="1" t="s">
        <v>9</v>
      </c>
      <c r="C23" s="1" t="s">
        <v>11</v>
      </c>
      <c r="D23" s="42">
        <v>61349</v>
      </c>
      <c r="E23" s="41">
        <f>(D23-'2018'!D209)/'2018'!D209</f>
        <v>-1.8415999999999998E-2</v>
      </c>
      <c r="F23" s="42">
        <v>63011</v>
      </c>
      <c r="G23" s="42">
        <v>55096</v>
      </c>
      <c r="H23" s="41">
        <f>(G23-'2018'!G209)/'2018'!G209</f>
        <v>-1.5984711828686753E-2</v>
      </c>
      <c r="I23" s="42">
        <v>57537</v>
      </c>
      <c r="J23" s="42">
        <v>27909</v>
      </c>
      <c r="K23" s="41">
        <f>(J23-'2018'!J209)/'2018'!J209</f>
        <v>-9.4761499148211248E-3</v>
      </c>
      <c r="L23" s="42">
        <v>28176</v>
      </c>
    </row>
    <row r="24" spans="1:12" x14ac:dyDescent="0.25">
      <c r="A24" s="33" t="s">
        <v>12</v>
      </c>
      <c r="B24" s="1" t="s">
        <v>13</v>
      </c>
      <c r="C24" s="1" t="s">
        <v>7</v>
      </c>
      <c r="D24" s="42">
        <v>145348</v>
      </c>
      <c r="E24" s="41">
        <f>(D24-'2018'!D210)/'2018'!D210</f>
        <v>0.10319387940980024</v>
      </c>
      <c r="F24" s="42">
        <v>155763</v>
      </c>
      <c r="G24" s="42">
        <v>99304</v>
      </c>
      <c r="H24" s="41">
        <f>(G24-'2018'!G210)/'2018'!G210</f>
        <v>7.9373134934329383E-3</v>
      </c>
      <c r="I24" s="42">
        <v>106269</v>
      </c>
      <c r="J24" s="42">
        <v>36724</v>
      </c>
      <c r="K24" s="41">
        <f>(J24-'2018'!J210)/'2018'!J210</f>
        <v>-4.7696476964769648E-3</v>
      </c>
      <c r="L24" s="42">
        <v>37369</v>
      </c>
    </row>
    <row r="25" spans="1:12" x14ac:dyDescent="0.25">
      <c r="A25" s="33" t="s">
        <v>14</v>
      </c>
      <c r="B25" s="1" t="s">
        <v>15</v>
      </c>
      <c r="C25" s="1" t="s">
        <v>7</v>
      </c>
      <c r="D25" s="42">
        <v>131752</v>
      </c>
      <c r="E25" s="41">
        <f>(D25-'2018'!D211)/'2018'!D211</f>
        <v>-2.2393707798471468E-2</v>
      </c>
      <c r="F25" s="42">
        <v>136054</v>
      </c>
      <c r="G25" s="42">
        <v>103626</v>
      </c>
      <c r="H25" s="41">
        <f>(G25-'2018'!G211)/'2018'!G211</f>
        <v>1.2427457646989859E-2</v>
      </c>
      <c r="I25" s="42">
        <v>106269</v>
      </c>
      <c r="J25" s="42">
        <v>35880</v>
      </c>
      <c r="K25" s="41">
        <f>(J25-'2018'!J211)/'2018'!J211</f>
        <v>9.6803241782980644E-3</v>
      </c>
      <c r="L25" s="42">
        <v>37579</v>
      </c>
    </row>
    <row r="26" spans="1:12" ht="15.75" thickBot="1" x14ac:dyDescent="0.3">
      <c r="A26" s="115" t="s">
        <v>394</v>
      </c>
      <c r="B26" s="96"/>
      <c r="C26" s="96"/>
      <c r="D26" s="96"/>
      <c r="E26" s="96"/>
      <c r="F26" s="96"/>
      <c r="G26" s="96"/>
      <c r="H26" s="96"/>
      <c r="I26" s="96"/>
      <c r="J26" s="96"/>
      <c r="K26" s="96"/>
      <c r="L26" s="116"/>
    </row>
    <row r="27" spans="1:12" ht="15.75" thickBot="1" x14ac:dyDescent="0.3">
      <c r="A27" s="15"/>
      <c r="B27" s="13"/>
      <c r="C27" s="21"/>
    </row>
    <row r="28" spans="1:12" ht="18.75" x14ac:dyDescent="0.3">
      <c r="A28" s="83" t="s">
        <v>395</v>
      </c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108"/>
    </row>
    <row r="29" spans="1:12" ht="45" x14ac:dyDescent="0.25">
      <c r="A29" s="33" t="s">
        <v>2</v>
      </c>
      <c r="B29" s="1" t="s">
        <v>3</v>
      </c>
      <c r="C29" s="1" t="s">
        <v>4</v>
      </c>
      <c r="D29" s="4" t="s">
        <v>78</v>
      </c>
      <c r="E29" s="4" t="s">
        <v>391</v>
      </c>
      <c r="F29" s="4" t="s">
        <v>85</v>
      </c>
      <c r="G29" s="4" t="s">
        <v>79</v>
      </c>
      <c r="H29" s="4" t="s">
        <v>391</v>
      </c>
      <c r="I29" s="4" t="s">
        <v>82</v>
      </c>
      <c r="J29" s="4" t="s">
        <v>80</v>
      </c>
      <c r="K29" s="4" t="s">
        <v>391</v>
      </c>
      <c r="L29" s="72" t="s">
        <v>81</v>
      </c>
    </row>
    <row r="30" spans="1:12" x14ac:dyDescent="0.25">
      <c r="A30" s="33" t="s">
        <v>5</v>
      </c>
      <c r="B30" s="1" t="s">
        <v>6</v>
      </c>
      <c r="C30" s="1" t="s">
        <v>7</v>
      </c>
      <c r="D30" s="42">
        <v>143266</v>
      </c>
      <c r="E30" s="41">
        <f>(D30-'2018'!D216)/'2018'!D216</f>
        <v>-3.0085979283731638E-2</v>
      </c>
      <c r="F30" s="42">
        <v>144508</v>
      </c>
      <c r="G30" s="42">
        <v>98814</v>
      </c>
      <c r="H30" s="41">
        <f>(G30-'2018'!G216)/'2018'!G216</f>
        <v>-2.7670084427213509E-2</v>
      </c>
      <c r="I30" s="42">
        <v>99800</v>
      </c>
      <c r="J30" s="42">
        <v>35688</v>
      </c>
      <c r="K30" s="41">
        <f>(J30-'2018'!J216)/'2018'!J216</f>
        <v>-2.0717284526520868E-2</v>
      </c>
      <c r="L30" s="42">
        <v>35868</v>
      </c>
    </row>
    <row r="31" spans="1:12" x14ac:dyDescent="0.25">
      <c r="A31" s="33" t="s">
        <v>8</v>
      </c>
      <c r="B31" s="1" t="s">
        <v>9</v>
      </c>
      <c r="C31" s="1" t="s">
        <v>7</v>
      </c>
      <c r="D31" s="42">
        <v>137551</v>
      </c>
      <c r="E31" s="41">
        <f>(D31-'2018'!D217)/'2018'!D217</f>
        <v>-3.025880727282982E-2</v>
      </c>
      <c r="F31" s="42">
        <v>139275</v>
      </c>
      <c r="G31" s="42">
        <v>86956</v>
      </c>
      <c r="H31" s="41">
        <f>(G31-'2018'!G217)/'2018'!G217</f>
        <v>-5.4784990651767465E-2</v>
      </c>
      <c r="I31" s="42">
        <v>89445</v>
      </c>
      <c r="J31" s="42">
        <v>33167</v>
      </c>
      <c r="K31" s="41">
        <f>(J31-'2018'!J217)/'2018'!J217</f>
        <v>-3.3511087799050036E-2</v>
      </c>
      <c r="L31" s="42">
        <v>33579</v>
      </c>
    </row>
    <row r="32" spans="1:12" x14ac:dyDescent="0.25">
      <c r="A32" s="33" t="s">
        <v>10</v>
      </c>
      <c r="B32" s="1" t="s">
        <v>9</v>
      </c>
      <c r="C32" s="1" t="s">
        <v>11</v>
      </c>
      <c r="D32" s="42">
        <v>79302</v>
      </c>
      <c r="E32" s="41">
        <f>(D32-'2018'!D218)/'2018'!D218</f>
        <v>-3.6474533437013998E-2</v>
      </c>
      <c r="F32" s="42">
        <v>80450</v>
      </c>
      <c r="G32" s="42">
        <v>64935</v>
      </c>
      <c r="H32" s="41">
        <f>(G32-'2018'!G218)/'2018'!G218</f>
        <v>-7.8570212282892501E-2</v>
      </c>
      <c r="I32" s="42">
        <v>66844</v>
      </c>
      <c r="J32" s="42">
        <v>30674</v>
      </c>
      <c r="K32" s="41">
        <f>(J32-'2018'!J218)/'2018'!J218</f>
        <v>-4.1437500000000002E-2</v>
      </c>
      <c r="L32" s="42">
        <v>30978</v>
      </c>
    </row>
    <row r="33" spans="1:12" x14ac:dyDescent="0.25">
      <c r="A33" s="33" t="s">
        <v>12</v>
      </c>
      <c r="B33" s="1" t="s">
        <v>13</v>
      </c>
      <c r="C33" s="1" t="s">
        <v>11</v>
      </c>
      <c r="D33" s="42">
        <v>67159</v>
      </c>
      <c r="E33" s="41">
        <f>(D33-'2018'!D219)/'2018'!D219</f>
        <v>-7.4536985999338556E-2</v>
      </c>
      <c r="F33" s="42">
        <v>70972</v>
      </c>
      <c r="G33" s="42">
        <v>64474</v>
      </c>
      <c r="H33" s="41">
        <f>(G33-'2018'!G219)/'2018'!G219</f>
        <v>-3.4169725114223656E-2</v>
      </c>
      <c r="I33" s="42">
        <v>64808</v>
      </c>
      <c r="J33" s="42">
        <v>31436</v>
      </c>
      <c r="K33" s="41">
        <f>(J33-'2018'!J219)/'2018'!J219</f>
        <v>-1.3524963128000753E-2</v>
      </c>
      <c r="L33" s="42">
        <v>31436</v>
      </c>
    </row>
    <row r="34" spans="1:12" x14ac:dyDescent="0.25">
      <c r="A34" s="33" t="s">
        <v>14</v>
      </c>
      <c r="B34" s="1" t="s">
        <v>15</v>
      </c>
      <c r="C34" s="1" t="s">
        <v>11</v>
      </c>
      <c r="D34" s="42">
        <v>68870</v>
      </c>
      <c r="E34" s="41">
        <f>(D34-'2018'!D220)/'2018'!D220</f>
        <v>-3.8571608057738752E-2</v>
      </c>
      <c r="F34" s="42">
        <v>69108</v>
      </c>
      <c r="G34" s="42">
        <v>61842</v>
      </c>
      <c r="H34" s="41">
        <f>(G34-'2018'!G220)/'2018'!G220</f>
        <v>-6.4940955894582458E-2</v>
      </c>
      <c r="I34" s="42">
        <v>65061</v>
      </c>
      <c r="J34" s="42">
        <v>31279</v>
      </c>
      <c r="K34" s="41">
        <f>(J34-'2018'!J220)/'2018'!J220</f>
        <v>-2.1277261491285709E-2</v>
      </c>
      <c r="L34" s="42">
        <v>31279</v>
      </c>
    </row>
    <row r="35" spans="1:12" ht="15.75" thickBot="1" x14ac:dyDescent="0.3">
      <c r="A35" s="109" t="s">
        <v>393</v>
      </c>
      <c r="B35" s="110"/>
      <c r="C35" s="110"/>
      <c r="D35" s="110"/>
      <c r="E35" s="110"/>
      <c r="F35" s="110"/>
      <c r="G35" s="110"/>
      <c r="H35" s="110"/>
      <c r="I35" s="42"/>
      <c r="J35" s="42"/>
      <c r="K35" s="74"/>
      <c r="L35" s="49"/>
    </row>
    <row r="36" spans="1:12" ht="15.75" thickBot="1" x14ac:dyDescent="0.3"/>
    <row r="37" spans="1:12" ht="18.75" x14ac:dyDescent="0.3">
      <c r="A37" s="83" t="s">
        <v>396</v>
      </c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108"/>
    </row>
    <row r="38" spans="1:12" ht="45" x14ac:dyDescent="0.25">
      <c r="A38" s="33" t="s">
        <v>2</v>
      </c>
      <c r="B38" s="1" t="s">
        <v>3</v>
      </c>
      <c r="C38" s="1" t="s">
        <v>4</v>
      </c>
      <c r="D38" s="4" t="s">
        <v>78</v>
      </c>
      <c r="E38" s="4" t="s">
        <v>391</v>
      </c>
      <c r="F38" s="4" t="s">
        <v>85</v>
      </c>
      <c r="G38" s="4" t="s">
        <v>79</v>
      </c>
      <c r="H38" s="4" t="s">
        <v>391</v>
      </c>
      <c r="I38" s="4" t="s">
        <v>82</v>
      </c>
      <c r="J38" s="4" t="s">
        <v>80</v>
      </c>
      <c r="K38" s="4" t="s">
        <v>391</v>
      </c>
      <c r="L38" s="72" t="s">
        <v>81</v>
      </c>
    </row>
    <row r="39" spans="1:12" x14ac:dyDescent="0.25">
      <c r="A39" s="33" t="s">
        <v>5</v>
      </c>
      <c r="B39" s="1" t="s">
        <v>6</v>
      </c>
      <c r="C39" s="1" t="s">
        <v>7</v>
      </c>
      <c r="D39" s="42">
        <v>151515</v>
      </c>
      <c r="E39" s="41">
        <f>(D39-'2018'!D207)/'2018'!D207</f>
        <v>-6.9695332359117318E-2</v>
      </c>
      <c r="F39" s="42">
        <v>153609</v>
      </c>
      <c r="G39" s="42">
        <v>107874</v>
      </c>
      <c r="H39" s="41">
        <f>(G39-'2018'!G207)/'2018'!G207</f>
        <v>-2.3738201037132228E-2</v>
      </c>
      <c r="I39" s="42">
        <v>109529</v>
      </c>
      <c r="J39" s="42">
        <v>37397</v>
      </c>
      <c r="K39" s="41">
        <f>(J39-'2018'!J207)/'2018'!J207</f>
        <v>-2.6170511952502473E-2</v>
      </c>
      <c r="L39" s="42">
        <v>37735</v>
      </c>
    </row>
    <row r="40" spans="1:12" x14ac:dyDescent="0.25">
      <c r="A40" s="33" t="s">
        <v>8</v>
      </c>
      <c r="B40" s="1" t="s">
        <v>9</v>
      </c>
      <c r="C40" s="1" t="s">
        <v>7</v>
      </c>
      <c r="D40" s="42">
        <v>150829</v>
      </c>
      <c r="E40" s="41">
        <f>(D40-'2018'!D208)/'2018'!D208</f>
        <v>-5.7318750000000002E-2</v>
      </c>
      <c r="F40" s="42">
        <v>154320</v>
      </c>
      <c r="G40" s="42">
        <v>99900</v>
      </c>
      <c r="H40" s="41">
        <f>(G40-'2018'!G208)/'2018'!G208</f>
        <v>3.197148907597748E-2</v>
      </c>
      <c r="I40" s="42">
        <v>101214</v>
      </c>
      <c r="J40" s="42">
        <v>35829</v>
      </c>
      <c r="K40" s="41">
        <f>(J40-'2018'!J208)/'2018'!J208</f>
        <v>-5.3854481858812428E-3</v>
      </c>
      <c r="L40" s="42">
        <v>36363</v>
      </c>
    </row>
    <row r="41" spans="1:12" x14ac:dyDescent="0.25">
      <c r="A41" s="33" t="s">
        <v>10</v>
      </c>
      <c r="B41" s="1" t="s">
        <v>9</v>
      </c>
      <c r="C41" s="1" t="s">
        <v>11</v>
      </c>
      <c r="D41" s="42">
        <v>60024</v>
      </c>
      <c r="E41" s="41">
        <f>(D41-'2018'!D209)/'2018'!D209</f>
        <v>-3.9615999999999998E-2</v>
      </c>
      <c r="F41" s="42">
        <v>61349</v>
      </c>
      <c r="G41" s="42">
        <v>54824</v>
      </c>
      <c r="H41" s="41">
        <f>(G41-'2018'!G209)/'2018'!G209</f>
        <v>-2.0842635423550214E-2</v>
      </c>
      <c r="I41" s="42">
        <v>55897</v>
      </c>
      <c r="J41" s="42">
        <v>27909</v>
      </c>
      <c r="K41" s="41">
        <f>(J41-'2018'!J209)/'2018'!J209</f>
        <v>-9.4761499148211248E-3</v>
      </c>
      <c r="L41" s="42">
        <v>28176</v>
      </c>
    </row>
    <row r="42" spans="1:12" x14ac:dyDescent="0.25">
      <c r="A42" s="33" t="s">
        <v>12</v>
      </c>
      <c r="B42" s="1" t="s">
        <v>13</v>
      </c>
      <c r="C42" s="1" t="s">
        <v>7</v>
      </c>
      <c r="D42" s="42">
        <v>143061</v>
      </c>
      <c r="E42" s="41">
        <f>(D42-'2018'!D210)/'2018'!D210</f>
        <v>8.58355091383812E-2</v>
      </c>
      <c r="F42" s="42">
        <v>149700</v>
      </c>
      <c r="G42" s="42">
        <v>96805</v>
      </c>
      <c r="H42" s="41">
        <f>(G42-'2018'!G210)/'2018'!G210</f>
        <v>-1.7427579626885365E-2</v>
      </c>
      <c r="I42" s="42">
        <v>104166</v>
      </c>
      <c r="J42" s="42">
        <v>35323</v>
      </c>
      <c r="K42" s="41">
        <f>(J42-'2018'!J210)/'2018'!J210</f>
        <v>-4.2737127371273713E-2</v>
      </c>
      <c r="L42" s="42">
        <v>36900</v>
      </c>
    </row>
    <row r="43" spans="1:12" x14ac:dyDescent="0.25">
      <c r="A43" s="33" t="s">
        <v>14</v>
      </c>
      <c r="B43" s="1" t="s">
        <v>15</v>
      </c>
      <c r="C43" s="1" t="s">
        <v>7</v>
      </c>
      <c r="D43" s="42">
        <v>132625</v>
      </c>
      <c r="E43" s="41">
        <f>(D43-'2018'!D211)/'2018'!D211</f>
        <v>-1.59160050456333E-2</v>
      </c>
      <c r="F43" s="42">
        <v>134770</v>
      </c>
      <c r="G43" s="42">
        <v>102040</v>
      </c>
      <c r="H43" s="41">
        <f>(G43-'2018'!G211)/'2018'!G211</f>
        <v>-3.0677843562537861E-3</v>
      </c>
      <c r="I43" s="42">
        <v>104493</v>
      </c>
      <c r="J43" s="42">
        <v>36576</v>
      </c>
      <c r="K43" s="41">
        <f>(J43-'2018'!J211)/'2018'!J211</f>
        <v>2.9266096352994146E-2</v>
      </c>
      <c r="L43" s="42">
        <v>37078</v>
      </c>
    </row>
    <row r="44" spans="1:12" ht="15.75" thickBot="1" x14ac:dyDescent="0.3">
      <c r="A44" s="115" t="s">
        <v>397</v>
      </c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116"/>
    </row>
    <row r="45" spans="1:12" ht="15.75" thickBot="1" x14ac:dyDescent="0.3">
      <c r="A45" s="15"/>
      <c r="B45" s="13"/>
      <c r="C45" s="21"/>
    </row>
    <row r="46" spans="1:12" ht="18.75" x14ac:dyDescent="0.3">
      <c r="A46" s="83" t="s">
        <v>399</v>
      </c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108"/>
    </row>
    <row r="47" spans="1:12" ht="45" x14ac:dyDescent="0.25">
      <c r="A47" s="33" t="s">
        <v>2</v>
      </c>
      <c r="B47" s="1" t="s">
        <v>3</v>
      </c>
      <c r="C47" s="1" t="s">
        <v>4</v>
      </c>
      <c r="D47" s="4" t="s">
        <v>78</v>
      </c>
      <c r="E47" s="4" t="s">
        <v>391</v>
      </c>
      <c r="F47" s="4" t="s">
        <v>85</v>
      </c>
      <c r="G47" s="4" t="s">
        <v>79</v>
      </c>
      <c r="H47" s="4" t="s">
        <v>391</v>
      </c>
      <c r="I47" s="4" t="s">
        <v>82</v>
      </c>
      <c r="J47" s="4" t="s">
        <v>80</v>
      </c>
      <c r="K47" s="4" t="s">
        <v>391</v>
      </c>
      <c r="L47" s="72" t="s">
        <v>81</v>
      </c>
    </row>
    <row r="48" spans="1:12" x14ac:dyDescent="0.25">
      <c r="A48" s="33" t="s">
        <v>5</v>
      </c>
      <c r="B48" s="1" t="s">
        <v>6</v>
      </c>
      <c r="C48" s="1" t="s">
        <v>7</v>
      </c>
      <c r="D48" s="42">
        <v>145772</v>
      </c>
      <c r="E48" s="41">
        <f>(D48-'2018'!D216)/'2018'!D216</f>
        <v>-1.312030329700088E-2</v>
      </c>
      <c r="F48" s="42">
        <v>146842</v>
      </c>
      <c r="G48" s="42">
        <v>96899</v>
      </c>
      <c r="H48" s="41">
        <f>(G48-'2018'!G216)/'2018'!G216</f>
        <v>-4.6513687442189991E-2</v>
      </c>
      <c r="I48" s="42">
        <v>101214</v>
      </c>
      <c r="J48" s="42">
        <v>36271</v>
      </c>
      <c r="K48" s="41">
        <f>(J48-'2018'!J216)/'2018'!J216</f>
        <v>-4.7196992563729662E-3</v>
      </c>
      <c r="L48" s="42">
        <v>36443</v>
      </c>
    </row>
    <row r="49" spans="1:12" x14ac:dyDescent="0.25">
      <c r="A49" s="33" t="s">
        <v>8</v>
      </c>
      <c r="B49" s="1" t="s">
        <v>9</v>
      </c>
      <c r="C49" s="1" t="s">
        <v>7</v>
      </c>
      <c r="D49" s="42">
        <v>139275</v>
      </c>
      <c r="E49" s="41">
        <f>(D49-'2018'!D217)/'2018'!D217</f>
        <v>-1.8104524015989509E-2</v>
      </c>
      <c r="F49" s="42">
        <v>141843</v>
      </c>
      <c r="G49" s="42">
        <v>91659</v>
      </c>
      <c r="H49" s="41">
        <f>(G49-'2018'!G217)/'2018'!G217</f>
        <v>-3.6632027479455626E-3</v>
      </c>
      <c r="I49" s="42">
        <v>92936</v>
      </c>
      <c r="J49" s="42">
        <v>34036</v>
      </c>
      <c r="K49" s="41">
        <f>(J49-'2018'!J217)/'2018'!J217</f>
        <v>-8.1883614535070079E-3</v>
      </c>
      <c r="L49" s="42">
        <v>34036</v>
      </c>
    </row>
    <row r="50" spans="1:12" x14ac:dyDescent="0.25">
      <c r="A50" s="33" t="s">
        <v>10</v>
      </c>
      <c r="B50" s="1" t="s">
        <v>9</v>
      </c>
      <c r="C50" s="1" t="s">
        <v>11</v>
      </c>
      <c r="D50" s="42">
        <v>79872</v>
      </c>
      <c r="E50" s="41">
        <f>(D50-'2018'!D218)/'2018'!D218</f>
        <v>-2.9548989113530325E-2</v>
      </c>
      <c r="F50" s="42">
        <v>80580</v>
      </c>
      <c r="G50" s="42">
        <v>68352</v>
      </c>
      <c r="H50" s="41">
        <f>(G50-'2018'!G218)/'2018'!G218</f>
        <v>-3.0082869792257917E-2</v>
      </c>
      <c r="I50" s="42">
        <v>70126</v>
      </c>
      <c r="J50" s="42">
        <v>31436</v>
      </c>
      <c r="K50" s="41">
        <f>(J50-'2018'!J218)/'2018'!J218</f>
        <v>-1.7624999999999998E-2</v>
      </c>
      <c r="L50" s="42">
        <v>31436</v>
      </c>
    </row>
    <row r="51" spans="1:12" x14ac:dyDescent="0.25">
      <c r="A51" s="33" t="s">
        <v>12</v>
      </c>
      <c r="B51" s="1" t="s">
        <v>13</v>
      </c>
      <c r="C51" s="1" t="s">
        <v>11</v>
      </c>
      <c r="D51" s="42">
        <v>71839</v>
      </c>
      <c r="E51" s="41">
        <f>(D51-'2018'!D219)/'2018'!D219</f>
        <v>-1.00457501929225E-2</v>
      </c>
      <c r="F51" s="42">
        <v>72150</v>
      </c>
      <c r="G51" s="42">
        <v>65019</v>
      </c>
      <c r="H51" s="41">
        <f>(G51-'2018'!G219)/'2018'!G219</f>
        <v>-2.6005542655980825E-2</v>
      </c>
      <c r="I51" s="42">
        <v>65963</v>
      </c>
      <c r="J51" s="42">
        <v>31152</v>
      </c>
      <c r="K51" s="41">
        <f>(J51-'2018'!J219)/'2018'!J219</f>
        <v>-2.243700379703141E-2</v>
      </c>
      <c r="L51" s="42">
        <v>31565</v>
      </c>
    </row>
    <row r="52" spans="1:12" x14ac:dyDescent="0.25">
      <c r="A52" s="33" t="s">
        <v>14</v>
      </c>
      <c r="B52" s="1" t="s">
        <v>15</v>
      </c>
      <c r="C52" s="1" t="s">
        <v>11</v>
      </c>
      <c r="D52" s="42">
        <v>69930</v>
      </c>
      <c r="E52" s="41">
        <f>(D52-'2018'!D220)/'2018'!D220</f>
        <v>-2.3773958929543645E-2</v>
      </c>
      <c r="F52" s="42">
        <v>70621</v>
      </c>
      <c r="G52" s="42">
        <v>63572</v>
      </c>
      <c r="H52" s="41">
        <f>(G52-'2018'!G220)/'2018'!G220</f>
        <v>-3.8783131983609782E-2</v>
      </c>
      <c r="I52" s="42">
        <v>64474</v>
      </c>
      <c r="J52" s="42">
        <v>31426</v>
      </c>
      <c r="K52" s="41">
        <f>(J52-'2018'!J220)/'2018'!J220</f>
        <v>-1.6677618198316594E-2</v>
      </c>
      <c r="L52" s="42">
        <v>31725</v>
      </c>
    </row>
    <row r="53" spans="1:12" ht="15.75" thickBot="1" x14ac:dyDescent="0.3">
      <c r="A53" s="109" t="s">
        <v>398</v>
      </c>
      <c r="B53" s="110"/>
      <c r="C53" s="110"/>
      <c r="D53" s="110"/>
      <c r="E53" s="110"/>
      <c r="F53" s="110"/>
      <c r="G53" s="110"/>
      <c r="H53" s="110"/>
      <c r="I53" s="42"/>
      <c r="J53" s="42"/>
      <c r="K53" s="74"/>
      <c r="L53" s="49"/>
    </row>
    <row r="54" spans="1:12" ht="15.75" thickBot="1" x14ac:dyDescent="0.3"/>
    <row r="55" spans="1:12" ht="18.75" x14ac:dyDescent="0.3">
      <c r="A55" s="83" t="s">
        <v>400</v>
      </c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108"/>
    </row>
    <row r="56" spans="1:12" ht="45" x14ac:dyDescent="0.25">
      <c r="A56" s="33" t="s">
        <v>2</v>
      </c>
      <c r="B56" s="1" t="s">
        <v>3</v>
      </c>
      <c r="C56" s="1" t="s">
        <v>4</v>
      </c>
      <c r="D56" s="4" t="s">
        <v>78</v>
      </c>
      <c r="E56" s="4" t="s">
        <v>391</v>
      </c>
      <c r="F56" s="4" t="s">
        <v>85</v>
      </c>
      <c r="G56" s="4" t="s">
        <v>79</v>
      </c>
      <c r="H56" s="4" t="s">
        <v>391</v>
      </c>
      <c r="I56" s="4" t="s">
        <v>82</v>
      </c>
      <c r="J56" s="4" t="s">
        <v>80</v>
      </c>
      <c r="K56" s="4" t="s">
        <v>391</v>
      </c>
      <c r="L56" s="72" t="s">
        <v>81</v>
      </c>
    </row>
    <row r="57" spans="1:12" x14ac:dyDescent="0.25">
      <c r="A57" s="33" t="s">
        <v>5</v>
      </c>
      <c r="B57" s="1" t="s">
        <v>6</v>
      </c>
      <c r="C57" s="1" t="s">
        <v>7</v>
      </c>
      <c r="D57" s="42">
        <v>164203</v>
      </c>
      <c r="E57" s="41">
        <f>(D57-'2018'!D207)/'2018'!D207</f>
        <v>8.2092026573993351E-3</v>
      </c>
      <c r="F57" s="42">
        <v>167504</v>
      </c>
      <c r="G57" s="42">
        <v>107181</v>
      </c>
      <c r="H57" s="41">
        <f>(G57-'2018'!G207)/'2018'!G207</f>
        <v>-3.0009864521208719E-2</v>
      </c>
      <c r="I57" s="42">
        <v>110987</v>
      </c>
      <c r="J57" s="42">
        <v>37835</v>
      </c>
      <c r="K57" s="41">
        <f>(J57-'2018'!J207)/'2018'!J207</f>
        <v>-1.4764855997083486E-2</v>
      </c>
      <c r="L57" s="42">
        <v>38051</v>
      </c>
    </row>
    <row r="58" spans="1:12" x14ac:dyDescent="0.25">
      <c r="A58" s="33" t="s">
        <v>8</v>
      </c>
      <c r="B58" s="1" t="s">
        <v>9</v>
      </c>
      <c r="C58" s="1" t="s">
        <v>7</v>
      </c>
      <c r="D58" s="42">
        <v>157480</v>
      </c>
      <c r="E58" s="41">
        <f>(D58-'2018'!D208)/'2018'!D208</f>
        <v>-1.575E-2</v>
      </c>
      <c r="F58" s="42">
        <v>162074</v>
      </c>
      <c r="G58" s="42">
        <v>102880</v>
      </c>
      <c r="H58" s="41">
        <f>(G58-'2018'!G208)/'2018'!G208</f>
        <v>6.2755022984349984E-2</v>
      </c>
      <c r="I58" s="42">
        <v>103734</v>
      </c>
      <c r="J58" s="42">
        <v>35932</v>
      </c>
      <c r="K58" s="41">
        <f>(J58-'2018'!J208)/'2018'!J208</f>
        <v>-2.5261638397690365E-3</v>
      </c>
      <c r="L58" s="42">
        <v>36271</v>
      </c>
    </row>
    <row r="59" spans="1:12" x14ac:dyDescent="0.25">
      <c r="A59" s="33" t="s">
        <v>10</v>
      </c>
      <c r="B59" s="1" t="s">
        <v>9</v>
      </c>
      <c r="C59" s="1" t="s">
        <v>11</v>
      </c>
      <c r="D59" s="42">
        <v>61124</v>
      </c>
      <c r="E59" s="41">
        <f>(D59-'2018'!D209)/'2018'!D209</f>
        <v>-2.2016000000000001E-2</v>
      </c>
      <c r="F59" s="42">
        <v>62034</v>
      </c>
      <c r="G59" s="42">
        <v>55401</v>
      </c>
      <c r="H59" s="41">
        <f>(G59-'2018'!G209)/'2018'!G209</f>
        <v>-1.053740779768177E-2</v>
      </c>
      <c r="I59" s="42">
        <v>56497</v>
      </c>
      <c r="J59" s="42">
        <v>27909</v>
      </c>
      <c r="K59" s="41">
        <f>(J59-'2018'!J209)/'2018'!J209</f>
        <v>-9.4761499148211248E-3</v>
      </c>
      <c r="L59" s="42">
        <v>28216</v>
      </c>
    </row>
    <row r="60" spans="1:12" x14ac:dyDescent="0.25">
      <c r="A60" s="33" t="s">
        <v>12</v>
      </c>
      <c r="B60" s="1" t="s">
        <v>13</v>
      </c>
      <c r="C60" s="1" t="s">
        <v>7</v>
      </c>
      <c r="D60" s="42">
        <v>129032</v>
      </c>
      <c r="E60" s="41">
        <f>(D60-'2018'!D210)/'2018'!D210</f>
        <v>-2.0644847896047119E-2</v>
      </c>
      <c r="F60" s="42">
        <v>156250</v>
      </c>
      <c r="G60" s="42">
        <v>98425</v>
      </c>
      <c r="H60" s="41">
        <f>(G60-'2018'!G210)/'2018'!G210</f>
        <v>-9.8455167373784542E-4</v>
      </c>
      <c r="I60" s="42">
        <v>104275</v>
      </c>
      <c r="J60" s="42">
        <v>36710</v>
      </c>
      <c r="K60" s="41">
        <f>(J60-'2018'!J210)/'2018'!J210</f>
        <v>-5.1490514905149056E-3</v>
      </c>
      <c r="L60" s="42">
        <v>37397</v>
      </c>
    </row>
    <row r="61" spans="1:12" x14ac:dyDescent="0.25">
      <c r="A61" s="33" t="s">
        <v>14</v>
      </c>
      <c r="B61" s="1" t="s">
        <v>15</v>
      </c>
      <c r="C61" s="1" t="s">
        <v>7</v>
      </c>
      <c r="D61" s="42">
        <v>132625</v>
      </c>
      <c r="E61" s="41">
        <f>(D61-'2018'!D211)/'2018'!D211</f>
        <v>-1.59160050456333E-2</v>
      </c>
      <c r="F61" s="42">
        <v>139470</v>
      </c>
      <c r="G61" s="42">
        <v>96805</v>
      </c>
      <c r="H61" s="41">
        <f>(G61-'2018'!G211)/'2018'!G211</f>
        <v>-5.4213806983605915E-2</v>
      </c>
      <c r="I61" s="42">
        <v>105820</v>
      </c>
      <c r="J61" s="42">
        <v>35880</v>
      </c>
      <c r="K61" s="41">
        <f>(J61-'2018'!J211)/'2018'!J211</f>
        <v>9.6803241782980644E-3</v>
      </c>
      <c r="L61" s="42">
        <v>37593</v>
      </c>
    </row>
    <row r="62" spans="1:12" ht="15.75" thickBot="1" x14ac:dyDescent="0.3">
      <c r="A62" s="115" t="s">
        <v>402</v>
      </c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116"/>
    </row>
    <row r="63" spans="1:12" ht="15.75" thickBot="1" x14ac:dyDescent="0.3">
      <c r="A63" s="15"/>
      <c r="B63" s="13"/>
      <c r="C63" s="21"/>
    </row>
    <row r="64" spans="1:12" ht="18.75" x14ac:dyDescent="0.3">
      <c r="A64" s="83" t="s">
        <v>401</v>
      </c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108"/>
    </row>
    <row r="65" spans="1:12" ht="45" x14ac:dyDescent="0.25">
      <c r="A65" s="33" t="s">
        <v>2</v>
      </c>
      <c r="B65" s="1" t="s">
        <v>3</v>
      </c>
      <c r="C65" s="1" t="s">
        <v>4</v>
      </c>
      <c r="D65" s="4" t="s">
        <v>78</v>
      </c>
      <c r="E65" s="4" t="s">
        <v>391</v>
      </c>
      <c r="F65" s="4" t="s">
        <v>85</v>
      </c>
      <c r="G65" s="4" t="s">
        <v>79</v>
      </c>
      <c r="H65" s="4" t="s">
        <v>391</v>
      </c>
      <c r="I65" s="4" t="s">
        <v>82</v>
      </c>
      <c r="J65" s="4" t="s">
        <v>80</v>
      </c>
      <c r="K65" s="4" t="s">
        <v>391</v>
      </c>
      <c r="L65" s="72" t="s">
        <v>81</v>
      </c>
    </row>
    <row r="66" spans="1:12" x14ac:dyDescent="0.25">
      <c r="A66" s="33" t="s">
        <v>5</v>
      </c>
      <c r="B66" s="1" t="s">
        <v>6</v>
      </c>
      <c r="C66" s="1" t="s">
        <v>7</v>
      </c>
      <c r="D66" s="42">
        <v>148588</v>
      </c>
      <c r="E66" s="41">
        <f>(D66-'2018'!D216)/'2018'!D216</f>
        <v>5.9440796154627308E-3</v>
      </c>
      <c r="F66" s="42">
        <v>149700</v>
      </c>
      <c r="G66" s="42">
        <v>98328</v>
      </c>
      <c r="H66" s="41">
        <f>(G66-'2018'!G216)/'2018'!G216</f>
        <v>-3.2452325192372032E-2</v>
      </c>
      <c r="I66" s="42">
        <v>100806</v>
      </c>
      <c r="J66" s="42">
        <v>35868</v>
      </c>
      <c r="K66" s="41">
        <f>(J66-'2018'!J216)/'2018'!J216</f>
        <v>-1.5778064374502649E-2</v>
      </c>
      <c r="L66" s="42">
        <v>36443</v>
      </c>
    </row>
    <row r="67" spans="1:12" x14ac:dyDescent="0.25">
      <c r="A67" s="33" t="s">
        <v>8</v>
      </c>
      <c r="B67" s="1" t="s">
        <v>9</v>
      </c>
      <c r="C67" s="1" t="s">
        <v>7</v>
      </c>
      <c r="D67" s="42">
        <v>139470</v>
      </c>
      <c r="E67" s="41">
        <f>(D67-'2018'!D217)/'2018'!D217</f>
        <v>-1.6729764598887503E-2</v>
      </c>
      <c r="F67" s="42">
        <v>142450</v>
      </c>
      <c r="G67" s="42">
        <v>92421</v>
      </c>
      <c r="H67" s="41">
        <f>(G67-'2018'!G217)/'2018'!G217</f>
        <v>4.6197660767859474E-3</v>
      </c>
      <c r="I67" s="42">
        <v>92850</v>
      </c>
      <c r="J67" s="42">
        <v>33715</v>
      </c>
      <c r="K67" s="41">
        <f>(J67-'2018'!J217)/'2018'!J217</f>
        <v>-1.7542325960894018E-2</v>
      </c>
      <c r="L67" s="42">
        <v>33875</v>
      </c>
    </row>
    <row r="68" spans="1:12" x14ac:dyDescent="0.25">
      <c r="A68" s="33" t="s">
        <v>10</v>
      </c>
      <c r="B68" s="1" t="s">
        <v>9</v>
      </c>
      <c r="C68" s="1" t="s">
        <v>11</v>
      </c>
      <c r="D68" s="42">
        <v>80192</v>
      </c>
      <c r="E68" s="41">
        <f>(D68-'2018'!D218)/'2018'!D218</f>
        <v>-2.5660964230171075E-2</v>
      </c>
      <c r="F68" s="42">
        <v>81037</v>
      </c>
      <c r="G68" s="42">
        <v>67567</v>
      </c>
      <c r="H68" s="41">
        <f>(G68-'2018'!G218)/'2018'!G218</f>
        <v>-4.1222045635145872E-2</v>
      </c>
      <c r="I68" s="42">
        <v>68259</v>
      </c>
      <c r="J68" s="42">
        <v>30998</v>
      </c>
      <c r="K68" s="41">
        <f>(J68-'2018'!J218)/'2018'!J218</f>
        <v>-3.13125E-2</v>
      </c>
      <c r="L68" s="42">
        <v>31436</v>
      </c>
    </row>
    <row r="69" spans="1:12" x14ac:dyDescent="0.25">
      <c r="A69" s="33" t="s">
        <v>12</v>
      </c>
      <c r="B69" s="1" t="s">
        <v>13</v>
      </c>
      <c r="C69" s="1" t="s">
        <v>11</v>
      </c>
      <c r="D69" s="42">
        <v>70571</v>
      </c>
      <c r="E69" s="41">
        <f>(D69-'2018'!D219)/'2018'!D219</f>
        <v>-2.7519016646455736E-2</v>
      </c>
      <c r="F69" s="42">
        <v>72568</v>
      </c>
      <c r="G69" s="42">
        <v>65316</v>
      </c>
      <c r="H69" s="41">
        <f>(G69-'2018'!G219)/'2018'!G219</f>
        <v>-2.1556437720020971E-2</v>
      </c>
      <c r="I69" s="42">
        <v>65359</v>
      </c>
      <c r="J69" s="42">
        <v>31585</v>
      </c>
      <c r="K69" s="41">
        <f>(J69-'2018'!J219)/'2018'!J219</f>
        <v>-8.849279819248752E-3</v>
      </c>
      <c r="L69" s="42">
        <v>31715</v>
      </c>
    </row>
    <row r="70" spans="1:12" x14ac:dyDescent="0.25">
      <c r="A70" s="33" t="s">
        <v>14</v>
      </c>
      <c r="B70" s="1" t="s">
        <v>15</v>
      </c>
      <c r="C70" s="1" t="s">
        <v>11</v>
      </c>
      <c r="D70" s="42">
        <v>69783</v>
      </c>
      <c r="E70" s="41">
        <f>(D70-'2018'!D220)/'2018'!D220</f>
        <v>-2.5826085742604664E-2</v>
      </c>
      <c r="F70" s="42">
        <v>70771</v>
      </c>
      <c r="G70" s="42">
        <v>62421</v>
      </c>
      <c r="H70" s="41">
        <f>(G70-'2018'!G220)/'2018'!G220</f>
        <v>-5.6186400955592179E-2</v>
      </c>
      <c r="I70" s="42">
        <v>64766</v>
      </c>
      <c r="J70" s="42">
        <v>31575</v>
      </c>
      <c r="K70" s="41">
        <f>(J70-'2018'!J220)/'2018'!J220</f>
        <v>-1.2015394724490754E-2</v>
      </c>
      <c r="L70" s="42">
        <v>31877</v>
      </c>
    </row>
    <row r="71" spans="1:12" ht="15.75" thickBot="1" x14ac:dyDescent="0.3">
      <c r="A71" s="109" t="s">
        <v>403</v>
      </c>
      <c r="B71" s="110"/>
      <c r="C71" s="110"/>
      <c r="D71" s="110"/>
      <c r="E71" s="110"/>
      <c r="F71" s="110"/>
      <c r="G71" s="110"/>
      <c r="H71" s="110"/>
      <c r="I71" s="42"/>
      <c r="J71" s="42"/>
      <c r="K71" s="74"/>
      <c r="L71" s="49"/>
    </row>
    <row r="72" spans="1:12" ht="15.75" thickBot="1" x14ac:dyDescent="0.3"/>
    <row r="73" spans="1:12" ht="18.75" x14ac:dyDescent="0.3">
      <c r="A73" s="83" t="s">
        <v>404</v>
      </c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108"/>
    </row>
    <row r="74" spans="1:12" ht="45" x14ac:dyDescent="0.25">
      <c r="A74" s="33" t="s">
        <v>2</v>
      </c>
      <c r="B74" s="1" t="s">
        <v>3</v>
      </c>
      <c r="C74" s="1" t="s">
        <v>4</v>
      </c>
      <c r="D74" s="4" t="s">
        <v>78</v>
      </c>
      <c r="E74" s="4" t="s">
        <v>391</v>
      </c>
      <c r="F74" s="4" t="s">
        <v>85</v>
      </c>
      <c r="G74" s="4" t="s">
        <v>79</v>
      </c>
      <c r="H74" s="4" t="s">
        <v>391</v>
      </c>
      <c r="I74" s="4" t="s">
        <v>82</v>
      </c>
      <c r="J74" s="4" t="s">
        <v>80</v>
      </c>
      <c r="K74" s="4" t="s">
        <v>391</v>
      </c>
      <c r="L74" s="72" t="s">
        <v>81</v>
      </c>
    </row>
    <row r="75" spans="1:12" x14ac:dyDescent="0.25">
      <c r="A75" s="33" t="s">
        <v>5</v>
      </c>
      <c r="B75" s="1" t="s">
        <v>6</v>
      </c>
      <c r="C75" s="1" t="s">
        <v>7</v>
      </c>
      <c r="D75" s="42">
        <v>155038</v>
      </c>
      <c r="E75" s="41">
        <f>(D75-'2018'!D207)/'2018'!D207</f>
        <v>-4.806405265678533E-2</v>
      </c>
      <c r="F75" s="42">
        <v>168350</v>
      </c>
      <c r="G75" s="42">
        <v>110011</v>
      </c>
      <c r="H75" s="41">
        <f>(G75-'2018'!G207)/'2018'!G207</f>
        <v>-4.3983094563653314E-3</v>
      </c>
      <c r="I75" s="42">
        <v>110987</v>
      </c>
      <c r="J75" s="42">
        <v>36023</v>
      </c>
      <c r="K75" s="41">
        <f>(J75-'2018'!J207)/'2018'!J207</f>
        <v>-6.194989844278944E-2</v>
      </c>
      <c r="L75" s="42">
        <v>37907</v>
      </c>
    </row>
    <row r="76" spans="1:12" x14ac:dyDescent="0.25">
      <c r="A76" s="33" t="s">
        <v>8</v>
      </c>
      <c r="B76" s="1" t="s">
        <v>9</v>
      </c>
      <c r="C76" s="1" t="s">
        <v>7</v>
      </c>
      <c r="D76" s="42">
        <v>155763</v>
      </c>
      <c r="E76" s="41">
        <f>(D76-'2018'!D208)/'2018'!D208</f>
        <v>-2.6481250000000001E-2</v>
      </c>
      <c r="F76" s="42">
        <v>162601</v>
      </c>
      <c r="G76" s="42">
        <v>100806</v>
      </c>
      <c r="H76" s="41">
        <f>(G76-'2018'!G208)/'2018'!G208</f>
        <v>4.1330509787717573E-2</v>
      </c>
      <c r="I76" s="42">
        <v>102459</v>
      </c>
      <c r="J76" s="42">
        <v>35650</v>
      </c>
      <c r="K76" s="41">
        <f>(J76-'2018'!J208)/'2018'!J208</f>
        <v>-1.0354495738833524E-2</v>
      </c>
      <c r="L76" s="42">
        <v>36337</v>
      </c>
    </row>
    <row r="77" spans="1:12" x14ac:dyDescent="0.25">
      <c r="A77" s="33" t="s">
        <v>10</v>
      </c>
      <c r="B77" s="1" t="s">
        <v>9</v>
      </c>
      <c r="C77" s="1" t="s">
        <v>11</v>
      </c>
      <c r="D77" s="42">
        <v>60864</v>
      </c>
      <c r="E77" s="41">
        <f>(D77-'2018'!D209)/'2018'!D209</f>
        <v>-2.6176000000000001E-2</v>
      </c>
      <c r="F77" s="42">
        <v>62932</v>
      </c>
      <c r="G77" s="42">
        <v>54466</v>
      </c>
      <c r="H77" s="41">
        <f>(G77-'2018'!G209)/'2018'!G209</f>
        <v>-2.7236520155024913E-2</v>
      </c>
      <c r="I77" s="42">
        <v>55218</v>
      </c>
      <c r="J77" s="42">
        <v>28042</v>
      </c>
      <c r="K77" s="41">
        <f>(J77-'2018'!J209)/'2018'!J209</f>
        <v>-4.7558205565019877E-3</v>
      </c>
      <c r="L77" s="42">
        <v>28081</v>
      </c>
    </row>
    <row r="78" spans="1:12" x14ac:dyDescent="0.25">
      <c r="A78" s="33" t="s">
        <v>12</v>
      </c>
      <c r="B78" s="1" t="s">
        <v>13</v>
      </c>
      <c r="C78" s="1" t="s">
        <v>7</v>
      </c>
      <c r="D78" s="42">
        <v>135869</v>
      </c>
      <c r="E78" s="41">
        <f>(D78-'2018'!D210)/'2018'!D210</f>
        <v>3.1248102495597788E-2</v>
      </c>
      <c r="F78" s="42">
        <v>143678</v>
      </c>
      <c r="G78" s="42">
        <v>103305</v>
      </c>
      <c r="H78" s="41">
        <f>(G78-'2018'!G210)/'2018'!G210</f>
        <v>4.85475325308053E-2</v>
      </c>
      <c r="I78" s="42">
        <v>106269</v>
      </c>
      <c r="J78" s="42">
        <v>36350</v>
      </c>
      <c r="K78" s="41">
        <f>(J78-'2018'!J210)/'2018'!J210</f>
        <v>-1.4905149051490514E-2</v>
      </c>
      <c r="L78" s="42">
        <v>36697</v>
      </c>
    </row>
    <row r="79" spans="1:12" x14ac:dyDescent="0.25">
      <c r="A79" s="33" t="s">
        <v>14</v>
      </c>
      <c r="B79" s="1" t="s">
        <v>15</v>
      </c>
      <c r="C79" s="1" t="s">
        <v>7</v>
      </c>
      <c r="D79" s="42">
        <v>134228</v>
      </c>
      <c r="E79" s="41">
        <f>(D79-'2018'!D211)/'2018'!D211</f>
        <v>-4.0216665429991839E-3</v>
      </c>
      <c r="F79" s="42">
        <v>135869</v>
      </c>
      <c r="G79" s="42">
        <v>104602</v>
      </c>
      <c r="H79" s="41">
        <f>(G79-'2018'!G211)/'2018'!G211</f>
        <v>2.1962991187447486E-2</v>
      </c>
      <c r="I79" s="42">
        <v>106382</v>
      </c>
      <c r="J79" s="42">
        <v>35612</v>
      </c>
      <c r="K79" s="41">
        <f>(J79-'2018'!J211)/'2018'!J211</f>
        <v>2.1386762719495722E-3</v>
      </c>
      <c r="L79" s="42">
        <v>37216</v>
      </c>
    </row>
    <row r="80" spans="1:12" ht="15.75" thickBot="1" x14ac:dyDescent="0.3">
      <c r="A80" s="115" t="s">
        <v>407</v>
      </c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116"/>
    </row>
    <row r="81" spans="1:12" ht="15.75" thickBot="1" x14ac:dyDescent="0.3">
      <c r="A81" s="15"/>
      <c r="B81" s="13"/>
      <c r="C81" s="21"/>
    </row>
    <row r="82" spans="1:12" ht="18.75" x14ac:dyDescent="0.3">
      <c r="A82" s="83" t="s">
        <v>405</v>
      </c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108"/>
    </row>
    <row r="83" spans="1:12" ht="45" x14ac:dyDescent="0.25">
      <c r="A83" s="33" t="s">
        <v>2</v>
      </c>
      <c r="B83" s="1" t="s">
        <v>3</v>
      </c>
      <c r="C83" s="1" t="s">
        <v>4</v>
      </c>
      <c r="D83" s="4" t="s">
        <v>78</v>
      </c>
      <c r="E83" s="4" t="s">
        <v>391</v>
      </c>
      <c r="F83" s="4" t="s">
        <v>85</v>
      </c>
      <c r="G83" s="4" t="s">
        <v>79</v>
      </c>
      <c r="H83" s="4" t="s">
        <v>391</v>
      </c>
      <c r="I83" s="4" t="s">
        <v>82</v>
      </c>
      <c r="J83" s="4" t="s">
        <v>80</v>
      </c>
      <c r="K83" s="4" t="s">
        <v>391</v>
      </c>
      <c r="L83" s="72" t="s">
        <v>81</v>
      </c>
    </row>
    <row r="84" spans="1:12" x14ac:dyDescent="0.25">
      <c r="A84" s="33" t="s">
        <v>5</v>
      </c>
      <c r="B84" s="1" t="s">
        <v>6</v>
      </c>
      <c r="C84" s="1" t="s">
        <v>7</v>
      </c>
      <c r="D84" s="42">
        <v>143678</v>
      </c>
      <c r="E84" s="41">
        <f>(D84-'2018'!D216)/'2018'!D216</f>
        <v>-2.7296730079209262E-2</v>
      </c>
      <c r="F84" s="42">
        <v>144508</v>
      </c>
      <c r="G84" s="42">
        <v>97465</v>
      </c>
      <c r="H84" s="41">
        <f>(G84-'2018'!G216)/'2018'!G216</f>
        <v>-4.094424655107945E-2</v>
      </c>
      <c r="I84" s="42">
        <v>100806</v>
      </c>
      <c r="J84" s="42">
        <v>36036</v>
      </c>
      <c r="K84" s="41">
        <f>(J84-'2018'!J216)/'2018'!J216</f>
        <v>-1.1168125565952309E-2</v>
      </c>
      <c r="L84" s="42">
        <v>36337</v>
      </c>
    </row>
    <row r="85" spans="1:12" x14ac:dyDescent="0.25">
      <c r="A85" s="33" t="s">
        <v>8</v>
      </c>
      <c r="B85" s="1" t="s">
        <v>9</v>
      </c>
      <c r="C85" s="1" t="s">
        <v>7</v>
      </c>
      <c r="D85" s="42">
        <v>137174</v>
      </c>
      <c r="E85" s="41">
        <f>(D85-'2018'!D217)/'2018'!D217</f>
        <v>-3.2916675479227032E-2</v>
      </c>
      <c r="F85" s="42">
        <v>137741</v>
      </c>
      <c r="G85" s="42">
        <v>88261</v>
      </c>
      <c r="H85" s="41">
        <f>(G85-'2018'!G217)/'2018'!G217</f>
        <v>-4.0599591286577676E-2</v>
      </c>
      <c r="I85" s="42">
        <v>91575</v>
      </c>
      <c r="J85" s="42">
        <v>33456</v>
      </c>
      <c r="K85" s="41">
        <f>(J85-'2018'!J217)/'2018'!J217</f>
        <v>-2.5089605734767026E-2</v>
      </c>
      <c r="L85" s="42">
        <v>33579</v>
      </c>
    </row>
    <row r="86" spans="1:12" x14ac:dyDescent="0.25">
      <c r="A86" s="33" t="s">
        <v>10</v>
      </c>
      <c r="B86" s="1" t="s">
        <v>9</v>
      </c>
      <c r="C86" s="1" t="s">
        <v>11</v>
      </c>
      <c r="D86" s="42">
        <v>77459</v>
      </c>
      <c r="E86" s="41">
        <f>(D86-'2018'!D218)/'2018'!D218</f>
        <v>-5.8867126749611198E-2</v>
      </c>
      <c r="F86" s="42">
        <v>80450</v>
      </c>
      <c r="G86" s="42">
        <v>64516</v>
      </c>
      <c r="H86" s="41">
        <f>(G86-'2018'!G218)/'2018'!G218</f>
        <v>-8.4515836076739695E-2</v>
      </c>
      <c r="I86" s="42">
        <v>66137</v>
      </c>
      <c r="J86" s="42">
        <v>30978</v>
      </c>
      <c r="K86" s="41">
        <f>(J86-'2018'!J218)/'2018'!J218</f>
        <v>-3.1937500000000001E-2</v>
      </c>
      <c r="L86" s="42">
        <v>31152</v>
      </c>
    </row>
    <row r="87" spans="1:12" x14ac:dyDescent="0.25">
      <c r="A87" s="33" t="s">
        <v>12</v>
      </c>
      <c r="B87" s="1" t="s">
        <v>13</v>
      </c>
      <c r="C87" s="1" t="s">
        <v>11</v>
      </c>
      <c r="D87" s="42">
        <v>70323</v>
      </c>
      <c r="E87" s="41">
        <f>(D87-'2018'!D219)/'2018'!D219</f>
        <v>-3.0936500937052143E-2</v>
      </c>
      <c r="F87" s="42">
        <v>71839</v>
      </c>
      <c r="G87" s="42">
        <v>65231</v>
      </c>
      <c r="H87" s="41">
        <f>(G87-'2018'!G219)/'2018'!G219</f>
        <v>-2.2829750580480864E-2</v>
      </c>
      <c r="I87" s="42">
        <v>65832</v>
      </c>
      <c r="J87" s="42">
        <v>31565</v>
      </c>
      <c r="K87" s="41">
        <f>(J87-'2018'!J219)/'2018'!J219</f>
        <v>-9.4768883170678123E-3</v>
      </c>
      <c r="L87" s="42">
        <v>31735</v>
      </c>
    </row>
    <row r="88" spans="1:12" x14ac:dyDescent="0.25">
      <c r="A88" s="33" t="s">
        <v>14</v>
      </c>
      <c r="B88" s="1" t="s">
        <v>15</v>
      </c>
      <c r="C88" s="1" t="s">
        <v>11</v>
      </c>
      <c r="D88" s="42">
        <v>69204</v>
      </c>
      <c r="E88" s="41">
        <f>(D88-'2018'!D220)/'2018'!D220</f>
        <v>-3.3908952577722556E-2</v>
      </c>
      <c r="F88" s="42">
        <v>69589</v>
      </c>
      <c r="G88" s="42">
        <v>61199</v>
      </c>
      <c r="H88" s="41">
        <f>(G88-'2018'!G220)/'2018'!G220</f>
        <v>-7.4663199116984436E-2</v>
      </c>
      <c r="I88" s="42">
        <v>63856</v>
      </c>
      <c r="J88" s="42">
        <v>31426</v>
      </c>
      <c r="K88" s="41">
        <f>(J88-'2018'!J220)/'2018'!J220</f>
        <v>-1.6677618198316594E-2</v>
      </c>
      <c r="L88" s="42">
        <v>31725</v>
      </c>
    </row>
    <row r="89" spans="1:12" ht="15.75" thickBot="1" x14ac:dyDescent="0.3">
      <c r="A89" s="109" t="s">
        <v>406</v>
      </c>
      <c r="B89" s="110"/>
      <c r="C89" s="110"/>
      <c r="D89" s="110"/>
      <c r="E89" s="110"/>
      <c r="F89" s="110"/>
      <c r="G89" s="110"/>
      <c r="H89" s="110"/>
      <c r="I89" s="42"/>
      <c r="J89" s="42"/>
      <c r="K89" s="74"/>
      <c r="L89" s="49"/>
    </row>
    <row r="91" spans="1:12" ht="15.75" thickBot="1" x14ac:dyDescent="0.3"/>
    <row r="92" spans="1:12" ht="18.75" x14ac:dyDescent="0.3">
      <c r="A92" s="83" t="s">
        <v>408</v>
      </c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108"/>
    </row>
    <row r="93" spans="1:12" ht="45" x14ac:dyDescent="0.25">
      <c r="A93" s="33" t="s">
        <v>2</v>
      </c>
      <c r="B93" s="1" t="s">
        <v>3</v>
      </c>
      <c r="C93" s="1" t="s">
        <v>4</v>
      </c>
      <c r="D93" s="4" t="s">
        <v>78</v>
      </c>
      <c r="E93" s="4" t="s">
        <v>391</v>
      </c>
      <c r="F93" s="4" t="s">
        <v>85</v>
      </c>
      <c r="G93" s="4" t="s">
        <v>79</v>
      </c>
      <c r="H93" s="4" t="s">
        <v>391</v>
      </c>
      <c r="I93" s="4" t="s">
        <v>82</v>
      </c>
      <c r="J93" s="4" t="s">
        <v>80</v>
      </c>
      <c r="K93" s="4" t="s">
        <v>391</v>
      </c>
      <c r="L93" s="72" t="s">
        <v>81</v>
      </c>
    </row>
    <row r="94" spans="1:12" x14ac:dyDescent="0.25">
      <c r="A94" s="33" t="s">
        <v>5</v>
      </c>
      <c r="B94" s="1" t="s">
        <v>6</v>
      </c>
      <c r="C94" s="1" t="s">
        <v>7</v>
      </c>
      <c r="D94" s="42">
        <v>149476</v>
      </c>
      <c r="E94" s="41">
        <f>(D94-'2018'!D207)/'2018'!D207</f>
        <v>-8.2214826912922284E-2</v>
      </c>
      <c r="F94" s="42">
        <v>161030</v>
      </c>
      <c r="G94" s="42">
        <v>109649</v>
      </c>
      <c r="H94" s="41">
        <f>(G94-'2018'!G207)/'2018'!G207</f>
        <v>-7.6744164999954746E-3</v>
      </c>
      <c r="I94" s="42">
        <v>110987</v>
      </c>
      <c r="J94" s="42">
        <v>37050</v>
      </c>
      <c r="K94" s="41">
        <f>(J94-'2018'!J207)/'2018'!J207</f>
        <v>-3.5206499661475966E-2</v>
      </c>
      <c r="L94" s="42">
        <v>38051</v>
      </c>
    </row>
    <row r="95" spans="1:12" x14ac:dyDescent="0.25">
      <c r="A95" s="33" t="s">
        <v>8</v>
      </c>
      <c r="B95" s="1" t="s">
        <v>9</v>
      </c>
      <c r="C95" s="1" t="s">
        <v>7</v>
      </c>
      <c r="D95" s="42">
        <v>152671</v>
      </c>
      <c r="E95" s="41">
        <f>(D95-'2018'!D208)/'2018'!D208</f>
        <v>-4.580625E-2</v>
      </c>
      <c r="F95" s="42">
        <v>154083</v>
      </c>
      <c r="G95" s="42">
        <v>99403</v>
      </c>
      <c r="H95" s="41">
        <f>(G95-'2018'!G208)/'2018'!G208</f>
        <v>2.6837456742936833E-2</v>
      </c>
      <c r="I95" s="42">
        <v>102880</v>
      </c>
      <c r="J95" s="42">
        <v>35335</v>
      </c>
      <c r="K95" s="41">
        <f>(J95-'2018'!J208)/'2018'!J208</f>
        <v>-1.9098909030341726E-2</v>
      </c>
      <c r="L95" s="42">
        <v>35752</v>
      </c>
    </row>
    <row r="96" spans="1:12" x14ac:dyDescent="0.25">
      <c r="A96" s="33" t="s">
        <v>10</v>
      </c>
      <c r="B96" s="1" t="s">
        <v>9</v>
      </c>
      <c r="C96" s="1" t="s">
        <v>11</v>
      </c>
      <c r="D96" s="42">
        <v>60024</v>
      </c>
      <c r="E96" s="41">
        <f>(D96-'2018'!D209)/'2018'!D209</f>
        <v>-3.9615999999999998E-2</v>
      </c>
      <c r="F96" s="42">
        <v>61349</v>
      </c>
      <c r="G96" s="42">
        <v>55401</v>
      </c>
      <c r="H96" s="41">
        <f>(G96-'2018'!G209)/'2018'!G209</f>
        <v>-1.053740779768177E-2</v>
      </c>
      <c r="I96" s="42">
        <v>56529</v>
      </c>
      <c r="J96" s="42">
        <v>27948</v>
      </c>
      <c r="K96" s="41">
        <f>(J96-'2018'!J209)/'2018'!J209</f>
        <v>-8.0919931856899482E-3</v>
      </c>
      <c r="L96" s="42" t="s">
        <v>410</v>
      </c>
    </row>
    <row r="97" spans="1:12" x14ac:dyDescent="0.25">
      <c r="A97" s="33" t="s">
        <v>12</v>
      </c>
      <c r="B97" s="1" t="s">
        <v>13</v>
      </c>
      <c r="C97" s="1" t="s">
        <v>7</v>
      </c>
      <c r="D97" s="42">
        <v>129533</v>
      </c>
      <c r="E97" s="41">
        <f>(D97-'2018'!D210)/'2018'!D210</f>
        <v>-1.6842249074017851E-2</v>
      </c>
      <c r="F97" s="42">
        <v>146198</v>
      </c>
      <c r="G97" s="42">
        <v>101214</v>
      </c>
      <c r="H97" s="41">
        <f>(G97-'2018'!G210)/'2018'!G210</f>
        <v>2.7323846450538966E-2</v>
      </c>
      <c r="I97" s="42">
        <v>105374</v>
      </c>
      <c r="J97" s="42">
        <v>36023</v>
      </c>
      <c r="K97" s="41">
        <f>(J97-'2018'!J210)/'2018'!J210</f>
        <v>-2.3766937669376695E-2</v>
      </c>
      <c r="L97" s="42">
        <v>37050</v>
      </c>
    </row>
    <row r="98" spans="1:12" x14ac:dyDescent="0.25">
      <c r="A98" s="33" t="s">
        <v>14</v>
      </c>
      <c r="B98" s="1" t="s">
        <v>15</v>
      </c>
      <c r="C98" s="1" t="s">
        <v>7</v>
      </c>
      <c r="D98" s="42">
        <v>132625</v>
      </c>
      <c r="E98" s="41">
        <f>(D98-'2018'!D211)/'2018'!D211</f>
        <v>-1.59160050456333E-2</v>
      </c>
      <c r="F98" s="42">
        <v>134408</v>
      </c>
      <c r="G98" s="42">
        <v>104166</v>
      </c>
      <c r="H98" s="41">
        <f>(G98-'2018'!G211)/'2018'!G211</f>
        <v>1.7703265138636497E-2</v>
      </c>
      <c r="I98" s="42">
        <v>104493</v>
      </c>
      <c r="J98" s="42">
        <v>36737</v>
      </c>
      <c r="K98" s="41">
        <f>(J98-'2018'!J211)/'2018'!J211</f>
        <v>3.3796713192255738E-2</v>
      </c>
      <c r="L98" s="42">
        <v>37411</v>
      </c>
    </row>
    <row r="99" spans="1:12" ht="15.75" thickBot="1" x14ac:dyDescent="0.3">
      <c r="A99" s="115" t="s">
        <v>413</v>
      </c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116"/>
    </row>
    <row r="100" spans="1:12" ht="15.75" thickBot="1" x14ac:dyDescent="0.3">
      <c r="A100" s="15"/>
      <c r="B100" s="13"/>
      <c r="C100" s="21"/>
    </row>
    <row r="101" spans="1:12" ht="18.75" x14ac:dyDescent="0.3">
      <c r="A101" s="83" t="s">
        <v>409</v>
      </c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108"/>
    </row>
    <row r="102" spans="1:12" ht="45" x14ac:dyDescent="0.25">
      <c r="A102" s="33" t="s">
        <v>2</v>
      </c>
      <c r="B102" s="1" t="s">
        <v>3</v>
      </c>
      <c r="C102" s="1" t="s">
        <v>4</v>
      </c>
      <c r="D102" s="4" t="s">
        <v>78</v>
      </c>
      <c r="E102" s="4" t="s">
        <v>391</v>
      </c>
      <c r="F102" s="4" t="s">
        <v>85</v>
      </c>
      <c r="G102" s="4" t="s">
        <v>79</v>
      </c>
      <c r="H102" s="4" t="s">
        <v>391</v>
      </c>
      <c r="I102" s="4" t="s">
        <v>82</v>
      </c>
      <c r="J102" s="4" t="s">
        <v>80</v>
      </c>
      <c r="K102" s="4" t="s">
        <v>391</v>
      </c>
      <c r="L102" s="72" t="s">
        <v>81</v>
      </c>
    </row>
    <row r="103" spans="1:12" x14ac:dyDescent="0.25">
      <c r="A103" s="33" t="s">
        <v>5</v>
      </c>
      <c r="B103" s="1" t="s">
        <v>6</v>
      </c>
      <c r="C103" s="1" t="s">
        <v>7</v>
      </c>
      <c r="D103" s="42">
        <v>141242</v>
      </c>
      <c r="E103" s="41">
        <f>(D103-'2018'!D216)/'2018'!D216</f>
        <v>-4.3788504502064854E-2</v>
      </c>
      <c r="F103" s="42">
        <v>147492</v>
      </c>
      <c r="G103" s="42">
        <v>101214</v>
      </c>
      <c r="H103" s="41">
        <f>(G103-'2018'!G216)/'2018'!G216</f>
        <v>-4.0540806486529038E-3</v>
      </c>
      <c r="I103" s="42">
        <v>102040</v>
      </c>
      <c r="J103" s="42">
        <v>35688</v>
      </c>
      <c r="K103" s="41">
        <f>(J103-'2018'!J216)/'2018'!J216</f>
        <v>-2.0717284526520868E-2</v>
      </c>
      <c r="L103" s="42">
        <v>36337</v>
      </c>
    </row>
    <row r="104" spans="1:12" x14ac:dyDescent="0.25">
      <c r="A104" s="33" t="s">
        <v>8</v>
      </c>
      <c r="B104" s="1" t="s">
        <v>9</v>
      </c>
      <c r="C104" s="1" t="s">
        <v>7</v>
      </c>
      <c r="D104" s="42">
        <v>138312</v>
      </c>
      <c r="E104" s="41">
        <f>(D104-'2018'!D217)/'2018'!D217</f>
        <v>-2.4893720521985574E-2</v>
      </c>
      <c r="F104" s="42">
        <v>139470</v>
      </c>
      <c r="G104" s="42">
        <v>87412</v>
      </c>
      <c r="H104" s="41">
        <f>(G104-'2018'!G217)/'2018'!G217</f>
        <v>-4.9828253402321838E-2</v>
      </c>
      <c r="I104" s="42">
        <v>91659</v>
      </c>
      <c r="J104" s="42">
        <v>33422</v>
      </c>
      <c r="K104" s="41">
        <f>(J104-'2018'!J217)/'2018'!J217</f>
        <v>-2.6080368330565026E-2</v>
      </c>
      <c r="L104" s="42">
        <v>34036</v>
      </c>
    </row>
    <row r="105" spans="1:12" x14ac:dyDescent="0.25">
      <c r="A105" s="33" t="s">
        <v>10</v>
      </c>
      <c r="B105" s="1" t="s">
        <v>9</v>
      </c>
      <c r="C105" s="1" t="s">
        <v>11</v>
      </c>
      <c r="D105" s="42">
        <v>77101</v>
      </c>
      <c r="E105" s="41">
        <f>(D105-'2018'!D218)/'2018'!D218</f>
        <v>-6.3216854587869367E-2</v>
      </c>
      <c r="F105" s="42">
        <v>80645</v>
      </c>
      <c r="G105" s="42">
        <v>66844</v>
      </c>
      <c r="H105" s="41">
        <f>(G105-'2018'!G218)/'2018'!G218</f>
        <v>-5.1481439436939495E-2</v>
      </c>
      <c r="I105" s="42">
        <v>67934</v>
      </c>
      <c r="J105" s="42">
        <v>30826</v>
      </c>
      <c r="K105" s="41">
        <f>(J105-'2018'!J218)/'2018'!J218</f>
        <v>-3.6687499999999998E-2</v>
      </c>
      <c r="L105" s="42">
        <v>31585</v>
      </c>
    </row>
    <row r="106" spans="1:12" x14ac:dyDescent="0.25">
      <c r="A106" s="33" t="s">
        <v>12</v>
      </c>
      <c r="B106" s="1" t="s">
        <v>13</v>
      </c>
      <c r="C106" s="1" t="s">
        <v>11</v>
      </c>
      <c r="D106" s="42">
        <v>70521</v>
      </c>
      <c r="E106" s="41">
        <f>(D106-'2018'!D219)/'2018'!D219</f>
        <v>-2.8208025576011465E-2</v>
      </c>
      <c r="F106" s="42" t="s">
        <v>411</v>
      </c>
      <c r="G106" s="42">
        <v>65019</v>
      </c>
      <c r="H106" s="41">
        <f>(G106-'2018'!G219)/'2018'!G219</f>
        <v>-2.6005542655980825E-2</v>
      </c>
      <c r="I106" s="42">
        <v>65359</v>
      </c>
      <c r="J106" s="42">
        <v>31152</v>
      </c>
      <c r="K106" s="41">
        <f>(J106-'2018'!J219)/'2018'!J219</f>
        <v>-2.243700379703141E-2</v>
      </c>
      <c r="L106" s="42">
        <v>31436</v>
      </c>
    </row>
    <row r="107" spans="1:12" x14ac:dyDescent="0.25">
      <c r="A107" s="33" t="s">
        <v>14</v>
      </c>
      <c r="B107" s="1" t="s">
        <v>15</v>
      </c>
      <c r="C107" s="1" t="s">
        <v>11</v>
      </c>
      <c r="D107" s="42">
        <v>69204</v>
      </c>
      <c r="E107" s="41">
        <f>(D107-'2018'!D220)/'2018'!D220</f>
        <v>-3.3908952577722556E-2</v>
      </c>
      <c r="F107" s="42">
        <v>69541</v>
      </c>
      <c r="G107" s="42">
        <v>63572</v>
      </c>
      <c r="H107" s="41">
        <f>(G107-'2018'!G220)/'2018'!G220</f>
        <v>-3.8783131983609782E-2</v>
      </c>
      <c r="I107" s="42">
        <v>64935</v>
      </c>
      <c r="J107" s="42">
        <v>31026</v>
      </c>
      <c r="K107" s="41">
        <f>(J107-'2018'!J220)/'2018'!J220</f>
        <v>-2.9193654369661128E-2</v>
      </c>
      <c r="L107" s="42">
        <v>31725</v>
      </c>
    </row>
    <row r="108" spans="1:12" ht="15.75" thickBot="1" x14ac:dyDescent="0.3">
      <c r="A108" s="109" t="s">
        <v>412</v>
      </c>
      <c r="B108" s="110"/>
      <c r="C108" s="110"/>
      <c r="D108" s="110"/>
      <c r="E108" s="110"/>
      <c r="F108" s="110"/>
      <c r="G108" s="110"/>
      <c r="H108" s="110"/>
      <c r="I108" s="42"/>
      <c r="J108" s="42"/>
      <c r="K108" s="74"/>
      <c r="L108" s="49"/>
    </row>
    <row r="109" spans="1:12" ht="18.75" x14ac:dyDescent="0.3">
      <c r="A109" s="83" t="s">
        <v>414</v>
      </c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108"/>
    </row>
    <row r="110" spans="1:12" ht="45" x14ac:dyDescent="0.25">
      <c r="A110" s="33" t="s">
        <v>2</v>
      </c>
      <c r="B110" s="1" t="s">
        <v>3</v>
      </c>
      <c r="C110" s="1" t="s">
        <v>4</v>
      </c>
      <c r="D110" s="4" t="s">
        <v>78</v>
      </c>
      <c r="E110" s="4" t="s">
        <v>391</v>
      </c>
      <c r="F110" s="4" t="s">
        <v>85</v>
      </c>
      <c r="G110" s="4" t="s">
        <v>79</v>
      </c>
      <c r="H110" s="4" t="s">
        <v>391</v>
      </c>
      <c r="I110" s="4" t="s">
        <v>82</v>
      </c>
      <c r="J110" s="4" t="s">
        <v>80</v>
      </c>
      <c r="K110" s="4" t="s">
        <v>391</v>
      </c>
      <c r="L110" s="72" t="s">
        <v>81</v>
      </c>
    </row>
    <row r="111" spans="1:12" x14ac:dyDescent="0.25">
      <c r="A111" s="33" t="s">
        <v>5</v>
      </c>
      <c r="B111" s="1" t="s">
        <v>6</v>
      </c>
      <c r="C111" s="1" t="s">
        <v>7</v>
      </c>
      <c r="D111" s="42" t="s">
        <v>249</v>
      </c>
      <c r="E111" s="41" t="e">
        <f>(D111-'2018'!D224)/'2018'!D224</f>
        <v>#VALUE!</v>
      </c>
      <c r="F111" s="42" t="s">
        <v>249</v>
      </c>
      <c r="G111" s="42" t="s">
        <v>249</v>
      </c>
      <c r="H111" s="41" t="e">
        <f>(G111-'2018'!G224)/'2018'!G224</f>
        <v>#VALUE!</v>
      </c>
      <c r="I111" s="42" t="s">
        <v>249</v>
      </c>
      <c r="J111" s="42" t="s">
        <v>249</v>
      </c>
      <c r="K111" s="41" t="e">
        <f>(J111-'2018'!J224)/'2018'!J224</f>
        <v>#VALUE!</v>
      </c>
      <c r="L111" s="42" t="s">
        <v>249</v>
      </c>
    </row>
    <row r="112" spans="1:12" x14ac:dyDescent="0.25">
      <c r="A112" s="33" t="s">
        <v>8</v>
      </c>
      <c r="B112" s="1" t="s">
        <v>9</v>
      </c>
      <c r="C112" s="1" t="s">
        <v>7</v>
      </c>
      <c r="D112" s="42">
        <v>132275</v>
      </c>
      <c r="E112" s="41">
        <f>(D112-'2018'!D217)/'2018'!D217</f>
        <v>-6.7454862065805157E-2</v>
      </c>
      <c r="F112" s="42">
        <v>133689</v>
      </c>
      <c r="G112" s="42">
        <v>90334</v>
      </c>
      <c r="H112" s="41">
        <f>(G112-'2018'!G217)/'2018'!G217</f>
        <v>-1.8066002869689988E-2</v>
      </c>
      <c r="I112" s="42">
        <v>91575</v>
      </c>
      <c r="J112" s="42">
        <v>33456</v>
      </c>
      <c r="K112" s="41">
        <f>(J112-'2018'!J217)/'2018'!J217</f>
        <v>-2.5089605734767026E-2</v>
      </c>
      <c r="L112" s="42">
        <v>33579</v>
      </c>
    </row>
    <row r="113" spans="1:12" x14ac:dyDescent="0.25">
      <c r="A113" s="33" t="s">
        <v>10</v>
      </c>
      <c r="B113" s="1" t="s">
        <v>9</v>
      </c>
      <c r="C113" s="1" t="s">
        <v>11</v>
      </c>
      <c r="D113" s="42">
        <v>78064</v>
      </c>
      <c r="E113" s="41">
        <f>(D113-'2018'!D218)/'2018'!D218</f>
        <v>-5.151632970451011E-2</v>
      </c>
      <c r="F113" s="42">
        <v>82034</v>
      </c>
      <c r="G113" s="42">
        <v>65919</v>
      </c>
      <c r="H113" s="41">
        <f>(G113-'2018'!G218)/'2018'!G218</f>
        <v>-6.4607219888750136E-2</v>
      </c>
      <c r="I113" s="42">
        <v>67385</v>
      </c>
      <c r="J113" s="42">
        <v>30826</v>
      </c>
      <c r="K113" s="41">
        <f>(J113-'2018'!J218)/'2018'!J218</f>
        <v>-3.6687499999999998E-2</v>
      </c>
      <c r="L113" s="42">
        <v>31289</v>
      </c>
    </row>
    <row r="114" spans="1:12" x14ac:dyDescent="0.25">
      <c r="A114" s="33" t="s">
        <v>12</v>
      </c>
      <c r="B114" s="1" t="s">
        <v>13</v>
      </c>
      <c r="C114" s="1" t="s">
        <v>11</v>
      </c>
      <c r="D114" s="42">
        <v>70571</v>
      </c>
      <c r="E114" s="41">
        <f>(D114-'2018'!D219)/'2018'!D219</f>
        <v>-2.7519016646455736E-2</v>
      </c>
      <c r="F114" s="42">
        <v>72463</v>
      </c>
      <c r="G114" s="42">
        <v>65616</v>
      </c>
      <c r="H114" s="41">
        <f>(G114-'2018'!G219)/'2018'!G219</f>
        <v>-1.7062392330162535E-2</v>
      </c>
      <c r="I114" s="42">
        <v>66225</v>
      </c>
      <c r="J114" s="42">
        <v>31289</v>
      </c>
      <c r="K114" s="41">
        <f>(J114-'2018'!J219)/'2018'!J219</f>
        <v>-1.8137885586970846E-2</v>
      </c>
      <c r="L114" s="42">
        <v>31436</v>
      </c>
    </row>
    <row r="115" spans="1:12" x14ac:dyDescent="0.25">
      <c r="A115" s="33" t="s">
        <v>14</v>
      </c>
      <c r="B115" s="1" t="s">
        <v>15</v>
      </c>
      <c r="C115" s="1" t="s">
        <v>11</v>
      </c>
      <c r="D115" s="42">
        <v>69783</v>
      </c>
      <c r="E115" s="41">
        <f>(D115-'2018'!D220)/'2018'!D220</f>
        <v>-2.5826085742604664E-2</v>
      </c>
      <c r="F115" s="42">
        <v>70422</v>
      </c>
      <c r="G115" s="42">
        <v>63653</v>
      </c>
      <c r="H115" s="41">
        <f>(G115-'2018'!G220)/'2018'!G220</f>
        <v>-3.7558401499916842E-2</v>
      </c>
      <c r="I115" s="42">
        <v>66225</v>
      </c>
      <c r="J115" s="42">
        <v>31250</v>
      </c>
      <c r="K115" s="41">
        <f>(J115-'2018'!J220)/'2018'!J220</f>
        <v>-2.218467411370819E-2</v>
      </c>
      <c r="L115" s="42">
        <v>31308</v>
      </c>
    </row>
    <row r="116" spans="1:12" ht="15.75" thickBot="1" x14ac:dyDescent="0.3">
      <c r="A116" s="109" t="s">
        <v>415</v>
      </c>
      <c r="B116" s="110"/>
      <c r="C116" s="110"/>
      <c r="D116" s="110"/>
      <c r="E116" s="110"/>
      <c r="F116" s="110"/>
      <c r="G116" s="110"/>
      <c r="H116" s="110"/>
      <c r="I116" s="42"/>
      <c r="J116" s="42"/>
      <c r="K116" s="74"/>
      <c r="L116" s="49"/>
    </row>
    <row r="117" spans="1:12" ht="15.75" thickBot="1" x14ac:dyDescent="0.3"/>
    <row r="118" spans="1:12" ht="18.75" x14ac:dyDescent="0.3">
      <c r="A118" s="83" t="s">
        <v>417</v>
      </c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108"/>
    </row>
    <row r="119" spans="1:12" ht="45" x14ac:dyDescent="0.25">
      <c r="A119" s="33" t="s">
        <v>2</v>
      </c>
      <c r="B119" s="1" t="s">
        <v>3</v>
      </c>
      <c r="C119" s="1" t="s">
        <v>4</v>
      </c>
      <c r="D119" s="4" t="s">
        <v>78</v>
      </c>
      <c r="E119" s="4" t="s">
        <v>391</v>
      </c>
      <c r="F119" s="4" t="s">
        <v>85</v>
      </c>
      <c r="G119" s="4" t="s">
        <v>79</v>
      </c>
      <c r="H119" s="4" t="s">
        <v>391</v>
      </c>
      <c r="I119" s="4" t="s">
        <v>82</v>
      </c>
      <c r="J119" s="4" t="s">
        <v>80</v>
      </c>
      <c r="K119" s="4" t="s">
        <v>391</v>
      </c>
      <c r="L119" s="72" t="s">
        <v>81</v>
      </c>
    </row>
    <row r="120" spans="1:12" x14ac:dyDescent="0.25">
      <c r="A120" s="33" t="s">
        <v>5</v>
      </c>
      <c r="B120" s="1" t="s">
        <v>6</v>
      </c>
      <c r="C120" s="1" t="s">
        <v>7</v>
      </c>
      <c r="D120" s="42">
        <v>165016</v>
      </c>
      <c r="E120" s="41">
        <f>(D120-'2018'!D207)/'2018'!D207</f>
        <v>1.320103643486056E-2</v>
      </c>
      <c r="F120" s="42">
        <v>165837</v>
      </c>
      <c r="G120" s="42">
        <v>99601</v>
      </c>
      <c r="H120" s="41">
        <f>(G120-'2018'!G207)/'2018'!G207</f>
        <v>-9.8609012009375815E-2</v>
      </c>
      <c r="I120" s="42">
        <v>110619</v>
      </c>
      <c r="J120" s="42">
        <v>37864</v>
      </c>
      <c r="K120" s="41">
        <f>(J120-'2018'!J207)/'2018'!J207</f>
        <v>-1.4009686995468985E-2</v>
      </c>
      <c r="L120" s="42">
        <v>38240</v>
      </c>
    </row>
    <row r="121" spans="1:12" x14ac:dyDescent="0.25">
      <c r="A121" s="33" t="s">
        <v>8</v>
      </c>
      <c r="B121" s="1" t="s">
        <v>9</v>
      </c>
      <c r="C121" s="1" t="s">
        <v>7</v>
      </c>
      <c r="D121" s="42">
        <v>156985</v>
      </c>
      <c r="E121" s="41">
        <f>(D121-'2018'!D208)/'2018'!D208</f>
        <v>-1.8843749999999999E-2</v>
      </c>
      <c r="F121" s="42">
        <v>163398</v>
      </c>
      <c r="G121" s="42">
        <v>101626</v>
      </c>
      <c r="H121" s="41">
        <f>(G121-'2018'!G208)/'2018'!G208</f>
        <v>4.9801146634987865E-2</v>
      </c>
      <c r="I121" s="42">
        <v>102040</v>
      </c>
      <c r="J121" s="42">
        <v>34602</v>
      </c>
      <c r="K121" s="41">
        <f>(J121-'2018'!J208)/'2018'!J208</f>
        <v>-3.9447019959470336E-2</v>
      </c>
      <c r="L121" s="42">
        <v>35997</v>
      </c>
    </row>
    <row r="122" spans="1:12" x14ac:dyDescent="0.25">
      <c r="A122" s="33" t="s">
        <v>10</v>
      </c>
      <c r="B122" s="1" t="s">
        <v>9</v>
      </c>
      <c r="C122" s="1" t="s">
        <v>11</v>
      </c>
      <c r="D122" s="42">
        <v>61576</v>
      </c>
      <c r="E122" s="41">
        <f>(D122-'2018'!D209)/'2018'!D209</f>
        <v>-1.4784E-2</v>
      </c>
      <c r="F122" s="42">
        <v>63011</v>
      </c>
      <c r="G122" s="42">
        <v>54555</v>
      </c>
      <c r="H122" s="41">
        <f>(G122-'2018'!G209)/'2018'!G209</f>
        <v>-2.5646978978764445E-2</v>
      </c>
      <c r="I122" s="42">
        <v>56369</v>
      </c>
      <c r="J122" s="42">
        <v>27870</v>
      </c>
      <c r="K122" s="41">
        <f>(J122-'2018'!J209)/'2018'!J209</f>
        <v>-1.08603066439523E-2</v>
      </c>
      <c r="L122" s="42">
        <v>28216</v>
      </c>
    </row>
    <row r="123" spans="1:12" x14ac:dyDescent="0.25">
      <c r="A123" s="33" t="s">
        <v>12</v>
      </c>
      <c r="B123" s="1" t="s">
        <v>13</v>
      </c>
      <c r="C123" s="1" t="s">
        <v>7</v>
      </c>
      <c r="D123" s="42">
        <v>134952</v>
      </c>
      <c r="E123" s="41">
        <f>(D123-'2018'!D210)/'2018'!D210</f>
        <v>2.4288056348290728E-2</v>
      </c>
      <c r="F123" s="42">
        <v>154320</v>
      </c>
      <c r="G123" s="42">
        <v>104058</v>
      </c>
      <c r="H123" s="41">
        <f>(G123-'2018'!G210)/'2018'!G210</f>
        <v>5.6190495523842393E-2</v>
      </c>
      <c r="I123" s="42">
        <v>104712</v>
      </c>
      <c r="J123" s="42">
        <v>36023</v>
      </c>
      <c r="K123" s="41">
        <f>(J123-'2018'!J210)/'2018'!J210</f>
        <v>-2.3766937669376695E-2</v>
      </c>
      <c r="L123" s="42">
        <v>36873</v>
      </c>
    </row>
    <row r="124" spans="1:12" x14ac:dyDescent="0.25">
      <c r="A124" s="33" t="s">
        <v>14</v>
      </c>
      <c r="B124" s="1" t="s">
        <v>15</v>
      </c>
      <c r="C124" s="1" t="s">
        <v>7</v>
      </c>
      <c r="D124" s="42">
        <v>119474</v>
      </c>
      <c r="E124" s="41">
        <f>(D124-'2018'!D211)/'2018'!D211</f>
        <v>-0.11349706908065593</v>
      </c>
      <c r="F124" s="42">
        <v>136986</v>
      </c>
      <c r="G124" s="42">
        <v>103734</v>
      </c>
      <c r="H124" s="41">
        <f>(G124-'2018'!G211)/'2018'!G211</f>
        <v>1.3482619145319187E-2</v>
      </c>
      <c r="I124" s="42">
        <v>104166</v>
      </c>
      <c r="J124" s="42">
        <v>36403</v>
      </c>
      <c r="K124" s="41">
        <f>(J124-'2018'!J211)/'2018'!J211</f>
        <v>2.4397793786582619E-2</v>
      </c>
      <c r="L124" s="42">
        <v>37411</v>
      </c>
    </row>
    <row r="125" spans="1:12" ht="15.75" thickBot="1" x14ac:dyDescent="0.3">
      <c r="A125" s="115" t="s">
        <v>416</v>
      </c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116"/>
    </row>
    <row r="126" spans="1:12" ht="15.75" thickBot="1" x14ac:dyDescent="0.3"/>
    <row r="127" spans="1:12" ht="18.75" x14ac:dyDescent="0.3">
      <c r="A127" s="83" t="s">
        <v>418</v>
      </c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108"/>
    </row>
    <row r="128" spans="1:12" ht="45" x14ac:dyDescent="0.25">
      <c r="A128" s="33" t="s">
        <v>2</v>
      </c>
      <c r="B128" s="1" t="s">
        <v>3</v>
      </c>
      <c r="C128" s="1" t="s">
        <v>4</v>
      </c>
      <c r="D128" s="4" t="s">
        <v>78</v>
      </c>
      <c r="E128" s="4" t="s">
        <v>391</v>
      </c>
      <c r="F128" s="4" t="s">
        <v>85</v>
      </c>
      <c r="G128" s="4" t="s">
        <v>79</v>
      </c>
      <c r="H128" s="4" t="s">
        <v>391</v>
      </c>
      <c r="I128" s="4" t="s">
        <v>82</v>
      </c>
      <c r="J128" s="4" t="s">
        <v>80</v>
      </c>
      <c r="K128" s="4" t="s">
        <v>391</v>
      </c>
      <c r="L128" s="72" t="s">
        <v>81</v>
      </c>
    </row>
    <row r="129" spans="1:12" x14ac:dyDescent="0.25">
      <c r="A129" s="33" t="s">
        <v>5</v>
      </c>
      <c r="B129" s="1" t="s">
        <v>6</v>
      </c>
      <c r="C129" s="1" t="s">
        <v>7</v>
      </c>
      <c r="D129" s="42">
        <v>141843</v>
      </c>
      <c r="E129" s="41">
        <f>(D129-'2018'!D216)/'2018'!D216</f>
        <v>-3.9719721075079546E-2</v>
      </c>
      <c r="F129" s="42">
        <v>143884</v>
      </c>
      <c r="G129" s="42">
        <v>98814</v>
      </c>
      <c r="H129" s="41">
        <f>(G129-'2018'!G216)/'2018'!G216</f>
        <v>-2.7670084427213509E-2</v>
      </c>
      <c r="I129" s="42">
        <v>99800</v>
      </c>
      <c r="J129" s="42">
        <v>35868</v>
      </c>
      <c r="K129" s="41">
        <f>(J129-'2018'!J216)/'2018'!J216</f>
        <v>-1.5778064374502649E-2</v>
      </c>
      <c r="L129" s="42">
        <v>36036</v>
      </c>
    </row>
    <row r="130" spans="1:12" x14ac:dyDescent="0.25">
      <c r="A130" s="33" t="s">
        <v>8</v>
      </c>
      <c r="B130" s="1" t="s">
        <v>9</v>
      </c>
      <c r="C130" s="1" t="s">
        <v>7</v>
      </c>
      <c r="D130" s="42">
        <v>136986</v>
      </c>
      <c r="E130" s="41">
        <f>(D130-'2018'!D217)/'2018'!D217</f>
        <v>-3.4242084558279227E-2</v>
      </c>
      <c r="F130" s="42">
        <v>137551</v>
      </c>
      <c r="G130" s="42">
        <v>91157</v>
      </c>
      <c r="H130" s="41">
        <f>(G130-'2018'!G217)/'2018'!G217</f>
        <v>-9.1199617374668456E-3</v>
      </c>
      <c r="I130" s="42">
        <v>91996</v>
      </c>
      <c r="J130" s="42">
        <v>33422</v>
      </c>
      <c r="K130" s="41">
        <f>(J130-'2018'!J217)/'2018'!J217</f>
        <v>-2.6080368330565026E-2</v>
      </c>
      <c r="L130" s="42">
        <v>33579</v>
      </c>
    </row>
    <row r="131" spans="1:12" x14ac:dyDescent="0.25">
      <c r="A131" s="33" t="s">
        <v>10</v>
      </c>
      <c r="B131" s="1" t="s">
        <v>9</v>
      </c>
      <c r="C131" s="1" t="s">
        <v>11</v>
      </c>
      <c r="D131" s="42">
        <v>75585</v>
      </c>
      <c r="E131" s="41">
        <f>(D131-'2018'!D218)/'2018'!D218</f>
        <v>-8.1636372472783825E-2</v>
      </c>
      <c r="F131" s="42">
        <v>79491</v>
      </c>
      <c r="G131" s="42">
        <v>66225</v>
      </c>
      <c r="H131" s="41">
        <f>(G131-'2018'!G218)/'2018'!G218</f>
        <v>-6.026506981496197E-2</v>
      </c>
      <c r="I131" s="42">
        <v>67567</v>
      </c>
      <c r="J131" s="42">
        <v>30826</v>
      </c>
      <c r="K131" s="41">
        <f>(J131-'2018'!J218)/'2018'!J218</f>
        <v>-3.6687499999999998E-2</v>
      </c>
      <c r="L131" s="42">
        <v>31269</v>
      </c>
    </row>
    <row r="132" spans="1:12" x14ac:dyDescent="0.25">
      <c r="A132" s="33" t="s">
        <v>12</v>
      </c>
      <c r="B132" s="1" t="s">
        <v>13</v>
      </c>
      <c r="C132" s="1" t="s">
        <v>11</v>
      </c>
      <c r="D132" s="42">
        <v>72886</v>
      </c>
      <c r="E132" s="41">
        <f>(D132-'2018'!D219)/'2018'!D219</f>
        <v>4.3820967919744238E-3</v>
      </c>
      <c r="F132" s="42">
        <v>73206</v>
      </c>
      <c r="G132" s="42">
        <v>65963</v>
      </c>
      <c r="H132" s="41">
        <f>(G132-'2018'!G219)/'2018'!G219</f>
        <v>-1.1864279829226275E-2</v>
      </c>
      <c r="I132" s="42">
        <v>66225</v>
      </c>
      <c r="J132" s="42">
        <v>31289</v>
      </c>
      <c r="K132" s="41">
        <f>(J132-'2018'!J219)/'2018'!J219</f>
        <v>-1.8137885586970846E-2</v>
      </c>
      <c r="L132" s="42">
        <v>31735</v>
      </c>
    </row>
    <row r="133" spans="1:12" x14ac:dyDescent="0.25">
      <c r="A133" s="33" t="s">
        <v>14</v>
      </c>
      <c r="B133" s="1" t="s">
        <v>15</v>
      </c>
      <c r="C133" s="1" t="s">
        <v>11</v>
      </c>
      <c r="D133" s="42">
        <v>71073</v>
      </c>
      <c r="E133" s="41">
        <f>(D133-'2018'!D220)/'2018'!D220</f>
        <v>-7.8176259545181693E-3</v>
      </c>
      <c r="F133" s="42">
        <v>71428</v>
      </c>
      <c r="G133" s="42">
        <v>64432</v>
      </c>
      <c r="H133" s="41">
        <f>(G133-'2018'!G220)/'2018'!G220</f>
        <v>-2.5779820675264981E-2</v>
      </c>
      <c r="I133" s="42">
        <v>65231</v>
      </c>
      <c r="J133" s="42">
        <v>31446</v>
      </c>
      <c r="K133" s="41">
        <f>(J133-'2018'!J220)/'2018'!J220</f>
        <v>-1.6051816389749365E-2</v>
      </c>
      <c r="L133" s="42">
        <v>32010</v>
      </c>
    </row>
    <row r="134" spans="1:12" ht="15.75" thickBot="1" x14ac:dyDescent="0.3">
      <c r="A134" s="109" t="s">
        <v>419</v>
      </c>
      <c r="B134" s="110"/>
      <c r="C134" s="110"/>
      <c r="D134" s="110"/>
      <c r="E134" s="110"/>
      <c r="F134" s="110"/>
      <c r="G134" s="110"/>
      <c r="H134" s="110"/>
      <c r="I134" s="42"/>
      <c r="J134" s="42"/>
      <c r="K134" s="74"/>
      <c r="L134" s="49"/>
    </row>
    <row r="135" spans="1:12" ht="15.75" thickBot="1" x14ac:dyDescent="0.3"/>
    <row r="136" spans="1:12" ht="18.75" x14ac:dyDescent="0.3">
      <c r="A136" s="83" t="s">
        <v>420</v>
      </c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108"/>
    </row>
    <row r="137" spans="1:12" ht="45" x14ac:dyDescent="0.25">
      <c r="A137" s="33" t="s">
        <v>2</v>
      </c>
      <c r="B137" s="1" t="s">
        <v>3</v>
      </c>
      <c r="C137" s="1" t="s">
        <v>4</v>
      </c>
      <c r="D137" s="4" t="s">
        <v>78</v>
      </c>
      <c r="E137" s="4" t="s">
        <v>391</v>
      </c>
      <c r="F137" s="4" t="s">
        <v>85</v>
      </c>
      <c r="G137" s="4" t="s">
        <v>79</v>
      </c>
      <c r="H137" s="4" t="s">
        <v>391</v>
      </c>
      <c r="I137" s="4" t="s">
        <v>82</v>
      </c>
      <c r="J137" s="4" t="s">
        <v>80</v>
      </c>
      <c r="K137" s="4" t="s">
        <v>391</v>
      </c>
      <c r="L137" s="72" t="s">
        <v>81</v>
      </c>
    </row>
    <row r="138" spans="1:12" x14ac:dyDescent="0.25">
      <c r="A138" s="33" t="s">
        <v>5</v>
      </c>
      <c r="B138" s="1" t="s">
        <v>6</v>
      </c>
      <c r="C138" s="1" t="s">
        <v>7</v>
      </c>
      <c r="D138" s="42">
        <v>163666</v>
      </c>
      <c r="E138" s="41">
        <f>(D138-'2018'!D207)/'2018'!D207</f>
        <v>4.9120135571574181E-3</v>
      </c>
      <c r="F138" s="42">
        <v>165016</v>
      </c>
      <c r="G138" s="42">
        <v>107411</v>
      </c>
      <c r="H138" s="41">
        <f>(G138-'2018'!G207)/'2018'!G207</f>
        <v>-2.7928360045974099E-2</v>
      </c>
      <c r="I138" s="42">
        <v>110497</v>
      </c>
      <c r="J138" s="42">
        <v>36023</v>
      </c>
      <c r="K138" s="41">
        <f>(J138-'2018'!J207)/'2018'!J207</f>
        <v>-6.194989844278944E-2</v>
      </c>
      <c r="L138" s="42">
        <v>37735</v>
      </c>
    </row>
    <row r="139" spans="1:12" x14ac:dyDescent="0.25">
      <c r="A139" s="33" t="s">
        <v>8</v>
      </c>
      <c r="B139" s="1" t="s">
        <v>9</v>
      </c>
      <c r="C139" s="1" t="s">
        <v>7</v>
      </c>
      <c r="D139" s="42">
        <v>158227</v>
      </c>
      <c r="E139" s="41">
        <f>(D139-'2018'!D208)/'2018'!D208</f>
        <v>-1.1081250000000001E-2</v>
      </c>
      <c r="F139" s="42">
        <v>161030</v>
      </c>
      <c r="G139" s="42">
        <v>102040</v>
      </c>
      <c r="H139" s="41">
        <f>(G139-'2018'!G208)/'2018'!G208</f>
        <v>5.4077785238365789E-2</v>
      </c>
      <c r="I139" s="42">
        <v>102040</v>
      </c>
      <c r="J139" s="42">
        <v>35511</v>
      </c>
      <c r="K139" s="41">
        <f>(J139-'2018'!J208)/'2018'!J208</f>
        <v>-1.4213141603975238E-2</v>
      </c>
      <c r="L139" s="42">
        <v>35688</v>
      </c>
    </row>
    <row r="140" spans="1:12" x14ac:dyDescent="0.25">
      <c r="A140" s="33" t="s">
        <v>10</v>
      </c>
      <c r="B140" s="1" t="s">
        <v>9</v>
      </c>
      <c r="C140" s="1" t="s">
        <v>11</v>
      </c>
      <c r="D140" s="42">
        <v>63011</v>
      </c>
      <c r="E140" s="41">
        <f>(D140-'2018'!D209)/'2018'!D209</f>
        <v>8.1759999999999992E-3</v>
      </c>
      <c r="F140" s="42">
        <v>63011</v>
      </c>
      <c r="G140" s="42">
        <v>55218</v>
      </c>
      <c r="H140" s="41">
        <f>(G140-'2018'!G209)/'2018'!G209</f>
        <v>-1.3805790216284759E-2</v>
      </c>
      <c r="I140" s="42">
        <v>56022</v>
      </c>
      <c r="J140" s="42">
        <v>27870</v>
      </c>
      <c r="K140" s="41">
        <f>(J140-'2018'!J209)/'2018'!J209</f>
        <v>-1.08603066439523E-2</v>
      </c>
      <c r="L140" s="42">
        <v>28105</v>
      </c>
    </row>
    <row r="141" spans="1:12" x14ac:dyDescent="0.25">
      <c r="A141" s="33" t="s">
        <v>12</v>
      </c>
      <c r="B141" s="1" t="s">
        <v>13</v>
      </c>
      <c r="C141" s="1" t="s">
        <v>7</v>
      </c>
      <c r="D141" s="42">
        <v>136612</v>
      </c>
      <c r="E141" s="41">
        <f>(D141-'2018'!D210)/'2018'!D210</f>
        <v>3.6887485578966546E-2</v>
      </c>
      <c r="F141" s="42">
        <v>157728</v>
      </c>
      <c r="G141" s="42">
        <v>101214</v>
      </c>
      <c r="H141" s="41">
        <f>(G141-'2018'!G210)/'2018'!G210</f>
        <v>2.7323846450538966E-2</v>
      </c>
      <c r="I141" s="42">
        <v>104602</v>
      </c>
      <c r="J141" s="42">
        <v>35310</v>
      </c>
      <c r="K141" s="41">
        <f>(J141-'2018'!J210)/'2018'!J210</f>
        <v>-4.3089430894308944E-2</v>
      </c>
      <c r="L141" s="42">
        <v>36873</v>
      </c>
    </row>
    <row r="142" spans="1:12" x14ac:dyDescent="0.25">
      <c r="A142" s="33" t="s">
        <v>14</v>
      </c>
      <c r="B142" s="1" t="s">
        <v>15</v>
      </c>
      <c r="C142" s="1" t="s">
        <v>7</v>
      </c>
      <c r="D142" s="42">
        <v>129533</v>
      </c>
      <c r="E142" s="41">
        <f>(D142-'2018'!D211)/'2018'!D211</f>
        <v>-3.8858796468056692E-2</v>
      </c>
      <c r="F142" s="42">
        <v>136986</v>
      </c>
      <c r="G142" s="42">
        <v>95419</v>
      </c>
      <c r="H142" s="41">
        <f>(G142-'2018'!G211)/'2018'!G211</f>
        <v>-6.7755046212165618E-2</v>
      </c>
      <c r="I142" s="42">
        <v>105042</v>
      </c>
      <c r="J142" s="42">
        <v>36737</v>
      </c>
      <c r="K142" s="41">
        <f>(J142-'2018'!J211)/'2018'!J211</f>
        <v>3.3796713192255738E-2</v>
      </c>
      <c r="L142" s="42">
        <v>36913</v>
      </c>
    </row>
    <row r="143" spans="1:12" ht="15.75" thickBot="1" x14ac:dyDescent="0.3">
      <c r="A143" s="115" t="s">
        <v>421</v>
      </c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116"/>
    </row>
    <row r="144" spans="1:12" ht="15.75" thickBot="1" x14ac:dyDescent="0.3"/>
    <row r="145" spans="1:12" ht="18.75" x14ac:dyDescent="0.3">
      <c r="A145" s="83" t="s">
        <v>422</v>
      </c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108"/>
    </row>
    <row r="146" spans="1:12" ht="45" x14ac:dyDescent="0.25">
      <c r="A146" s="33" t="s">
        <v>2</v>
      </c>
      <c r="B146" s="1" t="s">
        <v>3</v>
      </c>
      <c r="C146" s="1" t="s">
        <v>4</v>
      </c>
      <c r="D146" s="4" t="s">
        <v>78</v>
      </c>
      <c r="E146" s="4" t="s">
        <v>391</v>
      </c>
      <c r="F146" s="4" t="s">
        <v>85</v>
      </c>
      <c r="G146" s="4" t="s">
        <v>79</v>
      </c>
      <c r="H146" s="4" t="s">
        <v>391</v>
      </c>
      <c r="I146" s="4" t="s">
        <v>82</v>
      </c>
      <c r="J146" s="4" t="s">
        <v>80</v>
      </c>
      <c r="K146" s="4" t="s">
        <v>391</v>
      </c>
      <c r="L146" s="72" t="s">
        <v>81</v>
      </c>
    </row>
    <row r="147" spans="1:12" x14ac:dyDescent="0.25">
      <c r="A147" s="33" t="s">
        <v>5</v>
      </c>
      <c r="B147" s="1" t="s">
        <v>6</v>
      </c>
      <c r="C147" s="1" t="s">
        <v>7</v>
      </c>
      <c r="D147" s="42">
        <v>143266</v>
      </c>
      <c r="E147" s="41">
        <f>(D147-'2018'!D216)/'2018'!D216</f>
        <v>-3.0085979283731638E-2</v>
      </c>
      <c r="F147" s="42">
        <v>144508</v>
      </c>
      <c r="G147" s="42">
        <v>98911</v>
      </c>
      <c r="H147" s="41">
        <f>(G147-'2018'!G216)/'2018'!G216</f>
        <v>-2.6715604274496683E-2</v>
      </c>
      <c r="I147" s="42">
        <v>101112</v>
      </c>
      <c r="J147" s="42">
        <v>35829</v>
      </c>
      <c r="K147" s="41">
        <f>(J147-'2018'!J216)/'2018'!J216</f>
        <v>-1.6848228740773262E-2</v>
      </c>
      <c r="L147" s="42">
        <v>36036</v>
      </c>
    </row>
    <row r="148" spans="1:12" x14ac:dyDescent="0.25">
      <c r="A148" s="33" t="s">
        <v>8</v>
      </c>
      <c r="B148" s="1" t="s">
        <v>9</v>
      </c>
      <c r="C148" s="1" t="s">
        <v>7</v>
      </c>
      <c r="D148" s="42">
        <v>138312</v>
      </c>
      <c r="E148" s="41">
        <f>(D148-'2018'!D217)/'2018'!D217</f>
        <v>-2.4893720521985574E-2</v>
      </c>
      <c r="F148" s="42">
        <v>140449</v>
      </c>
      <c r="G148" s="42">
        <v>90415</v>
      </c>
      <c r="H148" s="41">
        <f>(G148-'2018'!G217)/'2018'!G217</f>
        <v>-1.7185529805643723E-2</v>
      </c>
      <c r="I148" s="42">
        <v>92506</v>
      </c>
      <c r="J148" s="42">
        <v>34036</v>
      </c>
      <c r="K148" s="41">
        <f>(J148-'2018'!J217)/'2018'!J217</f>
        <v>-8.1883614535070079E-3</v>
      </c>
      <c r="L148" s="42">
        <v>34036</v>
      </c>
    </row>
    <row r="149" spans="1:12" x14ac:dyDescent="0.25">
      <c r="A149" s="33" t="s">
        <v>10</v>
      </c>
      <c r="B149" s="1" t="s">
        <v>9</v>
      </c>
      <c r="C149" s="1" t="s">
        <v>11</v>
      </c>
      <c r="D149" s="42">
        <v>80064</v>
      </c>
      <c r="E149" s="41">
        <f>(D149-'2018'!D218)/'2018'!D218</f>
        <v>-2.7216174183514776E-2</v>
      </c>
      <c r="F149" s="42">
        <v>82236</v>
      </c>
      <c r="G149" s="42">
        <v>68587</v>
      </c>
      <c r="H149" s="41">
        <f>(G149-'2018'!G218)/'2018'!G218</f>
        <v>-2.6748212055851969E-2</v>
      </c>
      <c r="I149" s="42">
        <v>70224</v>
      </c>
      <c r="J149" s="42">
        <v>31735</v>
      </c>
      <c r="K149" s="41">
        <f>(J149-'2018'!J218)/'2018'!J218</f>
        <v>-8.2812500000000004E-3</v>
      </c>
      <c r="L149" s="42">
        <v>31867</v>
      </c>
    </row>
    <row r="150" spans="1:12" x14ac:dyDescent="0.25">
      <c r="A150" s="33" t="s">
        <v>12</v>
      </c>
      <c r="B150" s="1" t="s">
        <v>13</v>
      </c>
      <c r="C150" s="1" t="s">
        <v>11</v>
      </c>
      <c r="D150" s="42">
        <v>71890</v>
      </c>
      <c r="E150" s="41">
        <f>(D150-'2018'!D219)/'2018'!D219</f>
        <v>-9.342961084775659E-3</v>
      </c>
      <c r="F150" s="42">
        <v>73475</v>
      </c>
      <c r="G150" s="42">
        <v>65616</v>
      </c>
      <c r="H150" s="41">
        <f>(G150-'2018'!G219)/'2018'!G219</f>
        <v>-1.7062392330162535E-2</v>
      </c>
      <c r="I150" s="42">
        <v>66225</v>
      </c>
      <c r="J150" s="42">
        <v>31436</v>
      </c>
      <c r="K150" s="41">
        <f>(J150-'2018'!J219)/'2018'!J219</f>
        <v>-1.3524963128000753E-2</v>
      </c>
      <c r="L150" s="42">
        <v>31867</v>
      </c>
    </row>
    <row r="151" spans="1:12" x14ac:dyDescent="0.25">
      <c r="A151" s="33" t="s">
        <v>14</v>
      </c>
      <c r="B151" s="1" t="s">
        <v>15</v>
      </c>
      <c r="C151" s="1" t="s">
        <v>11</v>
      </c>
      <c r="D151" s="42">
        <v>69930</v>
      </c>
      <c r="E151" s="41">
        <f>(D151-'2018'!D220)/'2018'!D220</f>
        <v>-2.3773958929543645E-2</v>
      </c>
      <c r="F151" s="42">
        <v>70621</v>
      </c>
      <c r="G151" s="42">
        <v>64184</v>
      </c>
      <c r="H151" s="41">
        <f>(G151-'2018'!G220)/'2018'!G220</f>
        <v>-2.9529612773485342E-2</v>
      </c>
      <c r="I151" s="42">
        <v>66137</v>
      </c>
      <c r="J151" s="42">
        <v>31575</v>
      </c>
      <c r="K151" s="41">
        <f>(J151-'2018'!J220)/'2018'!J220</f>
        <v>-1.2015394724490754E-2</v>
      </c>
      <c r="L151" s="42">
        <v>31705</v>
      </c>
    </row>
    <row r="152" spans="1:12" ht="15.75" thickBot="1" x14ac:dyDescent="0.3">
      <c r="A152" s="109" t="s">
        <v>423</v>
      </c>
      <c r="B152" s="110"/>
      <c r="C152" s="110"/>
      <c r="D152" s="110"/>
      <c r="E152" s="110"/>
      <c r="F152" s="110"/>
      <c r="G152" s="110"/>
      <c r="H152" s="110"/>
      <c r="I152" s="42"/>
      <c r="J152" s="42"/>
      <c r="K152" s="74"/>
      <c r="L152" s="49"/>
    </row>
    <row r="153" spans="1:12" ht="15.75" thickBot="1" x14ac:dyDescent="0.3"/>
    <row r="154" spans="1:12" ht="18.75" x14ac:dyDescent="0.3">
      <c r="A154" s="83" t="s">
        <v>425</v>
      </c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108"/>
    </row>
    <row r="155" spans="1:12" ht="45" x14ac:dyDescent="0.25">
      <c r="A155" s="33" t="s">
        <v>2</v>
      </c>
      <c r="B155" s="1" t="s">
        <v>3</v>
      </c>
      <c r="C155" s="1" t="s">
        <v>4</v>
      </c>
      <c r="D155" s="4" t="s">
        <v>78</v>
      </c>
      <c r="E155" s="4" t="s">
        <v>391</v>
      </c>
      <c r="F155" s="4" t="s">
        <v>85</v>
      </c>
      <c r="G155" s="4" t="s">
        <v>79</v>
      </c>
      <c r="H155" s="4" t="s">
        <v>391</v>
      </c>
      <c r="I155" s="4" t="s">
        <v>82</v>
      </c>
      <c r="J155" s="4" t="s">
        <v>80</v>
      </c>
      <c r="K155" s="4" t="s">
        <v>391</v>
      </c>
      <c r="L155" s="72" t="s">
        <v>81</v>
      </c>
    </row>
    <row r="156" spans="1:12" x14ac:dyDescent="0.25">
      <c r="A156" s="33" t="s">
        <v>5</v>
      </c>
      <c r="B156" s="1" t="s">
        <v>6</v>
      </c>
      <c r="C156" s="1" t="s">
        <v>7</v>
      </c>
      <c r="D156" s="42">
        <v>143678</v>
      </c>
      <c r="E156" s="41">
        <f>(D156-'2018'!D207)/'2018'!D207</f>
        <v>-0.11781464516842066</v>
      </c>
      <c r="F156" s="42">
        <v>162074</v>
      </c>
      <c r="G156" s="42">
        <v>110011</v>
      </c>
      <c r="H156" s="41">
        <f>(G156-'2018'!G207)/'2018'!G207</f>
        <v>-4.3983094563653314E-3</v>
      </c>
      <c r="I156" s="42">
        <v>110987</v>
      </c>
      <c r="J156" s="42">
        <v>37735</v>
      </c>
      <c r="K156" s="41">
        <f>(J156-'2018'!J207)/'2018'!J207</f>
        <v>-1.7368887037133483E-2</v>
      </c>
      <c r="L156" s="42">
        <v>37907</v>
      </c>
    </row>
    <row r="157" spans="1:12" x14ac:dyDescent="0.25">
      <c r="A157" s="33" t="s">
        <v>8</v>
      </c>
      <c r="B157" s="1" t="s">
        <v>9</v>
      </c>
      <c r="C157" s="1" t="s">
        <v>7</v>
      </c>
      <c r="D157" s="42">
        <v>152905</v>
      </c>
      <c r="E157" s="41">
        <f>(D157-'2018'!D208)/'2018'!D208</f>
        <v>-4.4343750000000001E-2</v>
      </c>
      <c r="F157" s="42">
        <v>155520</v>
      </c>
      <c r="G157" s="42">
        <v>92081</v>
      </c>
      <c r="H157" s="41">
        <f>(G157-'2018'!G208)/'2018'!G208</f>
        <v>-4.8799132276225399E-2</v>
      </c>
      <c r="I157" s="42">
        <v>103199</v>
      </c>
      <c r="J157" s="42">
        <v>35511</v>
      </c>
      <c r="K157" s="41">
        <f>(J157-'2018'!J208)/'2018'!J208</f>
        <v>-1.4213141603975238E-2</v>
      </c>
      <c r="L157" s="42">
        <v>35829</v>
      </c>
    </row>
    <row r="158" spans="1:12" x14ac:dyDescent="0.25">
      <c r="A158" s="33" t="s">
        <v>10</v>
      </c>
      <c r="B158" s="1" t="s">
        <v>9</v>
      </c>
      <c r="C158" s="1" t="s">
        <v>11</v>
      </c>
      <c r="D158" s="42">
        <v>57570</v>
      </c>
      <c r="E158" s="41">
        <f>(D158-'2018'!D209)/'2018'!D209</f>
        <v>-7.8880000000000006E-2</v>
      </c>
      <c r="F158" s="42">
        <v>63011</v>
      </c>
      <c r="G158" s="42">
        <v>55493</v>
      </c>
      <c r="H158" s="41">
        <f>(G158-'2018'!G209)/'2018'!G209</f>
        <v>-8.894286581772071E-3</v>
      </c>
      <c r="I158" s="42">
        <v>56529</v>
      </c>
      <c r="J158" s="42">
        <v>27972</v>
      </c>
      <c r="K158" s="41">
        <f>(J158-'2018'!J209)/'2018'!J209</f>
        <v>-7.2402044293015336E-3</v>
      </c>
      <c r="L158" s="42">
        <v>28449</v>
      </c>
    </row>
    <row r="159" spans="1:12" x14ac:dyDescent="0.25">
      <c r="A159" s="33" t="s">
        <v>12</v>
      </c>
      <c r="B159" s="1" t="s">
        <v>13</v>
      </c>
      <c r="C159" s="1" t="s">
        <v>7</v>
      </c>
      <c r="D159" s="42">
        <v>146627</v>
      </c>
      <c r="E159" s="41">
        <f>(D159-'2018'!D210)/'2018'!D210</f>
        <v>0.11290151193150769</v>
      </c>
      <c r="F159" s="42">
        <v>148148</v>
      </c>
      <c r="G159" s="42">
        <v>104602</v>
      </c>
      <c r="H159" s="41">
        <f>(G159-'2018'!G210)/'2018'!G210</f>
        <v>6.1712104910578346E-2</v>
      </c>
      <c r="I159" s="42">
        <v>105820</v>
      </c>
      <c r="J159" s="42">
        <v>36179</v>
      </c>
      <c r="K159" s="41">
        <f>(J159-'2018'!J210)/'2018'!J210</f>
        <v>-1.9539295392953928E-2</v>
      </c>
      <c r="L159" s="42">
        <v>36710</v>
      </c>
    </row>
    <row r="160" spans="1:12" x14ac:dyDescent="0.25">
      <c r="A160" s="33" t="s">
        <v>14</v>
      </c>
      <c r="B160" s="1" t="s">
        <v>15</v>
      </c>
      <c r="C160" s="1" t="s">
        <v>7</v>
      </c>
      <c r="D160" s="42">
        <v>124533</v>
      </c>
      <c r="E160" s="41">
        <f>(D160-'2018'!D211)/'2018'!D211</f>
        <v>-7.595904132967278E-2</v>
      </c>
      <c r="F160" s="42">
        <v>135317</v>
      </c>
      <c r="G160" s="42">
        <v>104058</v>
      </c>
      <c r="H160" s="41">
        <f>(G160-'2018'!G211)/'2018'!G211</f>
        <v>1.6648103640307169E-2</v>
      </c>
      <c r="I160" s="42">
        <v>104931</v>
      </c>
      <c r="J160" s="42">
        <v>35880</v>
      </c>
      <c r="K160" s="41">
        <f>(J160-'2018'!J211)/'2018'!J211</f>
        <v>9.6803241782980644E-3</v>
      </c>
      <c r="L160" s="42">
        <v>36900</v>
      </c>
    </row>
    <row r="161" spans="1:12" ht="15.75" thickBot="1" x14ac:dyDescent="0.3">
      <c r="A161" s="115" t="s">
        <v>424</v>
      </c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116"/>
    </row>
    <row r="162" spans="1:12" ht="15.75" thickBot="1" x14ac:dyDescent="0.3"/>
    <row r="163" spans="1:12" ht="18.75" x14ac:dyDescent="0.3">
      <c r="A163" s="83" t="s">
        <v>426</v>
      </c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108"/>
    </row>
    <row r="164" spans="1:12" ht="45" x14ac:dyDescent="0.25">
      <c r="A164" s="33" t="s">
        <v>2</v>
      </c>
      <c r="B164" s="1" t="s">
        <v>3</v>
      </c>
      <c r="C164" s="1" t="s">
        <v>4</v>
      </c>
      <c r="D164" s="4" t="s">
        <v>78</v>
      </c>
      <c r="E164" s="4" t="s">
        <v>391</v>
      </c>
      <c r="F164" s="4" t="s">
        <v>85</v>
      </c>
      <c r="G164" s="4" t="s">
        <v>79</v>
      </c>
      <c r="H164" s="4" t="s">
        <v>391</v>
      </c>
      <c r="I164" s="4" t="s">
        <v>82</v>
      </c>
      <c r="J164" s="4" t="s">
        <v>80</v>
      </c>
      <c r="K164" s="4" t="s">
        <v>391</v>
      </c>
      <c r="L164" s="72" t="s">
        <v>81</v>
      </c>
    </row>
    <row r="165" spans="1:12" x14ac:dyDescent="0.25">
      <c r="A165" s="33" t="s">
        <v>5</v>
      </c>
      <c r="B165" s="1" t="s">
        <v>6</v>
      </c>
      <c r="C165" s="1" t="s">
        <v>7</v>
      </c>
      <c r="D165" s="42">
        <v>143884</v>
      </c>
      <c r="E165" s="41">
        <f>(D165-'2018'!D216)/'2018'!D216</f>
        <v>-2.5902105476948073E-2</v>
      </c>
      <c r="F165" s="42">
        <v>145560</v>
      </c>
      <c r="G165" s="42">
        <v>84104</v>
      </c>
      <c r="H165" s="41">
        <f>(G165-'2018'!G216)/'2018'!G216</f>
        <v>-0.1724165075866412</v>
      </c>
      <c r="I165" s="42">
        <v>89047</v>
      </c>
      <c r="J165" s="42">
        <v>35688</v>
      </c>
      <c r="K165" s="41">
        <f>(J165-'2018'!J216)/'2018'!J216</f>
        <v>-2.0717284526520868E-2</v>
      </c>
      <c r="L165" s="42">
        <v>35868</v>
      </c>
    </row>
    <row r="166" spans="1:12" x14ac:dyDescent="0.25">
      <c r="A166" s="33" t="s">
        <v>8</v>
      </c>
      <c r="B166" s="1" t="s">
        <v>9</v>
      </c>
      <c r="C166" s="1" t="s">
        <v>7</v>
      </c>
      <c r="D166" s="42">
        <v>134408</v>
      </c>
      <c r="E166" s="41">
        <f>(D166-'2018'!D217)/'2018'!D217</f>
        <v>-5.2417109057197042E-2</v>
      </c>
      <c r="F166" s="42">
        <v>139275</v>
      </c>
      <c r="G166" s="42" t="s">
        <v>249</v>
      </c>
      <c r="H166" s="41" t="e">
        <f>(G166-'2018'!G217)/'2018'!G217</f>
        <v>#VALUE!</v>
      </c>
      <c r="I166" s="42" t="s">
        <v>249</v>
      </c>
      <c r="J166" s="42">
        <v>33167</v>
      </c>
      <c r="K166" s="41">
        <f>(J166-'2018'!J217)/'2018'!J217</f>
        <v>-3.3511087799050036E-2</v>
      </c>
      <c r="L166" s="42">
        <v>33456</v>
      </c>
    </row>
    <row r="167" spans="1:12" x14ac:dyDescent="0.25">
      <c r="A167" s="33" t="s">
        <v>10</v>
      </c>
      <c r="B167" s="1" t="s">
        <v>9</v>
      </c>
      <c r="C167" s="1" t="s">
        <v>11</v>
      </c>
      <c r="D167" s="42">
        <v>79113</v>
      </c>
      <c r="E167" s="41">
        <f>(D167-'2018'!D218)/'2018'!D218</f>
        <v>-3.8770898133748059E-2</v>
      </c>
      <c r="F167" s="42">
        <v>82304</v>
      </c>
      <c r="G167" s="42">
        <v>51203</v>
      </c>
      <c r="H167" s="41">
        <f>(G167-'2018'!G218)/'2018'!G218</f>
        <v>-0.27342774435236689</v>
      </c>
      <c r="I167" s="42">
        <v>52438</v>
      </c>
      <c r="J167" s="42">
        <v>30826</v>
      </c>
      <c r="K167" s="41">
        <f>(J167-'2018'!J218)/'2018'!J218</f>
        <v>-3.6687499999999998E-2</v>
      </c>
      <c r="L167" s="42">
        <v>31436</v>
      </c>
    </row>
    <row r="168" spans="1:12" x14ac:dyDescent="0.25">
      <c r="A168" s="33" t="s">
        <v>12</v>
      </c>
      <c r="B168" s="1" t="s">
        <v>13</v>
      </c>
      <c r="C168" s="1" t="s">
        <v>11</v>
      </c>
      <c r="D168" s="42">
        <v>71174</v>
      </c>
      <c r="E168" s="41">
        <f>(D168-'2018'!D219)/'2018'!D219</f>
        <v>-1.9209568956013671E-2</v>
      </c>
      <c r="F168" s="42">
        <v>71787</v>
      </c>
      <c r="G168" s="42">
        <v>51229</v>
      </c>
      <c r="H168" s="41">
        <f>(G168-'2018'!G219)/'2018'!G219</f>
        <v>-0.23258182907647368</v>
      </c>
      <c r="I168" s="42">
        <v>51679</v>
      </c>
      <c r="J168" s="42">
        <v>31436</v>
      </c>
      <c r="K168" s="41">
        <f>(J168-'2018'!J219)/'2018'!J219</f>
        <v>-1.3524963128000753E-2</v>
      </c>
      <c r="L168" s="42">
        <v>31735</v>
      </c>
    </row>
    <row r="169" spans="1:12" x14ac:dyDescent="0.25">
      <c r="A169" s="33" t="s">
        <v>14</v>
      </c>
      <c r="B169" s="1" t="s">
        <v>15</v>
      </c>
      <c r="C169" s="1" t="s">
        <v>11</v>
      </c>
      <c r="D169" s="42">
        <v>66844</v>
      </c>
      <c r="E169" s="41">
        <f>(D169-'2018'!D220)/'2018'!D220</f>
        <v>-6.6854661957477704E-2</v>
      </c>
      <c r="F169" s="42">
        <v>69930</v>
      </c>
      <c r="G169" s="42">
        <v>48309</v>
      </c>
      <c r="H169" s="41">
        <f>(G169-'2018'!G220)/'2018'!G220</f>
        <v>-0.26956166744787335</v>
      </c>
      <c r="I169" s="42">
        <v>50709</v>
      </c>
      <c r="J169" s="42">
        <v>29904</v>
      </c>
      <c r="K169" s="41">
        <f>(J169-'2018'!J220)/'2018'!J220</f>
        <v>-6.4301135830282546E-2</v>
      </c>
      <c r="L169" s="42">
        <v>31094</v>
      </c>
    </row>
    <row r="170" spans="1:12" ht="15.75" thickBot="1" x14ac:dyDescent="0.3">
      <c r="A170" s="109" t="s">
        <v>429</v>
      </c>
      <c r="B170" s="110"/>
      <c r="C170" s="110"/>
      <c r="D170" s="110"/>
      <c r="E170" s="110"/>
      <c r="F170" s="110"/>
      <c r="G170" s="110"/>
      <c r="H170" s="110"/>
      <c r="I170" s="42"/>
      <c r="J170" s="42"/>
      <c r="K170" s="74"/>
      <c r="L170" s="49"/>
    </row>
    <row r="171" spans="1:12" ht="15.75" thickBot="1" x14ac:dyDescent="0.3"/>
    <row r="172" spans="1:12" ht="18.75" x14ac:dyDescent="0.3">
      <c r="A172" s="83" t="s">
        <v>427</v>
      </c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108"/>
    </row>
    <row r="173" spans="1:12" ht="45" x14ac:dyDescent="0.25">
      <c r="A173" s="33" t="s">
        <v>2</v>
      </c>
      <c r="B173" s="1" t="s">
        <v>3</v>
      </c>
      <c r="C173" s="1" t="s">
        <v>4</v>
      </c>
      <c r="D173" s="4" t="s">
        <v>78</v>
      </c>
      <c r="E173" s="4" t="s">
        <v>391</v>
      </c>
      <c r="F173" s="4" t="s">
        <v>85</v>
      </c>
      <c r="G173" s="4" t="s">
        <v>79</v>
      </c>
      <c r="H173" s="4" t="s">
        <v>391</v>
      </c>
      <c r="I173" s="4" t="s">
        <v>82</v>
      </c>
      <c r="J173" s="4" t="s">
        <v>80</v>
      </c>
      <c r="K173" s="4" t="s">
        <v>391</v>
      </c>
      <c r="L173" s="72" t="s">
        <v>81</v>
      </c>
    </row>
    <row r="174" spans="1:12" x14ac:dyDescent="0.25">
      <c r="A174" s="33" t="s">
        <v>5</v>
      </c>
      <c r="B174" s="1" t="s">
        <v>6</v>
      </c>
      <c r="C174" s="1" t="s">
        <v>7</v>
      </c>
      <c r="D174" s="42">
        <v>157977</v>
      </c>
      <c r="E174" s="41">
        <f>(D174-'2018'!D207)/'2018'!D207</f>
        <v>-3.0018542851178269E-2</v>
      </c>
      <c r="F174" s="42">
        <v>165562</v>
      </c>
      <c r="G174" s="42">
        <v>108813</v>
      </c>
      <c r="H174" s="41">
        <f>(G174-'2018'!G207)/'2018'!G207</f>
        <v>-1.5240232766500448E-2</v>
      </c>
      <c r="I174" s="42">
        <v>110987</v>
      </c>
      <c r="J174" s="42">
        <v>36900</v>
      </c>
      <c r="K174" s="41">
        <f>(J174-'2018'!J207)/'2018'!J207</f>
        <v>-3.9112546221550963E-2</v>
      </c>
      <c r="L174" s="42">
        <v>38051</v>
      </c>
    </row>
    <row r="175" spans="1:12" x14ac:dyDescent="0.25">
      <c r="A175" s="33" t="s">
        <v>8</v>
      </c>
      <c r="B175" s="1" t="s">
        <v>9</v>
      </c>
      <c r="C175" s="1" t="s">
        <v>7</v>
      </c>
      <c r="D175" s="42">
        <v>155038</v>
      </c>
      <c r="E175" s="41">
        <f>(D175-'2018'!D208)/'2018'!D208</f>
        <v>-3.1012499999999998E-2</v>
      </c>
      <c r="F175" s="42">
        <v>164203</v>
      </c>
      <c r="G175" s="42">
        <v>100300</v>
      </c>
      <c r="H175" s="41">
        <f>(G175-'2018'!G208)/'2018'!G208</f>
        <v>3.6103507050255668E-2</v>
      </c>
      <c r="I175" s="42">
        <v>102040</v>
      </c>
      <c r="J175" s="42">
        <v>35650</v>
      </c>
      <c r="K175" s="41">
        <f>(J175-'2018'!J208)/'2018'!J208</f>
        <v>-1.0354495738833524E-2</v>
      </c>
      <c r="L175" s="42">
        <v>35997</v>
      </c>
    </row>
    <row r="176" spans="1:12" x14ac:dyDescent="0.25">
      <c r="A176" s="33" t="s">
        <v>10</v>
      </c>
      <c r="B176" s="1" t="s">
        <v>9</v>
      </c>
      <c r="C176" s="1" t="s">
        <v>11</v>
      </c>
      <c r="D176" s="42">
        <v>57570</v>
      </c>
      <c r="E176" s="41">
        <f>(D176-'2018'!D209)/'2018'!D209</f>
        <v>-7.8880000000000006E-2</v>
      </c>
      <c r="F176" s="42">
        <v>61050</v>
      </c>
      <c r="G176" s="42">
        <v>54674</v>
      </c>
      <c r="H176" s="41">
        <f>(G176-'2018'!G209)/'2018'!G209</f>
        <v>-2.3521637406011681E-2</v>
      </c>
      <c r="I176" s="42">
        <v>55463</v>
      </c>
      <c r="J176" s="42">
        <v>27870</v>
      </c>
      <c r="K176" s="41">
        <f>(J176-'2018'!J209)/'2018'!J209</f>
        <v>-1.08603066439523E-2</v>
      </c>
      <c r="L176" s="42">
        <v>28449</v>
      </c>
    </row>
    <row r="177" spans="1:12" x14ac:dyDescent="0.25">
      <c r="A177" s="33" t="s">
        <v>12</v>
      </c>
      <c r="B177" s="1" t="s">
        <v>13</v>
      </c>
      <c r="C177" s="1" t="s">
        <v>7</v>
      </c>
      <c r="D177" s="42">
        <v>154798</v>
      </c>
      <c r="E177" s="41">
        <f>(D177-'2018'!D210)/'2018'!D210</f>
        <v>0.17491954581334629</v>
      </c>
      <c r="F177" s="42">
        <v>157977</v>
      </c>
      <c r="G177" s="42">
        <v>103734</v>
      </c>
      <c r="H177" s="41">
        <f>(G177-'2018'!G210)/'2018'!G210</f>
        <v>5.2901889933212889E-2</v>
      </c>
      <c r="I177" s="42">
        <v>105042</v>
      </c>
      <c r="J177" s="42">
        <v>36523</v>
      </c>
      <c r="K177" s="41">
        <f>(J177-'2018'!J210)/'2018'!J210</f>
        <v>-1.021680216802168E-2</v>
      </c>
      <c r="L177" s="42">
        <v>37216</v>
      </c>
    </row>
    <row r="178" spans="1:12" x14ac:dyDescent="0.25">
      <c r="A178" s="33" t="s">
        <v>14</v>
      </c>
      <c r="B178" s="1" t="s">
        <v>15</v>
      </c>
      <c r="C178" s="1" t="s">
        <v>7</v>
      </c>
      <c r="D178" s="42">
        <v>127551</v>
      </c>
      <c r="E178" s="41">
        <f>(D178-'2018'!D211)/'2018'!D211</f>
        <v>-5.3565333531201305E-2</v>
      </c>
      <c r="F178" s="42">
        <v>139470</v>
      </c>
      <c r="G178" s="42">
        <v>99800</v>
      </c>
      <c r="H178" s="41">
        <f>(G178-'2018'!G211)/'2018'!G211</f>
        <v>-2.4952615432713914E-2</v>
      </c>
      <c r="I178" s="42">
        <v>106044</v>
      </c>
      <c r="J178" s="42">
        <v>35001</v>
      </c>
      <c r="K178" s="41">
        <f>(J178-'2018'!J211)/'2018'!J211</f>
        <v>-1.505515533543449E-2</v>
      </c>
      <c r="L178" s="42">
        <v>37593</v>
      </c>
    </row>
    <row r="179" spans="1:12" ht="15.75" thickBot="1" x14ac:dyDescent="0.3">
      <c r="A179" s="115" t="s">
        <v>428</v>
      </c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116"/>
    </row>
    <row r="180" spans="1:12" ht="15.75" thickBot="1" x14ac:dyDescent="0.3"/>
    <row r="181" spans="1:12" ht="18.75" x14ac:dyDescent="0.3">
      <c r="A181" s="83" t="s">
        <v>431</v>
      </c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108"/>
    </row>
    <row r="182" spans="1:12" ht="45" x14ac:dyDescent="0.25">
      <c r="A182" s="33" t="s">
        <v>2</v>
      </c>
      <c r="B182" s="1" t="s">
        <v>3</v>
      </c>
      <c r="C182" s="1" t="s">
        <v>4</v>
      </c>
      <c r="D182" s="4" t="s">
        <v>78</v>
      </c>
      <c r="E182" s="4" t="s">
        <v>391</v>
      </c>
      <c r="F182" s="4" t="s">
        <v>85</v>
      </c>
      <c r="G182" s="4" t="s">
        <v>79</v>
      </c>
      <c r="H182" s="4" t="s">
        <v>391</v>
      </c>
      <c r="I182" s="4" t="s">
        <v>82</v>
      </c>
      <c r="J182" s="4" t="s">
        <v>80</v>
      </c>
      <c r="K182" s="4" t="s">
        <v>391</v>
      </c>
      <c r="L182" s="72" t="s">
        <v>81</v>
      </c>
    </row>
    <row r="183" spans="1:12" x14ac:dyDescent="0.25">
      <c r="A183" s="33" t="s">
        <v>5</v>
      </c>
      <c r="B183" s="1" t="s">
        <v>6</v>
      </c>
      <c r="C183" s="1" t="s">
        <v>7</v>
      </c>
      <c r="D183" s="42">
        <v>140449</v>
      </c>
      <c r="E183" s="41">
        <f>(D183-'2018'!D216)/'2018'!D216</f>
        <v>-4.915713221853632E-2</v>
      </c>
      <c r="F183" s="42">
        <v>142045</v>
      </c>
      <c r="G183" s="42">
        <v>98425</v>
      </c>
      <c r="H183" s="41">
        <f>(G183-'2018'!G216)/'2018'!G216</f>
        <v>-3.1497845039655206E-2</v>
      </c>
      <c r="I183" s="42">
        <v>99800</v>
      </c>
      <c r="J183" s="42">
        <v>36337</v>
      </c>
      <c r="K183" s="41">
        <f>(J183-'2018'!J216)/'2018'!J216</f>
        <v>-2.9086518672996188E-3</v>
      </c>
      <c r="L183" s="42">
        <v>36337</v>
      </c>
    </row>
    <row r="184" spans="1:12" x14ac:dyDescent="0.25">
      <c r="A184" s="33" t="s">
        <v>8</v>
      </c>
      <c r="B184" s="1" t="s">
        <v>9</v>
      </c>
      <c r="C184" s="1" t="s">
        <v>7</v>
      </c>
      <c r="D184" s="42">
        <v>136425</v>
      </c>
      <c r="E184" s="41">
        <f>(D184-'2018'!D217)/'2018'!D217</f>
        <v>-3.819716165055731E-2</v>
      </c>
      <c r="F184" s="42">
        <v>136425</v>
      </c>
      <c r="G184" s="42">
        <v>90661</v>
      </c>
      <c r="H184" s="41">
        <f>(G184-'2018'!G217)/'2018'!G217</f>
        <v>-1.4511500500021739E-2</v>
      </c>
      <c r="I184" s="42">
        <v>91157</v>
      </c>
      <c r="J184" s="42">
        <v>33715</v>
      </c>
      <c r="K184" s="41">
        <f>(J184-'2018'!J217)/'2018'!J217</f>
        <v>-1.7542325960894018E-2</v>
      </c>
      <c r="L184" s="42">
        <v>33738</v>
      </c>
    </row>
    <row r="185" spans="1:12" x14ac:dyDescent="0.25">
      <c r="A185" s="33" t="s">
        <v>10</v>
      </c>
      <c r="B185" s="1" t="s">
        <v>9</v>
      </c>
      <c r="C185" s="1" t="s">
        <v>11</v>
      </c>
      <c r="D185" s="42">
        <v>80450</v>
      </c>
      <c r="E185" s="41">
        <f>(D185-'2018'!D218)/'2018'!D218</f>
        <v>-2.2526244167962676E-2</v>
      </c>
      <c r="F185" s="42">
        <v>80580</v>
      </c>
      <c r="G185" s="42">
        <v>66844</v>
      </c>
      <c r="H185" s="41">
        <f>(G185-'2018'!G218)/'2018'!G218</f>
        <v>-5.1481439436939495E-2</v>
      </c>
      <c r="I185" s="42">
        <v>69396</v>
      </c>
      <c r="J185" s="42">
        <v>31133</v>
      </c>
      <c r="K185" s="41">
        <f>(J185-'2018'!J218)/'2018'!J218</f>
        <v>-2.709375E-2</v>
      </c>
      <c r="L185" s="42">
        <v>31867</v>
      </c>
    </row>
    <row r="186" spans="1:12" x14ac:dyDescent="0.25">
      <c r="A186" s="33" t="s">
        <v>12</v>
      </c>
      <c r="B186" s="1" t="s">
        <v>13</v>
      </c>
      <c r="C186" s="1" t="s">
        <v>11</v>
      </c>
      <c r="D186" s="42">
        <v>73260</v>
      </c>
      <c r="E186" s="41">
        <f>(D186-'2018'!D219)/'2018'!D219</f>
        <v>9.5358835850512629E-3</v>
      </c>
      <c r="F186" s="42">
        <v>74183</v>
      </c>
      <c r="G186" s="42">
        <v>65616</v>
      </c>
      <c r="H186" s="41">
        <f>(G186-'2018'!G219)/'2018'!G219</f>
        <v>-1.7062392330162535E-2</v>
      </c>
      <c r="I186" s="42">
        <v>66755</v>
      </c>
      <c r="J186" s="42">
        <v>31416</v>
      </c>
      <c r="K186" s="41">
        <f>(J186-'2018'!J219)/'2018'!J219</f>
        <v>-1.4152571625819814E-2</v>
      </c>
      <c r="L186" s="42">
        <v>31735</v>
      </c>
    </row>
    <row r="187" spans="1:12" x14ac:dyDescent="0.25">
      <c r="A187" s="33" t="s">
        <v>14</v>
      </c>
      <c r="B187" s="1" t="s">
        <v>15</v>
      </c>
      <c r="C187" s="1" t="s">
        <v>11</v>
      </c>
      <c r="D187" s="42">
        <v>70571</v>
      </c>
      <c r="E187" s="41">
        <f>(D187-'2018'!D220)/'2018'!D220</f>
        <v>-1.4825569220889814E-2</v>
      </c>
      <c r="F187" s="42">
        <v>71326</v>
      </c>
      <c r="G187" s="42">
        <v>63938</v>
      </c>
      <c r="H187" s="41">
        <f>(G187-'2018'!G220)/'2018'!G220</f>
        <v>-3.3249164612849089E-2</v>
      </c>
      <c r="I187" s="42">
        <v>66533</v>
      </c>
      <c r="J187" s="42">
        <v>31705</v>
      </c>
      <c r="K187" s="41">
        <f>(J187-'2018'!J220)/'2018'!J220</f>
        <v>-7.9476829688037796E-3</v>
      </c>
      <c r="L187" s="42">
        <v>31857</v>
      </c>
    </row>
    <row r="188" spans="1:12" ht="15.75" thickBot="1" x14ac:dyDescent="0.3">
      <c r="A188" s="109" t="s">
        <v>430</v>
      </c>
      <c r="B188" s="110"/>
      <c r="C188" s="110"/>
      <c r="D188" s="110"/>
      <c r="E188" s="110"/>
      <c r="F188" s="110"/>
      <c r="G188" s="110"/>
      <c r="H188" s="110"/>
      <c r="I188" s="42"/>
      <c r="J188" s="42"/>
      <c r="K188" s="74"/>
      <c r="L188" s="42"/>
    </row>
    <row r="189" spans="1:12" ht="15.75" thickBot="1" x14ac:dyDescent="0.3"/>
    <row r="190" spans="1:12" ht="18.75" x14ac:dyDescent="0.3">
      <c r="A190" s="83" t="s">
        <v>432</v>
      </c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108"/>
    </row>
    <row r="191" spans="1:12" ht="45" x14ac:dyDescent="0.25">
      <c r="A191" s="33" t="s">
        <v>2</v>
      </c>
      <c r="B191" s="1" t="s">
        <v>3</v>
      </c>
      <c r="C191" s="1" t="s">
        <v>4</v>
      </c>
      <c r="D191" s="4" t="s">
        <v>78</v>
      </c>
      <c r="E191" s="4" t="s">
        <v>391</v>
      </c>
      <c r="F191" s="4" t="s">
        <v>85</v>
      </c>
      <c r="G191" s="4" t="s">
        <v>79</v>
      </c>
      <c r="H191" s="4" t="s">
        <v>391</v>
      </c>
      <c r="I191" s="4" t="s">
        <v>82</v>
      </c>
      <c r="J191" s="4" t="s">
        <v>80</v>
      </c>
      <c r="K191" s="4" t="s">
        <v>391</v>
      </c>
      <c r="L191" s="72" t="s">
        <v>81</v>
      </c>
    </row>
    <row r="192" spans="1:12" x14ac:dyDescent="0.25">
      <c r="A192" s="33" t="s">
        <v>5</v>
      </c>
      <c r="B192" s="1" t="s">
        <v>6</v>
      </c>
      <c r="C192" s="1" t="s">
        <v>7</v>
      </c>
      <c r="D192" s="42">
        <v>143061</v>
      </c>
      <c r="E192" s="41">
        <f>(D192-'2018'!D207)/'2018'!D207</f>
        <v>-0.12160303562437833</v>
      </c>
      <c r="F192" s="42">
        <v>157232</v>
      </c>
      <c r="G192" s="42">
        <v>105485</v>
      </c>
      <c r="H192" s="41">
        <f>(G192-'2018'!G207)/'2018'!G207</f>
        <v>-4.535869752119967E-2</v>
      </c>
      <c r="I192" s="42">
        <v>106951</v>
      </c>
      <c r="J192" s="42">
        <v>38051</v>
      </c>
      <c r="K192" s="41">
        <f>(J192-'2018'!J207)/'2018'!J207</f>
        <v>-9.1401489505754906E-3</v>
      </c>
      <c r="L192" s="42">
        <v>38211</v>
      </c>
    </row>
    <row r="193" spans="1:12" x14ac:dyDescent="0.25">
      <c r="A193" s="33" t="s">
        <v>8</v>
      </c>
      <c r="B193" s="1" t="s">
        <v>9</v>
      </c>
      <c r="C193" s="1" t="s">
        <v>7</v>
      </c>
      <c r="D193" s="42">
        <v>149476</v>
      </c>
      <c r="E193" s="41">
        <f>(D193-'2018'!D208)/'2018'!D208</f>
        <v>-6.5775E-2</v>
      </c>
      <c r="F193" s="42">
        <v>155763</v>
      </c>
      <c r="G193" s="42">
        <v>98911</v>
      </c>
      <c r="H193" s="41">
        <f>(G193-'2018'!G208)/'2018'!G208</f>
        <v>2.1755074634574659E-2</v>
      </c>
      <c r="I193" s="42">
        <v>102774</v>
      </c>
      <c r="J193" s="42">
        <v>35752</v>
      </c>
      <c r="K193" s="41">
        <f>(J193-'2018'!J208)/'2018'!J208</f>
        <v>-7.5229714349165809E-3</v>
      </c>
      <c r="L193" s="42">
        <v>36101</v>
      </c>
    </row>
    <row r="194" spans="1:12" x14ac:dyDescent="0.25">
      <c r="A194" s="33" t="s">
        <v>10</v>
      </c>
      <c r="B194" s="1" t="s">
        <v>9</v>
      </c>
      <c r="C194" s="1" t="s">
        <v>11</v>
      </c>
      <c r="D194" s="42">
        <v>60024</v>
      </c>
      <c r="E194" s="41">
        <f>(D194-'2018'!D209)/'2018'!D209</f>
        <v>-3.9615999999999998E-2</v>
      </c>
      <c r="F194" s="42">
        <v>60532</v>
      </c>
      <c r="G194" s="42">
        <v>54824</v>
      </c>
      <c r="H194" s="41">
        <f>(G194-'2018'!G209)/'2018'!G209</f>
        <v>-2.0842635423550214E-2</v>
      </c>
      <c r="I194" s="42">
        <v>55897</v>
      </c>
      <c r="J194" s="42">
        <v>27909</v>
      </c>
      <c r="K194" s="41">
        <f>(J194-'2018'!J209)/'2018'!J209</f>
        <v>-9.4761499148211248E-3</v>
      </c>
      <c r="L194" s="42">
        <v>28216</v>
      </c>
    </row>
    <row r="195" spans="1:12" x14ac:dyDescent="0.25">
      <c r="A195" s="33" t="s">
        <v>12</v>
      </c>
      <c r="B195" s="1" t="s">
        <v>13</v>
      </c>
      <c r="C195" s="1" t="s">
        <v>7</v>
      </c>
      <c r="D195" s="42">
        <v>140252</v>
      </c>
      <c r="E195" s="41">
        <f>(D195-'2018'!D210)/'2018'!D210</f>
        <v>6.4515149675147251E-2</v>
      </c>
      <c r="F195" s="42">
        <v>151057</v>
      </c>
      <c r="G195" s="42">
        <v>98328</v>
      </c>
      <c r="H195" s="41">
        <f>(G195-'2018'!G210)/'2018'!G210</f>
        <v>-1.9691033474756908E-3</v>
      </c>
      <c r="I195" s="42">
        <v>103734</v>
      </c>
      <c r="J195" s="42">
        <v>36697</v>
      </c>
      <c r="K195" s="41">
        <f>(J195-'2018'!J210)/'2018'!J210</f>
        <v>-5.5013550135501353E-3</v>
      </c>
      <c r="L195" s="42">
        <v>37397</v>
      </c>
    </row>
    <row r="196" spans="1:12" x14ac:dyDescent="0.25">
      <c r="A196" s="33" t="s">
        <v>14</v>
      </c>
      <c r="B196" s="1" t="s">
        <v>15</v>
      </c>
      <c r="C196" s="1" t="s">
        <v>7</v>
      </c>
      <c r="D196" s="42">
        <v>133333</v>
      </c>
      <c r="E196" s="41">
        <f>(D196-'2018'!D211)/'2018'!D211</f>
        <v>-1.0662610373228463E-2</v>
      </c>
      <c r="F196" s="42">
        <v>134408</v>
      </c>
      <c r="G196" s="42">
        <v>98911</v>
      </c>
      <c r="H196" s="41">
        <f>(G196-'2018'!G211)/'2018'!G211</f>
        <v>-3.3638157766184028E-2</v>
      </c>
      <c r="I196" s="42">
        <v>104493</v>
      </c>
      <c r="J196" s="42">
        <v>35880</v>
      </c>
      <c r="K196" s="41">
        <f>(J196-'2018'!J211)/'2018'!J211</f>
        <v>9.6803241782980644E-3</v>
      </c>
      <c r="L196" s="42">
        <v>37230</v>
      </c>
    </row>
    <row r="197" spans="1:12" ht="15.75" thickBot="1" x14ac:dyDescent="0.3">
      <c r="A197" s="115" t="s">
        <v>433</v>
      </c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116"/>
    </row>
    <row r="198" spans="1:12" ht="15.75" thickBot="1" x14ac:dyDescent="0.3"/>
    <row r="199" spans="1:12" ht="18.75" x14ac:dyDescent="0.3">
      <c r="A199" s="83" t="s">
        <v>434</v>
      </c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108"/>
    </row>
    <row r="200" spans="1:12" ht="45" x14ac:dyDescent="0.25">
      <c r="A200" s="33" t="s">
        <v>2</v>
      </c>
      <c r="B200" s="1" t="s">
        <v>3</v>
      </c>
      <c r="C200" s="1" t="s">
        <v>4</v>
      </c>
      <c r="D200" s="4" t="s">
        <v>78</v>
      </c>
      <c r="E200" s="4" t="s">
        <v>391</v>
      </c>
      <c r="F200" s="4" t="s">
        <v>85</v>
      </c>
      <c r="G200" s="4" t="s">
        <v>79</v>
      </c>
      <c r="H200" s="4" t="s">
        <v>391</v>
      </c>
      <c r="I200" s="4" t="s">
        <v>82</v>
      </c>
      <c r="J200" s="4" t="s">
        <v>80</v>
      </c>
      <c r="K200" s="4" t="s">
        <v>391</v>
      </c>
      <c r="L200" s="72" t="s">
        <v>81</v>
      </c>
    </row>
    <row r="201" spans="1:12" x14ac:dyDescent="0.25">
      <c r="A201" s="33" t="s">
        <v>5</v>
      </c>
      <c r="B201" s="1" t="s">
        <v>6</v>
      </c>
      <c r="C201" s="1" t="s">
        <v>7</v>
      </c>
      <c r="D201" s="42">
        <v>140646</v>
      </c>
      <c r="E201" s="41">
        <f>(D201-'2018'!D216)/'2018'!D216</f>
        <v>-4.7823437817344799E-2</v>
      </c>
      <c r="F201" s="42">
        <v>142045</v>
      </c>
      <c r="G201" s="42">
        <v>98814</v>
      </c>
      <c r="H201" s="41">
        <f>(G201-'2018'!G216)/'2018'!G216</f>
        <v>-2.7670084427213509E-2</v>
      </c>
      <c r="I201" s="42">
        <v>99403</v>
      </c>
      <c r="J201" s="42">
        <v>36036</v>
      </c>
      <c r="K201" s="41">
        <f>(J201-'2018'!J216)/'2018'!J216</f>
        <v>-1.1168125565952309E-2</v>
      </c>
      <c r="L201" s="42">
        <v>36337</v>
      </c>
    </row>
    <row r="202" spans="1:12" x14ac:dyDescent="0.25">
      <c r="A202" s="33" t="s">
        <v>8</v>
      </c>
      <c r="B202" s="1" t="s">
        <v>9</v>
      </c>
      <c r="C202" s="1" t="s">
        <v>7</v>
      </c>
      <c r="D202" s="42">
        <v>133333</v>
      </c>
      <c r="E202" s="41">
        <f>(D202-'2018'!D217)/'2018'!D217</f>
        <v>-5.9995910971990161E-2</v>
      </c>
      <c r="F202" s="42">
        <v>134770</v>
      </c>
      <c r="G202" s="42">
        <v>89445</v>
      </c>
      <c r="H202" s="41">
        <f>(G202-'2018'!G217)/'2018'!G217</f>
        <v>-2.7729466498543416E-2</v>
      </c>
      <c r="I202" s="42">
        <v>90415</v>
      </c>
      <c r="J202" s="42">
        <v>33579</v>
      </c>
      <c r="K202" s="41">
        <f>(J202-'2018'!J217)/'2018'!J217</f>
        <v>-2.1505376344086023E-2</v>
      </c>
      <c r="L202" s="42">
        <v>34036</v>
      </c>
    </row>
    <row r="203" spans="1:12" x14ac:dyDescent="0.25">
      <c r="A203" s="33" t="s">
        <v>10</v>
      </c>
      <c r="B203" s="1" t="s">
        <v>9</v>
      </c>
      <c r="C203" s="1" t="s">
        <v>11</v>
      </c>
      <c r="D203" s="42">
        <v>78064</v>
      </c>
      <c r="E203" s="41">
        <f>(D203-'2018'!D218)/'2018'!D218</f>
        <v>-5.151632970451011E-2</v>
      </c>
      <c r="F203" s="42">
        <v>79681</v>
      </c>
      <c r="G203" s="42">
        <v>64766</v>
      </c>
      <c r="H203" s="41">
        <f>(G203-'2018'!G218)/'2018'!G218</f>
        <v>-8.096832784652061E-2</v>
      </c>
      <c r="I203" s="42">
        <v>65359</v>
      </c>
      <c r="J203" s="42">
        <v>30864</v>
      </c>
      <c r="K203" s="41">
        <f>(J203-'2018'!J218)/'2018'!J218</f>
        <v>-3.5499999999999997E-2</v>
      </c>
      <c r="L203" s="42">
        <v>31289</v>
      </c>
    </row>
    <row r="204" spans="1:12" x14ac:dyDescent="0.25">
      <c r="A204" s="33" t="s">
        <v>12</v>
      </c>
      <c r="B204" s="1" t="s">
        <v>13</v>
      </c>
      <c r="C204" s="1" t="s">
        <v>11</v>
      </c>
      <c r="D204" s="42">
        <v>70571</v>
      </c>
      <c r="E204" s="41">
        <f>(D204-'2018'!D219)/'2018'!D219</f>
        <v>-2.7519016646455736E-2</v>
      </c>
      <c r="F204" s="42">
        <v>71275</v>
      </c>
      <c r="G204" s="42">
        <v>64516</v>
      </c>
      <c r="H204" s="41">
        <f>(G204-'2018'!G219)/'2018'!G219</f>
        <v>-3.3540558759643471E-2</v>
      </c>
      <c r="I204" s="42">
        <v>64766</v>
      </c>
      <c r="J204" s="42">
        <v>31152</v>
      </c>
      <c r="K204" s="41">
        <f>(J204-'2018'!J219)/'2018'!J219</f>
        <v>-2.243700379703141E-2</v>
      </c>
      <c r="L204" s="42">
        <v>31585</v>
      </c>
    </row>
    <row r="205" spans="1:12" x14ac:dyDescent="0.25">
      <c r="A205" s="33" t="s">
        <v>14</v>
      </c>
      <c r="B205" s="1" t="s">
        <v>15</v>
      </c>
      <c r="C205" s="1" t="s">
        <v>11</v>
      </c>
      <c r="D205" s="42">
        <v>68446</v>
      </c>
      <c r="E205" s="41">
        <f>(D205-'2018'!D220)/'2018'!D220</f>
        <v>-4.4490667709016794E-2</v>
      </c>
      <c r="F205" s="42">
        <v>70472</v>
      </c>
      <c r="G205" s="42">
        <v>58858</v>
      </c>
      <c r="H205" s="41">
        <f>(G205-'2018'!G220)/'2018'!G220</f>
        <v>-0.11005942210865324</v>
      </c>
      <c r="I205" s="42">
        <v>64184</v>
      </c>
      <c r="J205" s="42">
        <v>28208</v>
      </c>
      <c r="K205" s="41">
        <f>(J205-'2018'!J220)/'2018'!J220</f>
        <v>-0.11736912919678338</v>
      </c>
      <c r="L205" s="42">
        <v>31407</v>
      </c>
    </row>
    <row r="206" spans="1:12" ht="15.75" thickBot="1" x14ac:dyDescent="0.3">
      <c r="A206" s="109" t="s">
        <v>435</v>
      </c>
      <c r="B206" s="110"/>
      <c r="C206" s="110"/>
      <c r="D206" s="110"/>
      <c r="E206" s="110"/>
      <c r="F206" s="110"/>
      <c r="G206" s="110"/>
      <c r="H206" s="110"/>
      <c r="I206" s="42"/>
      <c r="J206" s="42"/>
      <c r="K206" s="74"/>
      <c r="L206" s="42"/>
    </row>
    <row r="207" spans="1:12" ht="15.75" thickBot="1" x14ac:dyDescent="0.3"/>
    <row r="208" spans="1:12" ht="18.75" x14ac:dyDescent="0.3">
      <c r="A208" s="83" t="s">
        <v>436</v>
      </c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108"/>
    </row>
    <row r="209" spans="1:12" ht="45" x14ac:dyDescent="0.25">
      <c r="A209" s="33" t="s">
        <v>2</v>
      </c>
      <c r="B209" s="1" t="s">
        <v>3</v>
      </c>
      <c r="C209" s="1" t="s">
        <v>4</v>
      </c>
      <c r="D209" s="4" t="s">
        <v>78</v>
      </c>
      <c r="E209" s="4" t="s">
        <v>391</v>
      </c>
      <c r="F209" s="4" t="s">
        <v>85</v>
      </c>
      <c r="G209" s="4" t="s">
        <v>79</v>
      </c>
      <c r="H209" s="4" t="s">
        <v>391</v>
      </c>
      <c r="I209" s="4" t="s">
        <v>82</v>
      </c>
      <c r="J209" s="4" t="s">
        <v>80</v>
      </c>
      <c r="K209" s="4" t="s">
        <v>391</v>
      </c>
      <c r="L209" s="72" t="s">
        <v>81</v>
      </c>
    </row>
    <row r="210" spans="1:12" x14ac:dyDescent="0.25">
      <c r="A210" s="33" t="s">
        <v>5</v>
      </c>
      <c r="B210" s="1" t="s">
        <v>6</v>
      </c>
      <c r="C210" s="1" t="s">
        <v>7</v>
      </c>
      <c r="D210" s="42">
        <v>159489</v>
      </c>
      <c r="E210" s="41">
        <f>(D210-'2018'!D207)/'2018'!D207</f>
        <v>-2.0734837228150751E-2</v>
      </c>
      <c r="F210" s="42">
        <v>163398</v>
      </c>
      <c r="G210" s="42">
        <v>108108</v>
      </c>
      <c r="H210" s="41">
        <f>(G210-'2018'!G207)/'2018'!G207</f>
        <v>-2.1620496484067442E-2</v>
      </c>
      <c r="I210" s="42">
        <v>109529</v>
      </c>
      <c r="J210" s="42">
        <v>36900</v>
      </c>
      <c r="K210" s="41">
        <f>(J210-'2018'!J207)/'2018'!J207</f>
        <v>-3.9112546221550963E-2</v>
      </c>
      <c r="L210" s="42">
        <v>38431</v>
      </c>
    </row>
    <row r="211" spans="1:12" x14ac:dyDescent="0.25">
      <c r="A211" s="33" t="s">
        <v>8</v>
      </c>
      <c r="B211" s="1" t="s">
        <v>9</v>
      </c>
      <c r="C211" s="1" t="s">
        <v>7</v>
      </c>
      <c r="D211" s="42">
        <v>155520</v>
      </c>
      <c r="E211" s="41">
        <f>(D211-'2018'!D208)/'2018'!D208</f>
        <v>-2.8000000000000001E-2</v>
      </c>
      <c r="F211" s="42">
        <v>160000</v>
      </c>
      <c r="G211" s="42">
        <v>99304</v>
      </c>
      <c r="H211" s="41">
        <f>(G211-'2018'!G208)/'2018'!G208</f>
        <v>2.5814782294302979E-2</v>
      </c>
      <c r="I211" s="42">
        <v>101214</v>
      </c>
      <c r="J211" s="42">
        <v>34602</v>
      </c>
      <c r="K211" s="41">
        <f>(J211-'2018'!J208)/'2018'!J208</f>
        <v>-3.9447019959470336E-2</v>
      </c>
      <c r="L211" s="42">
        <v>35752</v>
      </c>
    </row>
    <row r="212" spans="1:12" x14ac:dyDescent="0.25">
      <c r="A212" s="33" t="s">
        <v>10</v>
      </c>
      <c r="B212" s="1" t="s">
        <v>9</v>
      </c>
      <c r="C212" s="1" t="s">
        <v>11</v>
      </c>
      <c r="D212" s="42">
        <v>59988</v>
      </c>
      <c r="E212" s="41">
        <f>(D212-'2018'!D209)/'2018'!D209</f>
        <v>-4.0191999999999999E-2</v>
      </c>
      <c r="F212" s="42">
        <v>62034</v>
      </c>
      <c r="G212" s="42">
        <v>54555</v>
      </c>
      <c r="H212" s="41">
        <f>(G212-'2018'!G209)/'2018'!G209</f>
        <v>-2.5646978978764445E-2</v>
      </c>
      <c r="I212" s="42">
        <v>55370</v>
      </c>
      <c r="J212" s="42">
        <v>28081</v>
      </c>
      <c r="K212" s="41">
        <f>(J212-'2018'!J209)/'2018'!J209</f>
        <v>-3.3716638273708121E-3</v>
      </c>
      <c r="L212" s="42">
        <v>28176</v>
      </c>
    </row>
    <row r="213" spans="1:12" x14ac:dyDescent="0.25">
      <c r="A213" s="33" t="s">
        <v>12</v>
      </c>
      <c r="B213" s="1" t="s">
        <v>13</v>
      </c>
      <c r="C213" s="1" t="s">
        <v>7</v>
      </c>
      <c r="D213" s="42">
        <v>128205</v>
      </c>
      <c r="E213" s="41">
        <f>(D213-'2018'!D210)/'2018'!D210</f>
        <v>-2.6921792458558504E-2</v>
      </c>
      <c r="F213" s="42">
        <v>141843</v>
      </c>
      <c r="G213" s="42">
        <v>104493</v>
      </c>
      <c r="H213" s="41">
        <f>(G213-'2018'!G210)/'2018'!G210</f>
        <v>6.0605753029780149E-2</v>
      </c>
      <c r="I213" s="42">
        <v>104602</v>
      </c>
      <c r="J213" s="42">
        <v>36549</v>
      </c>
      <c r="K213" s="41">
        <f>(J213-'2018'!J210)/'2018'!J210</f>
        <v>-9.5121951219512193E-3</v>
      </c>
      <c r="L213" s="42">
        <v>36900</v>
      </c>
    </row>
    <row r="214" spans="1:12" x14ac:dyDescent="0.25">
      <c r="A214" s="33" t="s">
        <v>14</v>
      </c>
      <c r="B214" s="1" t="s">
        <v>15</v>
      </c>
      <c r="C214" s="1" t="s">
        <v>7</v>
      </c>
      <c r="D214" s="42">
        <v>127064</v>
      </c>
      <c r="E214" s="41">
        <f>(D214-'2018'!D211)/'2018'!D211</f>
        <v>-5.717889738072271E-2</v>
      </c>
      <c r="F214" s="42">
        <v>133868</v>
      </c>
      <c r="G214" s="42" t="s">
        <v>249</v>
      </c>
      <c r="H214" s="41" t="e">
        <f>(G214-'2018'!G211)/'2018'!G211</f>
        <v>#VALUE!</v>
      </c>
      <c r="I214" s="42" t="s">
        <v>249</v>
      </c>
      <c r="J214" s="42" t="s">
        <v>249</v>
      </c>
      <c r="K214" s="41" t="e">
        <f>(J214-'2018'!J211)/'2018'!J211</f>
        <v>#VALUE!</v>
      </c>
      <c r="L214" s="42" t="s">
        <v>249</v>
      </c>
    </row>
    <row r="215" spans="1:12" ht="15.75" thickBot="1" x14ac:dyDescent="0.3">
      <c r="A215" s="115" t="s">
        <v>437</v>
      </c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116"/>
    </row>
    <row r="216" spans="1:12" ht="15.75" thickBot="1" x14ac:dyDescent="0.3"/>
    <row r="217" spans="1:12" ht="18.75" x14ac:dyDescent="0.3">
      <c r="A217" s="83" t="s">
        <v>438</v>
      </c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108"/>
    </row>
    <row r="218" spans="1:12" ht="45" x14ac:dyDescent="0.25">
      <c r="A218" s="33" t="s">
        <v>2</v>
      </c>
      <c r="B218" s="1" t="s">
        <v>3</v>
      </c>
      <c r="C218" s="1" t="s">
        <v>4</v>
      </c>
      <c r="D218" s="4" t="s">
        <v>78</v>
      </c>
      <c r="E218" s="4" t="s">
        <v>391</v>
      </c>
      <c r="F218" s="4" t="s">
        <v>85</v>
      </c>
      <c r="G218" s="4" t="s">
        <v>79</v>
      </c>
      <c r="H218" s="4" t="s">
        <v>391</v>
      </c>
      <c r="I218" s="4" t="s">
        <v>82</v>
      </c>
      <c r="J218" s="4" t="s">
        <v>80</v>
      </c>
      <c r="K218" s="4" t="s">
        <v>391</v>
      </c>
      <c r="L218" s="72" t="s">
        <v>81</v>
      </c>
    </row>
    <row r="219" spans="1:12" x14ac:dyDescent="0.25">
      <c r="A219" s="33" t="s">
        <v>5</v>
      </c>
      <c r="B219" s="1" t="s">
        <v>6</v>
      </c>
      <c r="C219" s="1" t="s">
        <v>7</v>
      </c>
      <c r="D219" s="42">
        <v>138312</v>
      </c>
      <c r="E219" s="41">
        <f>(D219-'2018'!D216)/'2018'!D216</f>
        <v>-6.3624669961410876E-2</v>
      </c>
      <c r="F219" s="42">
        <v>139860</v>
      </c>
      <c r="G219" s="42">
        <v>97943</v>
      </c>
      <c r="H219" s="41">
        <f>(G219-'2018'!G216)/'2018'!G216</f>
        <v>-3.624072579851613E-2</v>
      </c>
      <c r="I219" s="42">
        <v>99800</v>
      </c>
      <c r="J219" s="42">
        <v>35398</v>
      </c>
      <c r="K219" s="41">
        <f>(J219-'2018'!J216)/'2018'!J216</f>
        <v>-2.8674916993661335E-2</v>
      </c>
      <c r="L219" s="42">
        <v>35997</v>
      </c>
    </row>
    <row r="220" spans="1:12" x14ac:dyDescent="0.25">
      <c r="A220" s="33" t="s">
        <v>8</v>
      </c>
      <c r="B220" s="1" t="s">
        <v>9</v>
      </c>
      <c r="C220" s="1" t="s">
        <v>7</v>
      </c>
      <c r="D220" s="42">
        <v>132802</v>
      </c>
      <c r="E220" s="41">
        <f>(D220-'2018'!D217)/'2018'!D217</f>
        <v>-6.3739486615483315E-2</v>
      </c>
      <c r="F220" s="42">
        <v>136425</v>
      </c>
      <c r="G220" s="42">
        <v>88888</v>
      </c>
      <c r="H220" s="41">
        <f>(G220-'2018'!G217)/'2018'!G217</f>
        <v>-3.3784077568589942E-2</v>
      </c>
      <c r="I220" s="42">
        <v>90826</v>
      </c>
      <c r="J220" s="42">
        <v>33422</v>
      </c>
      <c r="K220" s="41">
        <f>(J220-'2018'!J217)/'2018'!J217</f>
        <v>-2.6080368330565026E-2</v>
      </c>
      <c r="L220" s="42">
        <v>33456</v>
      </c>
    </row>
    <row r="221" spans="1:12" x14ac:dyDescent="0.25">
      <c r="A221" s="33" t="s">
        <v>10</v>
      </c>
      <c r="B221" s="1" t="s">
        <v>9</v>
      </c>
      <c r="C221" s="1" t="s">
        <v>11</v>
      </c>
      <c r="D221" s="42">
        <v>78678</v>
      </c>
      <c r="E221" s="41">
        <f>(D221-'2018'!D218)/'2018'!D218</f>
        <v>-4.4056181959564539E-2</v>
      </c>
      <c r="F221" s="42">
        <v>81900</v>
      </c>
      <c r="G221" s="42">
        <v>66979</v>
      </c>
      <c r="H221" s="41">
        <f>(G221-'2018'!G218)/'2018'!G218</f>
        <v>-4.9565784992621181E-2</v>
      </c>
      <c r="I221" s="42">
        <v>67888</v>
      </c>
      <c r="J221" s="42">
        <v>31152</v>
      </c>
      <c r="K221" s="41">
        <f>(J221-'2018'!J218)/'2018'!J218</f>
        <v>-2.6499999999999999E-2</v>
      </c>
      <c r="L221" s="42">
        <v>31436</v>
      </c>
    </row>
    <row r="222" spans="1:12" x14ac:dyDescent="0.25">
      <c r="A222" s="33" t="s">
        <v>12</v>
      </c>
      <c r="B222" s="1" t="s">
        <v>13</v>
      </c>
      <c r="C222" s="1" t="s">
        <v>11</v>
      </c>
      <c r="D222" s="42">
        <v>71633</v>
      </c>
      <c r="E222" s="41">
        <f>(D222-'2018'!D219)/'2018'!D219</f>
        <v>-1.2884466982692095E-2</v>
      </c>
      <c r="F222" s="42">
        <v>73099</v>
      </c>
      <c r="G222" s="42">
        <v>65061</v>
      </c>
      <c r="H222" s="41">
        <f>(G222-'2018'!G219)/'2018'!G219</f>
        <v>-2.5376376301400643E-2</v>
      </c>
      <c r="I222" s="42">
        <v>65919</v>
      </c>
      <c r="J222" s="42">
        <v>31133</v>
      </c>
      <c r="K222" s="41">
        <f>(J222-'2018'!J219)/'2018'!J219</f>
        <v>-2.3033231869959519E-2</v>
      </c>
      <c r="L222" s="42">
        <v>31416</v>
      </c>
    </row>
    <row r="223" spans="1:12" x14ac:dyDescent="0.25">
      <c r="A223" s="33" t="s">
        <v>14</v>
      </c>
      <c r="B223" s="1" t="s">
        <v>15</v>
      </c>
      <c r="C223" s="1" t="s">
        <v>11</v>
      </c>
      <c r="D223" s="42">
        <v>69541</v>
      </c>
      <c r="E223" s="41">
        <f>(D223-'2018'!D220)/'2018'!D220</f>
        <v>-2.9204416958664301E-2</v>
      </c>
      <c r="F223" s="42">
        <v>70422</v>
      </c>
      <c r="G223" s="42">
        <v>62814</v>
      </c>
      <c r="H223" s="41">
        <f>(G223-'2018'!G220)/'2018'!G220</f>
        <v>-5.024419009026717E-2</v>
      </c>
      <c r="I223" s="42">
        <v>65659</v>
      </c>
      <c r="J223" s="42">
        <v>31279</v>
      </c>
      <c r="K223" s="41">
        <f>(J223-'2018'!J220)/'2018'!J220</f>
        <v>-2.1277261491285709E-2</v>
      </c>
      <c r="L223" s="42">
        <v>31725</v>
      </c>
    </row>
    <row r="224" spans="1:12" ht="15.75" thickBot="1" x14ac:dyDescent="0.3">
      <c r="A224" s="109" t="s">
        <v>439</v>
      </c>
      <c r="B224" s="110"/>
      <c r="C224" s="110"/>
      <c r="D224" s="110"/>
      <c r="E224" s="110"/>
      <c r="F224" s="110"/>
      <c r="G224" s="110"/>
      <c r="H224" s="110"/>
      <c r="I224" s="42"/>
      <c r="J224" s="42"/>
      <c r="K224" s="74"/>
      <c r="L224" s="42"/>
    </row>
    <row r="225" spans="1:12" ht="15.75" thickBot="1" x14ac:dyDescent="0.3"/>
    <row r="226" spans="1:12" ht="18.75" x14ac:dyDescent="0.3">
      <c r="A226" s="83" t="s">
        <v>440</v>
      </c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108"/>
    </row>
    <row r="227" spans="1:12" ht="45" x14ac:dyDescent="0.25">
      <c r="A227" s="33" t="s">
        <v>2</v>
      </c>
      <c r="B227" s="1" t="s">
        <v>3</v>
      </c>
      <c r="C227" s="1" t="s">
        <v>4</v>
      </c>
      <c r="D227" s="4" t="s">
        <v>78</v>
      </c>
      <c r="E227" s="4" t="s">
        <v>391</v>
      </c>
      <c r="F227" s="4" t="s">
        <v>85</v>
      </c>
      <c r="G227" s="4" t="s">
        <v>79</v>
      </c>
      <c r="H227" s="4" t="s">
        <v>391</v>
      </c>
      <c r="I227" s="4" t="s">
        <v>82</v>
      </c>
      <c r="J227" s="4" t="s">
        <v>80</v>
      </c>
      <c r="K227" s="4" t="s">
        <v>391</v>
      </c>
      <c r="L227" s="72" t="s">
        <v>81</v>
      </c>
    </row>
    <row r="228" spans="1:12" x14ac:dyDescent="0.25">
      <c r="A228" s="33" t="s">
        <v>5</v>
      </c>
      <c r="B228" s="1" t="s">
        <v>6</v>
      </c>
      <c r="C228" s="1" t="s">
        <v>7</v>
      </c>
      <c r="D228" s="42">
        <v>143678</v>
      </c>
      <c r="E228" s="41">
        <f>(D228-'2018'!D207)/'2018'!D207</f>
        <v>-0.11781464516842066</v>
      </c>
      <c r="F228" s="42">
        <v>155763</v>
      </c>
      <c r="G228" s="42">
        <v>107874</v>
      </c>
      <c r="H228" s="41">
        <f>(G228-'2018'!G207)/'2018'!G207</f>
        <v>-2.3738201037132228E-2</v>
      </c>
      <c r="I228" s="42">
        <v>109051</v>
      </c>
      <c r="J228" s="42">
        <v>37397</v>
      </c>
      <c r="K228" s="41">
        <f>(J228-'2018'!J207)/'2018'!J207</f>
        <v>-2.6170511952502473E-2</v>
      </c>
      <c r="L228" s="42">
        <v>38051</v>
      </c>
    </row>
    <row r="229" spans="1:12" x14ac:dyDescent="0.25">
      <c r="A229" s="33" t="s">
        <v>8</v>
      </c>
      <c r="B229" s="1" t="s">
        <v>9</v>
      </c>
      <c r="C229" s="1" t="s">
        <v>7</v>
      </c>
      <c r="D229" s="42">
        <v>153374</v>
      </c>
      <c r="E229" s="41">
        <f>(D229-'2018'!D208)/'2018'!D208</f>
        <v>-4.1412499999999998E-2</v>
      </c>
      <c r="F229" s="42">
        <v>156985</v>
      </c>
      <c r="G229" s="42">
        <v>92081</v>
      </c>
      <c r="H229" s="41">
        <f>(G229-'2018'!G208)/'2018'!G208</f>
        <v>-4.8799132276225399E-2</v>
      </c>
      <c r="I229" s="42">
        <v>100806</v>
      </c>
      <c r="J229" s="42">
        <v>35161</v>
      </c>
      <c r="K229" s="41">
        <f>(J229-'2018'!J208)/'2018'!J208</f>
        <v>-2.3929156372317687E-2</v>
      </c>
      <c r="L229" s="42">
        <v>35688</v>
      </c>
    </row>
    <row r="230" spans="1:12" x14ac:dyDescent="0.25">
      <c r="A230" s="33" t="s">
        <v>10</v>
      </c>
      <c r="B230" s="1" t="s">
        <v>9</v>
      </c>
      <c r="C230" s="1" t="s">
        <v>11</v>
      </c>
      <c r="D230" s="42">
        <v>59737</v>
      </c>
      <c r="E230" s="41">
        <f>(D230-'2018'!D209)/'2018'!D209</f>
        <v>-4.4207999999999997E-2</v>
      </c>
      <c r="F230" s="42">
        <v>60569</v>
      </c>
      <c r="G230" s="42">
        <v>53879</v>
      </c>
      <c r="H230" s="41">
        <f>(G230-'2018'!G209)/'2018'!G209</f>
        <v>-3.7720347913057457E-2</v>
      </c>
      <c r="I230" s="42">
        <v>54945</v>
      </c>
      <c r="J230" s="42">
        <v>27870</v>
      </c>
      <c r="K230" s="41">
        <f>(J230-'2018'!J209)/'2018'!J209</f>
        <v>-1.08603066439523E-2</v>
      </c>
      <c r="L230" s="42">
        <v>28105</v>
      </c>
    </row>
    <row r="231" spans="1:12" x14ac:dyDescent="0.25">
      <c r="A231" s="33" t="s">
        <v>12</v>
      </c>
      <c r="B231" s="1" t="s">
        <v>13</v>
      </c>
      <c r="C231" s="1" t="s">
        <v>7</v>
      </c>
      <c r="D231" s="42">
        <v>142857</v>
      </c>
      <c r="E231" s="41">
        <f>(D231-'2018'!D210)/'2018'!D210</f>
        <v>8.4287145546177666E-2</v>
      </c>
      <c r="F231" s="42">
        <v>146627</v>
      </c>
      <c r="G231" s="42">
        <v>102880</v>
      </c>
      <c r="H231" s="41">
        <f>(G231-'2018'!G210)/'2018'!G210</f>
        <v>4.4233775197417835E-2</v>
      </c>
      <c r="I231" s="42">
        <v>104493</v>
      </c>
      <c r="J231" s="42">
        <v>36724</v>
      </c>
      <c r="K231" s="41">
        <f>(J231-'2018'!J210)/'2018'!J210</f>
        <v>-4.7696476964769648E-3</v>
      </c>
      <c r="L231" s="42">
        <v>37037</v>
      </c>
    </row>
    <row r="232" spans="1:12" x14ac:dyDescent="0.25">
      <c r="A232" s="33" t="s">
        <v>14</v>
      </c>
      <c r="B232" s="1" t="s">
        <v>15</v>
      </c>
      <c r="C232" s="1" t="s">
        <v>7</v>
      </c>
      <c r="D232" s="42">
        <v>131752</v>
      </c>
      <c r="E232" s="41">
        <f>(D232-'2018'!D211)/'2018'!D211</f>
        <v>-2.2393707798471468E-2</v>
      </c>
      <c r="F232" s="42">
        <v>133868</v>
      </c>
      <c r="G232" s="42">
        <v>102774</v>
      </c>
      <c r="H232" s="41">
        <f>(G232-'2018'!G211)/'2018'!G211</f>
        <v>4.103405826836274E-3</v>
      </c>
      <c r="I232" s="42">
        <v>104493</v>
      </c>
      <c r="J232" s="42">
        <v>35880</v>
      </c>
      <c r="K232" s="41">
        <f>(J232-'2018'!J211)/'2018'!J211</f>
        <v>9.6803241782980644E-3</v>
      </c>
      <c r="L232" s="42">
        <v>36900</v>
      </c>
    </row>
    <row r="233" spans="1:12" ht="15.75" thickBot="1" x14ac:dyDescent="0.3">
      <c r="A233" s="115" t="s">
        <v>441</v>
      </c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116"/>
    </row>
    <row r="234" spans="1:12" ht="15.75" thickBot="1" x14ac:dyDescent="0.3"/>
    <row r="235" spans="1:12" ht="18.75" x14ac:dyDescent="0.3">
      <c r="A235" s="83" t="s">
        <v>442</v>
      </c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108"/>
    </row>
    <row r="236" spans="1:12" ht="45" x14ac:dyDescent="0.25">
      <c r="A236" s="33" t="s">
        <v>2</v>
      </c>
      <c r="B236" s="1" t="s">
        <v>3</v>
      </c>
      <c r="C236" s="1" t="s">
        <v>4</v>
      </c>
      <c r="D236" s="4" t="s">
        <v>78</v>
      </c>
      <c r="E236" s="4" t="s">
        <v>391</v>
      </c>
      <c r="F236" s="4" t="s">
        <v>85</v>
      </c>
      <c r="G236" s="4" t="s">
        <v>79</v>
      </c>
      <c r="H236" s="4" t="s">
        <v>391</v>
      </c>
      <c r="I236" s="4" t="s">
        <v>82</v>
      </c>
      <c r="J236" s="4" t="s">
        <v>80</v>
      </c>
      <c r="K236" s="4" t="s">
        <v>391</v>
      </c>
      <c r="L236" s="72" t="s">
        <v>81</v>
      </c>
    </row>
    <row r="237" spans="1:12" x14ac:dyDescent="0.25">
      <c r="A237" s="33" t="s">
        <v>5</v>
      </c>
      <c r="B237" s="1" t="s">
        <v>6</v>
      </c>
      <c r="C237" s="1" t="s">
        <v>7</v>
      </c>
      <c r="D237" s="42">
        <v>143061</v>
      </c>
      <c r="E237" s="41">
        <f>(D237-'2018'!D216)/'2018'!D216</f>
        <v>-3.1473833863651747E-2</v>
      </c>
      <c r="F237" s="42">
        <v>143884</v>
      </c>
      <c r="G237" s="42">
        <v>98814</v>
      </c>
      <c r="H237" s="41">
        <f>(G237-'2018'!G216)/'2018'!G216</f>
        <v>-2.7670084427213509E-2</v>
      </c>
      <c r="I237" s="42">
        <v>99800</v>
      </c>
      <c r="J237" s="42">
        <v>36166</v>
      </c>
      <c r="K237" s="41">
        <f>(J237-'2018'!J216)/'2018'!J216</f>
        <v>-7.6009110117169279E-3</v>
      </c>
      <c r="L237" s="42">
        <v>36443</v>
      </c>
    </row>
    <row r="238" spans="1:12" x14ac:dyDescent="0.25">
      <c r="A238" s="33" t="s">
        <v>8</v>
      </c>
      <c r="B238" s="1" t="s">
        <v>9</v>
      </c>
      <c r="C238" s="1" t="s">
        <v>7</v>
      </c>
      <c r="D238" s="42">
        <v>136425</v>
      </c>
      <c r="E238" s="41">
        <f>(D238-'2018'!D217)/'2018'!D217</f>
        <v>-3.819716165055731E-2</v>
      </c>
      <c r="F238" s="42">
        <v>137551</v>
      </c>
      <c r="G238" s="42">
        <v>88183</v>
      </c>
      <c r="H238" s="41">
        <f>(G238-'2018'!G217)/'2018'!G217</f>
        <v>-4.1447454237140746E-2</v>
      </c>
      <c r="I238" s="42">
        <v>90334</v>
      </c>
      <c r="J238" s="42">
        <v>33579</v>
      </c>
      <c r="K238" s="41">
        <f>(J238-'2018'!J217)/'2018'!J217</f>
        <v>-2.1505376344086023E-2</v>
      </c>
      <c r="L238" s="42">
        <v>34036</v>
      </c>
    </row>
    <row r="239" spans="1:12" x14ac:dyDescent="0.25">
      <c r="A239" s="33" t="s">
        <v>10</v>
      </c>
      <c r="B239" s="1" t="s">
        <v>9</v>
      </c>
      <c r="C239" s="1" t="s">
        <v>11</v>
      </c>
      <c r="D239" s="42">
        <v>80840</v>
      </c>
      <c r="E239" s="41">
        <f>(D239-'2018'!D218)/'2018'!D218</f>
        <v>-1.7787713841368586E-2</v>
      </c>
      <c r="F239" s="42">
        <v>82236</v>
      </c>
      <c r="G239" s="42">
        <v>67704</v>
      </c>
      <c r="H239" s="41">
        <f>(G239-'2018'!G218)/'2018'!G218</f>
        <v>-3.9278011124985808E-2</v>
      </c>
      <c r="I239" s="42">
        <v>69541</v>
      </c>
      <c r="J239" s="42">
        <v>31715</v>
      </c>
      <c r="K239" s="41">
        <f>(J239-'2018'!J218)/'2018'!J218</f>
        <v>-8.9062499999999992E-3</v>
      </c>
      <c r="L239" s="42">
        <v>31867</v>
      </c>
    </row>
    <row r="240" spans="1:12" x14ac:dyDescent="0.25">
      <c r="A240" s="33" t="s">
        <v>12</v>
      </c>
      <c r="B240" s="1" t="s">
        <v>13</v>
      </c>
      <c r="C240" s="1" t="s">
        <v>11</v>
      </c>
      <c r="D240" s="42">
        <v>73260</v>
      </c>
      <c r="E240" s="41">
        <f>(D240-'2018'!D219)/'2018'!D219</f>
        <v>9.5358835850512629E-3</v>
      </c>
      <c r="F240" s="42">
        <v>74294</v>
      </c>
      <c r="G240" s="42">
        <v>66137</v>
      </c>
      <c r="H240" s="41">
        <f>(G240-'2018'!G219)/'2018'!G219</f>
        <v>-9.257733503108382E-3</v>
      </c>
      <c r="I240" s="42">
        <v>66533</v>
      </c>
      <c r="J240" s="42">
        <v>31715</v>
      </c>
      <c r="K240" s="41">
        <f>(J240-'2018'!J219)/'2018'!J219</f>
        <v>-4.7698245834248594E-3</v>
      </c>
      <c r="L240" s="42">
        <v>32020</v>
      </c>
    </row>
    <row r="241" spans="1:12" x14ac:dyDescent="0.25">
      <c r="A241" s="33" t="s">
        <v>14</v>
      </c>
      <c r="B241" s="1" t="s">
        <v>15</v>
      </c>
      <c r="C241" s="1" t="s">
        <v>11</v>
      </c>
      <c r="D241" s="42">
        <v>71275</v>
      </c>
      <c r="E241" s="41">
        <f>(D241-'2018'!D220)/'2018'!D220</f>
        <v>-4.9976965923526863E-3</v>
      </c>
      <c r="F241" s="42">
        <v>71942</v>
      </c>
      <c r="G241" s="42">
        <v>63091</v>
      </c>
      <c r="H241" s="41">
        <f>(G241-'2018'!G220)/'2018'!G220</f>
        <v>-4.6055914238625879E-2</v>
      </c>
      <c r="I241" s="42">
        <v>65019</v>
      </c>
      <c r="J241" s="42">
        <v>25510</v>
      </c>
      <c r="K241" s="41">
        <f>(J241-'2018'!J220)/'2018'!J220</f>
        <v>-0.20178979317250226</v>
      </c>
      <c r="L241" s="42">
        <v>31826</v>
      </c>
    </row>
    <row r="242" spans="1:12" ht="15.75" thickBot="1" x14ac:dyDescent="0.3">
      <c r="A242" s="109" t="s">
        <v>444</v>
      </c>
      <c r="B242" s="110"/>
      <c r="C242" s="110"/>
      <c r="D242" s="110"/>
      <c r="E242" s="110"/>
      <c r="F242" s="110"/>
      <c r="G242" s="110"/>
      <c r="H242" s="110"/>
      <c r="I242" s="42"/>
      <c r="J242" s="42"/>
      <c r="K242" s="74"/>
      <c r="L242" s="42"/>
    </row>
    <row r="243" spans="1:12" ht="15.75" thickBot="1" x14ac:dyDescent="0.3"/>
    <row r="244" spans="1:12" ht="18.75" x14ac:dyDescent="0.3">
      <c r="A244" s="83" t="s">
        <v>443</v>
      </c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108"/>
    </row>
    <row r="245" spans="1:12" ht="45" x14ac:dyDescent="0.25">
      <c r="A245" s="33" t="s">
        <v>2</v>
      </c>
      <c r="B245" s="1" t="s">
        <v>3</v>
      </c>
      <c r="C245" s="1" t="s">
        <v>4</v>
      </c>
      <c r="D245" s="4" t="s">
        <v>78</v>
      </c>
      <c r="E245" s="4" t="s">
        <v>391</v>
      </c>
      <c r="F245" s="4" t="s">
        <v>85</v>
      </c>
      <c r="G245" s="4" t="s">
        <v>79</v>
      </c>
      <c r="H245" s="4" t="s">
        <v>391</v>
      </c>
      <c r="I245" s="4" t="s">
        <v>82</v>
      </c>
      <c r="J245" s="4" t="s">
        <v>80</v>
      </c>
      <c r="K245" s="4" t="s">
        <v>391</v>
      </c>
      <c r="L245" s="72" t="s">
        <v>81</v>
      </c>
    </row>
    <row r="246" spans="1:12" x14ac:dyDescent="0.25">
      <c r="A246" s="33" t="s">
        <v>5</v>
      </c>
      <c r="B246" s="1" t="s">
        <v>6</v>
      </c>
      <c r="C246" s="1" t="s">
        <v>7</v>
      </c>
      <c r="D246" s="42">
        <v>158982</v>
      </c>
      <c r="E246" s="41">
        <f>(D246-'2018'!D207)/'2018'!D207</f>
        <v>-2.3847825819999263E-2</v>
      </c>
      <c r="F246" s="42">
        <v>162074</v>
      </c>
      <c r="G246" s="42">
        <v>109529</v>
      </c>
      <c r="H246" s="41">
        <f>(G246-'2018'!G207)/'2018'!G207</f>
        <v>-8.7604188349004949E-3</v>
      </c>
      <c r="I246" s="42">
        <v>111607</v>
      </c>
      <c r="J246" s="42">
        <v>38095</v>
      </c>
      <c r="K246" s="41">
        <f>(J246-'2018'!J207)/'2018'!J207</f>
        <v>-7.9943752929534928E-3</v>
      </c>
      <c r="L246" s="42">
        <v>38402</v>
      </c>
    </row>
    <row r="247" spans="1:12" x14ac:dyDescent="0.25">
      <c r="A247" s="33" t="s">
        <v>8</v>
      </c>
      <c r="B247" s="1" t="s">
        <v>9</v>
      </c>
      <c r="C247" s="1" t="s">
        <v>7</v>
      </c>
      <c r="D247" s="42">
        <v>156250</v>
      </c>
      <c r="E247" s="41">
        <f>(D247-'2018'!D208)/'2018'!D208</f>
        <v>-2.34375E-2</v>
      </c>
      <c r="F247" s="42">
        <v>157480</v>
      </c>
      <c r="G247" s="42">
        <v>98522</v>
      </c>
      <c r="H247" s="41">
        <f>(G247-'2018'!G208)/'2018'!G208</f>
        <v>1.7736687154589124E-2</v>
      </c>
      <c r="I247" s="42">
        <v>101214</v>
      </c>
      <c r="J247" s="42">
        <v>34602</v>
      </c>
      <c r="K247" s="41">
        <f>(J247-'2018'!J208)/'2018'!J208</f>
        <v>-3.9447019959470336E-2</v>
      </c>
      <c r="L247" s="42">
        <v>35473</v>
      </c>
    </row>
    <row r="248" spans="1:12" x14ac:dyDescent="0.25">
      <c r="A248" s="33" t="s">
        <v>10</v>
      </c>
      <c r="B248" s="1" t="s">
        <v>9</v>
      </c>
      <c r="C248" s="1" t="s">
        <v>11</v>
      </c>
      <c r="D248" s="42">
        <v>59665</v>
      </c>
      <c r="E248" s="41">
        <f>(D248-'2018'!D209)/'2018'!D209</f>
        <v>-4.5359999999999998E-2</v>
      </c>
      <c r="F248" s="42">
        <v>62932</v>
      </c>
      <c r="G248" s="42">
        <v>53163</v>
      </c>
      <c r="H248" s="41">
        <f>(G248-'2018'!G209)/'2018'!G209</f>
        <v>-5.0508117376006856E-2</v>
      </c>
      <c r="I248" s="42">
        <v>54555</v>
      </c>
      <c r="J248" s="42">
        <v>28042</v>
      </c>
      <c r="K248" s="41">
        <f>(J248-'2018'!J209)/'2018'!J209</f>
        <v>-4.7558205565019877E-3</v>
      </c>
      <c r="L248" s="42">
        <v>28176</v>
      </c>
    </row>
    <row r="249" spans="1:12" x14ac:dyDescent="0.25">
      <c r="A249" s="33" t="s">
        <v>12</v>
      </c>
      <c r="B249" s="1" t="s">
        <v>13</v>
      </c>
      <c r="C249" s="1" t="s">
        <v>7</v>
      </c>
      <c r="D249" s="42">
        <v>124533</v>
      </c>
      <c r="E249" s="41">
        <f>(D249-'2018'!D210)/'2018'!D210</f>
        <v>-5.4792337118222116E-2</v>
      </c>
      <c r="F249" s="42">
        <v>151057</v>
      </c>
      <c r="G249" s="42">
        <v>96805</v>
      </c>
      <c r="H249" s="41">
        <f>(G249-'2018'!G210)/'2018'!G210</f>
        <v>-1.7427579626885365E-2</v>
      </c>
      <c r="I249" s="42">
        <v>103626</v>
      </c>
      <c r="J249" s="42">
        <v>36710</v>
      </c>
      <c r="K249" s="41">
        <f>(J249-'2018'!J210)/'2018'!J210</f>
        <v>-5.1490514905149056E-3</v>
      </c>
      <c r="L249" s="42">
        <v>37216</v>
      </c>
    </row>
    <row r="250" spans="1:12" x14ac:dyDescent="0.25">
      <c r="A250" s="33" t="s">
        <v>14</v>
      </c>
      <c r="B250" s="1" t="s">
        <v>15</v>
      </c>
      <c r="C250" s="1" t="s">
        <v>7</v>
      </c>
      <c r="D250" s="42">
        <v>133689</v>
      </c>
      <c r="E250" s="41">
        <f>(D250-'2018'!D211)/'2018'!D211</f>
        <v>-8.0210729390813983E-3</v>
      </c>
      <c r="F250" s="42">
        <v>135135</v>
      </c>
      <c r="G250" s="42">
        <v>62695</v>
      </c>
      <c r="H250" s="41">
        <f>(G250-'2018'!G211)/'2018'!G211</f>
        <v>-0.38746898020595189</v>
      </c>
      <c r="I250" s="42">
        <v>102354</v>
      </c>
      <c r="J250" s="42">
        <v>36403</v>
      </c>
      <c r="K250" s="41">
        <f>(J250-'2018'!J211)/'2018'!J211</f>
        <v>2.4397793786582619E-2</v>
      </c>
      <c r="L250" s="42">
        <v>37593</v>
      </c>
    </row>
    <row r="251" spans="1:12" ht="15.75" thickBot="1" x14ac:dyDescent="0.3">
      <c r="A251" s="115" t="s">
        <v>445</v>
      </c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116"/>
    </row>
    <row r="252" spans="1:12" ht="15.75" thickBot="1" x14ac:dyDescent="0.3"/>
    <row r="253" spans="1:12" ht="18.75" x14ac:dyDescent="0.3">
      <c r="A253" s="83" t="s">
        <v>446</v>
      </c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108"/>
    </row>
    <row r="254" spans="1:12" ht="45" x14ac:dyDescent="0.25">
      <c r="A254" s="33" t="s">
        <v>2</v>
      </c>
      <c r="B254" s="1" t="s">
        <v>3</v>
      </c>
      <c r="C254" s="1" t="s">
        <v>4</v>
      </c>
      <c r="D254" s="4" t="s">
        <v>78</v>
      </c>
      <c r="E254" s="4" t="s">
        <v>391</v>
      </c>
      <c r="F254" s="4" t="s">
        <v>85</v>
      </c>
      <c r="G254" s="4" t="s">
        <v>79</v>
      </c>
      <c r="H254" s="4" t="s">
        <v>391</v>
      </c>
      <c r="I254" s="4" t="s">
        <v>82</v>
      </c>
      <c r="J254" s="4" t="s">
        <v>80</v>
      </c>
      <c r="K254" s="4" t="s">
        <v>391</v>
      </c>
      <c r="L254" s="72" t="s">
        <v>81</v>
      </c>
    </row>
    <row r="255" spans="1:12" x14ac:dyDescent="0.25">
      <c r="A255" s="33" t="s">
        <v>5</v>
      </c>
      <c r="B255" s="1" t="s">
        <v>6</v>
      </c>
      <c r="C255" s="1" t="s">
        <v>7</v>
      </c>
      <c r="D255" s="42">
        <v>140056</v>
      </c>
      <c r="E255" s="41">
        <f>(D255-'2018'!D216)/'2018'!D216</f>
        <v>-5.1817750998578292E-2</v>
      </c>
      <c r="F255" s="42">
        <v>141843</v>
      </c>
      <c r="G255" s="42">
        <v>99304</v>
      </c>
      <c r="H255" s="41">
        <f>(G255-'2018'!G216)/'2018'!G216</f>
        <v>-2.2848483655757385E-2</v>
      </c>
      <c r="I255" s="42">
        <v>99800</v>
      </c>
      <c r="J255" s="42">
        <v>36166</v>
      </c>
      <c r="K255" s="41">
        <f>(J255-'2018'!J216)/'2018'!J216</f>
        <v>-7.6009110117169279E-3</v>
      </c>
      <c r="L255" s="42">
        <v>36337</v>
      </c>
    </row>
    <row r="256" spans="1:12" x14ac:dyDescent="0.25">
      <c r="A256" s="33" t="s">
        <v>8</v>
      </c>
      <c r="B256" s="1" t="s">
        <v>9</v>
      </c>
      <c r="C256" s="1" t="s">
        <v>7</v>
      </c>
      <c r="D256" s="42">
        <v>135317</v>
      </c>
      <c r="E256" s="41">
        <f>(D256-'2018'!D217)/'2018'!D217</f>
        <v>-4.600861515901384E-2</v>
      </c>
      <c r="F256" s="42">
        <v>138121</v>
      </c>
      <c r="G256" s="42">
        <v>90744</v>
      </c>
      <c r="H256" s="41">
        <f>(G256-'2018'!G217)/'2018'!G217</f>
        <v>-1.3609287360320015E-2</v>
      </c>
      <c r="I256" s="42">
        <v>91575</v>
      </c>
      <c r="J256" s="42">
        <v>33738</v>
      </c>
      <c r="K256" s="41">
        <f>(J256-'2018'!J217)/'2018'!J217</f>
        <v>-1.6872104204913016E-2</v>
      </c>
      <c r="L256" s="42">
        <v>33738</v>
      </c>
    </row>
    <row r="257" spans="1:12" x14ac:dyDescent="0.25">
      <c r="A257" s="33" t="s">
        <v>10</v>
      </c>
      <c r="B257" s="1" t="s">
        <v>9</v>
      </c>
      <c r="C257" s="1" t="s">
        <v>11</v>
      </c>
      <c r="D257" s="42">
        <v>78308</v>
      </c>
      <c r="E257" s="41">
        <f>(D257-'2018'!D218)/'2018'!D218</f>
        <v>-4.8551710730948681E-2</v>
      </c>
      <c r="F257" s="42">
        <v>81103</v>
      </c>
      <c r="G257" s="42">
        <v>66844</v>
      </c>
      <c r="H257" s="41">
        <f>(G257-'2018'!G218)/'2018'!G218</f>
        <v>-5.1481439436939495E-2</v>
      </c>
      <c r="I257" s="42">
        <v>68212</v>
      </c>
      <c r="J257" s="42">
        <v>30998</v>
      </c>
      <c r="K257" s="41">
        <f>(J257-'2018'!J218)/'2018'!J218</f>
        <v>-3.13125E-2</v>
      </c>
      <c r="L257" s="42">
        <v>31289</v>
      </c>
    </row>
    <row r="258" spans="1:12" x14ac:dyDescent="0.25">
      <c r="A258" s="33" t="s">
        <v>12</v>
      </c>
      <c r="B258" s="1" t="s">
        <v>13</v>
      </c>
      <c r="C258" s="1" t="s">
        <v>11</v>
      </c>
      <c r="D258" s="42">
        <v>71530</v>
      </c>
      <c r="E258" s="41">
        <f>(D258-'2018'!D219)/'2018'!D219</f>
        <v>-1.4303825377576893E-2</v>
      </c>
      <c r="F258" s="42">
        <v>71787</v>
      </c>
      <c r="G258" s="42">
        <v>64184</v>
      </c>
      <c r="H258" s="41">
        <f>(G258-'2018'!G219)/'2018'!G219</f>
        <v>-3.8513968991086812E-2</v>
      </c>
      <c r="I258" s="42">
        <v>65061</v>
      </c>
      <c r="J258" s="42">
        <v>31201</v>
      </c>
      <c r="K258" s="41">
        <f>(J258-'2018'!J219)/'2018'!J219</f>
        <v>-2.0899362977374714E-2</v>
      </c>
      <c r="L258" s="42">
        <v>31436</v>
      </c>
    </row>
    <row r="259" spans="1:12" x14ac:dyDescent="0.25">
      <c r="A259" s="33" t="s">
        <v>14</v>
      </c>
      <c r="B259" s="1" t="s">
        <v>15</v>
      </c>
      <c r="C259" s="1" t="s">
        <v>11</v>
      </c>
      <c r="D259" s="42">
        <v>70422</v>
      </c>
      <c r="E259" s="41">
        <f>(D259-'2018'!D220)/'2018'!D220</f>
        <v>-1.690561612664554E-2</v>
      </c>
      <c r="F259" s="42">
        <v>70422</v>
      </c>
      <c r="G259" s="42">
        <v>63371</v>
      </c>
      <c r="H259" s="41">
        <f>(G259-'2018'!G220)/'2018'!G220</f>
        <v>-4.182227799869967E-2</v>
      </c>
      <c r="I259" s="42">
        <v>66533</v>
      </c>
      <c r="J259" s="42">
        <v>31279</v>
      </c>
      <c r="K259" s="41">
        <f>(J259-'2018'!J220)/'2018'!J220</f>
        <v>-2.1277261491285709E-2</v>
      </c>
      <c r="L259" s="42">
        <v>31857</v>
      </c>
    </row>
    <row r="260" spans="1:12" ht="15.75" thickBot="1" x14ac:dyDescent="0.3">
      <c r="A260" s="109" t="s">
        <v>447</v>
      </c>
      <c r="B260" s="110"/>
      <c r="C260" s="110"/>
      <c r="D260" s="110"/>
      <c r="E260" s="110"/>
      <c r="F260" s="110"/>
      <c r="G260" s="110"/>
      <c r="H260" s="110"/>
      <c r="I260" s="42"/>
      <c r="J260" s="42"/>
      <c r="K260" s="74"/>
      <c r="L260" s="42"/>
    </row>
    <row r="261" spans="1:12" ht="15.75" thickBot="1" x14ac:dyDescent="0.3"/>
    <row r="262" spans="1:12" ht="18.75" x14ac:dyDescent="0.3">
      <c r="A262" s="83" t="s">
        <v>448</v>
      </c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108"/>
    </row>
    <row r="263" spans="1:12" ht="45" x14ac:dyDescent="0.25">
      <c r="A263" s="33" t="s">
        <v>2</v>
      </c>
      <c r="B263" s="1" t="s">
        <v>3</v>
      </c>
      <c r="C263" s="1" t="s">
        <v>4</v>
      </c>
      <c r="D263" s="4" t="s">
        <v>78</v>
      </c>
      <c r="E263" s="4" t="s">
        <v>391</v>
      </c>
      <c r="F263" s="4" t="s">
        <v>85</v>
      </c>
      <c r="G263" s="4" t="s">
        <v>79</v>
      </c>
      <c r="H263" s="4" t="s">
        <v>391</v>
      </c>
      <c r="I263" s="4" t="s">
        <v>82</v>
      </c>
      <c r="J263" s="4" t="s">
        <v>80</v>
      </c>
      <c r="K263" s="4" t="s">
        <v>391</v>
      </c>
      <c r="L263" s="72" t="s">
        <v>81</v>
      </c>
    </row>
    <row r="264" spans="1:12" x14ac:dyDescent="0.25">
      <c r="A264" s="33" t="s">
        <v>5</v>
      </c>
      <c r="B264" s="1" t="s">
        <v>6</v>
      </c>
      <c r="C264" s="1" t="s">
        <v>7</v>
      </c>
      <c r="D264" s="42">
        <v>132625</v>
      </c>
      <c r="E264" s="42">
        <f>(D264-'2018'!D207)/'2018'!D207</f>
        <v>-0.18568025247749684</v>
      </c>
      <c r="F264" s="42">
        <v>164203</v>
      </c>
      <c r="G264" s="42">
        <v>108108</v>
      </c>
      <c r="H264" s="42">
        <f>(G264-'2018'!G207)/'2018'!G207</f>
        <v>-2.1620496484067442E-2</v>
      </c>
      <c r="I264" s="42">
        <v>109051</v>
      </c>
      <c r="J264" s="42">
        <v>37216</v>
      </c>
      <c r="K264" s="42">
        <f>(J264-'2018'!J207)/'2018'!J207</f>
        <v>-3.088380813499297E-2</v>
      </c>
      <c r="L264" s="42">
        <v>38051</v>
      </c>
    </row>
    <row r="265" spans="1:12" x14ac:dyDescent="0.25">
      <c r="A265" s="33" t="s">
        <v>8</v>
      </c>
      <c r="B265" s="1" t="s">
        <v>9</v>
      </c>
      <c r="C265" s="1" t="s">
        <v>7</v>
      </c>
      <c r="D265" s="42">
        <v>157232</v>
      </c>
      <c r="E265" s="42">
        <f>(D265-'2018'!D208)/'2018'!D208</f>
        <v>-1.7299999999999999E-2</v>
      </c>
      <c r="F265" s="42">
        <v>160513</v>
      </c>
      <c r="G265" s="42">
        <v>98425</v>
      </c>
      <c r="H265" s="42">
        <f>(G265-'2018'!G208)/'2018'!G208</f>
        <v>1.6734672795826661E-2</v>
      </c>
      <c r="I265" s="42">
        <v>102459</v>
      </c>
      <c r="J265" s="42">
        <v>35335</v>
      </c>
      <c r="K265" s="42">
        <f>(J265-'2018'!J208)/'2018'!J208</f>
        <v>-1.9098909030341726E-2</v>
      </c>
      <c r="L265" s="42">
        <v>36036</v>
      </c>
    </row>
    <row r="266" spans="1:12" x14ac:dyDescent="0.25">
      <c r="A266" s="33" t="s">
        <v>10</v>
      </c>
      <c r="B266" s="1" t="s">
        <v>9</v>
      </c>
      <c r="C266" s="1" t="s">
        <v>11</v>
      </c>
      <c r="D266" s="42">
        <v>60168</v>
      </c>
      <c r="E266" s="42">
        <f>(D266-'2018'!D209)/'2018'!D209</f>
        <v>-3.7311999999999998E-2</v>
      </c>
      <c r="F266" s="42">
        <v>61576</v>
      </c>
      <c r="G266" s="42">
        <v>54525</v>
      </c>
      <c r="H266" s="42">
        <f>(G266-'2018'!G209)/'2018'!G209</f>
        <v>-2.6182779375256739E-2</v>
      </c>
      <c r="I266" s="42">
        <v>54945</v>
      </c>
      <c r="J266" s="42">
        <v>27909</v>
      </c>
      <c r="K266" s="42">
        <f>(J266-'2018'!J209)/'2018'!J209</f>
        <v>-9.4761499148211248E-3</v>
      </c>
      <c r="L266" s="42">
        <v>28105</v>
      </c>
    </row>
    <row r="267" spans="1:12" x14ac:dyDescent="0.25">
      <c r="A267" s="33" t="s">
        <v>12</v>
      </c>
      <c r="B267" s="1" t="s">
        <v>13</v>
      </c>
      <c r="C267" s="1" t="s">
        <v>7</v>
      </c>
      <c r="D267" s="42">
        <v>139470</v>
      </c>
      <c r="E267" s="42">
        <f>(D267-'2018'!D210)/'2018'!D210</f>
        <v>5.8579755905033698E-2</v>
      </c>
      <c r="F267" s="42">
        <v>143678</v>
      </c>
      <c r="G267" s="42">
        <v>102040</v>
      </c>
      <c r="H267" s="42">
        <f>(G267-'2018'!G210)/'2018'!G210</f>
        <v>3.5707760703193196E-2</v>
      </c>
      <c r="I267" s="42">
        <v>103842</v>
      </c>
      <c r="J267" s="42">
        <v>36350</v>
      </c>
      <c r="K267" s="42">
        <f>(J267-'2018'!J210)/'2018'!J210</f>
        <v>-1.4905149051490514E-2</v>
      </c>
      <c r="L267" s="42">
        <v>36710</v>
      </c>
    </row>
    <row r="268" spans="1:12" x14ac:dyDescent="0.25">
      <c r="A268" s="33" t="s">
        <v>14</v>
      </c>
      <c r="B268" s="1" t="s">
        <v>15</v>
      </c>
      <c r="C268" s="1" t="s">
        <v>7</v>
      </c>
      <c r="D268" s="42">
        <v>132100</v>
      </c>
      <c r="E268" s="42">
        <f>(D268-'2018'!D211)/'2018'!D211</f>
        <v>-1.981153075610299E-2</v>
      </c>
      <c r="F268" s="42">
        <v>135135</v>
      </c>
      <c r="G268" s="42">
        <v>102459</v>
      </c>
      <c r="H268" s="42">
        <f>(G268-'2018'!G211)/'2018'!G211</f>
        <v>1.0258514567090685E-3</v>
      </c>
      <c r="I268" s="42">
        <v>103734</v>
      </c>
      <c r="J268" s="42">
        <v>22281</v>
      </c>
      <c r="K268" s="42">
        <f>(J268-'2018'!J211)/'2018'!J211</f>
        <v>-0.37300202611436289</v>
      </c>
      <c r="L268" s="42">
        <v>37257</v>
      </c>
    </row>
    <row r="269" spans="1:12" ht="15.75" thickBot="1" x14ac:dyDescent="0.3">
      <c r="A269" s="115" t="s">
        <v>449</v>
      </c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116"/>
    </row>
  </sheetData>
  <mergeCells count="75">
    <mergeCell ref="A199:L199"/>
    <mergeCell ref="A206:E206"/>
    <mergeCell ref="F206:H206"/>
    <mergeCell ref="A208:L208"/>
    <mergeCell ref="A215:L215"/>
    <mergeCell ref="A163:L163"/>
    <mergeCell ref="A170:E170"/>
    <mergeCell ref="F170:H170"/>
    <mergeCell ref="A172:L172"/>
    <mergeCell ref="A179:L179"/>
    <mergeCell ref="A127:L127"/>
    <mergeCell ref="A134:E134"/>
    <mergeCell ref="F134:H134"/>
    <mergeCell ref="A136:L136"/>
    <mergeCell ref="A143:L143"/>
    <mergeCell ref="A109:L109"/>
    <mergeCell ref="A116:E116"/>
    <mergeCell ref="F116:H116"/>
    <mergeCell ref="A118:L118"/>
    <mergeCell ref="A125:L125"/>
    <mergeCell ref="A92:L92"/>
    <mergeCell ref="A99:L99"/>
    <mergeCell ref="A101:L101"/>
    <mergeCell ref="A108:E108"/>
    <mergeCell ref="F108:H108"/>
    <mergeCell ref="A73:L73"/>
    <mergeCell ref="A80:L80"/>
    <mergeCell ref="A82:L82"/>
    <mergeCell ref="A89:E89"/>
    <mergeCell ref="F89:H89"/>
    <mergeCell ref="A55:L55"/>
    <mergeCell ref="A62:L62"/>
    <mergeCell ref="A64:L64"/>
    <mergeCell ref="A71:E71"/>
    <mergeCell ref="F71:H71"/>
    <mergeCell ref="A17:E17"/>
    <mergeCell ref="F17:H17"/>
    <mergeCell ref="A8:L8"/>
    <mergeCell ref="A1:L1"/>
    <mergeCell ref="A10:L10"/>
    <mergeCell ref="A19:L19"/>
    <mergeCell ref="A26:L26"/>
    <mergeCell ref="A28:L28"/>
    <mergeCell ref="A35:E35"/>
    <mergeCell ref="F35:H35"/>
    <mergeCell ref="A37:L37"/>
    <mergeCell ref="A44:L44"/>
    <mergeCell ref="A46:L46"/>
    <mergeCell ref="A53:E53"/>
    <mergeCell ref="F53:H53"/>
    <mergeCell ref="A145:L145"/>
    <mergeCell ref="A152:E152"/>
    <mergeCell ref="F152:H152"/>
    <mergeCell ref="A154:L154"/>
    <mergeCell ref="A161:L161"/>
    <mergeCell ref="A181:L181"/>
    <mergeCell ref="A188:E188"/>
    <mergeCell ref="F188:H188"/>
    <mergeCell ref="A190:L190"/>
    <mergeCell ref="A197:L197"/>
    <mergeCell ref="A217:L217"/>
    <mergeCell ref="A224:E224"/>
    <mergeCell ref="F224:H224"/>
    <mergeCell ref="A226:L226"/>
    <mergeCell ref="A233:L233"/>
    <mergeCell ref="A235:L235"/>
    <mergeCell ref="A242:E242"/>
    <mergeCell ref="F242:H242"/>
    <mergeCell ref="A244:L244"/>
    <mergeCell ref="A251:L251"/>
    <mergeCell ref="A253:L253"/>
    <mergeCell ref="A260:E260"/>
    <mergeCell ref="F260:H260"/>
    <mergeCell ref="A262:L262"/>
    <mergeCell ref="A269:L269"/>
  </mergeCells>
  <conditionalFormatting sqref="E12:E16 K12:K16">
    <cfRule type="colorScale" priority="68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3:E7 K3:K7">
    <cfRule type="colorScale" priority="67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3:H7">
    <cfRule type="colorScale" priority="66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12:H16">
    <cfRule type="colorScale" priority="6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30:E34 K30:K34">
    <cfRule type="colorScale" priority="6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1:E25 K21:K25">
    <cfRule type="colorScale" priority="63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21:H25">
    <cfRule type="colorScale" priority="6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30:H34">
    <cfRule type="colorScale" priority="61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K48:K52 E48:E52">
    <cfRule type="colorScale" priority="60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K39:K43 E39:E43">
    <cfRule type="colorScale" priority="59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39:H43">
    <cfRule type="colorScale" priority="58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48:H52">
    <cfRule type="colorScale" priority="57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66:E70 K66:K70">
    <cfRule type="colorScale" priority="56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57:E61 K57:K61">
    <cfRule type="colorScale" priority="5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57:H61">
    <cfRule type="colorScale" priority="5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66:H70">
    <cfRule type="colorScale" priority="53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84:E88 K84:K88">
    <cfRule type="colorScale" priority="5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75:E79 K75:K79">
    <cfRule type="colorScale" priority="51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75:H79">
    <cfRule type="colorScale" priority="50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84:H88">
    <cfRule type="colorScale" priority="49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03:E107 K103:K107">
    <cfRule type="colorScale" priority="48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94:E98 K94:K98">
    <cfRule type="colorScale" priority="47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94:H98">
    <cfRule type="colorScale" priority="46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103:H107">
    <cfRule type="colorScale" priority="4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11:E115 K111:K115">
    <cfRule type="colorScale" priority="4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111:H115">
    <cfRule type="colorScale" priority="43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20:E124 K120:K124">
    <cfRule type="colorScale" priority="4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120:H124">
    <cfRule type="colorScale" priority="41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29:E133 K129:K133">
    <cfRule type="colorScale" priority="40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129:H133">
    <cfRule type="colorScale" priority="39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38:E142 K138:K142">
    <cfRule type="colorScale" priority="38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138:H142">
    <cfRule type="colorScale" priority="37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47:E151 K147:K151">
    <cfRule type="colorScale" priority="36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147:H151">
    <cfRule type="colorScale" priority="3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56:E160 K156:K160">
    <cfRule type="colorScale" priority="3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156:H160">
    <cfRule type="colorScale" priority="33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65:E169 K165:K169">
    <cfRule type="colorScale" priority="2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165:H169">
    <cfRule type="colorScale" priority="23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74:E178 K174:K178">
    <cfRule type="colorScale" priority="2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174:H178">
    <cfRule type="colorScale" priority="21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83:E187 K183:K187">
    <cfRule type="colorScale" priority="20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183:H187">
    <cfRule type="colorScale" priority="19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92:E196 K192:K196">
    <cfRule type="colorScale" priority="18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192:H196">
    <cfRule type="colorScale" priority="17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01:E205 K201:K205">
    <cfRule type="colorScale" priority="16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201:H205">
    <cfRule type="colorScale" priority="1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10:E214 K210:K214">
    <cfRule type="colorScale" priority="1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210:H214">
    <cfRule type="colorScale" priority="13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19:E223 K219:K223">
    <cfRule type="colorScale" priority="1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219:H223">
    <cfRule type="colorScale" priority="11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28:E232 K228:K232">
    <cfRule type="colorScale" priority="10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228:H232">
    <cfRule type="colorScale" priority="9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37:E241 K237:K241">
    <cfRule type="colorScale" priority="8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237:H241">
    <cfRule type="colorScale" priority="7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46:E250 K246:K250">
    <cfRule type="colorScale" priority="6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246:H250">
    <cfRule type="colorScale" priority="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55:E259 K255:K259">
    <cfRule type="colorScale" priority="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255:H259">
    <cfRule type="colorScale" priority="3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64:E268 K264:K268">
    <cfRule type="colorScale" priority="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264:H268">
    <cfRule type="colorScale" priority="1">
      <colorScale>
        <cfvo type="min"/>
        <cfvo type="num" val="0"/>
        <cfvo type="max"/>
        <color rgb="FFF8696B"/>
        <color theme="0"/>
        <color rgb="FF63BE7B"/>
      </colorScale>
    </cfRule>
  </conditionalFormatting>
  <hyperlinks>
    <hyperlink ref="A17:E17" r:id="rId1" display="Worst of 3 : 8108_sp_online_poll_no_smp_19.0a6" xr:uid="{8501DF08-3A1D-4640-997B-460F305D3EA9}"/>
    <hyperlink ref="A8:L8" r:id="rId2" location="TSsummary" display="Worst of 3 : 8108_sp_online_poll_smp_19.0.a6" xr:uid="{1951E176-EE1A-4FCB-BAF6-EA5EE7EA0165}"/>
    <hyperlink ref="A35:E35" r:id="rId3" display="Worst of 3 : 8108_sp_online_poll_no_smp_19.0a9" xr:uid="{0C22DDD1-6757-4A6D-B927-2E07A052049B}"/>
    <hyperlink ref="A26:L26" r:id="rId4" display="Worst of 3 : 8108_sp_online_poll_smp_19.0.a9" xr:uid="{1CDC2A24-7D34-46CA-9E6B-CF72FC0F2F64}"/>
    <hyperlink ref="A53:E53" r:id="rId5" display="Worst of 3 : 8108_sp_online_poll_no_smp_19.0a25" xr:uid="{5B054DE3-3509-4D65-AACB-A2E3998DFAB3}"/>
    <hyperlink ref="A44:L44" r:id="rId6" display="Worst of 3 : 8108_sp_online_poll_smp_19.0.a25" xr:uid="{581E6262-12EB-4D9A-8F7B-0CD738DFC854}"/>
    <hyperlink ref="A71:E71" r:id="rId7" display="Worst of 3 : 8108_sp_online_poll_no_smp_19.0a28" xr:uid="{9B9BA259-016E-4E7C-BAE4-477036927400}"/>
    <hyperlink ref="A62:L62" r:id="rId8" display="Worst of 3 : 8108_sp_online_poll_smp_19.0.a28" xr:uid="{AFEDB3E1-C3A4-42A9-8089-1BC61FA8EB2E}"/>
    <hyperlink ref="A89:E89" r:id="rId9" location="TSsummary" display="Worst of 3 : 8108_sp_online_poll_no_smp_19.0b2" xr:uid="{DFA39A0E-74C7-4C76-8352-CC576FE82D88}"/>
    <hyperlink ref="A80:L80" r:id="rId10" display="Worst of 3 : 8108_sp_online_poll_smp_19.0.b2" xr:uid="{61FB00FD-CC5A-4ECD-BB5D-BC36C2E0C220}"/>
    <hyperlink ref="A108:E108" r:id="rId11" display="Worst of 3 : 8108_sp_online_poll_no_smp_19.0b27" xr:uid="{95C12DF8-5453-423F-A4E3-A742EA2E8DE5}"/>
    <hyperlink ref="A99:L99" r:id="rId12" display="Worst of 3 : 8108_sp_online_poll_smp_19.0.b27" xr:uid="{9165A561-BA63-41F9-8355-964DD8FDF18E}"/>
    <hyperlink ref="A116:E116" r:id="rId13" display="Worst of 3 : 8108_sp_online_poll_no_smp_19.0b49" xr:uid="{BB89DAB1-9E68-4996-8C87-E6D75D00E955}"/>
    <hyperlink ref="A125:L125" r:id="rId14" display="Worst of 3 : 8108_sp_online_poll_smp_19.0.b49" xr:uid="{1B9AC394-BAF5-437F-948C-01F7CA819E68}"/>
    <hyperlink ref="A134:E134" r:id="rId15" display="Worst of 3 : 8108_sp_online_poll_no_smp_19.0b57" xr:uid="{02AAD2C5-62DD-4D6D-A982-E6E388127CB2}"/>
    <hyperlink ref="A143:L143" r:id="rId16" display="Worst of 3 : 8108_sp_online_poll_smp_19.0.b57" xr:uid="{3A59799D-7A98-4897-ADFC-C073A9072381}"/>
    <hyperlink ref="A152:E152" r:id="rId17" location="test_daqmx-Benchmark.lvproj%5CRT%20Target%5CT1%20-%20AI-AO%5CTest_DAQmx_AI-AO_01_RPoll_SCPoll.vi" display="Worst of 3 : 8108_sp_online_poll_no_smp_19.0b63" xr:uid="{430C0112-9B92-4292-8B90-F764B086D377}"/>
    <hyperlink ref="A161:L161" r:id="rId18" display="Worst of 3 : 8108_sp_online_poll_smp_19.0.b63" xr:uid="{8C648E6A-6F48-4BF8-A40C-46E5101C9FEF}"/>
    <hyperlink ref="A170:E170" r:id="rId19" display="Worst of 3 : 8108_sp_online_poll_no_smp_19.0b67" xr:uid="{A45608EA-5A4B-4990-9B3E-118392701CCA}"/>
    <hyperlink ref="A179:L179" r:id="rId20" display="Worst of 3 : 8108_sp_online_poll_smp_19.0.b67" xr:uid="{F19660F6-426E-43BE-99B0-BD3B97720F29}"/>
    <hyperlink ref="A188:E188" r:id="rId21" display="Worst of 3 : 8108_sp_online_poll_no_smp_19.0b79" xr:uid="{15EF5D00-1290-49B1-8584-8119C377F654}"/>
    <hyperlink ref="A197:L197" r:id="rId22" display="Worst of 3 : 8108_sp_online_poll_smp_19.0.b79" xr:uid="{D3382F96-2BA3-4DE3-9867-F34F09BFCA6E}"/>
    <hyperlink ref="A206:E206" r:id="rId23" display="Worst of 3 : 8108_sp_online_poll_no_smp_19.0b83" xr:uid="{1EB2251F-BAF0-4D68-A687-B50A71B34130}"/>
    <hyperlink ref="A215:L215" r:id="rId24" display="Worst of 3 : 8108_sp_online_poll_smp_19.0.b83" xr:uid="{7E89F145-9577-40B3-A1AE-982CFD5A060F}"/>
    <hyperlink ref="A224:E224" r:id="rId25" location="test_daqmx-Benchmark.lvproj%5CRT%20Target%5CT1%20-%20AI-AO%5CTest_DAQmx_AI-AO_01_RPoll_SCPoll.vi" display="Worst of 3 : 8108_sp_online_poll_no_smp_19.0b91" xr:uid="{CA381A5B-E8F7-486E-B08B-A61982E6D4E4}"/>
    <hyperlink ref="A233:L233" r:id="rId26" display="Worst of 3 : 8108_sp_online_poll_smp_19.0.b91" xr:uid="{3A315F62-E8FA-4AA3-AFDC-337A57436ABA}"/>
    <hyperlink ref="A242:E242" r:id="rId27" display="Worst of 3 : 8108_sp_online_poll_no_smp_19.0b101" xr:uid="{524C29C9-2A78-4770-B75A-252071E98B4B}"/>
    <hyperlink ref="A251:L251" r:id="rId28" display="Worst of 3 : 8108_sp_online_poll_smp_19.0.b101" xr:uid="{6E45F5D2-E20A-4F97-A343-B97DC0CAA355}"/>
    <hyperlink ref="A260:E260" r:id="rId29" display="Worst of 3 : 8108_sp_online_poll_no_smp_19.0.0" xr:uid="{F7F9679E-A3C3-4101-9E29-62A25B232BE9}"/>
    <hyperlink ref="A269:L269" r:id="rId30" display="Worst of 3 : 8108_sp_online_poll_smp_19.0.0" xr:uid="{FC190754-8EFC-4252-A119-ECF0715A049A}"/>
  </hyperlinks>
  <pageMargins left="0.7" right="0.7" top="0.75" bottom="0.75" header="0.3" footer="0.3"/>
  <pageSetup orientation="portrait" r:id="rId3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FBDEA-38EC-425E-8905-0F6B7AA602E4}">
  <dimension ref="A1:L130"/>
  <sheetViews>
    <sheetView tabSelected="1" topLeftCell="A103" workbookViewId="0">
      <selection activeCell="N129" sqref="N129"/>
    </sheetView>
  </sheetViews>
  <sheetFormatPr defaultRowHeight="15" x14ac:dyDescent="0.25"/>
  <cols>
    <col min="2" max="2" width="26" bestFit="1" customWidth="1"/>
    <col min="3" max="3" width="9.85546875" bestFit="1" customWidth="1"/>
    <col min="6" max="7" width="9.85546875" bestFit="1" customWidth="1"/>
    <col min="10" max="10" width="9.85546875" bestFit="1" customWidth="1"/>
  </cols>
  <sheetData>
    <row r="1" spans="1:12" ht="18.75" x14ac:dyDescent="0.3">
      <c r="A1" s="83" t="s">
        <v>452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108"/>
    </row>
    <row r="2" spans="1:12" ht="45" x14ac:dyDescent="0.25">
      <c r="A2" s="33" t="s">
        <v>2</v>
      </c>
      <c r="B2" s="1" t="s">
        <v>3</v>
      </c>
      <c r="C2" s="1" t="s">
        <v>4</v>
      </c>
      <c r="D2" s="4" t="s">
        <v>78</v>
      </c>
      <c r="E2" s="4" t="s">
        <v>454</v>
      </c>
      <c r="F2" s="4" t="s">
        <v>85</v>
      </c>
      <c r="G2" s="4" t="s">
        <v>79</v>
      </c>
      <c r="H2" s="4" t="s">
        <v>454</v>
      </c>
      <c r="I2" s="4" t="s">
        <v>82</v>
      </c>
      <c r="J2" s="4" t="s">
        <v>80</v>
      </c>
      <c r="K2" s="4" t="s">
        <v>454</v>
      </c>
      <c r="L2" s="72" t="s">
        <v>81</v>
      </c>
    </row>
    <row r="3" spans="1:12" x14ac:dyDescent="0.25">
      <c r="A3" s="33" t="s">
        <v>5</v>
      </c>
      <c r="B3" s="1" t="s">
        <v>6</v>
      </c>
      <c r="C3" s="1" t="s">
        <v>7</v>
      </c>
      <c r="D3" s="42">
        <v>145560</v>
      </c>
      <c r="E3" s="41">
        <f>(D3-'2019'!D255)/'2019'!D255</f>
        <v>3.9298566287770606E-2</v>
      </c>
      <c r="F3" s="42">
        <v>147710</v>
      </c>
      <c r="G3" s="42">
        <v>97847</v>
      </c>
      <c r="H3" s="41">
        <f>(G3-'2019'!G255)/'2019'!G255</f>
        <v>-1.4672117940868444E-2</v>
      </c>
      <c r="I3" s="42">
        <v>102040</v>
      </c>
      <c r="J3" s="42">
        <v>35574</v>
      </c>
      <c r="K3" s="41">
        <f>(J3-'2019'!J255)/'2019'!J255</f>
        <v>-1.6368965326549797E-2</v>
      </c>
      <c r="L3" s="42">
        <v>33738</v>
      </c>
    </row>
    <row r="4" spans="1:12" x14ac:dyDescent="0.25">
      <c r="A4" s="33" t="s">
        <v>8</v>
      </c>
      <c r="B4" s="1" t="s">
        <v>9</v>
      </c>
      <c r="C4" s="1" t="s">
        <v>7</v>
      </c>
      <c r="D4" s="42">
        <v>141242</v>
      </c>
      <c r="E4" s="41">
        <f>(D4-'2019'!D256)/'2019'!D256</f>
        <v>4.378607270335582E-2</v>
      </c>
      <c r="F4" s="42">
        <v>143266</v>
      </c>
      <c r="G4" s="42">
        <v>89445</v>
      </c>
      <c r="H4" s="41">
        <f>(G4-'2019'!G256)/'2019'!G256</f>
        <v>-1.4314996032795556E-2</v>
      </c>
      <c r="I4" s="42">
        <v>92936</v>
      </c>
      <c r="J4" s="42">
        <v>33579</v>
      </c>
      <c r="K4" s="41">
        <f>(J4-'2019'!J256)/'2019'!J256</f>
        <v>-4.7127867686288455E-3</v>
      </c>
      <c r="L4" s="42">
        <v>33738</v>
      </c>
    </row>
    <row r="5" spans="1:12" x14ac:dyDescent="0.25">
      <c r="A5" s="33" t="s">
        <v>10</v>
      </c>
      <c r="B5" s="1" t="s">
        <v>9</v>
      </c>
      <c r="C5" s="1" t="s">
        <v>11</v>
      </c>
      <c r="D5" s="42">
        <v>77760</v>
      </c>
      <c r="E5" s="41">
        <f>(D5-'2019'!D257)/'2019'!D257</f>
        <v>-6.9980078663738057E-3</v>
      </c>
      <c r="F5" s="42">
        <v>80064</v>
      </c>
      <c r="G5" s="42">
        <v>65019</v>
      </c>
      <c r="H5" s="41">
        <f>(G5-'2019'!G257)/'2019'!G257</f>
        <v>-2.7302375680689366E-2</v>
      </c>
      <c r="I5" s="42">
        <v>65919</v>
      </c>
      <c r="J5" s="42">
        <v>31289</v>
      </c>
      <c r="K5" s="41">
        <f>(J5-'2019'!J257)/'2019'!J257</f>
        <v>9.3877024324149939E-3</v>
      </c>
      <c r="L5" s="42">
        <v>31436</v>
      </c>
    </row>
    <row r="6" spans="1:12" x14ac:dyDescent="0.25">
      <c r="A6" s="33" t="s">
        <v>12</v>
      </c>
      <c r="B6" s="1" t="s">
        <v>13</v>
      </c>
      <c r="C6" s="1" t="s">
        <v>11</v>
      </c>
      <c r="D6" s="42">
        <v>69252</v>
      </c>
      <c r="E6" s="41">
        <f>(D6-'2019'!D258)/'2019'!D258</f>
        <v>-3.1846777575842304E-2</v>
      </c>
      <c r="F6" s="42">
        <v>69930</v>
      </c>
      <c r="G6" s="42">
        <v>63897</v>
      </c>
      <c r="H6" s="41">
        <f>(G6-'2019'!G258)/'2019'!G258</f>
        <v>-4.4715193817773903E-3</v>
      </c>
      <c r="I6" s="42">
        <v>64724</v>
      </c>
      <c r="J6" s="42">
        <v>31133</v>
      </c>
      <c r="K6" s="41">
        <f>(J6-'2019'!J258)/'2019'!J258</f>
        <v>-2.1794173263677448E-3</v>
      </c>
      <c r="L6" s="42">
        <v>31436</v>
      </c>
    </row>
    <row r="7" spans="1:12" x14ac:dyDescent="0.25">
      <c r="A7" s="33" t="s">
        <v>14</v>
      </c>
      <c r="B7" s="1" t="s">
        <v>15</v>
      </c>
      <c r="C7" s="1" t="s">
        <v>11</v>
      </c>
      <c r="D7" s="42">
        <v>68073</v>
      </c>
      <c r="E7" s="41">
        <f>(D7-'2019'!D259)/'2019'!D259</f>
        <v>-3.3356053506006643E-2</v>
      </c>
      <c r="F7" s="42">
        <v>68587</v>
      </c>
      <c r="G7" s="42">
        <v>61766</v>
      </c>
      <c r="H7" s="41">
        <f>(G7-'2019'!G259)/'2019'!G259</f>
        <v>-2.5327042337977938E-2</v>
      </c>
      <c r="I7" s="42">
        <v>65659</v>
      </c>
      <c r="J7" s="42">
        <v>30969</v>
      </c>
      <c r="K7" s="41">
        <f>(J7-'2019'!J259)/'2019'!J259</f>
        <v>-9.9108027750247768E-3</v>
      </c>
      <c r="L7" s="42">
        <v>31142</v>
      </c>
    </row>
    <row r="8" spans="1:12" ht="15.75" thickBot="1" x14ac:dyDescent="0.3">
      <c r="A8" s="109" t="s">
        <v>450</v>
      </c>
      <c r="B8" s="110"/>
      <c r="C8" s="110"/>
      <c r="D8" s="110"/>
      <c r="E8" s="110"/>
      <c r="F8" s="110"/>
      <c r="G8" s="110"/>
      <c r="H8" s="110"/>
      <c r="I8" s="42"/>
      <c r="J8" s="42"/>
      <c r="K8" s="74"/>
      <c r="L8" s="42"/>
    </row>
    <row r="9" spans="1:12" ht="15.75" thickBot="1" x14ac:dyDescent="0.3"/>
    <row r="10" spans="1:12" ht="18.75" x14ac:dyDescent="0.3">
      <c r="A10" s="83" t="s">
        <v>453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108"/>
    </row>
    <row r="11" spans="1:12" ht="45" x14ac:dyDescent="0.25">
      <c r="A11" s="33" t="s">
        <v>2</v>
      </c>
      <c r="B11" s="1" t="s">
        <v>3</v>
      </c>
      <c r="C11" s="1" t="s">
        <v>4</v>
      </c>
      <c r="D11" s="4" t="s">
        <v>78</v>
      </c>
      <c r="E11" s="4" t="s">
        <v>454</v>
      </c>
      <c r="F11" s="4" t="s">
        <v>85</v>
      </c>
      <c r="G11" s="4" t="s">
        <v>79</v>
      </c>
      <c r="H11" s="4" t="s">
        <v>454</v>
      </c>
      <c r="I11" s="4" t="s">
        <v>82</v>
      </c>
      <c r="J11" s="4" t="s">
        <v>80</v>
      </c>
      <c r="K11" s="4" t="s">
        <v>454</v>
      </c>
      <c r="L11" s="72" t="s">
        <v>81</v>
      </c>
    </row>
    <row r="12" spans="1:12" x14ac:dyDescent="0.25">
      <c r="A12" s="33" t="s">
        <v>5</v>
      </c>
      <c r="B12" s="1" t="s">
        <v>6</v>
      </c>
      <c r="C12" s="1" t="s">
        <v>7</v>
      </c>
      <c r="D12" s="42">
        <v>150829</v>
      </c>
      <c r="E12" s="42">
        <f>(D12-'2019'!D264)/'2019'!D264</f>
        <v>0.13725918944392082</v>
      </c>
      <c r="F12" s="42">
        <v>161290</v>
      </c>
      <c r="G12" s="42">
        <v>107411</v>
      </c>
      <c r="H12" s="42">
        <f>(G12-'2019'!G264)/'2019'!G264</f>
        <v>-6.4472564472564473E-3</v>
      </c>
      <c r="I12" s="42">
        <v>110132</v>
      </c>
      <c r="J12" s="42">
        <v>37355</v>
      </c>
      <c r="K12" s="42">
        <f>(J12-'2019'!J264)/'2019'!J264</f>
        <v>3.7349527085124676E-3</v>
      </c>
      <c r="L12" s="42">
        <v>37735</v>
      </c>
    </row>
    <row r="13" spans="1:12" x14ac:dyDescent="0.25">
      <c r="A13" s="33" t="s">
        <v>8</v>
      </c>
      <c r="B13" s="1" t="s">
        <v>9</v>
      </c>
      <c r="C13" s="1" t="s">
        <v>7</v>
      </c>
      <c r="D13" s="42">
        <v>154798</v>
      </c>
      <c r="E13" s="42">
        <f>(D13-'2019'!D265)/'2019'!D265</f>
        <v>-1.5480309351785897E-2</v>
      </c>
      <c r="F13" s="42">
        <v>157977</v>
      </c>
      <c r="G13" s="42">
        <v>99304</v>
      </c>
      <c r="H13" s="42">
        <f>(G13-'2019'!G265)/'2019'!G265</f>
        <v>8.9306578613157234E-3</v>
      </c>
      <c r="I13" s="42">
        <v>102040</v>
      </c>
      <c r="J13" s="42">
        <v>35335</v>
      </c>
      <c r="K13" s="42">
        <f>(J13-'2019'!J265)/'2019'!J265</f>
        <v>0</v>
      </c>
      <c r="L13" s="42">
        <v>35688</v>
      </c>
    </row>
    <row r="14" spans="1:12" x14ac:dyDescent="0.25">
      <c r="A14" s="33" t="s">
        <v>10</v>
      </c>
      <c r="B14" s="1" t="s">
        <v>9</v>
      </c>
      <c r="C14" s="1" t="s">
        <v>11</v>
      </c>
      <c r="D14" s="42">
        <v>59594</v>
      </c>
      <c r="E14" s="42">
        <f>(D14-'2019'!D266)/'2019'!D266</f>
        <v>-9.5399547932455784E-3</v>
      </c>
      <c r="F14" s="42">
        <v>61349</v>
      </c>
      <c r="G14" s="42">
        <v>53106</v>
      </c>
      <c r="H14" s="42">
        <f>(G14-'2019'!G266)/'2019'!G266</f>
        <v>-2.6024759284731774E-2</v>
      </c>
      <c r="I14" s="42">
        <v>54525</v>
      </c>
      <c r="J14" s="42">
        <v>27948</v>
      </c>
      <c r="K14" s="42">
        <f>(J14-'2019'!J266)/'2019'!J266</f>
        <v>1.3973986885950768E-3</v>
      </c>
      <c r="L14" s="42">
        <v>27972</v>
      </c>
    </row>
    <row r="15" spans="1:12" x14ac:dyDescent="0.25">
      <c r="A15" s="33" t="s">
        <v>12</v>
      </c>
      <c r="B15" s="1" t="s">
        <v>13</v>
      </c>
      <c r="C15" s="1" t="s">
        <v>7</v>
      </c>
      <c r="D15" s="42">
        <v>143884</v>
      </c>
      <c r="E15" s="42">
        <f>(D15-'2019'!D267)/'2019'!D267</f>
        <v>3.1648383164838319E-2</v>
      </c>
      <c r="F15" s="42">
        <v>147710</v>
      </c>
      <c r="G15" s="42">
        <v>102040</v>
      </c>
      <c r="H15" s="42">
        <f>(G15-'2019'!G267)/'2019'!G267</f>
        <v>0</v>
      </c>
      <c r="I15" s="42">
        <v>104058</v>
      </c>
      <c r="J15" s="42">
        <v>36350</v>
      </c>
      <c r="K15" s="42">
        <f>(J15-'2019'!J267)/'2019'!J267</f>
        <v>0</v>
      </c>
      <c r="L15" s="42">
        <v>36697</v>
      </c>
    </row>
    <row r="16" spans="1:12" x14ac:dyDescent="0.25">
      <c r="A16" s="33" t="s">
        <v>14</v>
      </c>
      <c r="B16" s="1" t="s">
        <v>15</v>
      </c>
      <c r="C16" s="1" t="s">
        <v>7</v>
      </c>
      <c r="D16" s="42">
        <v>132275</v>
      </c>
      <c r="E16" s="42">
        <f>(D16-'2019'!D268)/'2019'!D268</f>
        <v>1.3247539742619228E-3</v>
      </c>
      <c r="F16" s="42">
        <v>136425</v>
      </c>
      <c r="G16" s="42">
        <v>102459</v>
      </c>
      <c r="H16" s="42">
        <f>(G16-'2019'!G268)/'2019'!G268</f>
        <v>0</v>
      </c>
      <c r="I16" s="42">
        <v>105374</v>
      </c>
      <c r="J16" s="42">
        <v>35880</v>
      </c>
      <c r="K16" s="42">
        <f>(J16-'2019'!J268)/'2019'!J268</f>
        <v>0.61034064898343876</v>
      </c>
      <c r="L16" s="42">
        <v>37078</v>
      </c>
    </row>
    <row r="17" spans="1:12" ht="15.75" thickBot="1" x14ac:dyDescent="0.3">
      <c r="A17" s="115" t="s">
        <v>451</v>
      </c>
      <c r="B17" s="96"/>
      <c r="C17" s="96"/>
      <c r="D17" s="96"/>
      <c r="E17" s="96"/>
      <c r="F17" s="96"/>
      <c r="G17" s="96"/>
      <c r="H17" s="96"/>
      <c r="I17" s="96"/>
      <c r="J17" s="96"/>
      <c r="K17" s="96"/>
      <c r="L17" s="116"/>
    </row>
    <row r="18" spans="1:12" ht="15.75" thickBot="1" x14ac:dyDescent="0.3"/>
    <row r="19" spans="1:12" ht="18.75" x14ac:dyDescent="0.3">
      <c r="A19" s="83" t="s">
        <v>455</v>
      </c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108"/>
    </row>
    <row r="20" spans="1:12" ht="45" x14ac:dyDescent="0.25">
      <c r="A20" s="33" t="s">
        <v>2</v>
      </c>
      <c r="B20" s="1" t="s">
        <v>3</v>
      </c>
      <c r="C20" s="1" t="s">
        <v>4</v>
      </c>
      <c r="D20" s="4" t="s">
        <v>78</v>
      </c>
      <c r="E20" s="4" t="s">
        <v>454</v>
      </c>
      <c r="F20" s="4" t="s">
        <v>85</v>
      </c>
      <c r="G20" s="4" t="s">
        <v>79</v>
      </c>
      <c r="H20" s="4" t="s">
        <v>454</v>
      </c>
      <c r="I20" s="4" t="s">
        <v>82</v>
      </c>
      <c r="J20" s="4" t="s">
        <v>80</v>
      </c>
      <c r="K20" s="4" t="s">
        <v>454</v>
      </c>
      <c r="L20" s="72" t="s">
        <v>81</v>
      </c>
    </row>
    <row r="21" spans="1:12" x14ac:dyDescent="0.25">
      <c r="A21" s="33" t="s">
        <v>5</v>
      </c>
      <c r="B21" s="1" t="s">
        <v>6</v>
      </c>
      <c r="C21" s="1" t="s">
        <v>7</v>
      </c>
      <c r="D21" s="42">
        <v>144927</v>
      </c>
      <c r="E21" s="41">
        <f>(D21-'2019'!D255)/'2019'!D255</f>
        <v>3.4778945564631292E-2</v>
      </c>
      <c r="F21" s="42">
        <v>145772</v>
      </c>
      <c r="G21" s="42">
        <v>99304</v>
      </c>
      <c r="H21" s="41">
        <f>(G21-'2019'!G255)/'2019'!G255</f>
        <v>0</v>
      </c>
      <c r="I21" s="42">
        <v>100806</v>
      </c>
      <c r="J21" s="42">
        <v>35688</v>
      </c>
      <c r="K21" s="41">
        <f>(J21-'2019'!J255)/'2019'!J255</f>
        <v>-1.3216833490018249E-2</v>
      </c>
      <c r="L21" s="42">
        <v>36337</v>
      </c>
    </row>
    <row r="22" spans="1:12" x14ac:dyDescent="0.25">
      <c r="A22" s="33" t="s">
        <v>8</v>
      </c>
      <c r="B22" s="1" t="s">
        <v>9</v>
      </c>
      <c r="C22" s="1" t="s">
        <v>7</v>
      </c>
      <c r="D22" s="42">
        <v>139470</v>
      </c>
      <c r="E22" s="41">
        <f>(D22-'2019'!D256)/'2019'!D256</f>
        <v>3.0690896191904935E-2</v>
      </c>
      <c r="F22" s="42">
        <v>140646</v>
      </c>
      <c r="G22" s="42">
        <v>90252</v>
      </c>
      <c r="H22" s="41">
        <f>(G22-'2019'!G256)/'2019'!G256</f>
        <v>-5.4218460724676015E-3</v>
      </c>
      <c r="I22" s="42">
        <v>90744</v>
      </c>
      <c r="J22" s="42">
        <v>33579</v>
      </c>
      <c r="K22" s="41">
        <f>(J22-'2019'!J256)/'2019'!J256</f>
        <v>-4.7127867686288455E-3</v>
      </c>
      <c r="L22" s="42">
        <v>33738</v>
      </c>
    </row>
    <row r="23" spans="1:12" x14ac:dyDescent="0.25">
      <c r="A23" s="33" t="s">
        <v>10</v>
      </c>
      <c r="B23" s="1" t="s">
        <v>9</v>
      </c>
      <c r="C23" s="1" t="s">
        <v>11</v>
      </c>
      <c r="D23" s="42">
        <v>78003</v>
      </c>
      <c r="E23" s="41">
        <f>(D23-'2019'!D257)/'2019'!D257</f>
        <v>-3.8948766409562241E-3</v>
      </c>
      <c r="F23" s="42">
        <v>81433</v>
      </c>
      <c r="G23" s="42">
        <v>66137</v>
      </c>
      <c r="H23" s="41">
        <f>(G23-'2019'!G257)/'2019'!G257</f>
        <v>-1.0576865537669799E-2</v>
      </c>
      <c r="I23" s="42">
        <v>67704</v>
      </c>
      <c r="J23" s="42">
        <v>30978</v>
      </c>
      <c r="K23" s="41">
        <f>(J23-'2019'!J257)/'2019'!J257</f>
        <v>-6.4520291631718174E-4</v>
      </c>
      <c r="L23" s="42">
        <v>31735</v>
      </c>
    </row>
    <row r="24" spans="1:12" x14ac:dyDescent="0.25">
      <c r="A24" s="33" t="s">
        <v>12</v>
      </c>
      <c r="B24" s="1" t="s">
        <v>13</v>
      </c>
      <c r="C24" s="1" t="s">
        <v>11</v>
      </c>
      <c r="D24" s="42">
        <v>71174</v>
      </c>
      <c r="E24" s="41">
        <f>(D24-'2019'!D258)/'2019'!D258</f>
        <v>-4.9769327554872083E-3</v>
      </c>
      <c r="F24" s="42">
        <v>71839</v>
      </c>
      <c r="G24" s="42">
        <v>63897</v>
      </c>
      <c r="H24" s="41">
        <f>(G24-'2019'!G258)/'2019'!G258</f>
        <v>-4.4715193817773903E-3</v>
      </c>
      <c r="I24" s="42">
        <v>64724</v>
      </c>
      <c r="J24" s="42">
        <v>31152</v>
      </c>
      <c r="K24" s="41">
        <f>(J24-'2019'!J258)/'2019'!J258</f>
        <v>-1.5704624851767572E-3</v>
      </c>
      <c r="L24" s="42">
        <v>31436</v>
      </c>
    </row>
    <row r="25" spans="1:12" x14ac:dyDescent="0.25">
      <c r="A25" s="33" t="s">
        <v>14</v>
      </c>
      <c r="B25" s="1" t="s">
        <v>15</v>
      </c>
      <c r="C25" s="1" t="s">
        <v>11</v>
      </c>
      <c r="D25" s="42">
        <v>68917</v>
      </c>
      <c r="E25" s="41">
        <f>(D25-'2019'!D259)/'2019'!D259</f>
        <v>-2.1371162420834398E-2</v>
      </c>
      <c r="F25" s="42">
        <v>69783</v>
      </c>
      <c r="G25" s="42">
        <v>65061</v>
      </c>
      <c r="H25" s="41">
        <f>(G25-'2019'!G259)/'2019'!G259</f>
        <v>2.6668349876126304E-2</v>
      </c>
      <c r="I25" s="42">
        <v>65359</v>
      </c>
      <c r="J25" s="42">
        <v>30988</v>
      </c>
      <c r="K25" s="41">
        <f>(J25-'2019'!J259)/'2019'!J259</f>
        <v>-9.3033664759103549E-3</v>
      </c>
      <c r="L25" s="42">
        <v>31298</v>
      </c>
    </row>
    <row r="26" spans="1:12" ht="15.75" thickBot="1" x14ac:dyDescent="0.3">
      <c r="A26" s="109" t="s">
        <v>457</v>
      </c>
      <c r="B26" s="110"/>
      <c r="C26" s="110"/>
      <c r="D26" s="110"/>
      <c r="E26" s="110"/>
      <c r="F26" s="110"/>
      <c r="G26" s="110"/>
      <c r="H26" s="110"/>
      <c r="I26" s="42"/>
      <c r="J26" s="42"/>
      <c r="K26" s="74"/>
      <c r="L26" s="42"/>
    </row>
    <row r="27" spans="1:12" ht="15.75" thickBot="1" x14ac:dyDescent="0.3"/>
    <row r="28" spans="1:12" ht="18.75" x14ac:dyDescent="0.3">
      <c r="A28" s="83" t="s">
        <v>456</v>
      </c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108"/>
    </row>
    <row r="29" spans="1:12" ht="45" x14ac:dyDescent="0.25">
      <c r="A29" s="33" t="s">
        <v>2</v>
      </c>
      <c r="B29" s="1" t="s">
        <v>3</v>
      </c>
      <c r="C29" s="1" t="s">
        <v>4</v>
      </c>
      <c r="D29" s="4" t="s">
        <v>78</v>
      </c>
      <c r="E29" s="4" t="s">
        <v>454</v>
      </c>
      <c r="F29" s="4" t="s">
        <v>85</v>
      </c>
      <c r="G29" s="4" t="s">
        <v>79</v>
      </c>
      <c r="H29" s="4" t="s">
        <v>454</v>
      </c>
      <c r="I29" s="4" t="s">
        <v>82</v>
      </c>
      <c r="J29" s="4" t="s">
        <v>80</v>
      </c>
      <c r="K29" s="4" t="s">
        <v>454</v>
      </c>
      <c r="L29" s="72" t="s">
        <v>81</v>
      </c>
    </row>
    <row r="30" spans="1:12" x14ac:dyDescent="0.25">
      <c r="A30" s="33" t="s">
        <v>5</v>
      </c>
      <c r="B30" s="1" t="s">
        <v>6</v>
      </c>
      <c r="C30" s="1" t="s">
        <v>7</v>
      </c>
      <c r="D30" s="42">
        <v>159235</v>
      </c>
      <c r="E30" s="42">
        <f>(D30-'2019'!D264)/'2019'!D264</f>
        <v>0.20064090480678606</v>
      </c>
      <c r="F30" s="42">
        <v>160513</v>
      </c>
      <c r="G30" s="42">
        <v>108577</v>
      </c>
      <c r="H30" s="42">
        <f>(G30-'2019'!G264)/'2019'!G264</f>
        <v>4.3382543382543383E-3</v>
      </c>
      <c r="I30" s="42">
        <v>110011</v>
      </c>
      <c r="J30" s="42">
        <v>36859</v>
      </c>
      <c r="K30" s="42">
        <f>(J30-'2019'!J264)/'2019'!J264</f>
        <v>-9.592648323301806E-3</v>
      </c>
      <c r="L30" s="42">
        <v>37397</v>
      </c>
    </row>
    <row r="31" spans="1:12" x14ac:dyDescent="0.25">
      <c r="A31" s="33" t="s">
        <v>8</v>
      </c>
      <c r="B31" s="1" t="s">
        <v>9</v>
      </c>
      <c r="C31" s="1" t="s">
        <v>7</v>
      </c>
      <c r="D31" s="42">
        <v>155038</v>
      </c>
      <c r="E31" s="42">
        <f>(D31-'2019'!D265)/'2019'!D265</f>
        <v>-1.395390251348326E-2</v>
      </c>
      <c r="F31" s="42">
        <v>160000</v>
      </c>
      <c r="G31" s="42">
        <v>98814</v>
      </c>
      <c r="H31" s="42">
        <f>(G31-'2019'!G265)/'2019'!G265</f>
        <v>3.9522479044958089E-3</v>
      </c>
      <c r="I31" s="42">
        <v>102040</v>
      </c>
      <c r="J31" s="42">
        <v>35398</v>
      </c>
      <c r="K31" s="42">
        <f>(J31-'2019'!J265)/'2019'!J265</f>
        <v>1.782934767227961E-3</v>
      </c>
      <c r="L31" s="42">
        <v>35752</v>
      </c>
    </row>
    <row r="32" spans="1:12" x14ac:dyDescent="0.25">
      <c r="A32" s="33" t="s">
        <v>10</v>
      </c>
      <c r="B32" s="1" t="s">
        <v>9</v>
      </c>
      <c r="C32" s="1" t="s">
        <v>11</v>
      </c>
      <c r="D32" s="42">
        <v>61538</v>
      </c>
      <c r="E32" s="42">
        <f>(D32-'2019'!D266)/'2019'!D266</f>
        <v>2.2769578513495547E-2</v>
      </c>
      <c r="F32" s="42">
        <v>63011</v>
      </c>
      <c r="G32" s="42">
        <v>53163</v>
      </c>
      <c r="H32" s="42">
        <f>(G32-'2019'!G266)/'2019'!G266</f>
        <v>-2.4979367262723522E-2</v>
      </c>
      <c r="I32" s="42">
        <v>55126</v>
      </c>
      <c r="J32" s="42">
        <v>28105</v>
      </c>
      <c r="K32" s="42">
        <f>(J32-'2019'!J266)/'2019'!J266</f>
        <v>7.0228241785803861E-3</v>
      </c>
      <c r="L32" s="42">
        <v>28176</v>
      </c>
    </row>
    <row r="33" spans="1:12" x14ac:dyDescent="0.25">
      <c r="A33" s="33" t="s">
        <v>12</v>
      </c>
      <c r="B33" s="1" t="s">
        <v>13</v>
      </c>
      <c r="C33" s="1" t="s">
        <v>7</v>
      </c>
      <c r="D33" s="42">
        <v>149253</v>
      </c>
      <c r="E33" s="42">
        <f>(D33-'2019'!D267)/'2019'!D267</f>
        <v>7.01441170144117E-2</v>
      </c>
      <c r="F33" s="42">
        <v>152671</v>
      </c>
      <c r="G33" s="42">
        <v>105485</v>
      </c>
      <c r="H33" s="42">
        <f>(G33-'2019'!G267)/'2019'!G267</f>
        <v>3.3761270090160722E-2</v>
      </c>
      <c r="I33" s="42">
        <v>105820</v>
      </c>
      <c r="J33" s="42">
        <v>36271</v>
      </c>
      <c r="K33" s="42">
        <f>(J33-'2019'!J267)/'2019'!J267</f>
        <v>-2.1733149931224211E-3</v>
      </c>
      <c r="L33" s="42">
        <v>36443</v>
      </c>
    </row>
    <row r="34" spans="1:12" x14ac:dyDescent="0.25">
      <c r="A34" s="33" t="s">
        <v>14</v>
      </c>
      <c r="B34" s="1" t="s">
        <v>15</v>
      </c>
      <c r="C34" s="1" t="s">
        <v>7</v>
      </c>
      <c r="D34" s="42">
        <v>134770</v>
      </c>
      <c r="E34" s="42">
        <f>(D34-'2019'!D268)/'2019'!D268</f>
        <v>2.0211960635881907E-2</v>
      </c>
      <c r="F34" s="42">
        <v>138121</v>
      </c>
      <c r="G34" s="42">
        <v>104058</v>
      </c>
      <c r="H34" s="42">
        <f>(G34-'2019'!G268)/'2019'!G268</f>
        <v>1.5606242496998799E-2</v>
      </c>
      <c r="I34" s="42">
        <v>106044</v>
      </c>
      <c r="J34" s="42">
        <v>35536</v>
      </c>
      <c r="K34" s="42">
        <f>(J34-'2019'!J268)/'2019'!J268</f>
        <v>0.59490148557066558</v>
      </c>
      <c r="L34" s="42">
        <v>37078</v>
      </c>
    </row>
    <row r="35" spans="1:12" ht="15.75" thickBot="1" x14ac:dyDescent="0.3">
      <c r="A35" s="115" t="s">
        <v>458</v>
      </c>
      <c r="B35" s="96"/>
      <c r="C35" s="96"/>
      <c r="D35" s="96"/>
      <c r="E35" s="96"/>
      <c r="F35" s="96"/>
      <c r="G35" s="96"/>
      <c r="H35" s="96"/>
      <c r="I35" s="96"/>
      <c r="J35" s="96"/>
      <c r="K35" s="96"/>
      <c r="L35" s="116"/>
    </row>
    <row r="37" spans="1:12" ht="15.75" thickBot="1" x14ac:dyDescent="0.3"/>
    <row r="38" spans="1:12" ht="18.75" x14ac:dyDescent="0.3">
      <c r="A38" s="83" t="s">
        <v>459</v>
      </c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108"/>
    </row>
    <row r="39" spans="1:12" ht="45" x14ac:dyDescent="0.25">
      <c r="A39" s="33" t="s">
        <v>2</v>
      </c>
      <c r="B39" s="1" t="s">
        <v>3</v>
      </c>
      <c r="C39" s="1" t="s">
        <v>4</v>
      </c>
      <c r="D39" s="4" t="s">
        <v>78</v>
      </c>
      <c r="E39" s="4" t="s">
        <v>454</v>
      </c>
      <c r="F39" s="4" t="s">
        <v>85</v>
      </c>
      <c r="G39" s="4" t="s">
        <v>79</v>
      </c>
      <c r="H39" s="4" t="s">
        <v>454</v>
      </c>
      <c r="I39" s="4" t="s">
        <v>82</v>
      </c>
      <c r="J39" s="4" t="s">
        <v>80</v>
      </c>
      <c r="K39" s="4" t="s">
        <v>454</v>
      </c>
      <c r="L39" s="72" t="s">
        <v>81</v>
      </c>
    </row>
    <row r="40" spans="1:12" x14ac:dyDescent="0.25">
      <c r="A40" s="33" t="s">
        <v>5</v>
      </c>
      <c r="B40" s="1" t="s">
        <v>6</v>
      </c>
      <c r="C40" s="1" t="s">
        <v>7</v>
      </c>
      <c r="D40" s="42">
        <v>144300</v>
      </c>
      <c r="E40" s="41">
        <f>(D40-'2019'!D255)/'2019'!D255</f>
        <v>3.0302164848346375E-2</v>
      </c>
      <c r="F40" s="42">
        <v>146412</v>
      </c>
      <c r="G40" s="42">
        <v>99800</v>
      </c>
      <c r="H40" s="41">
        <f>(G40-'2019'!G255)/'2019'!G255</f>
        <v>4.9947635543381936E-3</v>
      </c>
      <c r="I40" s="42">
        <v>102459</v>
      </c>
      <c r="J40" s="42">
        <v>35997</v>
      </c>
      <c r="K40" s="41">
        <f>(J40-'2019'!J255)/'2019'!J255</f>
        <v>-4.6728971962616819E-3</v>
      </c>
      <c r="L40" s="42">
        <v>36166</v>
      </c>
    </row>
    <row r="41" spans="1:12" x14ac:dyDescent="0.25">
      <c r="A41" s="33" t="s">
        <v>8</v>
      </c>
      <c r="B41" s="1" t="s">
        <v>9</v>
      </c>
      <c r="C41" s="1" t="s">
        <v>7</v>
      </c>
      <c r="D41" s="42">
        <v>140646</v>
      </c>
      <c r="E41" s="41">
        <f>(D41-'2019'!D256)/'2019'!D256</f>
        <v>3.9381600242393788E-2</v>
      </c>
      <c r="F41" s="42">
        <v>143266</v>
      </c>
      <c r="G41" s="42">
        <v>91996</v>
      </c>
      <c r="H41" s="41">
        <f>(G41-'2019'!G256)/'2019'!G256</f>
        <v>1.3797055452702107E-2</v>
      </c>
      <c r="I41" s="42">
        <v>93370</v>
      </c>
      <c r="J41" s="42">
        <v>33557</v>
      </c>
      <c r="K41" s="41">
        <f>(J41-'2019'!J256)/'2019'!J256</f>
        <v>-5.3648704724642837E-3</v>
      </c>
      <c r="L41" s="42">
        <v>33715</v>
      </c>
    </row>
    <row r="42" spans="1:12" x14ac:dyDescent="0.25">
      <c r="A42" s="33" t="s">
        <v>10</v>
      </c>
      <c r="B42" s="1" t="s">
        <v>9</v>
      </c>
      <c r="C42" s="1" t="s">
        <v>11</v>
      </c>
      <c r="D42" s="42">
        <v>79808</v>
      </c>
      <c r="E42" s="41">
        <f>(D42-'2019'!D257)/'2019'!D257</f>
        <v>1.9155131021096183E-2</v>
      </c>
      <c r="F42" s="42">
        <v>81234</v>
      </c>
      <c r="G42" s="42">
        <v>68259</v>
      </c>
      <c r="H42" s="41">
        <f>(G42-'2019'!G257)/'2019'!G257</f>
        <v>2.1168691281192028E-2</v>
      </c>
      <c r="I42" s="42">
        <v>69444</v>
      </c>
      <c r="J42" s="42">
        <v>31436</v>
      </c>
      <c r="K42" s="41">
        <f>(J42-'2019'!J257)/'2019'!J257</f>
        <v>1.4129943867346281E-2</v>
      </c>
      <c r="L42" s="42">
        <v>31585</v>
      </c>
    </row>
    <row r="43" spans="1:12" x14ac:dyDescent="0.25">
      <c r="A43" s="33" t="s">
        <v>12</v>
      </c>
      <c r="B43" s="1" t="s">
        <v>13</v>
      </c>
      <c r="C43" s="1" t="s">
        <v>11</v>
      </c>
      <c r="D43" s="42">
        <v>70571</v>
      </c>
      <c r="E43" s="41">
        <f>(D43-'2019'!D258)/'2019'!D258</f>
        <v>-1.3406962113798406E-2</v>
      </c>
      <c r="F43" s="42">
        <v>72254</v>
      </c>
      <c r="G43" s="42">
        <v>65316</v>
      </c>
      <c r="H43" s="41">
        <f>(G43-'2019'!G258)/'2019'!G258</f>
        <v>1.7636794216627196E-2</v>
      </c>
      <c r="I43" s="42">
        <v>65832</v>
      </c>
      <c r="J43" s="42">
        <v>31289</v>
      </c>
      <c r="K43" s="41">
        <f>(J43-'2019'!J258)/'2019'!J258</f>
        <v>2.8204224223582577E-3</v>
      </c>
      <c r="L43" s="42">
        <v>31585</v>
      </c>
    </row>
    <row r="44" spans="1:12" x14ac:dyDescent="0.25">
      <c r="A44" s="33" t="s">
        <v>14</v>
      </c>
      <c r="B44" s="1" t="s">
        <v>15</v>
      </c>
      <c r="C44" s="1" t="s">
        <v>11</v>
      </c>
      <c r="D44" s="42">
        <v>69444</v>
      </c>
      <c r="E44" s="41">
        <f>(D44-'2019'!D259)/'2019'!D259</f>
        <v>-1.3887705546562153E-2</v>
      </c>
      <c r="F44" s="42">
        <v>69881</v>
      </c>
      <c r="G44" s="42">
        <v>42229</v>
      </c>
      <c r="H44" s="41">
        <f>(G44-'2019'!G259)/'2019'!G259</f>
        <v>-0.33362263495920846</v>
      </c>
      <c r="I44" s="42">
        <v>46663</v>
      </c>
      <c r="J44" s="42">
        <v>5419</v>
      </c>
      <c r="K44" s="41">
        <f>(J44-'2019'!J259)/'2019'!J259</f>
        <v>-0.82675277342626041</v>
      </c>
      <c r="L44" s="42">
        <v>31123</v>
      </c>
    </row>
    <row r="45" spans="1:12" ht="15.75" thickBot="1" x14ac:dyDescent="0.3">
      <c r="A45" s="109" t="s">
        <v>461</v>
      </c>
      <c r="B45" s="110"/>
      <c r="C45" s="110"/>
      <c r="D45" s="110"/>
      <c r="E45" s="110"/>
      <c r="F45" s="110"/>
      <c r="G45" s="110"/>
      <c r="H45" s="110"/>
      <c r="I45" s="42"/>
      <c r="J45" s="42"/>
      <c r="K45" s="41"/>
      <c r="L45" s="42"/>
    </row>
    <row r="46" spans="1:12" ht="15.75" thickBot="1" x14ac:dyDescent="0.3"/>
    <row r="47" spans="1:12" ht="18.75" x14ac:dyDescent="0.3">
      <c r="A47" s="83" t="s">
        <v>460</v>
      </c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108"/>
    </row>
    <row r="48" spans="1:12" ht="45" x14ac:dyDescent="0.25">
      <c r="A48" s="33" t="s">
        <v>2</v>
      </c>
      <c r="B48" s="1" t="s">
        <v>3</v>
      </c>
      <c r="C48" s="1" t="s">
        <v>4</v>
      </c>
      <c r="D48" s="4" t="s">
        <v>78</v>
      </c>
      <c r="E48" s="4" t="s">
        <v>454</v>
      </c>
      <c r="F48" s="4" t="s">
        <v>85</v>
      </c>
      <c r="G48" s="4" t="s">
        <v>79</v>
      </c>
      <c r="H48" s="4" t="s">
        <v>454</v>
      </c>
      <c r="I48" s="4" t="s">
        <v>82</v>
      </c>
      <c r="J48" s="4" t="s">
        <v>80</v>
      </c>
      <c r="K48" s="4" t="s">
        <v>454</v>
      </c>
      <c r="L48" s="72" t="s">
        <v>81</v>
      </c>
    </row>
    <row r="49" spans="1:12" x14ac:dyDescent="0.25">
      <c r="A49" s="33" t="s">
        <v>5</v>
      </c>
      <c r="B49" s="1" t="s">
        <v>6</v>
      </c>
      <c r="C49" s="1" t="s">
        <v>7</v>
      </c>
      <c r="D49" s="42">
        <v>154559</v>
      </c>
      <c r="E49" s="42">
        <f>(D49-'2019'!D264)/'2019'!D264</f>
        <v>0.16538360037700284</v>
      </c>
      <c r="F49" s="42">
        <v>159235</v>
      </c>
      <c r="G49" s="42">
        <v>104058</v>
      </c>
      <c r="H49" s="42">
        <f>(G49-'2019'!G264)/'2019'!G264</f>
        <v>-3.7462537462537464E-2</v>
      </c>
      <c r="I49" s="42">
        <v>106496</v>
      </c>
      <c r="J49" s="42">
        <v>36900</v>
      </c>
      <c r="K49" s="42">
        <f>(J49-'2019'!J264)/'2019'!J264</f>
        <v>-8.4909716251074813E-3</v>
      </c>
      <c r="L49" s="42">
        <v>37735</v>
      </c>
    </row>
    <row r="50" spans="1:12" x14ac:dyDescent="0.25">
      <c r="A50" s="33" t="s">
        <v>8</v>
      </c>
      <c r="B50" s="1" t="s">
        <v>9</v>
      </c>
      <c r="C50" s="1" t="s">
        <v>7</v>
      </c>
      <c r="D50" s="42">
        <v>136612</v>
      </c>
      <c r="E50" s="42">
        <f>(D50-'2019'!D265)/'2019'!D265</f>
        <v>-0.13114378752416811</v>
      </c>
      <c r="F50" s="42">
        <v>155763</v>
      </c>
      <c r="G50" s="42">
        <v>92081</v>
      </c>
      <c r="H50" s="42">
        <f>(G50-'2019'!G265)/'2019'!G265</f>
        <v>-6.4455168910337826E-2</v>
      </c>
      <c r="I50" s="42">
        <v>100704</v>
      </c>
      <c r="J50" s="42">
        <v>35112</v>
      </c>
      <c r="K50" s="42">
        <f>(J50-'2019'!J265)/'2019'!J265</f>
        <v>-6.3110230649497667E-3</v>
      </c>
      <c r="L50" s="42">
        <v>35398</v>
      </c>
    </row>
    <row r="51" spans="1:12" x14ac:dyDescent="0.25">
      <c r="A51" s="33" t="s">
        <v>10</v>
      </c>
      <c r="B51" s="1" t="s">
        <v>9</v>
      </c>
      <c r="C51" s="1" t="s">
        <v>11</v>
      </c>
      <c r="D51" s="42">
        <v>60459</v>
      </c>
      <c r="E51" s="42">
        <f>(D51-'2019'!D266)/'2019'!D266</f>
        <v>4.8364579178300756E-3</v>
      </c>
      <c r="F51" s="42">
        <v>61425</v>
      </c>
      <c r="G51" s="42">
        <v>54406</v>
      </c>
      <c r="H51" s="42">
        <f>(G51-'2019'!G266)/'2019'!G266</f>
        <v>-2.1824850985786336E-3</v>
      </c>
      <c r="I51" s="42">
        <v>56882</v>
      </c>
      <c r="J51" s="42">
        <v>27731</v>
      </c>
      <c r="K51" s="42">
        <f>(J51-'2019'!J266)/'2019'!J266</f>
        <v>-6.3778709376903506E-3</v>
      </c>
      <c r="L51" s="42">
        <v>28449</v>
      </c>
    </row>
    <row r="52" spans="1:12" x14ac:dyDescent="0.25">
      <c r="A52" s="33" t="s">
        <v>12</v>
      </c>
      <c r="B52" s="1" t="s">
        <v>13</v>
      </c>
      <c r="C52" s="1" t="s">
        <v>7</v>
      </c>
      <c r="D52" s="42">
        <v>132275</v>
      </c>
      <c r="E52" s="42">
        <f>(D52-'2019'!D267)/'2019'!D267</f>
        <v>-5.1588155158815513E-2</v>
      </c>
      <c r="F52" s="42">
        <v>149925</v>
      </c>
      <c r="G52" s="42">
        <v>100806</v>
      </c>
      <c r="H52" s="42">
        <f>(G52-'2019'!G267)/'2019'!G267</f>
        <v>-1.2093296746373971E-2</v>
      </c>
      <c r="I52" s="42">
        <v>105042</v>
      </c>
      <c r="J52" s="42">
        <v>35855</v>
      </c>
      <c r="K52" s="42">
        <f>(J52-'2019'!J267)/'2019'!J267</f>
        <v>-1.3617606602475928E-2</v>
      </c>
      <c r="L52" s="42">
        <v>36710</v>
      </c>
    </row>
    <row r="53" spans="1:12" x14ac:dyDescent="0.25">
      <c r="A53" s="33" t="s">
        <v>14</v>
      </c>
      <c r="B53" s="1" t="s">
        <v>15</v>
      </c>
      <c r="C53" s="1" t="s">
        <v>7</v>
      </c>
      <c r="D53" s="42">
        <v>126582</v>
      </c>
      <c r="E53" s="42">
        <f>(D53-'2019'!D268)/'2019'!D268</f>
        <v>-4.1771385314155945E-2</v>
      </c>
      <c r="F53" s="42">
        <v>132625</v>
      </c>
      <c r="G53" s="42">
        <v>99800</v>
      </c>
      <c r="H53" s="42">
        <f>(G53-'2019'!G268)/'2019'!G268</f>
        <v>-2.5951844152295064E-2</v>
      </c>
      <c r="I53" s="42">
        <v>104275</v>
      </c>
      <c r="J53" s="42">
        <v>36549</v>
      </c>
      <c r="K53" s="42">
        <f>(J53-'2019'!J268)/'2019'!J268</f>
        <v>0.6403662313181635</v>
      </c>
      <c r="L53" s="42">
        <v>36913</v>
      </c>
    </row>
    <row r="54" spans="1:12" ht="15.75" thickBot="1" x14ac:dyDescent="0.3">
      <c r="A54" s="115" t="s">
        <v>462</v>
      </c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116"/>
    </row>
    <row r="56" spans="1:12" ht="15.75" thickBot="1" x14ac:dyDescent="0.3"/>
    <row r="57" spans="1:12" ht="18.75" x14ac:dyDescent="0.3">
      <c r="A57" s="83" t="s">
        <v>463</v>
      </c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108"/>
    </row>
    <row r="58" spans="1:12" ht="45" x14ac:dyDescent="0.25">
      <c r="A58" s="33" t="s">
        <v>2</v>
      </c>
      <c r="B58" s="1" t="s">
        <v>3</v>
      </c>
      <c r="C58" s="1" t="s">
        <v>4</v>
      </c>
      <c r="D58" s="4" t="s">
        <v>78</v>
      </c>
      <c r="E58" s="4" t="s">
        <v>454</v>
      </c>
      <c r="F58" s="4" t="s">
        <v>85</v>
      </c>
      <c r="G58" s="4" t="s">
        <v>79</v>
      </c>
      <c r="H58" s="4" t="s">
        <v>454</v>
      </c>
      <c r="I58" s="4" t="s">
        <v>82</v>
      </c>
      <c r="J58" s="4" t="s">
        <v>80</v>
      </c>
      <c r="K58" s="4" t="s">
        <v>454</v>
      </c>
      <c r="L58" s="72" t="s">
        <v>81</v>
      </c>
    </row>
    <row r="59" spans="1:12" x14ac:dyDescent="0.25">
      <c r="A59" s="33" t="s">
        <v>5</v>
      </c>
      <c r="B59" s="1" t="s">
        <v>6</v>
      </c>
      <c r="C59" s="1" t="s">
        <v>7</v>
      </c>
      <c r="D59" s="42">
        <v>140056</v>
      </c>
      <c r="E59" s="41">
        <f>(D59-'2019'!D255)/'2019'!D255</f>
        <v>0</v>
      </c>
      <c r="F59" s="42">
        <v>142653</v>
      </c>
      <c r="G59" s="42">
        <v>96153</v>
      </c>
      <c r="H59" s="41">
        <f>(G59-'2019'!G255)/'2019'!G255</f>
        <v>-3.1730846692983164E-2</v>
      </c>
      <c r="I59" s="42">
        <v>100704</v>
      </c>
      <c r="J59" s="42">
        <v>36337</v>
      </c>
      <c r="K59" s="41">
        <f>(J59-'2019'!J255)/'2019'!J255</f>
        <v>4.7281977547973236E-3</v>
      </c>
      <c r="L59" s="42">
        <v>36337</v>
      </c>
    </row>
    <row r="60" spans="1:12" x14ac:dyDescent="0.25">
      <c r="A60" s="33" t="s">
        <v>8</v>
      </c>
      <c r="B60" s="1" t="s">
        <v>9</v>
      </c>
      <c r="C60" s="1" t="s">
        <v>7</v>
      </c>
      <c r="D60" s="42">
        <v>138121</v>
      </c>
      <c r="E60" s="41">
        <f>(D60-'2019'!D256)/'2019'!D256</f>
        <v>2.072171271902274E-2</v>
      </c>
      <c r="F60" s="42">
        <v>138312</v>
      </c>
      <c r="G60" s="42">
        <v>88339</v>
      </c>
      <c r="H60" s="41">
        <f>(G60-'2019'!G256)/'2019'!G256</f>
        <v>-2.6503129683505246E-2</v>
      </c>
      <c r="I60" s="42">
        <v>91996</v>
      </c>
      <c r="J60" s="42">
        <v>33456</v>
      </c>
      <c r="K60" s="41">
        <f>(J60-'2019'!J256)/'2019'!J256</f>
        <v>-8.358527476436067E-3</v>
      </c>
      <c r="L60" s="42">
        <v>33579</v>
      </c>
    </row>
    <row r="61" spans="1:12" x14ac:dyDescent="0.25">
      <c r="A61" s="33" t="s">
        <v>10</v>
      </c>
      <c r="B61" s="1" t="s">
        <v>9</v>
      </c>
      <c r="C61" s="1" t="s">
        <v>11</v>
      </c>
      <c r="D61" s="42">
        <v>80064</v>
      </c>
      <c r="E61" s="41">
        <f>(D61-'2019'!D257)/'2019'!D257</f>
        <v>2.2424273382029934E-2</v>
      </c>
      <c r="F61" s="42">
        <v>82034</v>
      </c>
      <c r="G61" s="42">
        <v>67704</v>
      </c>
      <c r="H61" s="41">
        <f>(G61-'2019'!G257)/'2019'!G257</f>
        <v>1.2865777033091975E-2</v>
      </c>
      <c r="I61" s="42">
        <v>68446</v>
      </c>
      <c r="J61" s="42">
        <v>31436</v>
      </c>
      <c r="K61" s="41">
        <f>(J61-'2019'!J257)/'2019'!J257</f>
        <v>1.4129943867346281E-2</v>
      </c>
      <c r="L61" s="42">
        <v>31585</v>
      </c>
    </row>
    <row r="62" spans="1:12" x14ac:dyDescent="0.25">
      <c r="A62" s="33" t="s">
        <v>12</v>
      </c>
      <c r="B62" s="1" t="s">
        <v>13</v>
      </c>
      <c r="C62" s="1" t="s">
        <v>11</v>
      </c>
      <c r="D62" s="42">
        <v>71530</v>
      </c>
      <c r="E62" s="41">
        <f>(D62-'2019'!D258)/'2019'!D258</f>
        <v>0</v>
      </c>
      <c r="F62" s="42">
        <v>72833</v>
      </c>
      <c r="G62" s="42">
        <v>65231</v>
      </c>
      <c r="H62" s="41">
        <f>(G62-'2019'!G258)/'2019'!G258</f>
        <v>1.6312476629689644E-2</v>
      </c>
      <c r="I62" s="42">
        <v>65832</v>
      </c>
      <c r="J62" s="42">
        <v>31289</v>
      </c>
      <c r="K62" s="41">
        <f>(J62-'2019'!J258)/'2019'!J258</f>
        <v>2.8204224223582577E-3</v>
      </c>
      <c r="L62" s="42">
        <v>31585</v>
      </c>
    </row>
    <row r="63" spans="1:12" x14ac:dyDescent="0.25">
      <c r="A63" s="33" t="s">
        <v>14</v>
      </c>
      <c r="B63" s="1" t="s">
        <v>15</v>
      </c>
      <c r="C63" s="1" t="s">
        <v>11</v>
      </c>
      <c r="D63" s="42">
        <v>69204</v>
      </c>
      <c r="E63" s="41">
        <f>(D63-'2019'!D259)/'2019'!D259</f>
        <v>-1.7295731447559002E-2</v>
      </c>
      <c r="F63" s="42">
        <v>69541</v>
      </c>
      <c r="G63" s="42">
        <v>65019</v>
      </c>
      <c r="H63" s="41">
        <f>(G63-'2019'!G259)/'2019'!G259</f>
        <v>2.6005586151394172E-2</v>
      </c>
      <c r="I63" s="42">
        <v>66533</v>
      </c>
      <c r="J63" s="42">
        <v>31279</v>
      </c>
      <c r="K63" s="41">
        <f>(J63-'2019'!J259)/'2019'!J259</f>
        <v>0</v>
      </c>
      <c r="L63" s="42">
        <v>31575</v>
      </c>
    </row>
    <row r="64" spans="1:12" ht="15.75" thickBot="1" x14ac:dyDescent="0.3">
      <c r="A64" s="109" t="s">
        <v>465</v>
      </c>
      <c r="B64" s="110"/>
      <c r="C64" s="110"/>
      <c r="D64" s="110"/>
      <c r="E64" s="110"/>
      <c r="F64" s="110"/>
      <c r="G64" s="110"/>
      <c r="H64" s="110"/>
      <c r="I64" s="42"/>
      <c r="J64" s="42"/>
      <c r="K64" s="41"/>
      <c r="L64" s="42"/>
    </row>
    <row r="65" spans="1:12" ht="15.75" thickBot="1" x14ac:dyDescent="0.3"/>
    <row r="66" spans="1:12" ht="18.75" x14ac:dyDescent="0.3">
      <c r="A66" s="83" t="s">
        <v>464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108"/>
    </row>
    <row r="67" spans="1:12" ht="45" x14ac:dyDescent="0.25">
      <c r="A67" s="33" t="s">
        <v>2</v>
      </c>
      <c r="B67" s="1" t="s">
        <v>3</v>
      </c>
      <c r="C67" s="1" t="s">
        <v>4</v>
      </c>
      <c r="D67" s="4" t="s">
        <v>78</v>
      </c>
      <c r="E67" s="4" t="s">
        <v>454</v>
      </c>
      <c r="F67" s="4" t="s">
        <v>85</v>
      </c>
      <c r="G67" s="4" t="s">
        <v>79</v>
      </c>
      <c r="H67" s="4" t="s">
        <v>454</v>
      </c>
      <c r="I67" s="4" t="s">
        <v>82</v>
      </c>
      <c r="J67" s="4" t="s">
        <v>80</v>
      </c>
      <c r="K67" s="4" t="s">
        <v>454</v>
      </c>
      <c r="L67" s="72" t="s">
        <v>81</v>
      </c>
    </row>
    <row r="68" spans="1:12" x14ac:dyDescent="0.25">
      <c r="A68" s="33" t="s">
        <v>5</v>
      </c>
      <c r="B68" s="1" t="s">
        <v>6</v>
      </c>
      <c r="C68" s="1" t="s">
        <v>7</v>
      </c>
      <c r="D68" s="42">
        <v>143061</v>
      </c>
      <c r="E68" s="42">
        <f>(D68-'2019'!D264)/'2019'!D264</f>
        <v>7.8688030160226199E-2</v>
      </c>
      <c r="F68" s="42">
        <v>159744</v>
      </c>
      <c r="G68" s="42">
        <v>107181</v>
      </c>
      <c r="H68" s="42">
        <f>(G68-'2019'!G264)/'2019'!G264</f>
        <v>-8.5747585747585741E-3</v>
      </c>
      <c r="I68" s="42">
        <v>109529</v>
      </c>
      <c r="J68" s="42">
        <v>37537</v>
      </c>
      <c r="K68" s="42">
        <f>(J68-'2019'!J264)/'2019'!J264</f>
        <v>8.6253224419604469E-3</v>
      </c>
      <c r="L68" s="42">
        <v>37907</v>
      </c>
    </row>
    <row r="69" spans="1:12" x14ac:dyDescent="0.25">
      <c r="A69" s="33" t="s">
        <v>8</v>
      </c>
      <c r="B69" s="1" t="s">
        <v>9</v>
      </c>
      <c r="C69" s="1" t="s">
        <v>7</v>
      </c>
      <c r="D69" s="42">
        <v>145985</v>
      </c>
      <c r="E69" s="42">
        <f>(D69-'2019'!D265)/'2019'!D265</f>
        <v>-7.1531240459957263E-2</v>
      </c>
      <c r="F69" s="42">
        <v>157480</v>
      </c>
      <c r="G69" s="42">
        <v>100300</v>
      </c>
      <c r="H69" s="42">
        <f>(G69-'2019'!G265)/'2019'!G265</f>
        <v>1.9050038100076199E-2</v>
      </c>
      <c r="I69" s="42">
        <v>102774</v>
      </c>
      <c r="J69" s="42">
        <v>35511</v>
      </c>
      <c r="K69" s="42">
        <f>(J69-'2019'!J265)/'2019'!J265</f>
        <v>4.9808971274939865E-3</v>
      </c>
      <c r="L69" s="42">
        <v>35688</v>
      </c>
    </row>
    <row r="70" spans="1:12" x14ac:dyDescent="0.25">
      <c r="A70" s="33" t="s">
        <v>10</v>
      </c>
      <c r="B70" s="1" t="s">
        <v>9</v>
      </c>
      <c r="C70" s="1" t="s">
        <v>11</v>
      </c>
      <c r="D70" s="42">
        <v>60459</v>
      </c>
      <c r="E70" s="42">
        <f>(D70-'2019'!D266)/'2019'!D266</f>
        <v>4.8364579178300756E-3</v>
      </c>
      <c r="F70" s="42">
        <v>62034</v>
      </c>
      <c r="G70" s="42">
        <v>54406</v>
      </c>
      <c r="H70" s="42">
        <f>(G70-'2019'!G266)/'2019'!G266</f>
        <v>-2.1824850985786336E-3</v>
      </c>
      <c r="I70" s="42">
        <v>54555</v>
      </c>
      <c r="J70" s="42">
        <v>27870</v>
      </c>
      <c r="K70" s="42">
        <f>(J70-'2019'!J266)/'2019'!J266</f>
        <v>-1.3973986885950768E-3</v>
      </c>
      <c r="L70" s="42">
        <v>27972</v>
      </c>
    </row>
    <row r="71" spans="1:12" x14ac:dyDescent="0.25">
      <c r="A71" s="33" t="s">
        <v>12</v>
      </c>
      <c r="B71" s="1" t="s">
        <v>13</v>
      </c>
      <c r="C71" s="1" t="s">
        <v>7</v>
      </c>
      <c r="D71" s="42">
        <v>114155</v>
      </c>
      <c r="E71" s="42">
        <f>(D71-'2019'!D267)/'2019'!D267</f>
        <v>-0.18150856815085681</v>
      </c>
      <c r="F71" s="42">
        <v>143884</v>
      </c>
      <c r="G71" s="42">
        <v>96805</v>
      </c>
      <c r="H71" s="42">
        <f>(G71-'2019'!G267)/'2019'!G267</f>
        <v>-5.1303410427283418E-2</v>
      </c>
      <c r="I71" s="42">
        <v>102880</v>
      </c>
      <c r="J71" s="42">
        <v>36710</v>
      </c>
      <c r="K71" s="42">
        <f>(J71-'2019'!J267)/'2019'!J267</f>
        <v>9.903713892709767E-3</v>
      </c>
      <c r="L71" s="42">
        <v>36900</v>
      </c>
    </row>
    <row r="72" spans="1:12" x14ac:dyDescent="0.25">
      <c r="A72" s="33" t="s">
        <v>14</v>
      </c>
      <c r="B72" s="1" t="s">
        <v>15</v>
      </c>
      <c r="C72" s="1" t="s">
        <v>7</v>
      </c>
      <c r="D72" s="42">
        <v>131233</v>
      </c>
      <c r="E72" s="42">
        <f>(D72-'2019'!D268)/'2019'!D268</f>
        <v>-6.5632096896290687E-3</v>
      </c>
      <c r="F72" s="42">
        <v>135501</v>
      </c>
      <c r="G72" s="42">
        <v>99502</v>
      </c>
      <c r="H72" s="42">
        <f>(G72-'2019'!G268)/'2019'!G268</f>
        <v>-2.886032461765194E-2</v>
      </c>
      <c r="I72" s="42">
        <v>105596</v>
      </c>
      <c r="J72" s="42">
        <v>36724</v>
      </c>
      <c r="K72" s="42">
        <f>(J72-'2019'!J268)/'2019'!J268</f>
        <v>0.64822045689152197</v>
      </c>
      <c r="L72" s="42">
        <v>37050</v>
      </c>
    </row>
    <row r="73" spans="1:12" ht="15.75" thickBot="1" x14ac:dyDescent="0.3">
      <c r="A73" s="115" t="s">
        <v>466</v>
      </c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116"/>
    </row>
    <row r="75" spans="1:12" ht="15.75" thickBot="1" x14ac:dyDescent="0.3"/>
    <row r="76" spans="1:12" ht="18.75" x14ac:dyDescent="0.3">
      <c r="A76" s="83" t="s">
        <v>469</v>
      </c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108"/>
    </row>
    <row r="77" spans="1:12" ht="45" x14ac:dyDescent="0.25">
      <c r="A77" s="33" t="s">
        <v>2</v>
      </c>
      <c r="B77" s="1" t="s">
        <v>3</v>
      </c>
      <c r="C77" s="1" t="s">
        <v>4</v>
      </c>
      <c r="D77" s="4" t="s">
        <v>78</v>
      </c>
      <c r="E77" s="4" t="s">
        <v>454</v>
      </c>
      <c r="F77" s="4" t="s">
        <v>85</v>
      </c>
      <c r="G77" s="4" t="s">
        <v>79</v>
      </c>
      <c r="H77" s="4" t="s">
        <v>454</v>
      </c>
      <c r="I77" s="4" t="s">
        <v>82</v>
      </c>
      <c r="J77" s="4" t="s">
        <v>80</v>
      </c>
      <c r="K77" s="4" t="s">
        <v>454</v>
      </c>
      <c r="L77" s="72" t="s">
        <v>81</v>
      </c>
    </row>
    <row r="78" spans="1:12" x14ac:dyDescent="0.25">
      <c r="A78" s="33" t="s">
        <v>5</v>
      </c>
      <c r="B78" s="1" t="s">
        <v>6</v>
      </c>
      <c r="C78" s="1" t="s">
        <v>7</v>
      </c>
      <c r="D78" s="42">
        <v>137741</v>
      </c>
      <c r="E78" s="41">
        <f>(D78-'2019'!D255)/'2019'!D255</f>
        <v>-1.6529102644656422E-2</v>
      </c>
      <c r="F78" s="42">
        <v>139470</v>
      </c>
      <c r="G78" s="42">
        <v>101214</v>
      </c>
      <c r="H78" s="41">
        <f>(G78-'2019'!G255)/'2019'!G255</f>
        <v>1.9233867719326513E-2</v>
      </c>
      <c r="I78" s="42">
        <v>102040</v>
      </c>
      <c r="J78" s="42">
        <v>35868</v>
      </c>
      <c r="K78" s="41">
        <f>(J78-'2019'!J255)/'2019'!J255</f>
        <v>-8.2397832218105409E-3</v>
      </c>
      <c r="L78" s="42">
        <v>36337</v>
      </c>
    </row>
    <row r="79" spans="1:12" x14ac:dyDescent="0.25">
      <c r="A79" s="33" t="s">
        <v>8</v>
      </c>
      <c r="B79" s="1" t="s">
        <v>9</v>
      </c>
      <c r="C79" s="1" t="s">
        <v>7</v>
      </c>
      <c r="D79" s="42">
        <v>132802</v>
      </c>
      <c r="E79" s="41">
        <f>(D79-'2019'!D256)/'2019'!D256</f>
        <v>-1.8585986978724035E-2</v>
      </c>
      <c r="F79" s="42">
        <v>133868</v>
      </c>
      <c r="G79" s="42">
        <v>91996</v>
      </c>
      <c r="H79" s="41">
        <f>(G79-'2019'!G256)/'2019'!G256</f>
        <v>1.3797055452702107E-2</v>
      </c>
      <c r="I79" s="42">
        <v>93283</v>
      </c>
      <c r="J79" s="42">
        <v>33738</v>
      </c>
      <c r="K79" s="41">
        <f>(J79-'2019'!J256)/'2019'!J256</f>
        <v>0</v>
      </c>
      <c r="L79" s="42">
        <v>33875</v>
      </c>
    </row>
    <row r="80" spans="1:12" x14ac:dyDescent="0.25">
      <c r="A80" s="33" t="s">
        <v>10</v>
      </c>
      <c r="B80" s="1" t="s">
        <v>9</v>
      </c>
      <c r="C80" s="1" t="s">
        <v>11</v>
      </c>
      <c r="D80" s="42">
        <v>79428</v>
      </c>
      <c r="E80" s="41">
        <f>(D80-'2019'!D257)/'2019'!D257</f>
        <v>1.430249782908515E-2</v>
      </c>
      <c r="F80" s="42">
        <v>82644</v>
      </c>
      <c r="G80" s="42">
        <v>64516</v>
      </c>
      <c r="H80" s="41">
        <f>(G80-'2019'!G257)/'2019'!G257</f>
        <v>-3.482735922446293E-2</v>
      </c>
      <c r="I80" s="42">
        <v>69444</v>
      </c>
      <c r="J80" s="42">
        <v>31436</v>
      </c>
      <c r="K80" s="41">
        <f>(J80-'2019'!J257)/'2019'!J257</f>
        <v>1.4129943867346281E-2</v>
      </c>
      <c r="L80" s="42">
        <v>31735</v>
      </c>
    </row>
    <row r="81" spans="1:12" x14ac:dyDescent="0.25">
      <c r="A81" s="33" t="s">
        <v>12</v>
      </c>
      <c r="B81" s="1" t="s">
        <v>13</v>
      </c>
      <c r="C81" s="1" t="s">
        <v>11</v>
      </c>
      <c r="D81" s="42">
        <v>71275</v>
      </c>
      <c r="E81" s="41">
        <f>(D81-'2019'!D258)/'2019'!D258</f>
        <v>-3.5649377883405563E-3</v>
      </c>
      <c r="F81" s="42">
        <v>71994</v>
      </c>
      <c r="G81" s="42">
        <v>63572</v>
      </c>
      <c r="H81" s="41">
        <f>(G81-'2019'!G258)/'2019'!G258</f>
        <v>-9.5350866259503921E-3</v>
      </c>
      <c r="I81" s="42">
        <v>64766</v>
      </c>
      <c r="J81" s="42">
        <v>31133</v>
      </c>
      <c r="K81" s="41">
        <f>(J81-'2019'!J258)/'2019'!J258</f>
        <v>-2.1794173263677448E-3</v>
      </c>
      <c r="L81" s="42">
        <v>31289</v>
      </c>
    </row>
    <row r="82" spans="1:12" x14ac:dyDescent="0.25">
      <c r="A82" s="33" t="s">
        <v>14</v>
      </c>
      <c r="B82" s="1" t="s">
        <v>15</v>
      </c>
      <c r="C82" s="1" t="s">
        <v>11</v>
      </c>
      <c r="D82" s="42">
        <v>69444</v>
      </c>
      <c r="E82" s="41">
        <f>(D82-'2019'!D259)/'2019'!D259</f>
        <v>-1.3887705546562153E-2</v>
      </c>
      <c r="F82" s="42">
        <v>69541</v>
      </c>
      <c r="G82" s="42">
        <v>64724</v>
      </c>
      <c r="H82" s="41">
        <f>(G82-'2019'!G259)/'2019'!G259</f>
        <v>2.1350459989585142E-2</v>
      </c>
      <c r="I82" s="42">
        <v>65659</v>
      </c>
      <c r="J82" s="42">
        <v>30998</v>
      </c>
      <c r="K82" s="41">
        <f>(J82-'2019'!J259)/'2019'!J259</f>
        <v>-8.9836631605869754E-3</v>
      </c>
      <c r="L82" s="42">
        <v>31308</v>
      </c>
    </row>
    <row r="83" spans="1:12" ht="15.75" thickBot="1" x14ac:dyDescent="0.3">
      <c r="A83" s="109" t="s">
        <v>467</v>
      </c>
      <c r="B83" s="110"/>
      <c r="C83" s="110"/>
      <c r="D83" s="110"/>
      <c r="E83" s="110"/>
      <c r="F83" s="110"/>
      <c r="G83" s="110"/>
      <c r="H83" s="110"/>
      <c r="I83" s="42"/>
      <c r="J83" s="42"/>
      <c r="K83" s="41"/>
      <c r="L83" s="42"/>
    </row>
    <row r="84" spans="1:12" ht="15.75" thickBot="1" x14ac:dyDescent="0.3"/>
    <row r="85" spans="1:12" ht="18.75" x14ac:dyDescent="0.3">
      <c r="A85" s="83" t="s">
        <v>478</v>
      </c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108"/>
    </row>
    <row r="86" spans="1:12" ht="45" x14ac:dyDescent="0.25">
      <c r="A86" s="33" t="s">
        <v>2</v>
      </c>
      <c r="B86" s="1" t="s">
        <v>3</v>
      </c>
      <c r="C86" s="1" t="s">
        <v>4</v>
      </c>
      <c r="D86" s="4" t="s">
        <v>78</v>
      </c>
      <c r="E86" s="4" t="s">
        <v>454</v>
      </c>
      <c r="F86" s="4" t="s">
        <v>85</v>
      </c>
      <c r="G86" s="4" t="s">
        <v>79</v>
      </c>
      <c r="H86" s="4" t="s">
        <v>454</v>
      </c>
      <c r="I86" s="4" t="s">
        <v>82</v>
      </c>
      <c r="J86" s="4" t="s">
        <v>80</v>
      </c>
      <c r="K86" s="4" t="s">
        <v>454</v>
      </c>
      <c r="L86" s="72" t="s">
        <v>81</v>
      </c>
    </row>
    <row r="87" spans="1:12" x14ac:dyDescent="0.25">
      <c r="A87" s="33" t="s">
        <v>5</v>
      </c>
      <c r="B87" s="1" t="s">
        <v>6</v>
      </c>
      <c r="C87" s="1" t="s">
        <v>7</v>
      </c>
      <c r="D87" s="42">
        <v>132625</v>
      </c>
      <c r="E87" s="42">
        <f>(D87-'2019'!D264)/'2019'!D264</f>
        <v>0</v>
      </c>
      <c r="F87" s="42">
        <v>161550</v>
      </c>
      <c r="G87" s="42">
        <v>92081</v>
      </c>
      <c r="H87" s="42">
        <f>(G87-'2019'!G264)/'2019'!G264</f>
        <v>-0.14824989824989826</v>
      </c>
      <c r="I87" s="42">
        <v>106496</v>
      </c>
      <c r="J87" s="42">
        <v>37397</v>
      </c>
      <c r="K87" s="42">
        <f>(J87-'2019'!J264)/'2019'!J264</f>
        <v>4.8634995700773858E-3</v>
      </c>
      <c r="L87" s="42">
        <v>37721</v>
      </c>
    </row>
    <row r="88" spans="1:12" x14ac:dyDescent="0.25">
      <c r="A88" s="33" t="s">
        <v>8</v>
      </c>
      <c r="B88" s="1" t="s">
        <v>9</v>
      </c>
      <c r="C88" s="1" t="s">
        <v>7</v>
      </c>
      <c r="D88" s="42">
        <v>143678</v>
      </c>
      <c r="E88" s="42">
        <f>(D88-'2019'!D265)/'2019'!D265</f>
        <v>-8.6203826193141347E-2</v>
      </c>
      <c r="F88" s="42">
        <v>156985</v>
      </c>
      <c r="G88" s="42">
        <v>101626</v>
      </c>
      <c r="H88" s="42">
        <f>(G88-'2019'!G265)/'2019'!G265</f>
        <v>3.2522225044450091E-2</v>
      </c>
      <c r="I88" s="42">
        <v>104058</v>
      </c>
      <c r="J88" s="42">
        <v>35688</v>
      </c>
      <c r="K88" s="42">
        <f>(J88-'2019'!J265)/'2019'!J265</f>
        <v>9.9900948068487334E-3</v>
      </c>
      <c r="L88" s="42">
        <v>35752</v>
      </c>
    </row>
    <row r="89" spans="1:12" x14ac:dyDescent="0.25">
      <c r="A89" s="33" t="s">
        <v>10</v>
      </c>
      <c r="B89" s="1" t="s">
        <v>9</v>
      </c>
      <c r="C89" s="1" t="s">
        <v>11</v>
      </c>
      <c r="D89" s="42">
        <v>59665</v>
      </c>
      <c r="E89" s="42">
        <f>(D89-'2019'!D266)/'2019'!D266</f>
        <v>-8.3599255418162471E-3</v>
      </c>
      <c r="F89" s="42">
        <v>60569</v>
      </c>
      <c r="G89" s="42">
        <v>54555</v>
      </c>
      <c r="H89" s="42">
        <f>(G89-'2019'!G266)/'2019'!G266</f>
        <v>5.5020632737276477E-4</v>
      </c>
      <c r="I89" s="42">
        <v>54824</v>
      </c>
      <c r="J89" s="42">
        <v>27839</v>
      </c>
      <c r="K89" s="42">
        <f>(J89-'2019'!J266)/'2019'!J266</f>
        <v>-2.5081514923501378E-3</v>
      </c>
      <c r="L89" s="42">
        <v>27909</v>
      </c>
    </row>
    <row r="90" spans="1:12" x14ac:dyDescent="0.25">
      <c r="A90" s="33" t="s">
        <v>12</v>
      </c>
      <c r="B90" s="1" t="s">
        <v>13</v>
      </c>
      <c r="C90" s="1" t="s">
        <v>7</v>
      </c>
      <c r="D90" s="42">
        <v>140056</v>
      </c>
      <c r="E90" s="42">
        <f>(D90-'2019'!D267)/'2019'!D267</f>
        <v>4.201620420162042E-3</v>
      </c>
      <c r="F90" s="42">
        <v>151975</v>
      </c>
      <c r="G90" s="42">
        <v>99304</v>
      </c>
      <c r="H90" s="42">
        <f>(G90-'2019'!G267)/'2019'!G267</f>
        <v>-2.6813014504116033E-2</v>
      </c>
      <c r="I90" s="42">
        <v>104602</v>
      </c>
      <c r="J90" s="42">
        <v>36023</v>
      </c>
      <c r="K90" s="42">
        <f>(J90-'2019'!J267)/'2019'!J267</f>
        <v>-8.9958734525447046E-3</v>
      </c>
      <c r="L90" s="42">
        <v>36900</v>
      </c>
    </row>
    <row r="91" spans="1:12" x14ac:dyDescent="0.25">
      <c r="A91" s="33" t="s">
        <v>14</v>
      </c>
      <c r="B91" s="1" t="s">
        <v>15</v>
      </c>
      <c r="C91" s="1" t="s">
        <v>7</v>
      </c>
      <c r="D91" s="42">
        <v>134770</v>
      </c>
      <c r="E91" s="42">
        <f>(D91-'2019'!D268)/'2019'!D268</f>
        <v>2.0211960635881907E-2</v>
      </c>
      <c r="F91" s="42">
        <v>136612</v>
      </c>
      <c r="G91" s="42">
        <v>100300</v>
      </c>
      <c r="H91" s="42">
        <f>(G91-'2019'!G268)/'2019'!G268</f>
        <v>-2.1071843371494939E-2</v>
      </c>
      <c r="I91" s="42">
        <v>105820</v>
      </c>
      <c r="J91" s="42">
        <v>36390</v>
      </c>
      <c r="K91" s="42">
        <f>(J91-'2019'!J268)/'2019'!J268</f>
        <v>0.63323010636865495</v>
      </c>
      <c r="L91" s="42">
        <v>36737</v>
      </c>
    </row>
    <row r="92" spans="1:12" ht="15.75" thickBot="1" x14ac:dyDescent="0.3">
      <c r="A92" s="115" t="s">
        <v>468</v>
      </c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116"/>
    </row>
    <row r="94" spans="1:12" ht="15.75" thickBot="1" x14ac:dyDescent="0.3"/>
    <row r="95" spans="1:12" ht="18.75" x14ac:dyDescent="0.3">
      <c r="A95" s="83" t="s">
        <v>472</v>
      </c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108"/>
    </row>
    <row r="96" spans="1:12" ht="45" x14ac:dyDescent="0.25">
      <c r="A96" s="33" t="s">
        <v>2</v>
      </c>
      <c r="B96" s="1" t="s">
        <v>3</v>
      </c>
      <c r="C96" s="1" t="s">
        <v>4</v>
      </c>
      <c r="D96" s="4" t="s">
        <v>78</v>
      </c>
      <c r="E96" s="4" t="s">
        <v>454</v>
      </c>
      <c r="F96" s="4" t="s">
        <v>85</v>
      </c>
      <c r="G96" s="4" t="s">
        <v>79</v>
      </c>
      <c r="H96" s="4" t="s">
        <v>454</v>
      </c>
      <c r="I96" s="4" t="s">
        <v>82</v>
      </c>
      <c r="J96" s="4" t="s">
        <v>80</v>
      </c>
      <c r="K96" s="4" t="s">
        <v>454</v>
      </c>
      <c r="L96" s="72" t="s">
        <v>81</v>
      </c>
    </row>
    <row r="97" spans="1:12" x14ac:dyDescent="0.25">
      <c r="A97" s="33" t="s">
        <v>5</v>
      </c>
      <c r="B97" s="1" t="s">
        <v>6</v>
      </c>
      <c r="C97" s="1" t="s">
        <v>7</v>
      </c>
      <c r="D97" s="42">
        <v>138121</v>
      </c>
      <c r="E97" s="41">
        <f>(D97-'2019'!D255)/'2019'!D255</f>
        <v>-1.3815902210544354E-2</v>
      </c>
      <c r="F97" s="42">
        <v>142450</v>
      </c>
      <c r="G97" s="42">
        <v>97943</v>
      </c>
      <c r="H97" s="41">
        <f>(G97-'2019'!G255)/'2019'!G255</f>
        <v>-1.3705389510996535E-2</v>
      </c>
      <c r="I97" s="42">
        <v>100300</v>
      </c>
      <c r="J97" s="42">
        <v>35829</v>
      </c>
      <c r="K97" s="41">
        <f>(J97-'2019'!J255)/'2019'!J255</f>
        <v>-9.3181441132555443E-3</v>
      </c>
      <c r="L97" s="42">
        <v>35868</v>
      </c>
    </row>
    <row r="98" spans="1:12" x14ac:dyDescent="0.25">
      <c r="A98" s="33" t="s">
        <v>8</v>
      </c>
      <c r="B98" s="1" t="s">
        <v>9</v>
      </c>
      <c r="C98" s="1" t="s">
        <v>7</v>
      </c>
      <c r="D98" s="42">
        <v>133689</v>
      </c>
      <c r="E98" s="41">
        <f>(D98-'2019'!D256)/'2019'!D256</f>
        <v>-1.2031008668533887E-2</v>
      </c>
      <c r="F98" s="42">
        <v>138312</v>
      </c>
      <c r="G98" s="42">
        <v>90252</v>
      </c>
      <c r="H98" s="41">
        <f>(G98-'2019'!G256)/'2019'!G256</f>
        <v>-5.4218460724676015E-3</v>
      </c>
      <c r="I98" s="42">
        <v>90909</v>
      </c>
      <c r="J98" s="42">
        <v>33456</v>
      </c>
      <c r="K98" s="41">
        <f>(J98-'2019'!J256)/'2019'!J256</f>
        <v>-8.358527476436067E-3</v>
      </c>
      <c r="L98" s="42">
        <v>33456</v>
      </c>
    </row>
    <row r="99" spans="1:12" x14ac:dyDescent="0.25">
      <c r="A99" s="33" t="s">
        <v>10</v>
      </c>
      <c r="B99" s="1" t="s">
        <v>9</v>
      </c>
      <c r="C99" s="1" t="s">
        <v>11</v>
      </c>
      <c r="D99" s="42">
        <v>79051</v>
      </c>
      <c r="E99" s="41">
        <f>(D99-'2019'!D257)/'2019'!D257</f>
        <v>9.4881748991163094E-3</v>
      </c>
      <c r="F99" s="42">
        <v>81103</v>
      </c>
      <c r="G99" s="42">
        <v>66533</v>
      </c>
      <c r="H99" s="41">
        <f>(G99-'2019'!G257)/'2019'!G257</f>
        <v>-4.6526240201065164E-3</v>
      </c>
      <c r="I99" s="42">
        <v>68212</v>
      </c>
      <c r="J99" s="42">
        <v>31436</v>
      </c>
      <c r="K99" s="41">
        <f>(J99-'2019'!J257)/'2019'!J257</f>
        <v>1.4129943867346281E-2</v>
      </c>
      <c r="L99" s="42">
        <v>31585</v>
      </c>
    </row>
    <row r="100" spans="1:12" x14ac:dyDescent="0.25">
      <c r="A100" s="33" t="s">
        <v>12</v>
      </c>
      <c r="B100" s="1" t="s">
        <v>13</v>
      </c>
      <c r="C100" s="1" t="s">
        <v>11</v>
      </c>
      <c r="D100" s="42">
        <v>70472</v>
      </c>
      <c r="E100" s="41">
        <f>(D100-'2019'!D258)/'2019'!D258</f>
        <v>-1.4790996784565916E-2</v>
      </c>
      <c r="F100" s="42">
        <v>71275</v>
      </c>
      <c r="G100" s="42">
        <v>64641</v>
      </c>
      <c r="H100" s="41">
        <f>(G100-'2019'!G258)/'2019'!G258</f>
        <v>7.1201545556524989E-3</v>
      </c>
      <c r="I100" s="42">
        <v>65832</v>
      </c>
      <c r="J100" s="42">
        <v>31133</v>
      </c>
      <c r="K100" s="41">
        <f>(J100-'2019'!J258)/'2019'!J258</f>
        <v>-2.1794173263677448E-3</v>
      </c>
      <c r="L100" s="42">
        <v>31289</v>
      </c>
    </row>
    <row r="101" spans="1:12" x14ac:dyDescent="0.25">
      <c r="A101" s="33" t="s">
        <v>14</v>
      </c>
      <c r="B101" s="1" t="s">
        <v>15</v>
      </c>
      <c r="C101" s="1" t="s">
        <v>11</v>
      </c>
      <c r="D101" s="42">
        <v>69444</v>
      </c>
      <c r="E101" s="41">
        <f>(D101-'2019'!D259)/'2019'!D259</f>
        <v>-1.3887705546562153E-2</v>
      </c>
      <c r="F101" s="42">
        <v>69783</v>
      </c>
      <c r="G101" s="42">
        <v>65019</v>
      </c>
      <c r="H101" s="41">
        <f>(G101-'2019'!G259)/'2019'!G259</f>
        <v>2.6005586151394172E-2</v>
      </c>
      <c r="I101" s="42">
        <v>66755</v>
      </c>
      <c r="J101" s="42">
        <v>31575</v>
      </c>
      <c r="K101" s="41">
        <f>(J101-'2019'!J259)/'2019'!J259</f>
        <v>9.4632181335720447E-3</v>
      </c>
      <c r="L101" s="42">
        <v>31725</v>
      </c>
    </row>
    <row r="102" spans="1:12" ht="15.75" thickBot="1" x14ac:dyDescent="0.3">
      <c r="A102" s="109" t="s">
        <v>470</v>
      </c>
      <c r="B102" s="110"/>
      <c r="C102" s="110"/>
      <c r="D102" s="110"/>
      <c r="E102" s="110"/>
      <c r="F102" s="110"/>
      <c r="G102" s="110"/>
      <c r="H102" s="110"/>
      <c r="I102" s="42"/>
      <c r="J102" s="42"/>
      <c r="K102" s="41"/>
      <c r="L102" s="42"/>
    </row>
    <row r="103" spans="1:12" ht="15.75" thickBot="1" x14ac:dyDescent="0.3"/>
    <row r="104" spans="1:12" ht="18.75" x14ac:dyDescent="0.3">
      <c r="A104" s="83" t="s">
        <v>477</v>
      </c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108"/>
    </row>
    <row r="105" spans="1:12" ht="45" x14ac:dyDescent="0.25">
      <c r="A105" s="33" t="s">
        <v>2</v>
      </c>
      <c r="B105" s="1" t="s">
        <v>3</v>
      </c>
      <c r="C105" s="1" t="s">
        <v>4</v>
      </c>
      <c r="D105" s="4" t="s">
        <v>78</v>
      </c>
      <c r="E105" s="4" t="s">
        <v>454</v>
      </c>
      <c r="F105" s="4" t="s">
        <v>85</v>
      </c>
      <c r="G105" s="4" t="s">
        <v>79</v>
      </c>
      <c r="H105" s="4" t="s">
        <v>454</v>
      </c>
      <c r="I105" s="4" t="s">
        <v>82</v>
      </c>
      <c r="J105" s="4" t="s">
        <v>80</v>
      </c>
      <c r="K105" s="4" t="s">
        <v>454</v>
      </c>
      <c r="L105" s="72" t="s">
        <v>81</v>
      </c>
    </row>
    <row r="106" spans="1:12" x14ac:dyDescent="0.25">
      <c r="A106" s="33" t="s">
        <v>5</v>
      </c>
      <c r="B106" s="1" t="s">
        <v>6</v>
      </c>
      <c r="C106" s="1" t="s">
        <v>7</v>
      </c>
      <c r="D106" s="42">
        <v>155763</v>
      </c>
      <c r="E106" s="42">
        <f>(D106-'2019'!D264)/'2019'!D264</f>
        <v>0.17446182846371347</v>
      </c>
      <c r="F106" s="42">
        <v>157977</v>
      </c>
      <c r="G106" s="42">
        <v>109051</v>
      </c>
      <c r="H106" s="42">
        <f>(G106-'2019'!G264)/'2019'!G264</f>
        <v>8.7227587227587233E-3</v>
      </c>
      <c r="I106" s="42">
        <v>110011</v>
      </c>
      <c r="J106" s="42">
        <v>37721</v>
      </c>
      <c r="K106" s="42">
        <f>(J106-'2019'!J264)/'2019'!J264</f>
        <v>1.3569432502149613E-2</v>
      </c>
      <c r="L106" s="42">
        <v>37864</v>
      </c>
    </row>
    <row r="107" spans="1:12" x14ac:dyDescent="0.25">
      <c r="A107" s="33" t="s">
        <v>8</v>
      </c>
      <c r="B107" s="1" t="s">
        <v>9</v>
      </c>
      <c r="C107" s="1" t="s">
        <v>7</v>
      </c>
      <c r="D107" s="42">
        <v>147928</v>
      </c>
      <c r="E107" s="42">
        <f>(D107-'2019'!D265)/'2019'!D265</f>
        <v>-5.9173705098198838E-2</v>
      </c>
      <c r="F107" s="42">
        <v>156739</v>
      </c>
      <c r="G107" s="42">
        <v>96805</v>
      </c>
      <c r="H107" s="42">
        <f>(G107-'2019'!G265)/'2019'!G265</f>
        <v>-1.6459232918465835E-2</v>
      </c>
      <c r="I107" s="42">
        <v>101626</v>
      </c>
      <c r="J107" s="42">
        <v>34940</v>
      </c>
      <c r="K107" s="42">
        <f>(J107-'2019'!J265)/'2019'!J265</f>
        <v>-1.1178717985000707E-2</v>
      </c>
      <c r="L107" s="42">
        <v>35752</v>
      </c>
    </row>
    <row r="108" spans="1:12" x14ac:dyDescent="0.25">
      <c r="A108" s="33" t="s">
        <v>10</v>
      </c>
      <c r="B108" s="1" t="s">
        <v>9</v>
      </c>
      <c r="C108" s="1" t="s">
        <v>11</v>
      </c>
      <c r="D108" s="42">
        <v>60024</v>
      </c>
      <c r="E108" s="42">
        <f>(D108-'2019'!D266)/'2019'!D266</f>
        <v>-2.3932987634623054E-3</v>
      </c>
      <c r="F108" s="42">
        <v>62034</v>
      </c>
      <c r="G108" s="42">
        <v>54525</v>
      </c>
      <c r="H108" s="42">
        <f>(G108-'2019'!G266)/'2019'!G266</f>
        <v>0</v>
      </c>
      <c r="I108" s="42">
        <v>55463</v>
      </c>
      <c r="J108" s="42">
        <v>27948</v>
      </c>
      <c r="K108" s="42">
        <f>(J108-'2019'!J266)/'2019'!J266</f>
        <v>1.3973986885950768E-3</v>
      </c>
      <c r="L108" s="42">
        <v>27972</v>
      </c>
    </row>
    <row r="109" spans="1:12" x14ac:dyDescent="0.25">
      <c r="A109" s="33" t="s">
        <v>12</v>
      </c>
      <c r="B109" s="1" t="s">
        <v>13</v>
      </c>
      <c r="C109" s="1" t="s">
        <v>7</v>
      </c>
      <c r="D109" s="42">
        <v>146412</v>
      </c>
      <c r="E109" s="42">
        <f>(D109-'2019'!D267)/'2019'!D267</f>
        <v>4.9774144977414496E-2</v>
      </c>
      <c r="F109" s="42">
        <v>154798</v>
      </c>
      <c r="G109" s="42">
        <v>98039</v>
      </c>
      <c r="H109" s="42">
        <f>(G109-'2019'!G267)/'2019'!G267</f>
        <v>-3.9210113680909445E-2</v>
      </c>
      <c r="I109" s="42">
        <v>104493</v>
      </c>
      <c r="J109" s="42">
        <v>36271</v>
      </c>
      <c r="K109" s="42">
        <f>(J109-'2019'!J267)/'2019'!J267</f>
        <v>-2.1733149931224211E-3</v>
      </c>
      <c r="L109" s="42">
        <v>36443</v>
      </c>
    </row>
    <row r="110" spans="1:12" x14ac:dyDescent="0.25">
      <c r="A110" s="33" t="s">
        <v>14</v>
      </c>
      <c r="B110" s="1" t="s">
        <v>15</v>
      </c>
      <c r="C110" s="1" t="s">
        <v>7</v>
      </c>
      <c r="D110" s="42">
        <v>136425</v>
      </c>
      <c r="E110" s="42">
        <f>(D110-'2019'!D268)/'2019'!D268</f>
        <v>3.2740348221044664E-2</v>
      </c>
      <c r="F110" s="42">
        <v>137174</v>
      </c>
      <c r="G110" s="42">
        <v>99800</v>
      </c>
      <c r="H110" s="42">
        <f>(G110-'2019'!G268)/'2019'!G268</f>
        <v>-2.5951844152295064E-2</v>
      </c>
      <c r="I110" s="42">
        <v>104058</v>
      </c>
      <c r="J110" s="42">
        <v>36737</v>
      </c>
      <c r="K110" s="42">
        <f>(J110-'2019'!J268)/'2019'!J268</f>
        <v>0.64880391364839995</v>
      </c>
      <c r="L110" s="42">
        <v>37411</v>
      </c>
    </row>
    <row r="111" spans="1:12" x14ac:dyDescent="0.25">
      <c r="A111" s="117" t="s">
        <v>471</v>
      </c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</row>
    <row r="113" spans="1:12" ht="15.75" thickBot="1" x14ac:dyDescent="0.3"/>
    <row r="114" spans="1:12" ht="18.75" x14ac:dyDescent="0.3">
      <c r="A114" s="83" t="s">
        <v>475</v>
      </c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108"/>
    </row>
    <row r="115" spans="1:12" ht="45" x14ac:dyDescent="0.25">
      <c r="A115" s="33" t="s">
        <v>2</v>
      </c>
      <c r="B115" s="1" t="s">
        <v>3</v>
      </c>
      <c r="C115" s="1" t="s">
        <v>4</v>
      </c>
      <c r="D115" s="4" t="s">
        <v>78</v>
      </c>
      <c r="E115" s="4" t="s">
        <v>454</v>
      </c>
      <c r="F115" s="4" t="s">
        <v>85</v>
      </c>
      <c r="G115" s="4" t="s">
        <v>79</v>
      </c>
      <c r="H115" s="4" t="s">
        <v>454</v>
      </c>
      <c r="I115" s="4" t="s">
        <v>82</v>
      </c>
      <c r="J115" s="4" t="s">
        <v>80</v>
      </c>
      <c r="K115" s="4" t="s">
        <v>454</v>
      </c>
      <c r="L115" s="72" t="s">
        <v>81</v>
      </c>
    </row>
    <row r="116" spans="1:12" x14ac:dyDescent="0.25">
      <c r="A116" s="33" t="s">
        <v>5</v>
      </c>
      <c r="B116" s="1" t="s">
        <v>6</v>
      </c>
      <c r="C116" s="1" t="s">
        <v>7</v>
      </c>
      <c r="D116" s="42">
        <v>145137</v>
      </c>
      <c r="E116" s="41">
        <f>(D116-'2019'!D255)/'2019'!D255</f>
        <v>3.6278345804535331E-2</v>
      </c>
      <c r="F116" s="42">
        <v>146412</v>
      </c>
      <c r="G116" s="42">
        <v>98425</v>
      </c>
      <c r="H116" s="41">
        <f>(G116-'2019'!G255)/'2019'!G255</f>
        <v>-8.8516071860146612E-3</v>
      </c>
      <c r="I116" s="42">
        <v>102040</v>
      </c>
      <c r="J116" s="42">
        <v>35752</v>
      </c>
      <c r="K116" s="41">
        <f>(J116-'2019'!J255)/'2019'!J255</f>
        <v>-1.144721561687773E-2</v>
      </c>
      <c r="L116" s="42">
        <v>36337</v>
      </c>
    </row>
    <row r="117" spans="1:12" x14ac:dyDescent="0.25">
      <c r="A117" s="33" t="s">
        <v>8</v>
      </c>
      <c r="B117" s="1" t="s">
        <v>9</v>
      </c>
      <c r="C117" s="1" t="s">
        <v>7</v>
      </c>
      <c r="D117" s="42">
        <v>140056</v>
      </c>
      <c r="E117" s="41">
        <f>(D117-'2019'!D256)/'2019'!D256</f>
        <v>3.5021468108219961E-2</v>
      </c>
      <c r="F117" s="42">
        <v>142045</v>
      </c>
      <c r="G117" s="42">
        <v>90334</v>
      </c>
      <c r="H117" s="41">
        <f>(G117-'2019'!G256)/'2019'!G256</f>
        <v>-4.5182050603896681E-3</v>
      </c>
      <c r="I117" s="42">
        <v>93283</v>
      </c>
      <c r="J117" s="42">
        <v>33456</v>
      </c>
      <c r="K117" s="41">
        <f>(J117-'2019'!J256)/'2019'!J256</f>
        <v>-8.358527476436067E-3</v>
      </c>
      <c r="L117" s="42">
        <v>33579</v>
      </c>
    </row>
    <row r="118" spans="1:12" x14ac:dyDescent="0.25">
      <c r="A118" s="33" t="s">
        <v>10</v>
      </c>
      <c r="B118" s="1" t="s">
        <v>9</v>
      </c>
      <c r="C118" s="1" t="s">
        <v>11</v>
      </c>
      <c r="D118" s="42">
        <v>78678</v>
      </c>
      <c r="E118" s="41">
        <f>(D118-'2019'!D257)/'2019'!D257</f>
        <v>4.724932318537059E-3</v>
      </c>
      <c r="F118" s="42">
        <v>79176</v>
      </c>
      <c r="G118" s="42">
        <v>64557</v>
      </c>
      <c r="H118" s="41">
        <f>(G118-'2019'!G257)/'2019'!G257</f>
        <v>-3.4213990784513197E-2</v>
      </c>
      <c r="I118" s="42">
        <v>66006</v>
      </c>
      <c r="J118" s="42">
        <v>31133</v>
      </c>
      <c r="K118" s="41">
        <f>(J118-'2019'!J257)/'2019'!J257</f>
        <v>4.3551196851409771E-3</v>
      </c>
      <c r="L118" s="42">
        <v>31585</v>
      </c>
    </row>
    <row r="119" spans="1:12" x14ac:dyDescent="0.25">
      <c r="A119" s="33" t="s">
        <v>12</v>
      </c>
      <c r="B119" s="1" t="s">
        <v>13</v>
      </c>
      <c r="C119" s="1" t="s">
        <v>11</v>
      </c>
      <c r="D119" s="42">
        <v>71073</v>
      </c>
      <c r="E119" s="41">
        <f>(D119-'2019'!D258)/'2019'!D258</f>
        <v>-6.3889277226338598E-3</v>
      </c>
      <c r="F119" s="42">
        <v>71994</v>
      </c>
      <c r="G119" s="42">
        <v>64935</v>
      </c>
      <c r="H119" s="41">
        <f>(G119-'2019'!G258)/'2019'!G258</f>
        <v>1.1700735385765923E-2</v>
      </c>
      <c r="I119" s="42">
        <v>65359</v>
      </c>
      <c r="J119" s="42">
        <v>31289</v>
      </c>
      <c r="K119" s="41">
        <f>(J119-'2019'!J258)/'2019'!J258</f>
        <v>2.8204224223582577E-3</v>
      </c>
      <c r="L119" s="42">
        <v>31436</v>
      </c>
    </row>
    <row r="120" spans="1:12" x14ac:dyDescent="0.25">
      <c r="A120" s="33" t="s">
        <v>14</v>
      </c>
      <c r="B120" s="1" t="s">
        <v>15</v>
      </c>
      <c r="C120" s="1" t="s">
        <v>11</v>
      </c>
      <c r="D120" s="42">
        <v>69204</v>
      </c>
      <c r="E120" s="41">
        <f>(D120-'2019'!D259)/'2019'!D259</f>
        <v>-1.7295731447559002E-2</v>
      </c>
      <c r="F120" s="42">
        <v>69444</v>
      </c>
      <c r="G120" s="42">
        <v>65919</v>
      </c>
      <c r="H120" s="41">
        <f>(G120-'2019'!G259)/'2019'!G259</f>
        <v>4.0207665967082737E-2</v>
      </c>
      <c r="I120" s="42">
        <v>66225</v>
      </c>
      <c r="J120" s="42">
        <v>30940</v>
      </c>
      <c r="K120" s="41">
        <f>(J120-'2019'!J259)/'2019'!J259</f>
        <v>-1.0837942389462578E-2</v>
      </c>
      <c r="L120" s="42">
        <v>31279</v>
      </c>
    </row>
    <row r="121" spans="1:12" ht="15.75" thickBot="1" x14ac:dyDescent="0.3">
      <c r="A121" s="109" t="s">
        <v>473</v>
      </c>
      <c r="B121" s="110"/>
      <c r="C121" s="110"/>
      <c r="D121" s="110"/>
      <c r="E121" s="110"/>
      <c r="F121" s="110"/>
      <c r="G121" s="110"/>
      <c r="H121" s="110"/>
      <c r="I121" s="42"/>
      <c r="J121" s="42"/>
      <c r="K121" s="41"/>
      <c r="L121" s="42"/>
    </row>
    <row r="122" spans="1:12" ht="15.75" thickBot="1" x14ac:dyDescent="0.3"/>
    <row r="123" spans="1:12" ht="18.75" x14ac:dyDescent="0.3">
      <c r="A123" s="83" t="s">
        <v>476</v>
      </c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108"/>
    </row>
    <row r="124" spans="1:12" ht="45" x14ac:dyDescent="0.25">
      <c r="A124" s="33" t="s">
        <v>2</v>
      </c>
      <c r="B124" s="1" t="s">
        <v>3</v>
      </c>
      <c r="C124" s="1" t="s">
        <v>4</v>
      </c>
      <c r="D124" s="4" t="s">
        <v>78</v>
      </c>
      <c r="E124" s="4" t="s">
        <v>454</v>
      </c>
      <c r="F124" s="4" t="s">
        <v>85</v>
      </c>
      <c r="G124" s="4" t="s">
        <v>79</v>
      </c>
      <c r="H124" s="4" t="s">
        <v>454</v>
      </c>
      <c r="I124" s="4" t="s">
        <v>82</v>
      </c>
      <c r="J124" s="4" t="s">
        <v>80</v>
      </c>
      <c r="K124" s="4" t="s">
        <v>454</v>
      </c>
      <c r="L124" s="72" t="s">
        <v>81</v>
      </c>
    </row>
    <row r="125" spans="1:12" x14ac:dyDescent="0.25">
      <c r="A125" s="33" t="s">
        <v>5</v>
      </c>
      <c r="B125" s="1" t="s">
        <v>6</v>
      </c>
      <c r="C125" s="1" t="s">
        <v>7</v>
      </c>
      <c r="D125" s="42">
        <v>158730</v>
      </c>
      <c r="E125" s="42">
        <f>(D125-'2019'!D264)/'2019'!D264</f>
        <v>0.19683317624882188</v>
      </c>
      <c r="F125" s="42">
        <v>160513</v>
      </c>
      <c r="G125" s="42">
        <v>109529</v>
      </c>
      <c r="H125" s="42">
        <f>(G125-'2019'!G264)/'2019'!G264</f>
        <v>1.3144263144263145E-2</v>
      </c>
      <c r="I125" s="42">
        <v>111111</v>
      </c>
      <c r="J125" s="42">
        <v>37188</v>
      </c>
      <c r="K125" s="42">
        <f>(J125-'2019'!J264)/'2019'!J264</f>
        <v>-7.5236457437661219E-4</v>
      </c>
      <c r="L125" s="42">
        <v>37537</v>
      </c>
    </row>
    <row r="126" spans="1:12" x14ac:dyDescent="0.25">
      <c r="A126" s="33" t="s">
        <v>8</v>
      </c>
      <c r="B126" s="1" t="s">
        <v>9</v>
      </c>
      <c r="C126" s="1" t="s">
        <v>7</v>
      </c>
      <c r="D126" s="42">
        <v>132625</v>
      </c>
      <c r="E126" s="42">
        <f>(D126-'2019'!D265)/'2019'!D265</f>
        <v>-0.15650122112547063</v>
      </c>
      <c r="F126" s="42">
        <v>159744</v>
      </c>
      <c r="G126" s="42">
        <v>99800</v>
      </c>
      <c r="H126" s="42">
        <f>(G126-'2019'!G265)/'2019'!G265</f>
        <v>1.397002794005588E-2</v>
      </c>
      <c r="I126" s="42">
        <v>104058</v>
      </c>
      <c r="J126" s="42">
        <v>35574</v>
      </c>
      <c r="K126" s="42">
        <f>(J126-'2019'!J265)/'2019'!J265</f>
        <v>6.7638318947219472E-3</v>
      </c>
      <c r="L126" s="42">
        <v>35868</v>
      </c>
    </row>
    <row r="127" spans="1:12" x14ac:dyDescent="0.25">
      <c r="A127" s="33" t="s">
        <v>10</v>
      </c>
      <c r="B127" s="1" t="s">
        <v>9</v>
      </c>
      <c r="C127" s="1" t="s">
        <v>11</v>
      </c>
      <c r="D127" s="42">
        <v>59988</v>
      </c>
      <c r="E127" s="42">
        <f>(D127-'2019'!D266)/'2019'!D266</f>
        <v>-2.9916234543278819E-3</v>
      </c>
      <c r="F127" s="42">
        <v>61050</v>
      </c>
      <c r="G127" s="42">
        <v>55493</v>
      </c>
      <c r="H127" s="42">
        <f>(G127-'2019'!G266)/'2019'!G266</f>
        <v>1.7753324163227877E-2</v>
      </c>
      <c r="I127" s="42">
        <v>55897</v>
      </c>
      <c r="J127" s="42">
        <v>27563</v>
      </c>
      <c r="K127" s="42">
        <f>(J127-'2019'!J266)/'2019'!J266</f>
        <v>-1.2397434519330681E-2</v>
      </c>
      <c r="L127" s="42">
        <v>28105</v>
      </c>
    </row>
    <row r="128" spans="1:12" x14ac:dyDescent="0.25">
      <c r="A128" s="33" t="s">
        <v>12</v>
      </c>
      <c r="B128" s="1" t="s">
        <v>13</v>
      </c>
      <c r="C128" s="1" t="s">
        <v>7</v>
      </c>
      <c r="D128" s="42">
        <v>141843</v>
      </c>
      <c r="E128" s="42">
        <f>(D128-'2019'!D267)/'2019'!D267</f>
        <v>1.7014411701441169E-2</v>
      </c>
      <c r="F128" s="42">
        <v>155520</v>
      </c>
      <c r="G128" s="42">
        <v>103626</v>
      </c>
      <c r="H128" s="42">
        <f>(G128-'2019'!G267)/'2019'!G267</f>
        <v>1.5542924343394746E-2</v>
      </c>
      <c r="I128" s="42">
        <v>105820</v>
      </c>
      <c r="J128" s="42">
        <v>36010</v>
      </c>
      <c r="K128" s="42">
        <f>(J128-'2019'!J267)/'2019'!J267</f>
        <v>-9.3535075653370017E-3</v>
      </c>
      <c r="L128" s="42">
        <v>36873</v>
      </c>
    </row>
    <row r="129" spans="1:12" x14ac:dyDescent="0.25">
      <c r="A129" s="33" t="s">
        <v>14</v>
      </c>
      <c r="B129" s="1" t="s">
        <v>15</v>
      </c>
      <c r="C129" s="1" t="s">
        <v>7</v>
      </c>
      <c r="D129" s="42">
        <v>112739</v>
      </c>
      <c r="E129" s="42">
        <f>(D129-'2019'!D268)/'2019'!D268</f>
        <v>-0.14656320968962908</v>
      </c>
      <c r="F129" s="42">
        <v>133333</v>
      </c>
      <c r="G129" s="42">
        <v>102774</v>
      </c>
      <c r="H129" s="42">
        <f>(G129-'2019'!G268)/'2019'!G268</f>
        <v>3.0744004919040788E-3</v>
      </c>
      <c r="I129" s="42">
        <v>106496</v>
      </c>
      <c r="J129" s="42">
        <v>33123</v>
      </c>
      <c r="K129" s="42">
        <f>(J129-'2019'!J268)/'2019'!J268</f>
        <v>0.48660293523629999</v>
      </c>
      <c r="L129" s="42">
        <v>36913</v>
      </c>
    </row>
    <row r="130" spans="1:12" ht="15.75" thickBot="1" x14ac:dyDescent="0.3">
      <c r="A130" s="115" t="s">
        <v>474</v>
      </c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116"/>
    </row>
  </sheetData>
  <mergeCells count="35">
    <mergeCell ref="A114:L114"/>
    <mergeCell ref="A121:E121"/>
    <mergeCell ref="F121:H121"/>
    <mergeCell ref="A123:L123"/>
    <mergeCell ref="A130:L130"/>
    <mergeCell ref="A76:L76"/>
    <mergeCell ref="A83:E83"/>
    <mergeCell ref="F83:H83"/>
    <mergeCell ref="A85:L85"/>
    <mergeCell ref="A92:L92"/>
    <mergeCell ref="A1:L1"/>
    <mergeCell ref="A8:E8"/>
    <mergeCell ref="F8:H8"/>
    <mergeCell ref="A10:L10"/>
    <mergeCell ref="A17:L17"/>
    <mergeCell ref="A19:L19"/>
    <mergeCell ref="A26:E26"/>
    <mergeCell ref="F26:H26"/>
    <mergeCell ref="A28:L28"/>
    <mergeCell ref="A35:L35"/>
    <mergeCell ref="A38:L38"/>
    <mergeCell ref="A45:E45"/>
    <mergeCell ref="F45:H45"/>
    <mergeCell ref="A47:L47"/>
    <mergeCell ref="A54:L54"/>
    <mergeCell ref="A57:L57"/>
    <mergeCell ref="A64:E64"/>
    <mergeCell ref="F64:H64"/>
    <mergeCell ref="A66:L66"/>
    <mergeCell ref="A73:L73"/>
    <mergeCell ref="A95:L95"/>
    <mergeCell ref="A102:E102"/>
    <mergeCell ref="F102:H102"/>
    <mergeCell ref="A104:L104"/>
    <mergeCell ref="A111:L111"/>
  </mergeCells>
  <conditionalFormatting sqref="K3:K7 E3:E7">
    <cfRule type="colorScale" priority="33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3:H7">
    <cfRule type="colorScale" priority="3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2:E16 K12:K16">
    <cfRule type="colorScale" priority="31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12:H16">
    <cfRule type="colorScale" priority="30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1:E25 K21:K25">
    <cfRule type="colorScale" priority="29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21:H25">
    <cfRule type="colorScale" priority="28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30:E34 K30:K34">
    <cfRule type="colorScale" priority="27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30:H34">
    <cfRule type="colorScale" priority="26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40:E44">
    <cfRule type="colorScale" priority="2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40:H44">
    <cfRule type="colorScale" priority="2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49:E53 K49:K53">
    <cfRule type="colorScale" priority="23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49:H53">
    <cfRule type="colorScale" priority="2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K40:K45">
    <cfRule type="colorScale" priority="21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59:E63">
    <cfRule type="colorScale" priority="20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59:H63">
    <cfRule type="colorScale" priority="19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K68:K72 E68:E72">
    <cfRule type="colorScale" priority="18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68:H72">
    <cfRule type="colorScale" priority="17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K59:K64">
    <cfRule type="colorScale" priority="16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78:E82">
    <cfRule type="colorScale" priority="1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78:H82">
    <cfRule type="colorScale" priority="1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87:E91 K87:K91">
    <cfRule type="colorScale" priority="13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87:H91">
    <cfRule type="colorScale" priority="1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K78:K83">
    <cfRule type="colorScale" priority="11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97:E101">
    <cfRule type="colorScale" priority="10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97:H101">
    <cfRule type="colorScale" priority="9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06:E110 K106:K110">
    <cfRule type="colorScale" priority="8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106:H110">
    <cfRule type="colorScale" priority="7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K97:K102">
    <cfRule type="colorScale" priority="6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16:E120">
    <cfRule type="colorScale" priority="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116:H120">
    <cfRule type="colorScale" priority="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25:E129 K125:K129">
    <cfRule type="colorScale" priority="3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125:H129">
    <cfRule type="colorScale" priority="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K116:K121">
    <cfRule type="colorScale" priority="1">
      <colorScale>
        <cfvo type="min"/>
        <cfvo type="num" val="0"/>
        <cfvo type="max"/>
        <color rgb="FFF8696B"/>
        <color theme="0"/>
        <color rgb="FF63BE7B"/>
      </colorScale>
    </cfRule>
  </conditionalFormatting>
  <hyperlinks>
    <hyperlink ref="A8:E8" r:id="rId1" display="Worst of 3 : 8108_sp_online_poll_no_smp_20.0b14" xr:uid="{CF82344D-7063-4AF7-8A47-5A72F84BFE0F}"/>
    <hyperlink ref="A17:L17" r:id="rId2" location="TSsummary" display="Worst of 3 : 8108_sp_online_poll_smp_20.0b14" xr:uid="{9D4BA5E8-65E6-4F34-B904-13AC067B37B2}"/>
    <hyperlink ref="A26:E26" r:id="rId3" display="Worst of 3 : 8108_sp_online_poll_no_smp_20.0b19" xr:uid="{F01130D5-7FDC-4DD1-AE6E-F42188A3A94B}"/>
    <hyperlink ref="A35:L35" r:id="rId4" location="TSsummary" display="Worst of 3 : 8108_sp_online_poll_smp_20.0b19" xr:uid="{D575E4E1-DFF0-47D9-98A8-B7B106C8313A}"/>
    <hyperlink ref="A45:E45" r:id="rId5" location="TSsummary" display="Worst of 3 : 8108_sp_online_poll_no_smp_20.0b21" xr:uid="{9FBE5882-3AE6-4568-9B97-5A8E3DFDB0C8}"/>
    <hyperlink ref="A54:L54" r:id="rId6" location="TSsummary" display="Worst of 3 : 8108_sp_online_poll_smp_20.0b21" xr:uid="{4537AAE7-324B-42D3-9ADB-8EDC63DC4DAD}"/>
    <hyperlink ref="A64:E64" r:id="rId7" display="Worst of 3 : 8108_sp_online_poll_no_smp_20.0b27" xr:uid="{7E3F9315-F5D1-40C2-93A9-0AB7B363C996}"/>
    <hyperlink ref="A73:L73" r:id="rId8" display="Worst of 3 : 8108_sp_online_poll_smp_20.0b27" xr:uid="{F716CDF5-DA3A-482F-8DBC-7A7AF46D5501}"/>
    <hyperlink ref="A83:E83" r:id="rId9" display="Worst of 3 : 8108_sp_online_poll_no_smp_20.0b33" xr:uid="{E8888521-887F-40D6-81C9-5183D571A1B0}"/>
    <hyperlink ref="A92:L92" r:id="rId10" display="Worst of 3 : 8108_sp_online_poll_smp_20.0b33" xr:uid="{0E6FBB4B-862C-4446-99FC-1BB9DBB8D3A4}"/>
    <hyperlink ref="A102:E102" r:id="rId11" location="TSsummary" display="Worst of 3 : 8108_sp_online_poll_no_smp_20.0b38" xr:uid="{C9AAA39A-1CA8-4C1C-8BE6-92382B2197DB}"/>
    <hyperlink ref="A121:E121" r:id="rId12" location="TSsummary" display="Worst of 3 : 8108_sp_online_poll_no_smp_20.0b42" xr:uid="{BF54BBAD-C709-46E6-BABA-CF94FF76D50E}"/>
    <hyperlink ref="A130:L130" r:id="rId13" display="Worst of 3 : 8108_sp_online_poll_smp_20.0b42" xr:uid="{7EA03803-37D4-4CD8-8084-7ED4A6776162}"/>
    <hyperlink ref="A111:L111" r:id="rId14" location="TSsummary" display="Worst of 3 : 8108_sp_online_poll_smp_20.0b38" xr:uid="{F345CE6D-2B9B-4E1C-976F-6215647EC551}"/>
  </hyperlinks>
  <pageMargins left="0.7" right="0.7" top="0.75" bottom="0.75" header="0.3" footer="0.3"/>
  <pageSetup orientation="portrait" horizontalDpi="4294967295" verticalDpi="4294967295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8.2</vt:lpstr>
      <vt:lpstr>8.6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</vt:vector>
  </TitlesOfParts>
  <Company>National Instruments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bfrantz</dc:creator>
  <cp:lastModifiedBy>Hemanth Kumar Kothari</cp:lastModifiedBy>
  <dcterms:created xsi:type="dcterms:W3CDTF">2009-09-01T22:42:38Z</dcterms:created>
  <dcterms:modified xsi:type="dcterms:W3CDTF">2020-01-08T04:03:24Z</dcterms:modified>
</cp:coreProperties>
</file>