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T Entire\Perf trigger for 2019\Excel Reports\Final SP results\"/>
    </mc:Choice>
  </mc:AlternateContent>
  <xr:revisionPtr revIDLastSave="0" documentId="13_ncr:1_{F7D05CE6-0C21-4536-986E-1EE03191CFF4}" xr6:coauthVersionLast="41" xr6:coauthVersionMax="41" xr10:uidLastSave="{00000000-0000-0000-0000-000000000000}"/>
  <bookViews>
    <workbookView xWindow="-120" yWindow="-120" windowWidth="29040" windowHeight="15840" activeTab="8" xr2:uid="{00000000-000D-0000-FFFF-FFFF00000000}"/>
  </bookViews>
  <sheets>
    <sheet name="cRIO-9024 Benchmark" sheetId="1" r:id="rId1"/>
    <sheet name="Proto 2013" sheetId="2" r:id="rId2"/>
    <sheet name="2014" sheetId="3" r:id="rId3"/>
    <sheet name="2015" sheetId="4" r:id="rId4"/>
    <sheet name="2016" sheetId="5" r:id="rId5"/>
    <sheet name="2017" sheetId="7" r:id="rId6"/>
    <sheet name="NIB 2017" sheetId="8" r:id="rId7"/>
    <sheet name="2018" sheetId="9" r:id="rId8"/>
    <sheet name="2019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12" i="10" l="1"/>
  <c r="E412" i="10"/>
  <c r="F412" i="10"/>
  <c r="D413" i="10"/>
  <c r="E413" i="10"/>
  <c r="F413" i="10"/>
  <c r="D414" i="10"/>
  <c r="E414" i="10"/>
  <c r="F414" i="10"/>
  <c r="D415" i="10"/>
  <c r="E415" i="10"/>
  <c r="F415" i="10"/>
  <c r="D416" i="10"/>
  <c r="E416" i="10"/>
  <c r="F416" i="10"/>
  <c r="E411" i="10"/>
  <c r="F411" i="10"/>
  <c r="D411" i="10"/>
  <c r="D403" i="10"/>
  <c r="E403" i="10"/>
  <c r="F403" i="10"/>
  <c r="D404" i="10"/>
  <c r="E404" i="10"/>
  <c r="F404" i="10"/>
  <c r="D405" i="10"/>
  <c r="E405" i="10"/>
  <c r="F405" i="10"/>
  <c r="D406" i="10"/>
  <c r="E406" i="10"/>
  <c r="F406" i="10"/>
  <c r="D407" i="10"/>
  <c r="E407" i="10"/>
  <c r="F407" i="10"/>
  <c r="E402" i="10"/>
  <c r="F402" i="10"/>
  <c r="D402" i="10"/>
  <c r="I415" i="10"/>
  <c r="O415" i="10" s="1"/>
  <c r="N411" i="10"/>
  <c r="M411" i="10"/>
  <c r="I411" i="10"/>
  <c r="O411" i="10" s="1"/>
  <c r="H411" i="10"/>
  <c r="G411" i="10"/>
  <c r="N407" i="10"/>
  <c r="I407" i="10"/>
  <c r="O407" i="10" s="1"/>
  <c r="H407" i="10"/>
  <c r="G407" i="10"/>
  <c r="M407" i="10" s="1"/>
  <c r="M406" i="10"/>
  <c r="I406" i="10"/>
  <c r="I416" i="10" s="1"/>
  <c r="O416" i="10" s="1"/>
  <c r="H406" i="10"/>
  <c r="H416" i="10" s="1"/>
  <c r="N416" i="10" s="1"/>
  <c r="G406" i="10"/>
  <c r="G416" i="10" s="1"/>
  <c r="M416" i="10" s="1"/>
  <c r="O405" i="10"/>
  <c r="N405" i="10"/>
  <c r="I405" i="10"/>
  <c r="H405" i="10"/>
  <c r="H415" i="10" s="1"/>
  <c r="N415" i="10" s="1"/>
  <c r="G405" i="10"/>
  <c r="G415" i="10" s="1"/>
  <c r="M415" i="10" s="1"/>
  <c r="N404" i="10"/>
  <c r="M404" i="10"/>
  <c r="I404" i="10"/>
  <c r="I414" i="10" s="1"/>
  <c r="O414" i="10" s="1"/>
  <c r="H404" i="10"/>
  <c r="H414" i="10" s="1"/>
  <c r="N414" i="10" s="1"/>
  <c r="G404" i="10"/>
  <c r="G414" i="10" s="1"/>
  <c r="M414" i="10" s="1"/>
  <c r="N403" i="10"/>
  <c r="I403" i="10"/>
  <c r="I413" i="10" s="1"/>
  <c r="O413" i="10" s="1"/>
  <c r="H403" i="10"/>
  <c r="H413" i="10" s="1"/>
  <c r="N413" i="10" s="1"/>
  <c r="G403" i="10"/>
  <c r="G413" i="10" s="1"/>
  <c r="M413" i="10" s="1"/>
  <c r="M402" i="10"/>
  <c r="I402" i="10"/>
  <c r="I412" i="10" s="1"/>
  <c r="O412" i="10" s="1"/>
  <c r="H402" i="10"/>
  <c r="H412" i="10" s="1"/>
  <c r="N412" i="10" s="1"/>
  <c r="G402" i="10"/>
  <c r="G412" i="10" s="1"/>
  <c r="M412" i="10" s="1"/>
  <c r="O397" i="10"/>
  <c r="N397" i="10"/>
  <c r="M397" i="10"/>
  <c r="L397" i="10"/>
  <c r="K397" i="10"/>
  <c r="J397" i="10"/>
  <c r="O396" i="10"/>
  <c r="N396" i="10"/>
  <c r="M396" i="10"/>
  <c r="L396" i="10"/>
  <c r="K396" i="10"/>
  <c r="J396" i="10"/>
  <c r="O395" i="10"/>
  <c r="N395" i="10"/>
  <c r="M395" i="10"/>
  <c r="L395" i="10"/>
  <c r="J395" i="10"/>
  <c r="O394" i="10"/>
  <c r="N394" i="10"/>
  <c r="M394" i="10"/>
  <c r="L394" i="10"/>
  <c r="K394" i="10"/>
  <c r="J394" i="10"/>
  <c r="O393" i="10"/>
  <c r="N393" i="10"/>
  <c r="M393" i="10"/>
  <c r="L393" i="10"/>
  <c r="K393" i="10"/>
  <c r="J393" i="10"/>
  <c r="O392" i="10"/>
  <c r="N392" i="10"/>
  <c r="M392" i="10"/>
  <c r="L392" i="10"/>
  <c r="K392" i="10"/>
  <c r="J392" i="10"/>
  <c r="O404" i="10" l="1"/>
  <c r="M403" i="10"/>
  <c r="O403" i="10"/>
  <c r="N402" i="10"/>
  <c r="N406" i="10"/>
  <c r="O402" i="10"/>
  <c r="O406" i="10"/>
  <c r="M405" i="10"/>
  <c r="D312" i="10"/>
  <c r="F381" i="10" l="1"/>
  <c r="F382" i="10"/>
  <c r="F383" i="10"/>
  <c r="F384" i="10"/>
  <c r="F385" i="10"/>
  <c r="E381" i="10"/>
  <c r="E382" i="10"/>
  <c r="E383" i="10"/>
  <c r="E384" i="10"/>
  <c r="E385" i="10"/>
  <c r="E386" i="10"/>
  <c r="E380" i="10"/>
  <c r="F380" i="10"/>
  <c r="D381" i="10"/>
  <c r="D382" i="10"/>
  <c r="D383" i="10"/>
  <c r="D384" i="10"/>
  <c r="D385" i="10"/>
  <c r="D380" i="10"/>
  <c r="F372" i="10"/>
  <c r="F373" i="10"/>
  <c r="F374" i="10"/>
  <c r="F375" i="10"/>
  <c r="F376" i="10"/>
  <c r="E372" i="10"/>
  <c r="E373" i="10"/>
  <c r="E374" i="10"/>
  <c r="E375" i="10"/>
  <c r="E376" i="10"/>
  <c r="E371" i="10"/>
  <c r="F371" i="10"/>
  <c r="D372" i="10"/>
  <c r="D373" i="10"/>
  <c r="D374" i="10"/>
  <c r="D375" i="10"/>
  <c r="D376" i="10"/>
  <c r="D371" i="10"/>
  <c r="I380" i="10"/>
  <c r="O380" i="10" s="1"/>
  <c r="H380" i="10"/>
  <c r="N380" i="10" s="1"/>
  <c r="G380" i="10"/>
  <c r="M380" i="10" s="1"/>
  <c r="O376" i="10"/>
  <c r="M376" i="10"/>
  <c r="I376" i="10"/>
  <c r="H376" i="10"/>
  <c r="N376" i="10" s="1"/>
  <c r="G376" i="10"/>
  <c r="N375" i="10"/>
  <c r="I375" i="10"/>
  <c r="I385" i="10" s="1"/>
  <c r="O385" i="10" s="1"/>
  <c r="H375" i="10"/>
  <c r="H385" i="10" s="1"/>
  <c r="N385" i="10" s="1"/>
  <c r="G375" i="10"/>
  <c r="G385" i="10" s="1"/>
  <c r="M385" i="10" s="1"/>
  <c r="O374" i="10"/>
  <c r="M374" i="10"/>
  <c r="I374" i="10"/>
  <c r="I384" i="10" s="1"/>
  <c r="O384" i="10" s="1"/>
  <c r="H374" i="10"/>
  <c r="H384" i="10" s="1"/>
  <c r="N384" i="10" s="1"/>
  <c r="G374" i="10"/>
  <c r="G384" i="10" s="1"/>
  <c r="M384" i="10" s="1"/>
  <c r="N373" i="10"/>
  <c r="I373" i="10"/>
  <c r="I383" i="10" s="1"/>
  <c r="O383" i="10" s="1"/>
  <c r="H373" i="10"/>
  <c r="H383" i="10" s="1"/>
  <c r="N383" i="10" s="1"/>
  <c r="G373" i="10"/>
  <c r="G383" i="10" s="1"/>
  <c r="M383" i="10" s="1"/>
  <c r="O372" i="10"/>
  <c r="M372" i="10"/>
  <c r="I372" i="10"/>
  <c r="I382" i="10" s="1"/>
  <c r="O382" i="10" s="1"/>
  <c r="H372" i="10"/>
  <c r="H382" i="10" s="1"/>
  <c r="N382" i="10" s="1"/>
  <c r="G372" i="10"/>
  <c r="G382" i="10" s="1"/>
  <c r="M382" i="10" s="1"/>
  <c r="N371" i="10"/>
  <c r="I371" i="10"/>
  <c r="I381" i="10" s="1"/>
  <c r="O381" i="10" s="1"/>
  <c r="H371" i="10"/>
  <c r="H381" i="10" s="1"/>
  <c r="N381" i="10" s="1"/>
  <c r="G371" i="10"/>
  <c r="G381" i="10" s="1"/>
  <c r="M381" i="10" s="1"/>
  <c r="O366" i="10"/>
  <c r="N366" i="10"/>
  <c r="M366" i="10"/>
  <c r="L366" i="10"/>
  <c r="K366" i="10"/>
  <c r="J366" i="10"/>
  <c r="O365" i="10"/>
  <c r="N365" i="10"/>
  <c r="M365" i="10"/>
  <c r="L365" i="10"/>
  <c r="K365" i="10"/>
  <c r="J365" i="10"/>
  <c r="O364" i="10"/>
  <c r="N364" i="10"/>
  <c r="M364" i="10"/>
  <c r="L364" i="10"/>
  <c r="J364" i="10"/>
  <c r="O363" i="10"/>
  <c r="N363" i="10"/>
  <c r="M363" i="10"/>
  <c r="L363" i="10"/>
  <c r="K363" i="10"/>
  <c r="J363" i="10"/>
  <c r="O362" i="10"/>
  <c r="N362" i="10"/>
  <c r="M362" i="10"/>
  <c r="L362" i="10"/>
  <c r="K362" i="10"/>
  <c r="J362" i="10"/>
  <c r="O361" i="10"/>
  <c r="N361" i="10"/>
  <c r="M361" i="10"/>
  <c r="L361" i="10"/>
  <c r="K361" i="10"/>
  <c r="J361" i="10"/>
  <c r="F351" i="10"/>
  <c r="F352" i="10"/>
  <c r="F353" i="10"/>
  <c r="F354" i="10"/>
  <c r="F355" i="10"/>
  <c r="E351" i="10"/>
  <c r="E352" i="10"/>
  <c r="E353" i="10"/>
  <c r="E354" i="10"/>
  <c r="E355" i="10"/>
  <c r="E350" i="10"/>
  <c r="F350" i="10"/>
  <c r="D351" i="10"/>
  <c r="D352" i="10"/>
  <c r="D353" i="10"/>
  <c r="D354" i="10"/>
  <c r="D355" i="10"/>
  <c r="D350" i="10"/>
  <c r="F342" i="10"/>
  <c r="F343" i="10"/>
  <c r="F344" i="10"/>
  <c r="F345" i="10"/>
  <c r="F346" i="10"/>
  <c r="E342" i="10"/>
  <c r="E343" i="10"/>
  <c r="E344" i="10"/>
  <c r="E345" i="10"/>
  <c r="E346" i="10"/>
  <c r="E341" i="10"/>
  <c r="F341" i="10"/>
  <c r="D342" i="10"/>
  <c r="D343" i="10"/>
  <c r="D344" i="10"/>
  <c r="D345" i="10"/>
  <c r="D346" i="10"/>
  <c r="D341" i="10"/>
  <c r="I350" i="10"/>
  <c r="O350" i="10" s="1"/>
  <c r="H350" i="10"/>
  <c r="N350" i="10" s="1"/>
  <c r="G350" i="10"/>
  <c r="M350" i="10" s="1"/>
  <c r="O346" i="10"/>
  <c r="M346" i="10"/>
  <c r="I346" i="10"/>
  <c r="H346" i="10"/>
  <c r="N346" i="10" s="1"/>
  <c r="G346" i="10"/>
  <c r="N345" i="10"/>
  <c r="I345" i="10"/>
  <c r="I355" i="10" s="1"/>
  <c r="O355" i="10" s="1"/>
  <c r="H345" i="10"/>
  <c r="H355" i="10" s="1"/>
  <c r="N355" i="10" s="1"/>
  <c r="G345" i="10"/>
  <c r="G355" i="10" s="1"/>
  <c r="M355" i="10" s="1"/>
  <c r="O344" i="10"/>
  <c r="M344" i="10"/>
  <c r="I344" i="10"/>
  <c r="I354" i="10" s="1"/>
  <c r="O354" i="10" s="1"/>
  <c r="H344" i="10"/>
  <c r="H354" i="10" s="1"/>
  <c r="N354" i="10" s="1"/>
  <c r="G344" i="10"/>
  <c r="G354" i="10" s="1"/>
  <c r="M354" i="10" s="1"/>
  <c r="N343" i="10"/>
  <c r="I343" i="10"/>
  <c r="I353" i="10" s="1"/>
  <c r="O353" i="10" s="1"/>
  <c r="H343" i="10"/>
  <c r="H353" i="10" s="1"/>
  <c r="N353" i="10" s="1"/>
  <c r="G343" i="10"/>
  <c r="G353" i="10" s="1"/>
  <c r="M353" i="10" s="1"/>
  <c r="O342" i="10"/>
  <c r="M342" i="10"/>
  <c r="I342" i="10"/>
  <c r="I352" i="10" s="1"/>
  <c r="O352" i="10" s="1"/>
  <c r="H342" i="10"/>
  <c r="H352" i="10" s="1"/>
  <c r="N352" i="10" s="1"/>
  <c r="G342" i="10"/>
  <c r="G352" i="10" s="1"/>
  <c r="M352" i="10" s="1"/>
  <c r="N341" i="10"/>
  <c r="I341" i="10"/>
  <c r="I351" i="10" s="1"/>
  <c r="O351" i="10" s="1"/>
  <c r="H341" i="10"/>
  <c r="H351" i="10" s="1"/>
  <c r="N351" i="10" s="1"/>
  <c r="G341" i="10"/>
  <c r="G351" i="10" s="1"/>
  <c r="M351" i="10" s="1"/>
  <c r="O336" i="10"/>
  <c r="N336" i="10"/>
  <c r="M336" i="10"/>
  <c r="L336" i="10"/>
  <c r="K336" i="10"/>
  <c r="J336" i="10"/>
  <c r="O335" i="10"/>
  <c r="N335" i="10"/>
  <c r="M335" i="10"/>
  <c r="L335" i="10"/>
  <c r="K335" i="10"/>
  <c r="J335" i="10"/>
  <c r="O334" i="10"/>
  <c r="N334" i="10"/>
  <c r="M334" i="10"/>
  <c r="L334" i="10"/>
  <c r="J334" i="10"/>
  <c r="O333" i="10"/>
  <c r="N333" i="10"/>
  <c r="M333" i="10"/>
  <c r="L333" i="10"/>
  <c r="K333" i="10"/>
  <c r="J333" i="10"/>
  <c r="O332" i="10"/>
  <c r="N332" i="10"/>
  <c r="M332" i="10"/>
  <c r="L332" i="10"/>
  <c r="K332" i="10"/>
  <c r="J332" i="10"/>
  <c r="O331" i="10"/>
  <c r="N331" i="10"/>
  <c r="M331" i="10"/>
  <c r="L331" i="10"/>
  <c r="K331" i="10"/>
  <c r="J331" i="10"/>
  <c r="M371" i="10" l="1"/>
  <c r="O371" i="10"/>
  <c r="N372" i="10"/>
  <c r="M373" i="10"/>
  <c r="O373" i="10"/>
  <c r="N374" i="10"/>
  <c r="M375" i="10"/>
  <c r="O375" i="10"/>
  <c r="M341" i="10"/>
  <c r="O341" i="10"/>
  <c r="N342" i="10"/>
  <c r="M343" i="10"/>
  <c r="O343" i="10"/>
  <c r="N344" i="10"/>
  <c r="M345" i="10"/>
  <c r="O345" i="10"/>
  <c r="F321" i="10"/>
  <c r="F322" i="10"/>
  <c r="F323" i="10"/>
  <c r="F324" i="10"/>
  <c r="F325" i="10"/>
  <c r="E321" i="10"/>
  <c r="E322" i="10"/>
  <c r="E323" i="10"/>
  <c r="E324" i="10"/>
  <c r="E325" i="10"/>
  <c r="E320" i="10"/>
  <c r="F320" i="10"/>
  <c r="D321" i="10"/>
  <c r="D322" i="10"/>
  <c r="D323" i="10"/>
  <c r="D324" i="10"/>
  <c r="D325" i="10"/>
  <c r="D320" i="10"/>
  <c r="F312" i="10"/>
  <c r="F313" i="10"/>
  <c r="F314" i="10"/>
  <c r="F315" i="10"/>
  <c r="F316" i="10"/>
  <c r="E312" i="10"/>
  <c r="E313" i="10"/>
  <c r="E314" i="10"/>
  <c r="E315" i="10"/>
  <c r="E316" i="10"/>
  <c r="E311" i="10"/>
  <c r="F311" i="10"/>
  <c r="D313" i="10"/>
  <c r="D314" i="10"/>
  <c r="D315" i="10"/>
  <c r="D316" i="10"/>
  <c r="D311" i="10"/>
  <c r="I325" i="10"/>
  <c r="O325" i="10" s="1"/>
  <c r="G325" i="10"/>
  <c r="M325" i="10" s="1"/>
  <c r="H324" i="10"/>
  <c r="N324" i="10" s="1"/>
  <c r="I323" i="10"/>
  <c r="O323" i="10" s="1"/>
  <c r="G323" i="10"/>
  <c r="M323" i="10" s="1"/>
  <c r="H322" i="10"/>
  <c r="N322" i="10" s="1"/>
  <c r="I321" i="10"/>
  <c r="O321" i="10" s="1"/>
  <c r="G321" i="10"/>
  <c r="M321" i="10" s="1"/>
  <c r="O320" i="10"/>
  <c r="M320" i="10"/>
  <c r="I320" i="10"/>
  <c r="H320" i="10"/>
  <c r="N320" i="10" s="1"/>
  <c r="G320" i="10"/>
  <c r="N316" i="10"/>
  <c r="I316" i="10"/>
  <c r="O316" i="10" s="1"/>
  <c r="H316" i="10"/>
  <c r="G316" i="10"/>
  <c r="M316" i="10" s="1"/>
  <c r="O315" i="10"/>
  <c r="M315" i="10"/>
  <c r="I315" i="10"/>
  <c r="H315" i="10"/>
  <c r="H325" i="10" s="1"/>
  <c r="N325" i="10" s="1"/>
  <c r="G315" i="10"/>
  <c r="N314" i="10"/>
  <c r="I314" i="10"/>
  <c r="I324" i="10" s="1"/>
  <c r="O324" i="10" s="1"/>
  <c r="H314" i="10"/>
  <c r="G314" i="10"/>
  <c r="G324" i="10" s="1"/>
  <c r="M324" i="10" s="1"/>
  <c r="O313" i="10"/>
  <c r="M313" i="10"/>
  <c r="I313" i="10"/>
  <c r="H313" i="10"/>
  <c r="H323" i="10" s="1"/>
  <c r="N323" i="10" s="1"/>
  <c r="G313" i="10"/>
  <c r="N312" i="10"/>
  <c r="I312" i="10"/>
  <c r="I322" i="10" s="1"/>
  <c r="O322" i="10" s="1"/>
  <c r="H312" i="10"/>
  <c r="G312" i="10"/>
  <c r="G322" i="10" s="1"/>
  <c r="M322" i="10" s="1"/>
  <c r="O311" i="10"/>
  <c r="M311" i="10"/>
  <c r="I311" i="10"/>
  <c r="H311" i="10"/>
  <c r="H321" i="10" s="1"/>
  <c r="N321" i="10" s="1"/>
  <c r="G311" i="10"/>
  <c r="O306" i="10"/>
  <c r="N306" i="10"/>
  <c r="M306" i="10"/>
  <c r="L306" i="10"/>
  <c r="K306" i="10"/>
  <c r="J306" i="10"/>
  <c r="O305" i="10"/>
  <c r="N305" i="10"/>
  <c r="M305" i="10"/>
  <c r="L305" i="10"/>
  <c r="K305" i="10"/>
  <c r="J305" i="10"/>
  <c r="O304" i="10"/>
  <c r="N304" i="10"/>
  <c r="M304" i="10"/>
  <c r="L304" i="10"/>
  <c r="J304" i="10"/>
  <c r="O303" i="10"/>
  <c r="N303" i="10"/>
  <c r="M303" i="10"/>
  <c r="L303" i="10"/>
  <c r="K303" i="10"/>
  <c r="J303" i="10"/>
  <c r="O302" i="10"/>
  <c r="N302" i="10"/>
  <c r="M302" i="10"/>
  <c r="L302" i="10"/>
  <c r="K302" i="10"/>
  <c r="J302" i="10"/>
  <c r="O301" i="10"/>
  <c r="N301" i="10"/>
  <c r="M301" i="10"/>
  <c r="L301" i="10"/>
  <c r="K301" i="10"/>
  <c r="J301" i="10"/>
  <c r="N311" i="10" l="1"/>
  <c r="M312" i="10"/>
  <c r="O312" i="10"/>
  <c r="N313" i="10"/>
  <c r="M314" i="10"/>
  <c r="O314" i="10"/>
  <c r="N315" i="10"/>
  <c r="F292" i="10"/>
  <c r="F293" i="10"/>
  <c r="F294" i="10"/>
  <c r="F295" i="10"/>
  <c r="F296" i="10"/>
  <c r="E292" i="10"/>
  <c r="E293" i="10"/>
  <c r="E294" i="10"/>
  <c r="E295" i="10"/>
  <c r="E296" i="10"/>
  <c r="E291" i="10"/>
  <c r="F291" i="10"/>
  <c r="D292" i="10"/>
  <c r="D293" i="10"/>
  <c r="D294" i="10"/>
  <c r="D295" i="10"/>
  <c r="D296" i="10"/>
  <c r="D291" i="10"/>
  <c r="F283" i="10"/>
  <c r="F284" i="10"/>
  <c r="F285" i="10"/>
  <c r="F286" i="10"/>
  <c r="F287" i="10"/>
  <c r="E283" i="10"/>
  <c r="E284" i="10"/>
  <c r="E285" i="10"/>
  <c r="E286" i="10"/>
  <c r="E287" i="10"/>
  <c r="E282" i="10"/>
  <c r="F282" i="10"/>
  <c r="D283" i="10"/>
  <c r="D284" i="10"/>
  <c r="D285" i="10"/>
  <c r="D286" i="10"/>
  <c r="D287" i="10"/>
  <c r="D282" i="10"/>
  <c r="I296" i="10"/>
  <c r="O296" i="10" s="1"/>
  <c r="G296" i="10"/>
  <c r="M296" i="10" s="1"/>
  <c r="H295" i="10"/>
  <c r="N295" i="10" s="1"/>
  <c r="I294" i="10"/>
  <c r="O294" i="10" s="1"/>
  <c r="G294" i="10"/>
  <c r="M294" i="10" s="1"/>
  <c r="H293" i="10"/>
  <c r="N293" i="10" s="1"/>
  <c r="I292" i="10"/>
  <c r="O292" i="10" s="1"/>
  <c r="G292" i="10"/>
  <c r="M292" i="10" s="1"/>
  <c r="O291" i="10"/>
  <c r="M291" i="10"/>
  <c r="I291" i="10"/>
  <c r="H291" i="10"/>
  <c r="N291" i="10" s="1"/>
  <c r="G291" i="10"/>
  <c r="N287" i="10"/>
  <c r="I287" i="10"/>
  <c r="O287" i="10" s="1"/>
  <c r="H287" i="10"/>
  <c r="G287" i="10"/>
  <c r="M287" i="10" s="1"/>
  <c r="O286" i="10"/>
  <c r="M286" i="10"/>
  <c r="I286" i="10"/>
  <c r="H286" i="10"/>
  <c r="H296" i="10" s="1"/>
  <c r="N296" i="10" s="1"/>
  <c r="G286" i="10"/>
  <c r="N285" i="10"/>
  <c r="I285" i="10"/>
  <c r="I295" i="10" s="1"/>
  <c r="O295" i="10" s="1"/>
  <c r="H285" i="10"/>
  <c r="G285" i="10"/>
  <c r="G295" i="10" s="1"/>
  <c r="M295" i="10" s="1"/>
  <c r="O284" i="10"/>
  <c r="M284" i="10"/>
  <c r="I284" i="10"/>
  <c r="H284" i="10"/>
  <c r="H294" i="10" s="1"/>
  <c r="N294" i="10" s="1"/>
  <c r="G284" i="10"/>
  <c r="N283" i="10"/>
  <c r="I283" i="10"/>
  <c r="I293" i="10" s="1"/>
  <c r="O293" i="10" s="1"/>
  <c r="H283" i="10"/>
  <c r="G283" i="10"/>
  <c r="G293" i="10" s="1"/>
  <c r="M293" i="10" s="1"/>
  <c r="O282" i="10"/>
  <c r="M282" i="10"/>
  <c r="I282" i="10"/>
  <c r="H282" i="10"/>
  <c r="H292" i="10" s="1"/>
  <c r="N292" i="10" s="1"/>
  <c r="G282" i="10"/>
  <c r="O277" i="10"/>
  <c r="N277" i="10"/>
  <c r="M277" i="10"/>
  <c r="L277" i="10"/>
  <c r="K277" i="10"/>
  <c r="J277" i="10"/>
  <c r="O276" i="10"/>
  <c r="N276" i="10"/>
  <c r="M276" i="10"/>
  <c r="L276" i="10"/>
  <c r="K276" i="10"/>
  <c r="J276" i="10"/>
  <c r="O275" i="10"/>
  <c r="N275" i="10"/>
  <c r="M275" i="10"/>
  <c r="L275" i="10"/>
  <c r="J275" i="10"/>
  <c r="O274" i="10"/>
  <c r="N274" i="10"/>
  <c r="M274" i="10"/>
  <c r="L274" i="10"/>
  <c r="K274" i="10"/>
  <c r="J274" i="10"/>
  <c r="O273" i="10"/>
  <c r="N273" i="10"/>
  <c r="M273" i="10"/>
  <c r="L273" i="10"/>
  <c r="K273" i="10"/>
  <c r="J273" i="10"/>
  <c r="O272" i="10"/>
  <c r="N272" i="10"/>
  <c r="M272" i="10"/>
  <c r="L272" i="10"/>
  <c r="K272" i="10"/>
  <c r="J272" i="10"/>
  <c r="N282" i="10" l="1"/>
  <c r="M283" i="10"/>
  <c r="O283" i="10"/>
  <c r="N284" i="10"/>
  <c r="M285" i="10"/>
  <c r="O285" i="10"/>
  <c r="N286" i="10"/>
  <c r="F263" i="10"/>
  <c r="F264" i="10"/>
  <c r="F265" i="10"/>
  <c r="F266" i="10"/>
  <c r="F267" i="10"/>
  <c r="E263" i="10"/>
  <c r="E264" i="10"/>
  <c r="E265" i="10"/>
  <c r="E266" i="10"/>
  <c r="E267" i="10"/>
  <c r="E262" i="10"/>
  <c r="F262" i="10"/>
  <c r="D263" i="10"/>
  <c r="D264" i="10"/>
  <c r="D265" i="10"/>
  <c r="D266" i="10"/>
  <c r="D267" i="10"/>
  <c r="D262" i="10"/>
  <c r="F254" i="10"/>
  <c r="F255" i="10"/>
  <c r="F256" i="10"/>
  <c r="F257" i="10"/>
  <c r="F258" i="10"/>
  <c r="E254" i="10"/>
  <c r="E255" i="10"/>
  <c r="E256" i="10"/>
  <c r="E257" i="10"/>
  <c r="E258" i="10"/>
  <c r="E253" i="10"/>
  <c r="F253" i="10"/>
  <c r="D254" i="10"/>
  <c r="D255" i="10"/>
  <c r="D256" i="10"/>
  <c r="D257" i="10"/>
  <c r="D258" i="10"/>
  <c r="D253" i="10"/>
  <c r="O262" i="10"/>
  <c r="M262" i="10"/>
  <c r="I262" i="10"/>
  <c r="H262" i="10"/>
  <c r="N262" i="10" s="1"/>
  <c r="G262" i="10"/>
  <c r="N258" i="10"/>
  <c r="I258" i="10"/>
  <c r="O258" i="10" s="1"/>
  <c r="H258" i="10"/>
  <c r="G258" i="10"/>
  <c r="M258" i="10" s="1"/>
  <c r="O257" i="10"/>
  <c r="M257" i="10"/>
  <c r="I257" i="10"/>
  <c r="I267" i="10" s="1"/>
  <c r="O267" i="10" s="1"/>
  <c r="H257" i="10"/>
  <c r="H267" i="10" s="1"/>
  <c r="N267" i="10" s="1"/>
  <c r="G257" i="10"/>
  <c r="G267" i="10" s="1"/>
  <c r="M267" i="10" s="1"/>
  <c r="N256" i="10"/>
  <c r="I256" i="10"/>
  <c r="I266" i="10" s="1"/>
  <c r="O266" i="10" s="1"/>
  <c r="H256" i="10"/>
  <c r="H266" i="10" s="1"/>
  <c r="N266" i="10" s="1"/>
  <c r="G256" i="10"/>
  <c r="G266" i="10" s="1"/>
  <c r="M266" i="10" s="1"/>
  <c r="O255" i="10"/>
  <c r="M255" i="10"/>
  <c r="I255" i="10"/>
  <c r="I265" i="10" s="1"/>
  <c r="O265" i="10" s="1"/>
  <c r="H255" i="10"/>
  <c r="H265" i="10" s="1"/>
  <c r="N265" i="10" s="1"/>
  <c r="G255" i="10"/>
  <c r="G265" i="10" s="1"/>
  <c r="M265" i="10" s="1"/>
  <c r="N254" i="10"/>
  <c r="I254" i="10"/>
  <c r="I264" i="10" s="1"/>
  <c r="O264" i="10" s="1"/>
  <c r="H254" i="10"/>
  <c r="H264" i="10" s="1"/>
  <c r="N264" i="10" s="1"/>
  <c r="G254" i="10"/>
  <c r="G264" i="10" s="1"/>
  <c r="M264" i="10" s="1"/>
  <c r="O253" i="10"/>
  <c r="M253" i="10"/>
  <c r="I253" i="10"/>
  <c r="I263" i="10" s="1"/>
  <c r="O263" i="10" s="1"/>
  <c r="H253" i="10"/>
  <c r="H263" i="10" s="1"/>
  <c r="N263" i="10" s="1"/>
  <c r="G253" i="10"/>
  <c r="G263" i="10" s="1"/>
  <c r="M263" i="10" s="1"/>
  <c r="O248" i="10"/>
  <c r="N248" i="10"/>
  <c r="M248" i="10"/>
  <c r="L248" i="10"/>
  <c r="K248" i="10"/>
  <c r="J248" i="10"/>
  <c r="O247" i="10"/>
  <c r="N247" i="10"/>
  <c r="M247" i="10"/>
  <c r="L247" i="10"/>
  <c r="K247" i="10"/>
  <c r="J247" i="10"/>
  <c r="O246" i="10"/>
  <c r="N246" i="10"/>
  <c r="M246" i="10"/>
  <c r="L246" i="10"/>
  <c r="J246" i="10"/>
  <c r="O245" i="10"/>
  <c r="N245" i="10"/>
  <c r="M245" i="10"/>
  <c r="L245" i="10"/>
  <c r="K245" i="10"/>
  <c r="J245" i="10"/>
  <c r="O244" i="10"/>
  <c r="N244" i="10"/>
  <c r="M244" i="10"/>
  <c r="L244" i="10"/>
  <c r="K244" i="10"/>
  <c r="J244" i="10"/>
  <c r="O243" i="10"/>
  <c r="N243" i="10"/>
  <c r="M243" i="10"/>
  <c r="L243" i="10"/>
  <c r="K243" i="10"/>
  <c r="J243" i="10"/>
  <c r="N253" i="10" l="1"/>
  <c r="M254" i="10"/>
  <c r="O254" i="10"/>
  <c r="N255" i="10"/>
  <c r="M256" i="10"/>
  <c r="O256" i="10"/>
  <c r="N257" i="10"/>
  <c r="F233" i="10"/>
  <c r="F234" i="10"/>
  <c r="F235" i="10"/>
  <c r="F236" i="10"/>
  <c r="F237" i="10"/>
  <c r="E233" i="10"/>
  <c r="E234" i="10"/>
  <c r="E235" i="10"/>
  <c r="E236" i="10"/>
  <c r="E237" i="10"/>
  <c r="E232" i="10"/>
  <c r="F232" i="10"/>
  <c r="D233" i="10"/>
  <c r="D234" i="10"/>
  <c r="D235" i="10"/>
  <c r="D236" i="10"/>
  <c r="D237" i="10"/>
  <c r="D232" i="10"/>
  <c r="F224" i="10"/>
  <c r="F225" i="10"/>
  <c r="F226" i="10"/>
  <c r="F227" i="10"/>
  <c r="F228" i="10"/>
  <c r="E224" i="10"/>
  <c r="E225" i="10"/>
  <c r="E226" i="10"/>
  <c r="E227" i="10"/>
  <c r="E228" i="10"/>
  <c r="E223" i="10"/>
  <c r="F223" i="10"/>
  <c r="D224" i="10"/>
  <c r="D225" i="10"/>
  <c r="D226" i="10"/>
  <c r="D227" i="10"/>
  <c r="D228" i="10"/>
  <c r="D223" i="10"/>
  <c r="I237" i="10"/>
  <c r="O237" i="10" s="1"/>
  <c r="G237" i="10"/>
  <c r="M237" i="10" s="1"/>
  <c r="H236" i="10"/>
  <c r="N236" i="10" s="1"/>
  <c r="I235" i="10"/>
  <c r="O235" i="10" s="1"/>
  <c r="G235" i="10"/>
  <c r="M235" i="10" s="1"/>
  <c r="H234" i="10"/>
  <c r="N234" i="10" s="1"/>
  <c r="I233" i="10"/>
  <c r="O233" i="10" s="1"/>
  <c r="G233" i="10"/>
  <c r="M233" i="10" s="1"/>
  <c r="O232" i="10"/>
  <c r="M232" i="10"/>
  <c r="I232" i="10"/>
  <c r="H232" i="10"/>
  <c r="N232" i="10" s="1"/>
  <c r="G232" i="10"/>
  <c r="N228" i="10"/>
  <c r="I228" i="10"/>
  <c r="O228" i="10" s="1"/>
  <c r="H228" i="10"/>
  <c r="G228" i="10"/>
  <c r="M228" i="10" s="1"/>
  <c r="O227" i="10"/>
  <c r="M227" i="10"/>
  <c r="I227" i="10"/>
  <c r="H227" i="10"/>
  <c r="H237" i="10" s="1"/>
  <c r="N237" i="10" s="1"/>
  <c r="G227" i="10"/>
  <c r="N226" i="10"/>
  <c r="I226" i="10"/>
  <c r="I236" i="10" s="1"/>
  <c r="O236" i="10" s="1"/>
  <c r="H226" i="10"/>
  <c r="G226" i="10"/>
  <c r="G236" i="10" s="1"/>
  <c r="M236" i="10" s="1"/>
  <c r="O225" i="10"/>
  <c r="M225" i="10"/>
  <c r="I225" i="10"/>
  <c r="H225" i="10"/>
  <c r="H235" i="10" s="1"/>
  <c r="N235" i="10" s="1"/>
  <c r="G225" i="10"/>
  <c r="N224" i="10"/>
  <c r="I224" i="10"/>
  <c r="I234" i="10" s="1"/>
  <c r="O234" i="10" s="1"/>
  <c r="H224" i="10"/>
  <c r="G224" i="10"/>
  <c r="G234" i="10" s="1"/>
  <c r="M234" i="10" s="1"/>
  <c r="O223" i="10"/>
  <c r="M223" i="10"/>
  <c r="I223" i="10"/>
  <c r="H223" i="10"/>
  <c r="H233" i="10" s="1"/>
  <c r="N233" i="10" s="1"/>
  <c r="G223" i="10"/>
  <c r="O218" i="10"/>
  <c r="N218" i="10"/>
  <c r="M218" i="10"/>
  <c r="L218" i="10"/>
  <c r="K218" i="10"/>
  <c r="J218" i="10"/>
  <c r="O217" i="10"/>
  <c r="N217" i="10"/>
  <c r="M217" i="10"/>
  <c r="L217" i="10"/>
  <c r="K217" i="10"/>
  <c r="J217" i="10"/>
  <c r="O216" i="10"/>
  <c r="N216" i="10"/>
  <c r="M216" i="10"/>
  <c r="L216" i="10"/>
  <c r="J216" i="10"/>
  <c r="O215" i="10"/>
  <c r="N215" i="10"/>
  <c r="M215" i="10"/>
  <c r="L215" i="10"/>
  <c r="K215" i="10"/>
  <c r="J215" i="10"/>
  <c r="O214" i="10"/>
  <c r="N214" i="10"/>
  <c r="M214" i="10"/>
  <c r="L214" i="10"/>
  <c r="K214" i="10"/>
  <c r="J214" i="10"/>
  <c r="O213" i="10"/>
  <c r="N213" i="10"/>
  <c r="M213" i="10"/>
  <c r="L213" i="10"/>
  <c r="K213" i="10"/>
  <c r="J213" i="10"/>
  <c r="N223" i="10" l="1"/>
  <c r="M224" i="10"/>
  <c r="O224" i="10"/>
  <c r="N225" i="10"/>
  <c r="M226" i="10"/>
  <c r="O226" i="10"/>
  <c r="N227" i="10"/>
  <c r="F203" i="10"/>
  <c r="F204" i="10"/>
  <c r="F205" i="10"/>
  <c r="F206" i="10"/>
  <c r="F207" i="10"/>
  <c r="E203" i="10"/>
  <c r="E204" i="10"/>
  <c r="E205" i="10"/>
  <c r="E206" i="10"/>
  <c r="E207" i="10"/>
  <c r="E202" i="10"/>
  <c r="F202" i="10"/>
  <c r="D203" i="10"/>
  <c r="D204" i="10"/>
  <c r="D205" i="10"/>
  <c r="D206" i="10"/>
  <c r="D207" i="10"/>
  <c r="D202" i="10"/>
  <c r="F194" i="10"/>
  <c r="F195" i="10"/>
  <c r="F196" i="10"/>
  <c r="F197" i="10"/>
  <c r="F198" i="10"/>
  <c r="E194" i="10"/>
  <c r="E195" i="10"/>
  <c r="E196" i="10"/>
  <c r="E197" i="10"/>
  <c r="E198" i="10"/>
  <c r="E193" i="10"/>
  <c r="F193" i="10"/>
  <c r="D194" i="10"/>
  <c r="D195" i="10"/>
  <c r="D196" i="10"/>
  <c r="D197" i="10"/>
  <c r="D198" i="10"/>
  <c r="D193" i="10"/>
  <c r="H207" i="10"/>
  <c r="N207" i="10" s="1"/>
  <c r="I206" i="10"/>
  <c r="O206" i="10" s="1"/>
  <c r="G206" i="10"/>
  <c r="M206" i="10" s="1"/>
  <c r="H205" i="10"/>
  <c r="N205" i="10" s="1"/>
  <c r="I204" i="10"/>
  <c r="O204" i="10" s="1"/>
  <c r="G204" i="10"/>
  <c r="M204" i="10" s="1"/>
  <c r="H203" i="10"/>
  <c r="N203" i="10" s="1"/>
  <c r="N202" i="10"/>
  <c r="I202" i="10"/>
  <c r="O202" i="10" s="1"/>
  <c r="H202" i="10"/>
  <c r="G202" i="10"/>
  <c r="M202" i="10" s="1"/>
  <c r="O198" i="10"/>
  <c r="M198" i="10"/>
  <c r="I198" i="10"/>
  <c r="H198" i="10"/>
  <c r="N198" i="10" s="1"/>
  <c r="G198" i="10"/>
  <c r="N197" i="10"/>
  <c r="I197" i="10"/>
  <c r="I207" i="10" s="1"/>
  <c r="O207" i="10" s="1"/>
  <c r="H197" i="10"/>
  <c r="G197" i="10"/>
  <c r="G207" i="10" s="1"/>
  <c r="M207" i="10" s="1"/>
  <c r="O196" i="10"/>
  <c r="M196" i="10"/>
  <c r="I196" i="10"/>
  <c r="H196" i="10"/>
  <c r="H206" i="10" s="1"/>
  <c r="N206" i="10" s="1"/>
  <c r="G196" i="10"/>
  <c r="N195" i="10"/>
  <c r="I195" i="10"/>
  <c r="I205" i="10" s="1"/>
  <c r="O205" i="10" s="1"/>
  <c r="H195" i="10"/>
  <c r="G195" i="10"/>
  <c r="G205" i="10" s="1"/>
  <c r="M205" i="10" s="1"/>
  <c r="O194" i="10"/>
  <c r="M194" i="10"/>
  <c r="I194" i="10"/>
  <c r="H194" i="10"/>
  <c r="H204" i="10" s="1"/>
  <c r="N204" i="10" s="1"/>
  <c r="G194" i="10"/>
  <c r="N193" i="10"/>
  <c r="I193" i="10"/>
  <c r="I203" i="10" s="1"/>
  <c r="O203" i="10" s="1"/>
  <c r="H193" i="10"/>
  <c r="G193" i="10"/>
  <c r="G203" i="10" s="1"/>
  <c r="M203" i="10" s="1"/>
  <c r="O188" i="10"/>
  <c r="N188" i="10"/>
  <c r="M188" i="10"/>
  <c r="L188" i="10"/>
  <c r="K188" i="10"/>
  <c r="J188" i="10"/>
  <c r="O187" i="10"/>
  <c r="N187" i="10"/>
  <c r="M187" i="10"/>
  <c r="L187" i="10"/>
  <c r="K187" i="10"/>
  <c r="J187" i="10"/>
  <c r="O186" i="10"/>
  <c r="N186" i="10"/>
  <c r="M186" i="10"/>
  <c r="L186" i="10"/>
  <c r="J186" i="10"/>
  <c r="O185" i="10"/>
  <c r="N185" i="10"/>
  <c r="M185" i="10"/>
  <c r="L185" i="10"/>
  <c r="K185" i="10"/>
  <c r="J185" i="10"/>
  <c r="O184" i="10"/>
  <c r="N184" i="10"/>
  <c r="M184" i="10"/>
  <c r="L184" i="10"/>
  <c r="K184" i="10"/>
  <c r="J184" i="10"/>
  <c r="O183" i="10"/>
  <c r="N183" i="10"/>
  <c r="M183" i="10"/>
  <c r="L183" i="10"/>
  <c r="K183" i="10"/>
  <c r="J183" i="10"/>
  <c r="M193" i="10" l="1"/>
  <c r="O193" i="10"/>
  <c r="N194" i="10"/>
  <c r="M195" i="10"/>
  <c r="O195" i="10"/>
  <c r="N196" i="10"/>
  <c r="M197" i="10"/>
  <c r="O197" i="10"/>
  <c r="F173" i="10"/>
  <c r="F174" i="10"/>
  <c r="F175" i="10"/>
  <c r="F176" i="10"/>
  <c r="F177" i="10"/>
  <c r="E173" i="10"/>
  <c r="E174" i="10"/>
  <c r="E175" i="10"/>
  <c r="E176" i="10"/>
  <c r="E177" i="10"/>
  <c r="E172" i="10"/>
  <c r="F172" i="10"/>
  <c r="G172" i="10"/>
  <c r="H172" i="10"/>
  <c r="D173" i="10"/>
  <c r="D174" i="10"/>
  <c r="D175" i="10"/>
  <c r="D176" i="10"/>
  <c r="D177" i="10"/>
  <c r="D172" i="10"/>
  <c r="F164" i="10"/>
  <c r="F165" i="10"/>
  <c r="F166" i="10"/>
  <c r="F167" i="10"/>
  <c r="F168" i="10"/>
  <c r="E164" i="10"/>
  <c r="E165" i="10"/>
  <c r="E166" i="10"/>
  <c r="E167" i="10"/>
  <c r="E168" i="10"/>
  <c r="E163" i="10"/>
  <c r="F163" i="10"/>
  <c r="D164" i="10"/>
  <c r="D165" i="10"/>
  <c r="D166" i="10"/>
  <c r="D167" i="10"/>
  <c r="D168" i="10"/>
  <c r="D163" i="10"/>
  <c r="N177" i="10"/>
  <c r="I177" i="10"/>
  <c r="O177" i="10" s="1"/>
  <c r="H177" i="10"/>
  <c r="G177" i="10"/>
  <c r="M177" i="10" s="1"/>
  <c r="O176" i="10"/>
  <c r="M176" i="10"/>
  <c r="I176" i="10"/>
  <c r="H176" i="10"/>
  <c r="N176" i="10" s="1"/>
  <c r="G176" i="10"/>
  <c r="N175" i="10"/>
  <c r="I175" i="10"/>
  <c r="O175" i="10" s="1"/>
  <c r="H175" i="10"/>
  <c r="G175" i="10"/>
  <c r="M175" i="10" s="1"/>
  <c r="O174" i="10"/>
  <c r="M174" i="10"/>
  <c r="I174" i="10"/>
  <c r="H174" i="10"/>
  <c r="N174" i="10" s="1"/>
  <c r="G174" i="10"/>
  <c r="N173" i="10"/>
  <c r="I173" i="10"/>
  <c r="O173" i="10" s="1"/>
  <c r="H173" i="10"/>
  <c r="G173" i="10"/>
  <c r="M173" i="10" s="1"/>
  <c r="O172" i="10"/>
  <c r="M172" i="10"/>
  <c r="I172" i="10"/>
  <c r="N172" i="10"/>
  <c r="N168" i="10"/>
  <c r="I168" i="10"/>
  <c r="O168" i="10" s="1"/>
  <c r="H168" i="10"/>
  <c r="G168" i="10"/>
  <c r="M168" i="10" s="1"/>
  <c r="O167" i="10"/>
  <c r="M167" i="10"/>
  <c r="I167" i="10"/>
  <c r="H167" i="10"/>
  <c r="N167" i="10" s="1"/>
  <c r="G167" i="10"/>
  <c r="N166" i="10"/>
  <c r="I166" i="10"/>
  <c r="O166" i="10" s="1"/>
  <c r="H166" i="10"/>
  <c r="G166" i="10"/>
  <c r="M166" i="10" s="1"/>
  <c r="O165" i="10"/>
  <c r="M165" i="10"/>
  <c r="I165" i="10"/>
  <c r="H165" i="10"/>
  <c r="N165" i="10" s="1"/>
  <c r="G165" i="10"/>
  <c r="N164" i="10"/>
  <c r="I164" i="10"/>
  <c r="O164" i="10" s="1"/>
  <c r="H164" i="10"/>
  <c r="G164" i="10"/>
  <c r="M164" i="10" s="1"/>
  <c r="O163" i="10"/>
  <c r="M163" i="10"/>
  <c r="I163" i="10"/>
  <c r="H163" i="10"/>
  <c r="N163" i="10" s="1"/>
  <c r="G163" i="10"/>
  <c r="O158" i="10"/>
  <c r="N158" i="10"/>
  <c r="M158" i="10"/>
  <c r="L158" i="10"/>
  <c r="K158" i="10"/>
  <c r="J158" i="10"/>
  <c r="O157" i="10"/>
  <c r="N157" i="10"/>
  <c r="M157" i="10"/>
  <c r="L157" i="10"/>
  <c r="K157" i="10"/>
  <c r="J157" i="10"/>
  <c r="O156" i="10"/>
  <c r="N156" i="10"/>
  <c r="M156" i="10"/>
  <c r="L156" i="10"/>
  <c r="J156" i="10"/>
  <c r="O155" i="10"/>
  <c r="N155" i="10"/>
  <c r="M155" i="10"/>
  <c r="L155" i="10"/>
  <c r="K155" i="10"/>
  <c r="J155" i="10"/>
  <c r="O154" i="10"/>
  <c r="N154" i="10"/>
  <c r="M154" i="10"/>
  <c r="L154" i="10"/>
  <c r="K154" i="10"/>
  <c r="J154" i="10"/>
  <c r="O153" i="10"/>
  <c r="N153" i="10"/>
  <c r="M153" i="10"/>
  <c r="L153" i="10"/>
  <c r="K153" i="10"/>
  <c r="J153" i="10"/>
  <c r="D144" i="10" l="1"/>
  <c r="E144" i="10"/>
  <c r="F144" i="10"/>
  <c r="D145" i="10"/>
  <c r="E145" i="10"/>
  <c r="F145" i="10"/>
  <c r="D146" i="10"/>
  <c r="E146" i="10"/>
  <c r="F146" i="10"/>
  <c r="D147" i="10"/>
  <c r="E147" i="10"/>
  <c r="F147" i="10"/>
  <c r="D148" i="10"/>
  <c r="E148" i="10"/>
  <c r="F148" i="10"/>
  <c r="E143" i="10"/>
  <c r="F143" i="10"/>
  <c r="D143" i="10"/>
  <c r="I148" i="10"/>
  <c r="O148" i="10" s="1"/>
  <c r="H148" i="10"/>
  <c r="N148" i="10" s="1"/>
  <c r="G148" i="10"/>
  <c r="M148" i="10" s="1"/>
  <c r="I147" i="10"/>
  <c r="O147" i="10" s="1"/>
  <c r="H147" i="10"/>
  <c r="N147" i="10" s="1"/>
  <c r="G147" i="10"/>
  <c r="M147" i="10" s="1"/>
  <c r="I146" i="10"/>
  <c r="O146" i="10" s="1"/>
  <c r="H146" i="10"/>
  <c r="N146" i="10" s="1"/>
  <c r="G146" i="10"/>
  <c r="M146" i="10" s="1"/>
  <c r="I145" i="10"/>
  <c r="O145" i="10" s="1"/>
  <c r="H145" i="10"/>
  <c r="N145" i="10" s="1"/>
  <c r="G145" i="10"/>
  <c r="M145" i="10" s="1"/>
  <c r="I144" i="10"/>
  <c r="O144" i="10" s="1"/>
  <c r="H144" i="10"/>
  <c r="N144" i="10" s="1"/>
  <c r="G144" i="10"/>
  <c r="M144" i="10" s="1"/>
  <c r="I143" i="10"/>
  <c r="O143" i="10" s="1"/>
  <c r="H143" i="10"/>
  <c r="N143" i="10" s="1"/>
  <c r="G143" i="10"/>
  <c r="M143" i="10" s="1"/>
  <c r="O138" i="10"/>
  <c r="N138" i="10"/>
  <c r="M138" i="10"/>
  <c r="L138" i="10"/>
  <c r="K138" i="10"/>
  <c r="J138" i="10"/>
  <c r="O137" i="10"/>
  <c r="N137" i="10"/>
  <c r="M137" i="10"/>
  <c r="L137" i="10"/>
  <c r="K137" i="10"/>
  <c r="J137" i="10"/>
  <c r="O136" i="10"/>
  <c r="N136" i="10"/>
  <c r="M136" i="10"/>
  <c r="L136" i="10"/>
  <c r="J136" i="10"/>
  <c r="O135" i="10"/>
  <c r="N135" i="10"/>
  <c r="M135" i="10"/>
  <c r="L135" i="10"/>
  <c r="K135" i="10"/>
  <c r="J135" i="10"/>
  <c r="O134" i="10"/>
  <c r="N134" i="10"/>
  <c r="M134" i="10"/>
  <c r="L134" i="10"/>
  <c r="K134" i="10"/>
  <c r="J134" i="10"/>
  <c r="O133" i="10"/>
  <c r="N133" i="10"/>
  <c r="M133" i="10"/>
  <c r="L133" i="10"/>
  <c r="K133" i="10"/>
  <c r="J133" i="10"/>
  <c r="D123" i="10" l="1"/>
  <c r="E123" i="10"/>
  <c r="F123" i="10"/>
  <c r="D124" i="10"/>
  <c r="E124" i="10"/>
  <c r="F124" i="10"/>
  <c r="D125" i="10"/>
  <c r="E125" i="10"/>
  <c r="F125" i="10"/>
  <c r="D126" i="10"/>
  <c r="E126" i="10"/>
  <c r="F126" i="10"/>
  <c r="D127" i="10"/>
  <c r="E127" i="10"/>
  <c r="F127" i="10"/>
  <c r="E122" i="10"/>
  <c r="F122" i="10"/>
  <c r="D122" i="10"/>
  <c r="I127" i="10"/>
  <c r="O127" i="10" s="1"/>
  <c r="H127" i="10"/>
  <c r="N127" i="10" s="1"/>
  <c r="G127" i="10"/>
  <c r="M127" i="10" s="1"/>
  <c r="M126" i="10"/>
  <c r="I126" i="10"/>
  <c r="O126" i="10" s="1"/>
  <c r="H126" i="10"/>
  <c r="N126" i="10" s="1"/>
  <c r="G126" i="10"/>
  <c r="I125" i="10"/>
  <c r="O125" i="10" s="1"/>
  <c r="H125" i="10"/>
  <c r="N125" i="10" s="1"/>
  <c r="G125" i="10"/>
  <c r="M125" i="10" s="1"/>
  <c r="I124" i="10"/>
  <c r="O124" i="10" s="1"/>
  <c r="H124" i="10"/>
  <c r="N124" i="10" s="1"/>
  <c r="G124" i="10"/>
  <c r="M124" i="10" s="1"/>
  <c r="I123" i="10"/>
  <c r="O123" i="10" s="1"/>
  <c r="H123" i="10"/>
  <c r="N123" i="10" s="1"/>
  <c r="G123" i="10"/>
  <c r="M123" i="10" s="1"/>
  <c r="I122" i="10"/>
  <c r="O122" i="10" s="1"/>
  <c r="H122" i="10"/>
  <c r="N122" i="10" s="1"/>
  <c r="G122" i="10"/>
  <c r="M122" i="10" s="1"/>
  <c r="O117" i="10"/>
  <c r="N117" i="10"/>
  <c r="M117" i="10"/>
  <c r="L117" i="10"/>
  <c r="K117" i="10"/>
  <c r="J117" i="10"/>
  <c r="O116" i="10"/>
  <c r="N116" i="10"/>
  <c r="M116" i="10"/>
  <c r="L116" i="10"/>
  <c r="K116" i="10"/>
  <c r="J116" i="10"/>
  <c r="O115" i="10"/>
  <c r="N115" i="10"/>
  <c r="M115" i="10"/>
  <c r="L115" i="10"/>
  <c r="K115" i="10"/>
  <c r="J115" i="10"/>
  <c r="O114" i="10"/>
  <c r="N114" i="10"/>
  <c r="M114" i="10"/>
  <c r="L114" i="10"/>
  <c r="K114" i="10"/>
  <c r="J114" i="10"/>
  <c r="O113" i="10"/>
  <c r="N113" i="10"/>
  <c r="M113" i="10"/>
  <c r="L113" i="10"/>
  <c r="K113" i="10"/>
  <c r="J113" i="10"/>
  <c r="O112" i="10"/>
  <c r="N112" i="10"/>
  <c r="M112" i="10"/>
  <c r="L112" i="10"/>
  <c r="K112" i="10"/>
  <c r="J112" i="10"/>
  <c r="D102" i="10" l="1"/>
  <c r="E102" i="10"/>
  <c r="F102" i="10"/>
  <c r="D103" i="10"/>
  <c r="E103" i="10"/>
  <c r="F103" i="10"/>
  <c r="D104" i="10"/>
  <c r="E104" i="10"/>
  <c r="F104" i="10"/>
  <c r="D105" i="10"/>
  <c r="E105" i="10"/>
  <c r="F105" i="10"/>
  <c r="D106" i="10"/>
  <c r="E106" i="10"/>
  <c r="F106" i="10"/>
  <c r="E101" i="10"/>
  <c r="F101" i="10"/>
  <c r="D101" i="10"/>
  <c r="I106" i="10"/>
  <c r="O106" i="10" s="1"/>
  <c r="H106" i="10"/>
  <c r="N106" i="10" s="1"/>
  <c r="G106" i="10"/>
  <c r="M106" i="10" s="1"/>
  <c r="I105" i="10"/>
  <c r="O105" i="10" s="1"/>
  <c r="H105" i="10"/>
  <c r="N105" i="10" s="1"/>
  <c r="G105" i="10"/>
  <c r="M105" i="10" s="1"/>
  <c r="I104" i="10"/>
  <c r="O104" i="10" s="1"/>
  <c r="H104" i="10"/>
  <c r="N104" i="10" s="1"/>
  <c r="G104" i="10"/>
  <c r="M104" i="10" s="1"/>
  <c r="I103" i="10"/>
  <c r="O103" i="10" s="1"/>
  <c r="H103" i="10"/>
  <c r="N103" i="10" s="1"/>
  <c r="G103" i="10"/>
  <c r="M103" i="10" s="1"/>
  <c r="I102" i="10"/>
  <c r="O102" i="10" s="1"/>
  <c r="H102" i="10"/>
  <c r="N102" i="10" s="1"/>
  <c r="G102" i="10"/>
  <c r="M102" i="10" s="1"/>
  <c r="I101" i="10"/>
  <c r="O101" i="10" s="1"/>
  <c r="H101" i="10"/>
  <c r="N101" i="10" s="1"/>
  <c r="G101" i="10"/>
  <c r="M101" i="10" s="1"/>
  <c r="O96" i="10"/>
  <c r="N96" i="10"/>
  <c r="M96" i="10"/>
  <c r="L96" i="10"/>
  <c r="K96" i="10"/>
  <c r="J96" i="10"/>
  <c r="O95" i="10"/>
  <c r="N95" i="10"/>
  <c r="M95" i="10"/>
  <c r="L95" i="10"/>
  <c r="K95" i="10"/>
  <c r="J95" i="10"/>
  <c r="O94" i="10"/>
  <c r="N94" i="10"/>
  <c r="M94" i="10"/>
  <c r="L94" i="10"/>
  <c r="K94" i="10"/>
  <c r="J94" i="10"/>
  <c r="O93" i="10"/>
  <c r="N93" i="10"/>
  <c r="M93" i="10"/>
  <c r="L93" i="10"/>
  <c r="K93" i="10"/>
  <c r="J93" i="10"/>
  <c r="O92" i="10"/>
  <c r="N92" i="10"/>
  <c r="M92" i="10"/>
  <c r="L92" i="10"/>
  <c r="K92" i="10"/>
  <c r="J92" i="10"/>
  <c r="O91" i="10"/>
  <c r="N91" i="10"/>
  <c r="M91" i="10"/>
  <c r="L91" i="10"/>
  <c r="K91" i="10"/>
  <c r="J91" i="10"/>
  <c r="D81" i="10" l="1"/>
  <c r="E81" i="10"/>
  <c r="F81" i="10"/>
  <c r="D82" i="10"/>
  <c r="E82" i="10"/>
  <c r="F82" i="10"/>
  <c r="D83" i="10"/>
  <c r="E83" i="10"/>
  <c r="F83" i="10"/>
  <c r="D84" i="10"/>
  <c r="E84" i="10"/>
  <c r="F84" i="10"/>
  <c r="D85" i="10"/>
  <c r="E85" i="10"/>
  <c r="F85" i="10"/>
  <c r="E80" i="10"/>
  <c r="F80" i="10"/>
  <c r="D80" i="10"/>
  <c r="J73" i="10"/>
  <c r="I85" i="10"/>
  <c r="O85" i="10" s="1"/>
  <c r="H85" i="10"/>
  <c r="N85" i="10" s="1"/>
  <c r="G85" i="10"/>
  <c r="M85" i="10" s="1"/>
  <c r="I84" i="10"/>
  <c r="O84" i="10" s="1"/>
  <c r="H84" i="10"/>
  <c r="N84" i="10" s="1"/>
  <c r="G84" i="10"/>
  <c r="M84" i="10" s="1"/>
  <c r="I83" i="10"/>
  <c r="O83" i="10" s="1"/>
  <c r="H83" i="10"/>
  <c r="N83" i="10" s="1"/>
  <c r="G83" i="10"/>
  <c r="M83" i="10" s="1"/>
  <c r="I82" i="10"/>
  <c r="O82" i="10" s="1"/>
  <c r="H82" i="10"/>
  <c r="N82" i="10" s="1"/>
  <c r="G82" i="10"/>
  <c r="M82" i="10" s="1"/>
  <c r="I81" i="10"/>
  <c r="O81" i="10" s="1"/>
  <c r="H81" i="10"/>
  <c r="N81" i="10" s="1"/>
  <c r="G81" i="10"/>
  <c r="M81" i="10" s="1"/>
  <c r="I80" i="10"/>
  <c r="O80" i="10" s="1"/>
  <c r="H80" i="10"/>
  <c r="N80" i="10" s="1"/>
  <c r="G80" i="10"/>
  <c r="M80" i="10" s="1"/>
  <c r="O75" i="10"/>
  <c r="N75" i="10"/>
  <c r="M75" i="10"/>
  <c r="L75" i="10"/>
  <c r="K75" i="10"/>
  <c r="J75" i="10"/>
  <c r="O74" i="10"/>
  <c r="N74" i="10"/>
  <c r="M74" i="10"/>
  <c r="L74" i="10"/>
  <c r="K74" i="10"/>
  <c r="J74" i="10"/>
  <c r="O73" i="10"/>
  <c r="N73" i="10"/>
  <c r="M73" i="10"/>
  <c r="L73" i="10"/>
  <c r="K73" i="10"/>
  <c r="O72" i="10"/>
  <c r="N72" i="10"/>
  <c r="M72" i="10"/>
  <c r="L72" i="10"/>
  <c r="K72" i="10"/>
  <c r="J72" i="10"/>
  <c r="O71" i="10"/>
  <c r="N71" i="10"/>
  <c r="M71" i="10"/>
  <c r="L71" i="10"/>
  <c r="K71" i="10"/>
  <c r="J71" i="10"/>
  <c r="O70" i="10"/>
  <c r="N70" i="10"/>
  <c r="M70" i="10"/>
  <c r="L70" i="10"/>
  <c r="K70" i="10"/>
  <c r="J70" i="10"/>
  <c r="D59" i="10" l="1"/>
  <c r="E59" i="10"/>
  <c r="F59" i="10"/>
  <c r="D60" i="10"/>
  <c r="E60" i="10"/>
  <c r="F60" i="10"/>
  <c r="D61" i="10"/>
  <c r="E61" i="10"/>
  <c r="F61" i="10"/>
  <c r="D62" i="10"/>
  <c r="E62" i="10"/>
  <c r="F62" i="10"/>
  <c r="D63" i="10"/>
  <c r="E63" i="10"/>
  <c r="F63" i="10"/>
  <c r="E58" i="10"/>
  <c r="F58" i="10"/>
  <c r="D58" i="10" l="1"/>
  <c r="I63" i="10"/>
  <c r="O63" i="10" s="1"/>
  <c r="H63" i="10"/>
  <c r="N63" i="10" s="1"/>
  <c r="G63" i="10"/>
  <c r="M63" i="10" s="1"/>
  <c r="I62" i="10"/>
  <c r="O62" i="10" s="1"/>
  <c r="H62" i="10"/>
  <c r="N62" i="10" s="1"/>
  <c r="G62" i="10"/>
  <c r="M62" i="10" s="1"/>
  <c r="I61" i="10"/>
  <c r="O61" i="10" s="1"/>
  <c r="H61" i="10"/>
  <c r="N61" i="10" s="1"/>
  <c r="G61" i="10"/>
  <c r="M61" i="10" s="1"/>
  <c r="I60" i="10"/>
  <c r="O60" i="10" s="1"/>
  <c r="H60" i="10"/>
  <c r="N60" i="10" s="1"/>
  <c r="G60" i="10"/>
  <c r="M60" i="10" s="1"/>
  <c r="I59" i="10"/>
  <c r="O59" i="10" s="1"/>
  <c r="H59" i="10"/>
  <c r="N59" i="10" s="1"/>
  <c r="G59" i="10"/>
  <c r="M59" i="10" s="1"/>
  <c r="I58" i="10"/>
  <c r="O58" i="10" s="1"/>
  <c r="H58" i="10"/>
  <c r="N58" i="10" s="1"/>
  <c r="G58" i="10"/>
  <c r="M58" i="10" s="1"/>
  <c r="O53" i="10"/>
  <c r="N53" i="10"/>
  <c r="M53" i="10"/>
  <c r="L53" i="10"/>
  <c r="K53" i="10"/>
  <c r="J53" i="10"/>
  <c r="O52" i="10"/>
  <c r="N52" i="10"/>
  <c r="M52" i="10"/>
  <c r="L52" i="10"/>
  <c r="K52" i="10"/>
  <c r="J52" i="10"/>
  <c r="O51" i="10"/>
  <c r="N51" i="10"/>
  <c r="M51" i="10"/>
  <c r="L51" i="10"/>
  <c r="K51" i="10"/>
  <c r="J51" i="10"/>
  <c r="O50" i="10"/>
  <c r="N50" i="10"/>
  <c r="M50" i="10"/>
  <c r="L50" i="10"/>
  <c r="K50" i="10"/>
  <c r="J50" i="10"/>
  <c r="O49" i="10"/>
  <c r="N49" i="10"/>
  <c r="M49" i="10"/>
  <c r="L49" i="10"/>
  <c r="K49" i="10"/>
  <c r="J49" i="10"/>
  <c r="O48" i="10"/>
  <c r="N48" i="10"/>
  <c r="M48" i="10"/>
  <c r="L48" i="10"/>
  <c r="K48" i="10"/>
  <c r="J48" i="10"/>
  <c r="D37" i="10" l="1"/>
  <c r="E37" i="10"/>
  <c r="F37" i="10"/>
  <c r="D38" i="10"/>
  <c r="E38" i="10"/>
  <c r="F38" i="10"/>
  <c r="D39" i="10"/>
  <c r="E39" i="10"/>
  <c r="F39" i="10"/>
  <c r="D40" i="10"/>
  <c r="E40" i="10"/>
  <c r="F40" i="10"/>
  <c r="D41" i="10"/>
  <c r="E41" i="10"/>
  <c r="F41" i="10"/>
  <c r="E36" i="10"/>
  <c r="F36" i="10"/>
  <c r="D36" i="10"/>
  <c r="D16" i="10"/>
  <c r="E16" i="10"/>
  <c r="F16" i="10"/>
  <c r="D17" i="10"/>
  <c r="E17" i="10"/>
  <c r="F17" i="10"/>
  <c r="D18" i="10"/>
  <c r="E18" i="10"/>
  <c r="F18" i="10"/>
  <c r="D19" i="10"/>
  <c r="E19" i="10"/>
  <c r="F19" i="10"/>
  <c r="D20" i="10"/>
  <c r="E20" i="10"/>
  <c r="F20" i="10"/>
  <c r="E15" i="10"/>
  <c r="F15" i="10"/>
  <c r="D15" i="10"/>
  <c r="K29" i="10"/>
  <c r="I41" i="10" l="1"/>
  <c r="O41" i="10" s="1"/>
  <c r="H41" i="10"/>
  <c r="N41" i="10" s="1"/>
  <c r="G41" i="10"/>
  <c r="M41" i="10" s="1"/>
  <c r="I40" i="10"/>
  <c r="O40" i="10" s="1"/>
  <c r="H40" i="10"/>
  <c r="N40" i="10" s="1"/>
  <c r="G40" i="10"/>
  <c r="M40" i="10" s="1"/>
  <c r="I39" i="10"/>
  <c r="O39" i="10" s="1"/>
  <c r="H39" i="10"/>
  <c r="N39" i="10" s="1"/>
  <c r="G39" i="10"/>
  <c r="M39" i="10" s="1"/>
  <c r="I38" i="10"/>
  <c r="O38" i="10" s="1"/>
  <c r="H38" i="10"/>
  <c r="N38" i="10" s="1"/>
  <c r="G38" i="10"/>
  <c r="M38" i="10" s="1"/>
  <c r="I37" i="10"/>
  <c r="O37" i="10" s="1"/>
  <c r="H37" i="10"/>
  <c r="N37" i="10" s="1"/>
  <c r="G37" i="10"/>
  <c r="M37" i="10" s="1"/>
  <c r="I36" i="10"/>
  <c r="O36" i="10" s="1"/>
  <c r="H36" i="10"/>
  <c r="N36" i="10" s="1"/>
  <c r="G36" i="10"/>
  <c r="M36" i="10" s="1"/>
  <c r="O31" i="10"/>
  <c r="N31" i="10"/>
  <c r="M31" i="10"/>
  <c r="L31" i="10"/>
  <c r="K31" i="10"/>
  <c r="J31" i="10"/>
  <c r="O30" i="10"/>
  <c r="N30" i="10"/>
  <c r="M30" i="10"/>
  <c r="L30" i="10"/>
  <c r="K30" i="10"/>
  <c r="J30" i="10"/>
  <c r="O29" i="10"/>
  <c r="N29" i="10"/>
  <c r="M29" i="10"/>
  <c r="L29" i="10"/>
  <c r="J29" i="10"/>
  <c r="O28" i="10"/>
  <c r="N28" i="10"/>
  <c r="M28" i="10"/>
  <c r="L28" i="10"/>
  <c r="K28" i="10"/>
  <c r="J28" i="10"/>
  <c r="O27" i="10"/>
  <c r="N27" i="10"/>
  <c r="M27" i="10"/>
  <c r="L27" i="10"/>
  <c r="K27" i="10"/>
  <c r="J27" i="10"/>
  <c r="O26" i="10"/>
  <c r="N26" i="10"/>
  <c r="M26" i="10"/>
  <c r="L26" i="10"/>
  <c r="K26" i="10"/>
  <c r="J26" i="10"/>
  <c r="I20" i="10" l="1"/>
  <c r="O20" i="10" s="1"/>
  <c r="H20" i="10"/>
  <c r="N20" i="10" s="1"/>
  <c r="G20" i="10"/>
  <c r="M20" i="10" s="1"/>
  <c r="I19" i="10"/>
  <c r="O19" i="10" s="1"/>
  <c r="H19" i="10"/>
  <c r="N19" i="10" s="1"/>
  <c r="G19" i="10"/>
  <c r="M19" i="10" s="1"/>
  <c r="I18" i="10"/>
  <c r="O18" i="10" s="1"/>
  <c r="H18" i="10"/>
  <c r="N18" i="10" s="1"/>
  <c r="G18" i="10"/>
  <c r="M18" i="10" s="1"/>
  <c r="M17" i="10"/>
  <c r="I17" i="10"/>
  <c r="O17" i="10" s="1"/>
  <c r="H17" i="10"/>
  <c r="N17" i="10" s="1"/>
  <c r="G17" i="10"/>
  <c r="I16" i="10"/>
  <c r="O16" i="10" s="1"/>
  <c r="H16" i="10"/>
  <c r="N16" i="10" s="1"/>
  <c r="G16" i="10"/>
  <c r="M16" i="10" s="1"/>
  <c r="I15" i="10"/>
  <c r="O15" i="10" s="1"/>
  <c r="H15" i="10"/>
  <c r="N15" i="10" s="1"/>
  <c r="G15" i="10"/>
  <c r="M15" i="10" s="1"/>
  <c r="O10" i="10"/>
  <c r="N10" i="10"/>
  <c r="M10" i="10"/>
  <c r="L10" i="10"/>
  <c r="K10" i="10"/>
  <c r="J10" i="10"/>
  <c r="O9" i="10"/>
  <c r="N9" i="10"/>
  <c r="M9" i="10"/>
  <c r="L9" i="10"/>
  <c r="K9" i="10"/>
  <c r="J9" i="10"/>
  <c r="O8" i="10"/>
  <c r="N8" i="10"/>
  <c r="M8" i="10"/>
  <c r="L8" i="10"/>
  <c r="K8" i="10"/>
  <c r="J8" i="10"/>
  <c r="O7" i="10"/>
  <c r="N7" i="10"/>
  <c r="M7" i="10"/>
  <c r="L7" i="10"/>
  <c r="K7" i="10"/>
  <c r="J7" i="10"/>
  <c r="O6" i="10"/>
  <c r="N6" i="10"/>
  <c r="M6" i="10"/>
  <c r="L6" i="10"/>
  <c r="K6" i="10"/>
  <c r="J6" i="10"/>
  <c r="O5" i="10"/>
  <c r="N5" i="10"/>
  <c r="M5" i="10"/>
  <c r="L5" i="10"/>
  <c r="K5" i="10"/>
  <c r="J5" i="10"/>
  <c r="J271" i="9"/>
  <c r="J270" i="9"/>
  <c r="J249" i="9"/>
  <c r="J248" i="9"/>
  <c r="J227" i="9"/>
  <c r="J226" i="9"/>
  <c r="J207" i="9"/>
  <c r="J206" i="9"/>
  <c r="J187" i="9"/>
  <c r="J186" i="9"/>
  <c r="J167" i="9"/>
  <c r="J166" i="9"/>
  <c r="J147" i="9"/>
  <c r="J146" i="9"/>
  <c r="J127" i="9"/>
  <c r="J126" i="9"/>
  <c r="J107" i="9"/>
  <c r="J106" i="9"/>
  <c r="J87" i="9"/>
  <c r="J86" i="9"/>
  <c r="J67" i="9"/>
  <c r="J66" i="9"/>
  <c r="K66" i="9"/>
  <c r="L66" i="9"/>
  <c r="J68" i="9"/>
  <c r="J69" i="9"/>
  <c r="J70" i="9"/>
  <c r="J71" i="9"/>
  <c r="F281" i="9" l="1"/>
  <c r="F282" i="9"/>
  <c r="F283" i="9"/>
  <c r="F284" i="9"/>
  <c r="F285" i="9"/>
  <c r="E281" i="9"/>
  <c r="E282" i="9"/>
  <c r="E283" i="9"/>
  <c r="E284" i="9"/>
  <c r="E285" i="9"/>
  <c r="D281" i="9" l="1"/>
  <c r="D282" i="9"/>
  <c r="D283" i="9"/>
  <c r="D284" i="9"/>
  <c r="D285" i="9"/>
  <c r="E280" i="9"/>
  <c r="F280" i="9"/>
  <c r="D280" i="9"/>
  <c r="I285" i="9"/>
  <c r="O285" i="9" s="1"/>
  <c r="H285" i="9"/>
  <c r="N285" i="9" s="1"/>
  <c r="G285" i="9"/>
  <c r="M285" i="9" s="1"/>
  <c r="O284" i="9"/>
  <c r="I284" i="9"/>
  <c r="H284" i="9"/>
  <c r="N284" i="9" s="1"/>
  <c r="G284" i="9"/>
  <c r="M284" i="9" s="1"/>
  <c r="I283" i="9"/>
  <c r="O283" i="9" s="1"/>
  <c r="H283" i="9"/>
  <c r="N283" i="9" s="1"/>
  <c r="G283" i="9"/>
  <c r="M283" i="9" s="1"/>
  <c r="I282" i="9"/>
  <c r="O282" i="9" s="1"/>
  <c r="H282" i="9"/>
  <c r="N282" i="9" s="1"/>
  <c r="G282" i="9"/>
  <c r="M282" i="9" s="1"/>
  <c r="I281" i="9"/>
  <c r="O281" i="9" s="1"/>
  <c r="H281" i="9"/>
  <c r="N281" i="9" s="1"/>
  <c r="G281" i="9"/>
  <c r="M281" i="9" s="1"/>
  <c r="I280" i="9"/>
  <c r="O280" i="9" s="1"/>
  <c r="H280" i="9"/>
  <c r="N280" i="9" s="1"/>
  <c r="G280" i="9"/>
  <c r="M280" i="9" s="1"/>
  <c r="O275" i="9"/>
  <c r="N275" i="9"/>
  <c r="M275" i="9"/>
  <c r="L275" i="9"/>
  <c r="K275" i="9"/>
  <c r="J275" i="9"/>
  <c r="O274" i="9"/>
  <c r="N274" i="9"/>
  <c r="M274" i="9"/>
  <c r="L274" i="9"/>
  <c r="K274" i="9"/>
  <c r="J274" i="9"/>
  <c r="O273" i="9"/>
  <c r="N273" i="9"/>
  <c r="M273" i="9"/>
  <c r="L273" i="9"/>
  <c r="K273" i="9"/>
  <c r="J273" i="9"/>
  <c r="O272" i="9"/>
  <c r="N272" i="9"/>
  <c r="M272" i="9"/>
  <c r="L272" i="9"/>
  <c r="K272" i="9"/>
  <c r="J272" i="9"/>
  <c r="O271" i="9"/>
  <c r="N271" i="9"/>
  <c r="M271" i="9"/>
  <c r="L271" i="9"/>
  <c r="K271" i="9"/>
  <c r="O270" i="9"/>
  <c r="N270" i="9"/>
  <c r="M270" i="9"/>
  <c r="L270" i="9"/>
  <c r="K270" i="9"/>
  <c r="D259" i="9" l="1"/>
  <c r="D260" i="9"/>
  <c r="D261" i="9"/>
  <c r="D262" i="9"/>
  <c r="D263" i="9"/>
  <c r="F259" i="9"/>
  <c r="F260" i="9"/>
  <c r="F261" i="9"/>
  <c r="F262" i="9"/>
  <c r="F263" i="9"/>
  <c r="E259" i="9"/>
  <c r="E260" i="9"/>
  <c r="E261" i="9"/>
  <c r="E262" i="9"/>
  <c r="E263" i="9"/>
  <c r="E258" i="9" l="1"/>
  <c r="F258" i="9"/>
  <c r="D258" i="9"/>
  <c r="I263" i="9" l="1"/>
  <c r="O263" i="9" s="1"/>
  <c r="H263" i="9"/>
  <c r="N263" i="9" s="1"/>
  <c r="G263" i="9"/>
  <c r="M263" i="9" s="1"/>
  <c r="I262" i="9"/>
  <c r="O262" i="9" s="1"/>
  <c r="H262" i="9"/>
  <c r="N262" i="9" s="1"/>
  <c r="G262" i="9"/>
  <c r="M262" i="9" s="1"/>
  <c r="I261" i="9"/>
  <c r="O261" i="9" s="1"/>
  <c r="H261" i="9"/>
  <c r="N261" i="9" s="1"/>
  <c r="G261" i="9"/>
  <c r="M261" i="9" s="1"/>
  <c r="I260" i="9"/>
  <c r="O260" i="9" s="1"/>
  <c r="H260" i="9"/>
  <c r="N260" i="9" s="1"/>
  <c r="G260" i="9"/>
  <c r="M260" i="9" s="1"/>
  <c r="I259" i="9"/>
  <c r="O259" i="9" s="1"/>
  <c r="H259" i="9"/>
  <c r="N259" i="9" s="1"/>
  <c r="G259" i="9"/>
  <c r="M259" i="9" s="1"/>
  <c r="I258" i="9"/>
  <c r="O258" i="9" s="1"/>
  <c r="H258" i="9"/>
  <c r="N258" i="9" s="1"/>
  <c r="G258" i="9"/>
  <c r="M258" i="9" s="1"/>
  <c r="O253" i="9"/>
  <c r="N253" i="9"/>
  <c r="M253" i="9"/>
  <c r="L253" i="9"/>
  <c r="K253" i="9"/>
  <c r="J253" i="9"/>
  <c r="O252" i="9"/>
  <c r="N252" i="9"/>
  <c r="M252" i="9"/>
  <c r="L252" i="9"/>
  <c r="K252" i="9"/>
  <c r="J252" i="9"/>
  <c r="O251" i="9"/>
  <c r="N251" i="9"/>
  <c r="M251" i="9"/>
  <c r="L251" i="9"/>
  <c r="K251" i="9"/>
  <c r="J251" i="9"/>
  <c r="O250" i="9"/>
  <c r="N250" i="9"/>
  <c r="M250" i="9"/>
  <c r="L250" i="9"/>
  <c r="K250" i="9"/>
  <c r="J250" i="9"/>
  <c r="O249" i="9"/>
  <c r="N249" i="9"/>
  <c r="M249" i="9"/>
  <c r="L249" i="9"/>
  <c r="K249" i="9"/>
  <c r="O248" i="9"/>
  <c r="N248" i="9"/>
  <c r="M248" i="9"/>
  <c r="L248" i="9"/>
  <c r="K248" i="9"/>
  <c r="F237" i="9" l="1"/>
  <c r="F238" i="9"/>
  <c r="F239" i="9"/>
  <c r="F240" i="9"/>
  <c r="F241" i="9"/>
  <c r="E237" i="9"/>
  <c r="E238" i="9"/>
  <c r="E239" i="9"/>
  <c r="E240" i="9"/>
  <c r="E241" i="9"/>
  <c r="E236" i="9"/>
  <c r="F236" i="9"/>
  <c r="D237" i="9"/>
  <c r="D238" i="9"/>
  <c r="D239" i="9"/>
  <c r="D240" i="9"/>
  <c r="D241" i="9"/>
  <c r="D236" i="9"/>
  <c r="I241" i="9"/>
  <c r="O241" i="9" s="1"/>
  <c r="H241" i="9"/>
  <c r="N241" i="9" s="1"/>
  <c r="G241" i="9"/>
  <c r="M241" i="9" s="1"/>
  <c r="I240" i="9"/>
  <c r="O240" i="9" s="1"/>
  <c r="H240" i="9"/>
  <c r="N240" i="9" s="1"/>
  <c r="G240" i="9"/>
  <c r="M240" i="9" s="1"/>
  <c r="I239" i="9"/>
  <c r="O239" i="9" s="1"/>
  <c r="H239" i="9"/>
  <c r="N239" i="9" s="1"/>
  <c r="G239" i="9"/>
  <c r="M239" i="9" s="1"/>
  <c r="I238" i="9"/>
  <c r="O238" i="9" s="1"/>
  <c r="H238" i="9"/>
  <c r="N238" i="9" s="1"/>
  <c r="G238" i="9"/>
  <c r="M238" i="9" s="1"/>
  <c r="I237" i="9"/>
  <c r="O237" i="9" s="1"/>
  <c r="H237" i="9"/>
  <c r="N237" i="9" s="1"/>
  <c r="G237" i="9"/>
  <c r="M237" i="9" s="1"/>
  <c r="I236" i="9"/>
  <c r="O236" i="9" s="1"/>
  <c r="H236" i="9"/>
  <c r="N236" i="9" s="1"/>
  <c r="G236" i="9"/>
  <c r="M236" i="9" s="1"/>
  <c r="O231" i="9"/>
  <c r="N231" i="9"/>
  <c r="M231" i="9"/>
  <c r="L231" i="9"/>
  <c r="K231" i="9"/>
  <c r="J231" i="9"/>
  <c r="O230" i="9"/>
  <c r="N230" i="9"/>
  <c r="M230" i="9"/>
  <c r="L230" i="9"/>
  <c r="K230" i="9"/>
  <c r="J230" i="9"/>
  <c r="O229" i="9"/>
  <c r="N229" i="9"/>
  <c r="M229" i="9"/>
  <c r="L229" i="9"/>
  <c r="K229" i="9"/>
  <c r="J229" i="9"/>
  <c r="O228" i="9"/>
  <c r="N228" i="9"/>
  <c r="M228" i="9"/>
  <c r="L228" i="9"/>
  <c r="K228" i="9"/>
  <c r="J228" i="9"/>
  <c r="O227" i="9"/>
  <c r="N227" i="9"/>
  <c r="M227" i="9"/>
  <c r="L227" i="9"/>
  <c r="K227" i="9"/>
  <c r="O226" i="9"/>
  <c r="N226" i="9"/>
  <c r="M226" i="9"/>
  <c r="L226" i="9"/>
  <c r="K226" i="9"/>
  <c r="F217" i="9"/>
  <c r="F218" i="9"/>
  <c r="F219" i="9"/>
  <c r="F220" i="9"/>
  <c r="F221" i="9"/>
  <c r="E217" i="9"/>
  <c r="E218" i="9"/>
  <c r="E219" i="9"/>
  <c r="E220" i="9"/>
  <c r="E221" i="9"/>
  <c r="E216" i="9"/>
  <c r="F216" i="9"/>
  <c r="D217" i="9"/>
  <c r="D218" i="9"/>
  <c r="D219" i="9"/>
  <c r="D220" i="9"/>
  <c r="D221" i="9"/>
  <c r="D216" i="9"/>
  <c r="I221" i="9"/>
  <c r="O221" i="9" s="1"/>
  <c r="H221" i="9"/>
  <c r="N221" i="9" s="1"/>
  <c r="G221" i="9"/>
  <c r="M221" i="9" s="1"/>
  <c r="I220" i="9"/>
  <c r="O220" i="9" s="1"/>
  <c r="H220" i="9"/>
  <c r="N220" i="9" s="1"/>
  <c r="G220" i="9"/>
  <c r="M220" i="9" s="1"/>
  <c r="I219" i="9"/>
  <c r="O219" i="9" s="1"/>
  <c r="H219" i="9"/>
  <c r="N219" i="9" s="1"/>
  <c r="G219" i="9"/>
  <c r="M219" i="9" s="1"/>
  <c r="I218" i="9"/>
  <c r="O218" i="9" s="1"/>
  <c r="H218" i="9"/>
  <c r="N218" i="9" s="1"/>
  <c r="G218" i="9"/>
  <c r="M218" i="9" s="1"/>
  <c r="I217" i="9"/>
  <c r="O217" i="9" s="1"/>
  <c r="H217" i="9"/>
  <c r="N217" i="9" s="1"/>
  <c r="G217" i="9"/>
  <c r="M217" i="9" s="1"/>
  <c r="I216" i="9"/>
  <c r="O216" i="9" s="1"/>
  <c r="H216" i="9"/>
  <c r="N216" i="9" s="1"/>
  <c r="G216" i="9"/>
  <c r="M216" i="9" s="1"/>
  <c r="O211" i="9"/>
  <c r="N211" i="9"/>
  <c r="M211" i="9"/>
  <c r="L211" i="9"/>
  <c r="K211" i="9"/>
  <c r="J211" i="9"/>
  <c r="O210" i="9"/>
  <c r="N210" i="9"/>
  <c r="M210" i="9"/>
  <c r="L210" i="9"/>
  <c r="K210" i="9"/>
  <c r="J210" i="9"/>
  <c r="O209" i="9"/>
  <c r="N209" i="9"/>
  <c r="M209" i="9"/>
  <c r="L209" i="9"/>
  <c r="K209" i="9"/>
  <c r="J209" i="9"/>
  <c r="O208" i="9"/>
  <c r="N208" i="9"/>
  <c r="M208" i="9"/>
  <c r="L208" i="9"/>
  <c r="K208" i="9"/>
  <c r="J208" i="9"/>
  <c r="O207" i="9"/>
  <c r="N207" i="9"/>
  <c r="M207" i="9"/>
  <c r="L207" i="9"/>
  <c r="K207" i="9"/>
  <c r="O206" i="9"/>
  <c r="N206" i="9"/>
  <c r="M206" i="9"/>
  <c r="L206" i="9"/>
  <c r="K206" i="9"/>
  <c r="F197" i="9"/>
  <c r="F198" i="9"/>
  <c r="F199" i="9"/>
  <c r="F200" i="9"/>
  <c r="F201" i="9"/>
  <c r="E197" i="9"/>
  <c r="E198" i="9"/>
  <c r="E199" i="9"/>
  <c r="E200" i="9"/>
  <c r="E201" i="9"/>
  <c r="E196" i="9"/>
  <c r="F196" i="9"/>
  <c r="D197" i="9"/>
  <c r="D198" i="9"/>
  <c r="D199" i="9"/>
  <c r="D200" i="9"/>
  <c r="D201" i="9"/>
  <c r="D196" i="9"/>
  <c r="I201" i="9"/>
  <c r="O201" i="9" s="1"/>
  <c r="H201" i="9"/>
  <c r="N201" i="9" s="1"/>
  <c r="G201" i="9"/>
  <c r="M201" i="9" s="1"/>
  <c r="I200" i="9"/>
  <c r="O200" i="9" s="1"/>
  <c r="H200" i="9"/>
  <c r="N200" i="9" s="1"/>
  <c r="G200" i="9"/>
  <c r="M200" i="9" s="1"/>
  <c r="I199" i="9"/>
  <c r="O199" i="9" s="1"/>
  <c r="H199" i="9"/>
  <c r="N199" i="9" s="1"/>
  <c r="G199" i="9"/>
  <c r="M199" i="9" s="1"/>
  <c r="I198" i="9"/>
  <c r="O198" i="9" s="1"/>
  <c r="H198" i="9"/>
  <c r="N198" i="9" s="1"/>
  <c r="G198" i="9"/>
  <c r="M198" i="9" s="1"/>
  <c r="I197" i="9"/>
  <c r="O197" i="9" s="1"/>
  <c r="H197" i="9"/>
  <c r="N197" i="9" s="1"/>
  <c r="G197" i="9"/>
  <c r="M197" i="9" s="1"/>
  <c r="I196" i="9"/>
  <c r="O196" i="9" s="1"/>
  <c r="H196" i="9"/>
  <c r="N196" i="9" s="1"/>
  <c r="G196" i="9"/>
  <c r="M196" i="9" s="1"/>
  <c r="O191" i="9"/>
  <c r="N191" i="9"/>
  <c r="M191" i="9"/>
  <c r="L191" i="9"/>
  <c r="K191" i="9"/>
  <c r="J191" i="9"/>
  <c r="O190" i="9"/>
  <c r="N190" i="9"/>
  <c r="M190" i="9"/>
  <c r="L190" i="9"/>
  <c r="K190" i="9"/>
  <c r="J190" i="9"/>
  <c r="O189" i="9"/>
  <c r="N189" i="9"/>
  <c r="M189" i="9"/>
  <c r="L189" i="9"/>
  <c r="K189" i="9"/>
  <c r="J189" i="9"/>
  <c r="O188" i="9"/>
  <c r="N188" i="9"/>
  <c r="M188" i="9"/>
  <c r="L188" i="9"/>
  <c r="K188" i="9"/>
  <c r="J188" i="9"/>
  <c r="O187" i="9"/>
  <c r="N187" i="9"/>
  <c r="M187" i="9"/>
  <c r="L187" i="9"/>
  <c r="K187" i="9"/>
  <c r="O186" i="9"/>
  <c r="N186" i="9"/>
  <c r="M186" i="9"/>
  <c r="L186" i="9"/>
  <c r="K186" i="9"/>
  <c r="F177" i="9"/>
  <c r="F178" i="9"/>
  <c r="F179" i="9"/>
  <c r="E177" i="9"/>
  <c r="E178" i="9"/>
  <c r="E179" i="9"/>
  <c r="E176" i="9"/>
  <c r="F176" i="9"/>
  <c r="D177" i="9"/>
  <c r="D178" i="9"/>
  <c r="D179" i="9"/>
  <c r="D180" i="9"/>
  <c r="D181" i="9"/>
  <c r="D176" i="9"/>
  <c r="I181" i="9"/>
  <c r="O181" i="9" s="1"/>
  <c r="H181" i="9"/>
  <c r="N181" i="9" s="1"/>
  <c r="G181" i="9"/>
  <c r="M181" i="9" s="1"/>
  <c r="I180" i="9"/>
  <c r="O180" i="9" s="1"/>
  <c r="H180" i="9"/>
  <c r="N180" i="9" s="1"/>
  <c r="G180" i="9"/>
  <c r="M180" i="9" s="1"/>
  <c r="I179" i="9"/>
  <c r="O179" i="9" s="1"/>
  <c r="H179" i="9"/>
  <c r="N179" i="9" s="1"/>
  <c r="G179" i="9"/>
  <c r="M179" i="9" s="1"/>
  <c r="I178" i="9"/>
  <c r="O178" i="9" s="1"/>
  <c r="H178" i="9"/>
  <c r="N178" i="9" s="1"/>
  <c r="G178" i="9"/>
  <c r="M178" i="9" s="1"/>
  <c r="I177" i="9"/>
  <c r="O177" i="9" s="1"/>
  <c r="H177" i="9"/>
  <c r="N177" i="9" s="1"/>
  <c r="G177" i="9"/>
  <c r="M177" i="9"/>
  <c r="I176" i="9"/>
  <c r="O176" i="9" s="1"/>
  <c r="H176" i="9"/>
  <c r="N176" i="9" s="1"/>
  <c r="G176" i="9"/>
  <c r="M176" i="9" s="1"/>
  <c r="O171" i="9"/>
  <c r="N171" i="9"/>
  <c r="M171" i="9"/>
  <c r="L171" i="9"/>
  <c r="K171" i="9"/>
  <c r="J171" i="9"/>
  <c r="O170" i="9"/>
  <c r="N170" i="9"/>
  <c r="M170" i="9"/>
  <c r="L170" i="9"/>
  <c r="K170" i="9"/>
  <c r="J170" i="9"/>
  <c r="O169" i="9"/>
  <c r="N169" i="9"/>
  <c r="M169" i="9"/>
  <c r="L169" i="9"/>
  <c r="K169" i="9"/>
  <c r="J169" i="9"/>
  <c r="O168" i="9"/>
  <c r="N168" i="9"/>
  <c r="M168" i="9"/>
  <c r="L168" i="9"/>
  <c r="K168" i="9"/>
  <c r="J168" i="9"/>
  <c r="O167" i="9"/>
  <c r="N167" i="9"/>
  <c r="M167" i="9"/>
  <c r="L167" i="9"/>
  <c r="K167" i="9"/>
  <c r="O166" i="9"/>
  <c r="N166" i="9"/>
  <c r="M166" i="9"/>
  <c r="L166" i="9"/>
  <c r="K166" i="9"/>
  <c r="F157" i="9"/>
  <c r="F158" i="9"/>
  <c r="F159" i="9"/>
  <c r="E157" i="9"/>
  <c r="E158" i="9"/>
  <c r="E159" i="9"/>
  <c r="E156" i="9"/>
  <c r="F156" i="9"/>
  <c r="D157" i="9"/>
  <c r="D158" i="9"/>
  <c r="D159" i="9"/>
  <c r="D160" i="9"/>
  <c r="D161" i="9"/>
  <c r="D156" i="9"/>
  <c r="I161" i="9"/>
  <c r="O161" i="9" s="1"/>
  <c r="H161" i="9"/>
  <c r="N161" i="9" s="1"/>
  <c r="G161" i="9"/>
  <c r="M161" i="9" s="1"/>
  <c r="I160" i="9"/>
  <c r="O160" i="9" s="1"/>
  <c r="H160" i="9"/>
  <c r="N160" i="9" s="1"/>
  <c r="G160" i="9"/>
  <c r="M160" i="9" s="1"/>
  <c r="I159" i="9"/>
  <c r="O159" i="9" s="1"/>
  <c r="H159" i="9"/>
  <c r="N159" i="9" s="1"/>
  <c r="G159" i="9"/>
  <c r="M159" i="9" s="1"/>
  <c r="I158" i="9"/>
  <c r="O158" i="9" s="1"/>
  <c r="H158" i="9"/>
  <c r="N158" i="9" s="1"/>
  <c r="G158" i="9"/>
  <c r="M158" i="9" s="1"/>
  <c r="I157" i="9"/>
  <c r="O157" i="9" s="1"/>
  <c r="H157" i="9"/>
  <c r="N157" i="9" s="1"/>
  <c r="G157" i="9"/>
  <c r="M157" i="9" s="1"/>
  <c r="I156" i="9"/>
  <c r="O156" i="9" s="1"/>
  <c r="H156" i="9"/>
  <c r="N156" i="9" s="1"/>
  <c r="G156" i="9"/>
  <c r="M156" i="9" s="1"/>
  <c r="O151" i="9"/>
  <c r="N151" i="9"/>
  <c r="M151" i="9"/>
  <c r="L151" i="9"/>
  <c r="K151" i="9"/>
  <c r="J151" i="9"/>
  <c r="O150" i="9"/>
  <c r="N150" i="9"/>
  <c r="M150" i="9"/>
  <c r="L150" i="9"/>
  <c r="K150" i="9"/>
  <c r="J150" i="9"/>
  <c r="O149" i="9"/>
  <c r="N149" i="9"/>
  <c r="M149" i="9"/>
  <c r="L149" i="9"/>
  <c r="K149" i="9"/>
  <c r="J149" i="9"/>
  <c r="O148" i="9"/>
  <c r="N148" i="9"/>
  <c r="M148" i="9"/>
  <c r="L148" i="9"/>
  <c r="K148" i="9"/>
  <c r="J148" i="9"/>
  <c r="O147" i="9"/>
  <c r="N147" i="9"/>
  <c r="M147" i="9"/>
  <c r="L147" i="9"/>
  <c r="K147" i="9"/>
  <c r="O146" i="9"/>
  <c r="N146" i="9"/>
  <c r="M146" i="9"/>
  <c r="L146" i="9"/>
  <c r="K146" i="9"/>
  <c r="H139" i="9"/>
  <c r="N139" i="9" s="1"/>
  <c r="D138" i="9"/>
  <c r="F141" i="9"/>
  <c r="F137" i="9"/>
  <c r="F138" i="9"/>
  <c r="F139" i="9"/>
  <c r="F140" i="9"/>
  <c r="E137" i="9"/>
  <c r="E138" i="9"/>
  <c r="E139" i="9"/>
  <c r="E140" i="9"/>
  <c r="E141" i="9"/>
  <c r="E136" i="9"/>
  <c r="F136" i="9"/>
  <c r="D137" i="9"/>
  <c r="D139" i="9"/>
  <c r="D140" i="9"/>
  <c r="D141" i="9"/>
  <c r="D136" i="9"/>
  <c r="I141" i="9"/>
  <c r="O141" i="9" s="1"/>
  <c r="H141" i="9"/>
  <c r="N141" i="9"/>
  <c r="G141" i="9"/>
  <c r="M141" i="9"/>
  <c r="I140" i="9"/>
  <c r="O140" i="9" s="1"/>
  <c r="H140" i="9"/>
  <c r="N140" i="9" s="1"/>
  <c r="G140" i="9"/>
  <c r="M140" i="9" s="1"/>
  <c r="I139" i="9"/>
  <c r="O139" i="9" s="1"/>
  <c r="G139" i="9"/>
  <c r="M139" i="9" s="1"/>
  <c r="I138" i="9"/>
  <c r="O138" i="9" s="1"/>
  <c r="H138" i="9"/>
  <c r="N138" i="9" s="1"/>
  <c r="G138" i="9"/>
  <c r="M138" i="9" s="1"/>
  <c r="I137" i="9"/>
  <c r="O137" i="9" s="1"/>
  <c r="H137" i="9"/>
  <c r="N137" i="9" s="1"/>
  <c r="G137" i="9"/>
  <c r="M137" i="9" s="1"/>
  <c r="I136" i="9"/>
  <c r="O136" i="9" s="1"/>
  <c r="H136" i="9"/>
  <c r="N136" i="9" s="1"/>
  <c r="G136" i="9"/>
  <c r="M136" i="9" s="1"/>
  <c r="O131" i="9"/>
  <c r="N131" i="9"/>
  <c r="M131" i="9"/>
  <c r="L131" i="9"/>
  <c r="K131" i="9"/>
  <c r="J131" i="9"/>
  <c r="O130" i="9"/>
  <c r="N130" i="9"/>
  <c r="M130" i="9"/>
  <c r="L130" i="9"/>
  <c r="K130" i="9"/>
  <c r="J130" i="9"/>
  <c r="O129" i="9"/>
  <c r="N129" i="9"/>
  <c r="M129" i="9"/>
  <c r="L129" i="9"/>
  <c r="K129" i="9"/>
  <c r="J129" i="9"/>
  <c r="O128" i="9"/>
  <c r="N128" i="9"/>
  <c r="M128" i="9"/>
  <c r="L128" i="9"/>
  <c r="K128" i="9"/>
  <c r="J128" i="9"/>
  <c r="O127" i="9"/>
  <c r="N127" i="9"/>
  <c r="M127" i="9"/>
  <c r="L127" i="9"/>
  <c r="K127" i="9"/>
  <c r="O126" i="9"/>
  <c r="N126" i="9"/>
  <c r="M126" i="9"/>
  <c r="L126" i="9"/>
  <c r="K126" i="9"/>
  <c r="F117" i="9"/>
  <c r="F118" i="9"/>
  <c r="F119" i="9"/>
  <c r="F120" i="9"/>
  <c r="F121" i="9"/>
  <c r="E117" i="9"/>
  <c r="E118" i="9"/>
  <c r="E119" i="9"/>
  <c r="E120" i="9"/>
  <c r="E121" i="9"/>
  <c r="E116" i="9"/>
  <c r="F116" i="9"/>
  <c r="D117" i="9"/>
  <c r="D118" i="9"/>
  <c r="D119" i="9"/>
  <c r="D120" i="9"/>
  <c r="D121" i="9"/>
  <c r="D116" i="9"/>
  <c r="I121" i="9"/>
  <c r="O121" i="9" s="1"/>
  <c r="H121" i="9"/>
  <c r="N121" i="9" s="1"/>
  <c r="G121" i="9"/>
  <c r="M121" i="9" s="1"/>
  <c r="I120" i="9"/>
  <c r="O120" i="9" s="1"/>
  <c r="H120" i="9"/>
  <c r="N120" i="9" s="1"/>
  <c r="G120" i="9"/>
  <c r="M120" i="9" s="1"/>
  <c r="I119" i="9"/>
  <c r="O119" i="9" s="1"/>
  <c r="H119" i="9"/>
  <c r="N119" i="9" s="1"/>
  <c r="G119" i="9"/>
  <c r="M119" i="9" s="1"/>
  <c r="I118" i="9"/>
  <c r="O118" i="9" s="1"/>
  <c r="H118" i="9"/>
  <c r="N118" i="9" s="1"/>
  <c r="G118" i="9"/>
  <c r="M118" i="9" s="1"/>
  <c r="I117" i="9"/>
  <c r="O117" i="9" s="1"/>
  <c r="H117" i="9"/>
  <c r="N117" i="9" s="1"/>
  <c r="G117" i="9"/>
  <c r="M117" i="9" s="1"/>
  <c r="I116" i="9"/>
  <c r="O116" i="9" s="1"/>
  <c r="H116" i="9"/>
  <c r="N116" i="9" s="1"/>
  <c r="G116" i="9"/>
  <c r="M116" i="9" s="1"/>
  <c r="O111" i="9"/>
  <c r="N111" i="9"/>
  <c r="M111" i="9"/>
  <c r="L111" i="9"/>
  <c r="K111" i="9"/>
  <c r="J111" i="9"/>
  <c r="O110" i="9"/>
  <c r="N110" i="9"/>
  <c r="M110" i="9"/>
  <c r="L110" i="9"/>
  <c r="K110" i="9"/>
  <c r="J110" i="9"/>
  <c r="O109" i="9"/>
  <c r="N109" i="9"/>
  <c r="M109" i="9"/>
  <c r="L109" i="9"/>
  <c r="K109" i="9"/>
  <c r="J109" i="9"/>
  <c r="O108" i="9"/>
  <c r="N108" i="9"/>
  <c r="M108" i="9"/>
  <c r="L108" i="9"/>
  <c r="K108" i="9"/>
  <c r="J108" i="9"/>
  <c r="O107" i="9"/>
  <c r="N107" i="9"/>
  <c r="M107" i="9"/>
  <c r="L107" i="9"/>
  <c r="K107" i="9"/>
  <c r="O106" i="9"/>
  <c r="N106" i="9"/>
  <c r="M106" i="9"/>
  <c r="L106" i="9"/>
  <c r="K106" i="9"/>
  <c r="F97" i="9"/>
  <c r="F98" i="9"/>
  <c r="F99" i="9"/>
  <c r="F100" i="9"/>
  <c r="F101" i="9"/>
  <c r="E97" i="9"/>
  <c r="E98" i="9"/>
  <c r="E99" i="9"/>
  <c r="E100" i="9"/>
  <c r="E101" i="9"/>
  <c r="E96" i="9"/>
  <c r="F96" i="9"/>
  <c r="D97" i="9"/>
  <c r="D98" i="9"/>
  <c r="D99" i="9"/>
  <c r="D100" i="9"/>
  <c r="D101" i="9"/>
  <c r="D96" i="9"/>
  <c r="I101" i="9"/>
  <c r="O101" i="9" s="1"/>
  <c r="H101" i="9"/>
  <c r="N101" i="9" s="1"/>
  <c r="G101" i="9"/>
  <c r="M101" i="9" s="1"/>
  <c r="I100" i="9"/>
  <c r="O100" i="9" s="1"/>
  <c r="H100" i="9"/>
  <c r="N100" i="9" s="1"/>
  <c r="G100" i="9"/>
  <c r="M100" i="9" s="1"/>
  <c r="I99" i="9"/>
  <c r="O99" i="9" s="1"/>
  <c r="H99" i="9"/>
  <c r="N99" i="9" s="1"/>
  <c r="G99" i="9"/>
  <c r="M99" i="9" s="1"/>
  <c r="I98" i="9"/>
  <c r="O98" i="9" s="1"/>
  <c r="H98" i="9"/>
  <c r="N98" i="9" s="1"/>
  <c r="G98" i="9"/>
  <c r="M98" i="9" s="1"/>
  <c r="I97" i="9"/>
  <c r="O97" i="9" s="1"/>
  <c r="H97" i="9"/>
  <c r="N97" i="9" s="1"/>
  <c r="G97" i="9"/>
  <c r="M97" i="9" s="1"/>
  <c r="I96" i="9"/>
  <c r="O96" i="9" s="1"/>
  <c r="H96" i="9"/>
  <c r="N96" i="9" s="1"/>
  <c r="G96" i="9"/>
  <c r="M96" i="9" s="1"/>
  <c r="O91" i="9"/>
  <c r="N91" i="9"/>
  <c r="M91" i="9"/>
  <c r="L91" i="9"/>
  <c r="K91" i="9"/>
  <c r="J91" i="9"/>
  <c r="O90" i="9"/>
  <c r="N90" i="9"/>
  <c r="M90" i="9"/>
  <c r="L90" i="9"/>
  <c r="K90" i="9"/>
  <c r="J90" i="9"/>
  <c r="O89" i="9"/>
  <c r="N89" i="9"/>
  <c r="M89" i="9"/>
  <c r="L89" i="9"/>
  <c r="K89" i="9"/>
  <c r="J89" i="9"/>
  <c r="O88" i="9"/>
  <c r="N88" i="9"/>
  <c r="M88" i="9"/>
  <c r="L88" i="9"/>
  <c r="K88" i="9"/>
  <c r="J88" i="9"/>
  <c r="O87" i="9"/>
  <c r="N87" i="9"/>
  <c r="M87" i="9"/>
  <c r="L87" i="9"/>
  <c r="K87" i="9"/>
  <c r="O86" i="9"/>
  <c r="N86" i="9"/>
  <c r="M86" i="9"/>
  <c r="L86" i="9"/>
  <c r="K86" i="9"/>
  <c r="F77" i="9"/>
  <c r="F78" i="9"/>
  <c r="F79" i="9"/>
  <c r="F80" i="9"/>
  <c r="F81" i="9"/>
  <c r="E77" i="9"/>
  <c r="E78" i="9"/>
  <c r="E79" i="9"/>
  <c r="E80" i="9"/>
  <c r="E81" i="9"/>
  <c r="E76" i="9"/>
  <c r="F76" i="9"/>
  <c r="D77" i="9"/>
  <c r="D78" i="9"/>
  <c r="D79" i="9"/>
  <c r="D80" i="9"/>
  <c r="D81" i="9"/>
  <c r="D76" i="9"/>
  <c r="I81" i="9"/>
  <c r="O81" i="9" s="1"/>
  <c r="H81" i="9"/>
  <c r="N81" i="9" s="1"/>
  <c r="G81" i="9"/>
  <c r="M81" i="9" s="1"/>
  <c r="I80" i="9"/>
  <c r="O80" i="9" s="1"/>
  <c r="H80" i="9"/>
  <c r="N80" i="9" s="1"/>
  <c r="G80" i="9"/>
  <c r="M80" i="9"/>
  <c r="I79" i="9"/>
  <c r="O79" i="9" s="1"/>
  <c r="H79" i="9"/>
  <c r="N79" i="9" s="1"/>
  <c r="G79" i="9"/>
  <c r="M79" i="9" s="1"/>
  <c r="I78" i="9"/>
  <c r="O78" i="9" s="1"/>
  <c r="H78" i="9"/>
  <c r="N78" i="9" s="1"/>
  <c r="G78" i="9"/>
  <c r="M78" i="9" s="1"/>
  <c r="I77" i="9"/>
  <c r="O77" i="9" s="1"/>
  <c r="H77" i="9"/>
  <c r="N77" i="9" s="1"/>
  <c r="G77" i="9"/>
  <c r="M77" i="9" s="1"/>
  <c r="I76" i="9"/>
  <c r="O76" i="9" s="1"/>
  <c r="H76" i="9"/>
  <c r="N76" i="9" s="1"/>
  <c r="G76" i="9"/>
  <c r="M76" i="9" s="1"/>
  <c r="O71" i="9"/>
  <c r="N71" i="9"/>
  <c r="M71" i="9"/>
  <c r="L71" i="9"/>
  <c r="K71" i="9"/>
  <c r="O70" i="9"/>
  <c r="N70" i="9"/>
  <c r="M70" i="9"/>
  <c r="L70" i="9"/>
  <c r="K70" i="9"/>
  <c r="O69" i="9"/>
  <c r="N69" i="9"/>
  <c r="M69" i="9"/>
  <c r="L69" i="9"/>
  <c r="K69" i="9"/>
  <c r="O68" i="9"/>
  <c r="N68" i="9"/>
  <c r="M68" i="9"/>
  <c r="L68" i="9"/>
  <c r="K68" i="9"/>
  <c r="O67" i="9"/>
  <c r="N67" i="9"/>
  <c r="M67" i="9"/>
  <c r="L67" i="9"/>
  <c r="K67" i="9"/>
  <c r="O66" i="9"/>
  <c r="N66" i="9"/>
  <c r="M66" i="9"/>
  <c r="F61" i="9"/>
  <c r="F57" i="9"/>
  <c r="F58" i="9"/>
  <c r="F59" i="9"/>
  <c r="F60" i="9"/>
  <c r="E57" i="9"/>
  <c r="E58" i="9"/>
  <c r="E59" i="9"/>
  <c r="E60" i="9"/>
  <c r="E61" i="9"/>
  <c r="E56" i="9"/>
  <c r="F56" i="9"/>
  <c r="D57" i="9"/>
  <c r="D58" i="9"/>
  <c r="D59" i="9"/>
  <c r="D60" i="9"/>
  <c r="D61" i="9"/>
  <c r="D56" i="9"/>
  <c r="I61" i="9"/>
  <c r="O61" i="9" s="1"/>
  <c r="H61" i="9"/>
  <c r="N61" i="9" s="1"/>
  <c r="G61" i="9"/>
  <c r="M61" i="9" s="1"/>
  <c r="I60" i="9"/>
  <c r="O60" i="9" s="1"/>
  <c r="H60" i="9"/>
  <c r="N60" i="9" s="1"/>
  <c r="G60" i="9"/>
  <c r="M60" i="9" s="1"/>
  <c r="I59" i="9"/>
  <c r="O59" i="9" s="1"/>
  <c r="H59" i="9"/>
  <c r="N59" i="9" s="1"/>
  <c r="G59" i="9"/>
  <c r="M59" i="9" s="1"/>
  <c r="I58" i="9"/>
  <c r="O58" i="9" s="1"/>
  <c r="H58" i="9"/>
  <c r="N58" i="9" s="1"/>
  <c r="G58" i="9"/>
  <c r="M58" i="9" s="1"/>
  <c r="I57" i="9"/>
  <c r="O57" i="9" s="1"/>
  <c r="H57" i="9"/>
  <c r="N57" i="9" s="1"/>
  <c r="G57" i="9"/>
  <c r="M57" i="9" s="1"/>
  <c r="I56" i="9"/>
  <c r="O56" i="9" s="1"/>
  <c r="H56" i="9"/>
  <c r="N56" i="9" s="1"/>
  <c r="G56" i="9"/>
  <c r="M56" i="9" s="1"/>
  <c r="O51" i="9"/>
  <c r="N51" i="9"/>
  <c r="M51" i="9"/>
  <c r="L51" i="9"/>
  <c r="K51" i="9"/>
  <c r="J51" i="9"/>
  <c r="O50" i="9"/>
  <c r="N50" i="9"/>
  <c r="M50" i="9"/>
  <c r="L50" i="9"/>
  <c r="K50" i="9"/>
  <c r="J50" i="9"/>
  <c r="O49" i="9"/>
  <c r="N49" i="9"/>
  <c r="M49" i="9"/>
  <c r="L49" i="9"/>
  <c r="K49" i="9"/>
  <c r="J49" i="9"/>
  <c r="O48" i="9"/>
  <c r="N48" i="9"/>
  <c r="M48" i="9"/>
  <c r="L48" i="9"/>
  <c r="K48" i="9"/>
  <c r="J48" i="9"/>
  <c r="O47" i="9"/>
  <c r="N47" i="9"/>
  <c r="M47" i="9"/>
  <c r="L47" i="9"/>
  <c r="K47" i="9"/>
  <c r="J47" i="9"/>
  <c r="O46" i="9"/>
  <c r="N46" i="9"/>
  <c r="M46" i="9"/>
  <c r="L46" i="9"/>
  <c r="K46" i="9"/>
  <c r="J46" i="9"/>
  <c r="F37" i="9"/>
  <c r="F38" i="9"/>
  <c r="F39" i="9"/>
  <c r="F40" i="9"/>
  <c r="E37" i="9"/>
  <c r="E38" i="9"/>
  <c r="E39" i="9"/>
  <c r="E40" i="9"/>
  <c r="E36" i="9"/>
  <c r="F36" i="9"/>
  <c r="D37" i="9"/>
  <c r="D38" i="9"/>
  <c r="D39" i="9"/>
  <c r="D40" i="9"/>
  <c r="D36" i="9"/>
  <c r="I41" i="9"/>
  <c r="O41" i="9" s="1"/>
  <c r="H41" i="9"/>
  <c r="N41" i="9" s="1"/>
  <c r="G41" i="9"/>
  <c r="M41" i="9" s="1"/>
  <c r="F41" i="9"/>
  <c r="E41" i="9"/>
  <c r="D41" i="9"/>
  <c r="I40" i="9"/>
  <c r="O40" i="9" s="1"/>
  <c r="H40" i="9"/>
  <c r="N40" i="9" s="1"/>
  <c r="G40" i="9"/>
  <c r="M40" i="9"/>
  <c r="I39" i="9"/>
  <c r="O39" i="9" s="1"/>
  <c r="H39" i="9"/>
  <c r="N39" i="9" s="1"/>
  <c r="G39" i="9"/>
  <c r="M39" i="9" s="1"/>
  <c r="I38" i="9"/>
  <c r="O38" i="9" s="1"/>
  <c r="H38" i="9"/>
  <c r="N38" i="9" s="1"/>
  <c r="G38" i="9"/>
  <c r="M38" i="9" s="1"/>
  <c r="I37" i="9"/>
  <c r="O37" i="9" s="1"/>
  <c r="H37" i="9"/>
  <c r="N37" i="9" s="1"/>
  <c r="G37" i="9"/>
  <c r="M37" i="9" s="1"/>
  <c r="I36" i="9"/>
  <c r="O36" i="9" s="1"/>
  <c r="H36" i="9"/>
  <c r="N36" i="9" s="1"/>
  <c r="G36" i="9"/>
  <c r="M36" i="9" s="1"/>
  <c r="O31" i="9"/>
  <c r="N31" i="9"/>
  <c r="M31" i="9"/>
  <c r="L31" i="9"/>
  <c r="K31" i="9"/>
  <c r="J31" i="9"/>
  <c r="O30" i="9"/>
  <c r="N30" i="9"/>
  <c r="M30" i="9"/>
  <c r="L30" i="9"/>
  <c r="K30" i="9"/>
  <c r="J30" i="9"/>
  <c r="O29" i="9"/>
  <c r="N29" i="9"/>
  <c r="M29" i="9"/>
  <c r="L29" i="9"/>
  <c r="K29" i="9"/>
  <c r="J29" i="9"/>
  <c r="O28" i="9"/>
  <c r="N28" i="9"/>
  <c r="M28" i="9"/>
  <c r="L28" i="9"/>
  <c r="K28" i="9"/>
  <c r="J28" i="9"/>
  <c r="O27" i="9"/>
  <c r="N27" i="9"/>
  <c r="M27" i="9"/>
  <c r="L27" i="9"/>
  <c r="K27" i="9"/>
  <c r="J27" i="9"/>
  <c r="O26" i="9"/>
  <c r="N26" i="9"/>
  <c r="M26" i="9"/>
  <c r="L26" i="9"/>
  <c r="K26" i="9"/>
  <c r="J26" i="9"/>
  <c r="F16" i="9"/>
  <c r="F17" i="9"/>
  <c r="F18" i="9"/>
  <c r="F19" i="9"/>
  <c r="F20" i="9"/>
  <c r="E16" i="9"/>
  <c r="E17" i="9"/>
  <c r="E18" i="9"/>
  <c r="E19" i="9"/>
  <c r="E20" i="9"/>
  <c r="E15" i="9"/>
  <c r="F15" i="9"/>
  <c r="D16" i="9"/>
  <c r="D17" i="9"/>
  <c r="D18" i="9"/>
  <c r="D19" i="9"/>
  <c r="D20" i="9"/>
  <c r="D15" i="9"/>
  <c r="D535" i="7"/>
  <c r="I20" i="9"/>
  <c r="O20" i="9" s="1"/>
  <c r="H20" i="9"/>
  <c r="N20" i="9" s="1"/>
  <c r="G20" i="9"/>
  <c r="M20" i="9" s="1"/>
  <c r="I19" i="9"/>
  <c r="O19" i="9" s="1"/>
  <c r="H19" i="9"/>
  <c r="N19" i="9" s="1"/>
  <c r="G19" i="9"/>
  <c r="M19" i="9" s="1"/>
  <c r="I18" i="9"/>
  <c r="O18" i="9" s="1"/>
  <c r="H18" i="9"/>
  <c r="N18" i="9"/>
  <c r="G18" i="9"/>
  <c r="M18" i="9"/>
  <c r="I17" i="9"/>
  <c r="O17" i="9" s="1"/>
  <c r="H17" i="9"/>
  <c r="N17" i="9" s="1"/>
  <c r="G17" i="9"/>
  <c r="M17" i="9" s="1"/>
  <c r="I16" i="9"/>
  <c r="O16" i="9" s="1"/>
  <c r="H16" i="9"/>
  <c r="N16" i="9" s="1"/>
  <c r="G16" i="9"/>
  <c r="M16" i="9" s="1"/>
  <c r="I15" i="9"/>
  <c r="O15" i="9"/>
  <c r="H15" i="9"/>
  <c r="N15" i="9" s="1"/>
  <c r="G15" i="9"/>
  <c r="M15" i="9" s="1"/>
  <c r="O10" i="9"/>
  <c r="N10" i="9"/>
  <c r="M10" i="9"/>
  <c r="L10" i="9"/>
  <c r="K10" i="9"/>
  <c r="J10" i="9"/>
  <c r="O9" i="9"/>
  <c r="N9" i="9"/>
  <c r="M9" i="9"/>
  <c r="L9" i="9"/>
  <c r="K9" i="9"/>
  <c r="J9" i="9"/>
  <c r="O8" i="9"/>
  <c r="N8" i="9"/>
  <c r="M8" i="9"/>
  <c r="L8" i="9"/>
  <c r="K8" i="9"/>
  <c r="J8" i="9"/>
  <c r="O7" i="9"/>
  <c r="N7" i="9"/>
  <c r="M7" i="9"/>
  <c r="L7" i="9"/>
  <c r="K7" i="9"/>
  <c r="J7" i="9"/>
  <c r="O6" i="9"/>
  <c r="N6" i="9"/>
  <c r="M6" i="9"/>
  <c r="L6" i="9"/>
  <c r="K6" i="9"/>
  <c r="J6" i="9"/>
  <c r="O5" i="9"/>
  <c r="N5" i="9"/>
  <c r="M5" i="9"/>
  <c r="L5" i="9"/>
  <c r="K5" i="9"/>
  <c r="J5" i="9"/>
  <c r="F576" i="7"/>
  <c r="F577" i="7"/>
  <c r="F578" i="7"/>
  <c r="F579" i="7"/>
  <c r="F580" i="7"/>
  <c r="E576" i="7"/>
  <c r="E577" i="7"/>
  <c r="E578" i="7"/>
  <c r="E579" i="7"/>
  <c r="E580" i="7"/>
  <c r="E575" i="7"/>
  <c r="F575" i="7"/>
  <c r="D576" i="7"/>
  <c r="D577" i="7"/>
  <c r="D578" i="7"/>
  <c r="D579" i="7"/>
  <c r="D580" i="7"/>
  <c r="D575" i="7"/>
  <c r="I580" i="7"/>
  <c r="O580" i="7" s="1"/>
  <c r="H580" i="7"/>
  <c r="N580" i="7" s="1"/>
  <c r="G580" i="7"/>
  <c r="M580" i="7" s="1"/>
  <c r="I579" i="7"/>
  <c r="O579" i="7" s="1"/>
  <c r="H579" i="7"/>
  <c r="N579" i="7" s="1"/>
  <c r="G579" i="7"/>
  <c r="M579" i="7" s="1"/>
  <c r="I578" i="7"/>
  <c r="O578" i="7" s="1"/>
  <c r="H578" i="7"/>
  <c r="N578" i="7" s="1"/>
  <c r="G578" i="7"/>
  <c r="M578" i="7" s="1"/>
  <c r="I577" i="7"/>
  <c r="O577" i="7" s="1"/>
  <c r="H577" i="7"/>
  <c r="N577" i="7" s="1"/>
  <c r="G577" i="7"/>
  <c r="M577" i="7" s="1"/>
  <c r="I576" i="7"/>
  <c r="O576" i="7"/>
  <c r="H576" i="7"/>
  <c r="N576" i="7" s="1"/>
  <c r="G576" i="7"/>
  <c r="M576" i="7" s="1"/>
  <c r="I575" i="7"/>
  <c r="O575" i="7" s="1"/>
  <c r="H575" i="7"/>
  <c r="N575" i="7" s="1"/>
  <c r="G575" i="7"/>
  <c r="M575" i="7" s="1"/>
  <c r="O570" i="7"/>
  <c r="N570" i="7"/>
  <c r="M570" i="7"/>
  <c r="L570" i="7"/>
  <c r="K570" i="7"/>
  <c r="J570" i="7"/>
  <c r="O569" i="7"/>
  <c r="N569" i="7"/>
  <c r="M569" i="7"/>
  <c r="L569" i="7"/>
  <c r="K569" i="7"/>
  <c r="J569" i="7"/>
  <c r="O568" i="7"/>
  <c r="N568" i="7"/>
  <c r="M568" i="7"/>
  <c r="L568" i="7"/>
  <c r="K568" i="7"/>
  <c r="J568" i="7"/>
  <c r="O567" i="7"/>
  <c r="N567" i="7"/>
  <c r="M567" i="7"/>
  <c r="L567" i="7"/>
  <c r="K567" i="7"/>
  <c r="J567" i="7"/>
  <c r="O566" i="7"/>
  <c r="N566" i="7"/>
  <c r="M566" i="7"/>
  <c r="L566" i="7"/>
  <c r="K566" i="7"/>
  <c r="J566" i="7"/>
  <c r="O565" i="7"/>
  <c r="N565" i="7"/>
  <c r="M565" i="7"/>
  <c r="L565" i="7"/>
  <c r="K565" i="7"/>
  <c r="J565" i="7"/>
  <c r="F556" i="7"/>
  <c r="F557" i="7"/>
  <c r="F558" i="7"/>
  <c r="F559" i="7"/>
  <c r="F560" i="7"/>
  <c r="E556" i="7"/>
  <c r="E557" i="7"/>
  <c r="E558" i="7"/>
  <c r="E559" i="7"/>
  <c r="E560" i="7"/>
  <c r="E555" i="7"/>
  <c r="F555" i="7"/>
  <c r="D556" i="7"/>
  <c r="D557" i="7"/>
  <c r="D558" i="7"/>
  <c r="D559" i="7"/>
  <c r="D560" i="7"/>
  <c r="D555" i="7"/>
  <c r="I560" i="7"/>
  <c r="O560" i="7" s="1"/>
  <c r="H560" i="7"/>
  <c r="N560" i="7" s="1"/>
  <c r="G560" i="7"/>
  <c r="M560" i="7" s="1"/>
  <c r="I559" i="7"/>
  <c r="O559" i="7" s="1"/>
  <c r="H559" i="7"/>
  <c r="N559" i="7" s="1"/>
  <c r="G559" i="7"/>
  <c r="M559" i="7" s="1"/>
  <c r="I558" i="7"/>
  <c r="O558" i="7" s="1"/>
  <c r="H558" i="7"/>
  <c r="N558" i="7" s="1"/>
  <c r="G558" i="7"/>
  <c r="M558" i="7"/>
  <c r="I557" i="7"/>
  <c r="O557" i="7" s="1"/>
  <c r="H557" i="7"/>
  <c r="N557" i="7" s="1"/>
  <c r="G557" i="7"/>
  <c r="M557" i="7" s="1"/>
  <c r="I556" i="7"/>
  <c r="O556" i="7" s="1"/>
  <c r="H556" i="7"/>
  <c r="N556" i="7" s="1"/>
  <c r="G556" i="7"/>
  <c r="M556" i="7" s="1"/>
  <c r="I555" i="7"/>
  <c r="O555" i="7" s="1"/>
  <c r="H555" i="7"/>
  <c r="N555" i="7" s="1"/>
  <c r="G555" i="7"/>
  <c r="M555" i="7" s="1"/>
  <c r="O550" i="7"/>
  <c r="N550" i="7"/>
  <c r="M550" i="7"/>
  <c r="L550" i="7"/>
  <c r="K550" i="7"/>
  <c r="J550" i="7"/>
  <c r="O549" i="7"/>
  <c r="N549" i="7"/>
  <c r="M549" i="7"/>
  <c r="L549" i="7"/>
  <c r="K549" i="7"/>
  <c r="J549" i="7"/>
  <c r="O548" i="7"/>
  <c r="N548" i="7"/>
  <c r="M548" i="7"/>
  <c r="L548" i="7"/>
  <c r="K548" i="7"/>
  <c r="J548" i="7"/>
  <c r="O547" i="7"/>
  <c r="N547" i="7"/>
  <c r="M547" i="7"/>
  <c r="L547" i="7"/>
  <c r="K547" i="7"/>
  <c r="J547" i="7"/>
  <c r="O546" i="7"/>
  <c r="N546" i="7"/>
  <c r="M546" i="7"/>
  <c r="L546" i="7"/>
  <c r="K546" i="7"/>
  <c r="J546" i="7"/>
  <c r="O545" i="7"/>
  <c r="N545" i="7"/>
  <c r="M545" i="7"/>
  <c r="L545" i="7"/>
  <c r="K545" i="7"/>
  <c r="J545" i="7"/>
  <c r="F536" i="7"/>
  <c r="F537" i="7"/>
  <c r="F538" i="7"/>
  <c r="F539" i="7"/>
  <c r="F180" i="9" s="1"/>
  <c r="F540" i="7"/>
  <c r="F181" i="9" s="1"/>
  <c r="E536" i="7"/>
  <c r="E537" i="7"/>
  <c r="E538" i="7"/>
  <c r="E539" i="7"/>
  <c r="E180" i="9" s="1"/>
  <c r="E540" i="7"/>
  <c r="E181" i="9" s="1"/>
  <c r="E535" i="7"/>
  <c r="F535" i="7"/>
  <c r="D536" i="7"/>
  <c r="D537" i="7"/>
  <c r="D538" i="7"/>
  <c r="D539" i="7"/>
  <c r="D540" i="7"/>
  <c r="I540" i="7"/>
  <c r="O540" i="7"/>
  <c r="H540" i="7"/>
  <c r="N540" i="7" s="1"/>
  <c r="G540" i="7"/>
  <c r="M540" i="7" s="1"/>
  <c r="I539" i="7"/>
  <c r="O539" i="7" s="1"/>
  <c r="H539" i="7"/>
  <c r="N539" i="7" s="1"/>
  <c r="G539" i="7"/>
  <c r="M539" i="7" s="1"/>
  <c r="I538" i="7"/>
  <c r="O538" i="7" s="1"/>
  <c r="H538" i="7"/>
  <c r="N538" i="7" s="1"/>
  <c r="G538" i="7"/>
  <c r="M538" i="7" s="1"/>
  <c r="I537" i="7"/>
  <c r="O537" i="7" s="1"/>
  <c r="H537" i="7"/>
  <c r="N537" i="7" s="1"/>
  <c r="G537" i="7"/>
  <c r="M537" i="7" s="1"/>
  <c r="I536" i="7"/>
  <c r="O536" i="7" s="1"/>
  <c r="H536" i="7"/>
  <c r="N536" i="7" s="1"/>
  <c r="G536" i="7"/>
  <c r="M536" i="7" s="1"/>
  <c r="I535" i="7"/>
  <c r="O535" i="7" s="1"/>
  <c r="H535" i="7"/>
  <c r="N535" i="7" s="1"/>
  <c r="G535" i="7"/>
  <c r="M535" i="7" s="1"/>
  <c r="O530" i="7"/>
  <c r="N530" i="7"/>
  <c r="M530" i="7"/>
  <c r="L530" i="7"/>
  <c r="K530" i="7"/>
  <c r="J530" i="7"/>
  <c r="O529" i="7"/>
  <c r="N529" i="7"/>
  <c r="M529" i="7"/>
  <c r="L529" i="7"/>
  <c r="K529" i="7"/>
  <c r="J529" i="7"/>
  <c r="O528" i="7"/>
  <c r="N528" i="7"/>
  <c r="M528" i="7"/>
  <c r="L528" i="7"/>
  <c r="K528" i="7"/>
  <c r="J528" i="7"/>
  <c r="O527" i="7"/>
  <c r="N527" i="7"/>
  <c r="M527" i="7"/>
  <c r="L527" i="7"/>
  <c r="K527" i="7"/>
  <c r="J527" i="7"/>
  <c r="O526" i="7"/>
  <c r="N526" i="7"/>
  <c r="M526" i="7"/>
  <c r="L526" i="7"/>
  <c r="K526" i="7"/>
  <c r="J526" i="7"/>
  <c r="O525" i="7"/>
  <c r="N525" i="7"/>
  <c r="M525" i="7"/>
  <c r="L525" i="7"/>
  <c r="K525" i="7"/>
  <c r="J525" i="7"/>
  <c r="F516" i="7"/>
  <c r="F517" i="7"/>
  <c r="F518" i="7"/>
  <c r="F519" i="7"/>
  <c r="F160" i="9" s="1"/>
  <c r="F520" i="7"/>
  <c r="F161" i="9" s="1"/>
  <c r="E516" i="7"/>
  <c r="E517" i="7"/>
  <c r="E518" i="7"/>
  <c r="E519" i="7"/>
  <c r="E160" i="9" s="1"/>
  <c r="E520" i="7"/>
  <c r="E161" i="9" s="1"/>
  <c r="E515" i="7"/>
  <c r="F515" i="7"/>
  <c r="D516" i="7"/>
  <c r="D517" i="7"/>
  <c r="D518" i="7"/>
  <c r="D519" i="7"/>
  <c r="D520" i="7"/>
  <c r="D515" i="7"/>
  <c r="F506" i="7"/>
  <c r="F507" i="7"/>
  <c r="F508" i="7"/>
  <c r="F509" i="7"/>
  <c r="F510" i="7"/>
  <c r="E506" i="7"/>
  <c r="E507" i="7"/>
  <c r="E508" i="7"/>
  <c r="E509" i="7"/>
  <c r="E510" i="7"/>
  <c r="E505" i="7"/>
  <c r="F505" i="7"/>
  <c r="D506" i="7"/>
  <c r="D507" i="7"/>
  <c r="D508" i="7"/>
  <c r="D509" i="7"/>
  <c r="D510" i="7"/>
  <c r="D505" i="7"/>
  <c r="D511" i="7"/>
  <c r="I510" i="7"/>
  <c r="I520" i="7" s="1"/>
  <c r="O520" i="7" s="1"/>
  <c r="H510" i="7"/>
  <c r="N510" i="7" s="1"/>
  <c r="G510" i="7"/>
  <c r="I509" i="7"/>
  <c r="O509" i="7" s="1"/>
  <c r="H509" i="7"/>
  <c r="H519" i="7" s="1"/>
  <c r="N519" i="7" s="1"/>
  <c r="G509" i="7"/>
  <c r="I508" i="7"/>
  <c r="I518" i="7" s="1"/>
  <c r="O518" i="7" s="1"/>
  <c r="H508" i="7"/>
  <c r="H518" i="7" s="1"/>
  <c r="N518" i="7" s="1"/>
  <c r="G508" i="7"/>
  <c r="G518" i="7" s="1"/>
  <c r="M518" i="7" s="1"/>
  <c r="I507" i="7"/>
  <c r="O507" i="7" s="1"/>
  <c r="H507" i="7"/>
  <c r="G507" i="7"/>
  <c r="M507" i="7" s="1"/>
  <c r="I506" i="7"/>
  <c r="I516" i="7" s="1"/>
  <c r="O516" i="7" s="1"/>
  <c r="H506" i="7"/>
  <c r="H516" i="7" s="1"/>
  <c r="N516" i="7" s="1"/>
  <c r="G506" i="7"/>
  <c r="I505" i="7"/>
  <c r="I515" i="7" s="1"/>
  <c r="O515" i="7" s="1"/>
  <c r="H505" i="7"/>
  <c r="H515" i="7" s="1"/>
  <c r="N515" i="7" s="1"/>
  <c r="G505" i="7"/>
  <c r="G515" i="7" s="1"/>
  <c r="M515" i="7" s="1"/>
  <c r="O500" i="7"/>
  <c r="N500" i="7"/>
  <c r="M500" i="7"/>
  <c r="L500" i="7"/>
  <c r="K500" i="7"/>
  <c r="J500" i="7"/>
  <c r="O499" i="7"/>
  <c r="N499" i="7"/>
  <c r="M499" i="7"/>
  <c r="L499" i="7"/>
  <c r="K499" i="7"/>
  <c r="J499" i="7"/>
  <c r="O498" i="7"/>
  <c r="N498" i="7"/>
  <c r="M498" i="7"/>
  <c r="L498" i="7"/>
  <c r="K498" i="7"/>
  <c r="J498" i="7"/>
  <c r="O497" i="7"/>
  <c r="N497" i="7"/>
  <c r="M497" i="7"/>
  <c r="L497" i="7"/>
  <c r="K497" i="7"/>
  <c r="J497" i="7"/>
  <c r="O496" i="7"/>
  <c r="N496" i="7"/>
  <c r="M496" i="7"/>
  <c r="L496" i="7"/>
  <c r="K496" i="7"/>
  <c r="J496" i="7"/>
  <c r="O495" i="7"/>
  <c r="N495" i="7"/>
  <c r="M495" i="7"/>
  <c r="L495" i="7"/>
  <c r="K495" i="7"/>
  <c r="J495" i="7"/>
  <c r="F486" i="7"/>
  <c r="F487" i="7"/>
  <c r="F488" i="7"/>
  <c r="F489" i="7"/>
  <c r="F490" i="7"/>
  <c r="E486" i="7"/>
  <c r="E487" i="7"/>
  <c r="E488" i="7"/>
  <c r="E489" i="7"/>
  <c r="E490" i="7"/>
  <c r="E485" i="7"/>
  <c r="F485" i="7"/>
  <c r="D486" i="7"/>
  <c r="D487" i="7"/>
  <c r="D488" i="7"/>
  <c r="D489" i="7"/>
  <c r="D490" i="7"/>
  <c r="D485" i="7"/>
  <c r="F476" i="7"/>
  <c r="F477" i="7"/>
  <c r="F478" i="7"/>
  <c r="F479" i="7"/>
  <c r="F480" i="7"/>
  <c r="E476" i="7"/>
  <c r="E477" i="7"/>
  <c r="E478" i="7"/>
  <c r="E479" i="7"/>
  <c r="E480" i="7"/>
  <c r="E475" i="7"/>
  <c r="F475" i="7"/>
  <c r="D476" i="7"/>
  <c r="D477" i="7"/>
  <c r="D478" i="7"/>
  <c r="D479" i="7"/>
  <c r="D480" i="7"/>
  <c r="D475" i="7"/>
  <c r="D481" i="7"/>
  <c r="I480" i="7"/>
  <c r="H480" i="7"/>
  <c r="G480" i="7"/>
  <c r="G490" i="7" s="1"/>
  <c r="M490" i="7" s="1"/>
  <c r="I479" i="7"/>
  <c r="I489" i="7" s="1"/>
  <c r="O489" i="7" s="1"/>
  <c r="H479" i="7"/>
  <c r="H489" i="7" s="1"/>
  <c r="N489" i="7" s="1"/>
  <c r="G479" i="7"/>
  <c r="G489" i="7" s="1"/>
  <c r="M489" i="7" s="1"/>
  <c r="I478" i="7"/>
  <c r="I488" i="7" s="1"/>
  <c r="O488" i="7" s="1"/>
  <c r="H478" i="7"/>
  <c r="N478" i="7" s="1"/>
  <c r="G478" i="7"/>
  <c r="G488" i="7" s="1"/>
  <c r="M488" i="7" s="1"/>
  <c r="I477" i="7"/>
  <c r="O477" i="7" s="1"/>
  <c r="H477" i="7"/>
  <c r="H487" i="7" s="1"/>
  <c r="N487" i="7" s="1"/>
  <c r="G477" i="7"/>
  <c r="G487" i="7" s="1"/>
  <c r="M487" i="7" s="1"/>
  <c r="I476" i="7"/>
  <c r="H476" i="7"/>
  <c r="G476" i="7"/>
  <c r="M476" i="7" s="1"/>
  <c r="I475" i="7"/>
  <c r="O475" i="7" s="1"/>
  <c r="H475" i="7"/>
  <c r="H485" i="7" s="1"/>
  <c r="N485" i="7" s="1"/>
  <c r="G475" i="7"/>
  <c r="M475" i="7" s="1"/>
  <c r="O470" i="7"/>
  <c r="N470" i="7"/>
  <c r="M470" i="7"/>
  <c r="L470" i="7"/>
  <c r="K470" i="7"/>
  <c r="J470" i="7"/>
  <c r="O469" i="7"/>
  <c r="N469" i="7"/>
  <c r="M469" i="7"/>
  <c r="L469" i="7"/>
  <c r="K469" i="7"/>
  <c r="J469" i="7"/>
  <c r="O468" i="7"/>
  <c r="N468" i="7"/>
  <c r="M468" i="7"/>
  <c r="L468" i="7"/>
  <c r="K468" i="7"/>
  <c r="J468" i="7"/>
  <c r="O467" i="7"/>
  <c r="N467" i="7"/>
  <c r="M467" i="7"/>
  <c r="L467" i="7"/>
  <c r="K467" i="7"/>
  <c r="J467" i="7"/>
  <c r="O466" i="7"/>
  <c r="N466" i="7"/>
  <c r="M466" i="7"/>
  <c r="L466" i="7"/>
  <c r="K466" i="7"/>
  <c r="J466" i="7"/>
  <c r="O465" i="7"/>
  <c r="N465" i="7"/>
  <c r="M465" i="7"/>
  <c r="L465" i="7"/>
  <c r="K465" i="7"/>
  <c r="J465" i="7"/>
  <c r="F456" i="7"/>
  <c r="F457" i="7"/>
  <c r="F458" i="7"/>
  <c r="F459" i="7"/>
  <c r="F460" i="7"/>
  <c r="E456" i="7"/>
  <c r="E457" i="7"/>
  <c r="E458" i="7"/>
  <c r="E459" i="7"/>
  <c r="E460" i="7"/>
  <c r="E455" i="7"/>
  <c r="F455" i="7"/>
  <c r="D456" i="7"/>
  <c r="D457" i="7"/>
  <c r="D458" i="7"/>
  <c r="D459" i="7"/>
  <c r="D460" i="7"/>
  <c r="D455" i="7"/>
  <c r="F446" i="7"/>
  <c r="F447" i="7"/>
  <c r="F448" i="7"/>
  <c r="F449" i="7"/>
  <c r="F450" i="7"/>
  <c r="E446" i="7"/>
  <c r="E447" i="7"/>
  <c r="E448" i="7"/>
  <c r="E449" i="7"/>
  <c r="E450" i="7"/>
  <c r="E445" i="7"/>
  <c r="F445" i="7"/>
  <c r="D449" i="7"/>
  <c r="D446" i="7"/>
  <c r="D447" i="7"/>
  <c r="D448" i="7"/>
  <c r="D450" i="7"/>
  <c r="D451" i="7"/>
  <c r="D445" i="7"/>
  <c r="I450" i="7"/>
  <c r="O450" i="7" s="1"/>
  <c r="H450" i="7"/>
  <c r="H460" i="7" s="1"/>
  <c r="N460" i="7" s="1"/>
  <c r="G450" i="7"/>
  <c r="G460" i="7" s="1"/>
  <c r="M460" i="7" s="1"/>
  <c r="I449" i="7"/>
  <c r="H449" i="7"/>
  <c r="H459" i="7" s="1"/>
  <c r="N459" i="7" s="1"/>
  <c r="G449" i="7"/>
  <c r="I448" i="7"/>
  <c r="I458" i="7" s="1"/>
  <c r="O458" i="7" s="1"/>
  <c r="H448" i="7"/>
  <c r="N448" i="7" s="1"/>
  <c r="G448" i="7"/>
  <c r="I447" i="7"/>
  <c r="O447" i="7" s="1"/>
  <c r="H447" i="7"/>
  <c r="H457" i="7" s="1"/>
  <c r="N457" i="7" s="1"/>
  <c r="G447" i="7"/>
  <c r="G457" i="7" s="1"/>
  <c r="M457" i="7" s="1"/>
  <c r="I446" i="7"/>
  <c r="I456" i="7" s="1"/>
  <c r="O456" i="7" s="1"/>
  <c r="H446" i="7"/>
  <c r="G446" i="7"/>
  <c r="I445" i="7"/>
  <c r="O445" i="7" s="1"/>
  <c r="H445" i="7"/>
  <c r="G445" i="7"/>
  <c r="G455" i="7" s="1"/>
  <c r="M455" i="7" s="1"/>
  <c r="O440" i="7"/>
  <c r="N440" i="7"/>
  <c r="M440" i="7"/>
  <c r="L440" i="7"/>
  <c r="K440" i="7"/>
  <c r="J440" i="7"/>
  <c r="O439" i="7"/>
  <c r="N439" i="7"/>
  <c r="M439" i="7"/>
  <c r="L439" i="7"/>
  <c r="K439" i="7"/>
  <c r="J439" i="7"/>
  <c r="O438" i="7"/>
  <c r="N438" i="7"/>
  <c r="M438" i="7"/>
  <c r="L438" i="7"/>
  <c r="K438" i="7"/>
  <c r="J438" i="7"/>
  <c r="O437" i="7"/>
  <c r="N437" i="7"/>
  <c r="M437" i="7"/>
  <c r="L437" i="7"/>
  <c r="K437" i="7"/>
  <c r="J437" i="7"/>
  <c r="O436" i="7"/>
  <c r="N436" i="7"/>
  <c r="M436" i="7"/>
  <c r="L436" i="7"/>
  <c r="K436" i="7"/>
  <c r="J436" i="7"/>
  <c r="O435" i="7"/>
  <c r="N435" i="7"/>
  <c r="M435" i="7"/>
  <c r="L435" i="7"/>
  <c r="K435" i="7"/>
  <c r="J435" i="7"/>
  <c r="F426" i="7"/>
  <c r="F427" i="7"/>
  <c r="F428" i="7"/>
  <c r="F429" i="7"/>
  <c r="F430" i="7"/>
  <c r="E426" i="7"/>
  <c r="E427" i="7"/>
  <c r="E428" i="7"/>
  <c r="E429" i="7"/>
  <c r="E430" i="7"/>
  <c r="E425" i="7"/>
  <c r="F425" i="7"/>
  <c r="D426" i="7"/>
  <c r="D427" i="7"/>
  <c r="D428" i="7"/>
  <c r="D429" i="7"/>
  <c r="D430" i="7"/>
  <c r="D425" i="7"/>
  <c r="F416" i="7"/>
  <c r="F417" i="7"/>
  <c r="F418" i="7"/>
  <c r="F419" i="7"/>
  <c r="F420" i="7"/>
  <c r="E416" i="7"/>
  <c r="E417" i="7"/>
  <c r="E418" i="7"/>
  <c r="E419" i="7"/>
  <c r="E420" i="7"/>
  <c r="E415" i="7"/>
  <c r="F415" i="7"/>
  <c r="D416" i="7"/>
  <c r="D417" i="7"/>
  <c r="D418" i="7"/>
  <c r="D419" i="7"/>
  <c r="D420" i="7"/>
  <c r="D415" i="7"/>
  <c r="D421" i="7"/>
  <c r="I420" i="7"/>
  <c r="H420" i="7"/>
  <c r="G420" i="7"/>
  <c r="M420" i="7" s="1"/>
  <c r="I419" i="7"/>
  <c r="O419" i="7" s="1"/>
  <c r="H419" i="7"/>
  <c r="H429" i="7" s="1"/>
  <c r="N429" i="7" s="1"/>
  <c r="G419" i="7"/>
  <c r="M419" i="7" s="1"/>
  <c r="I418" i="7"/>
  <c r="I428" i="7" s="1"/>
  <c r="O428" i="7" s="1"/>
  <c r="H418" i="7"/>
  <c r="G418" i="7"/>
  <c r="M418" i="7" s="1"/>
  <c r="I417" i="7"/>
  <c r="O417" i="7" s="1"/>
  <c r="H417" i="7"/>
  <c r="G417" i="7"/>
  <c r="M417" i="7" s="1"/>
  <c r="I416" i="7"/>
  <c r="I426" i="7" s="1"/>
  <c r="O426" i="7" s="1"/>
  <c r="H416" i="7"/>
  <c r="G416" i="7"/>
  <c r="M416" i="7" s="1"/>
  <c r="N415" i="7"/>
  <c r="I415" i="7"/>
  <c r="O415" i="7" s="1"/>
  <c r="H415" i="7"/>
  <c r="H425" i="7" s="1"/>
  <c r="N425" i="7" s="1"/>
  <c r="G415" i="7"/>
  <c r="G425" i="7" s="1"/>
  <c r="M425" i="7" s="1"/>
  <c r="O410" i="7"/>
  <c r="N410" i="7"/>
  <c r="M410" i="7"/>
  <c r="L410" i="7"/>
  <c r="K410" i="7"/>
  <c r="J410" i="7"/>
  <c r="O409" i="7"/>
  <c r="N409" i="7"/>
  <c r="M409" i="7"/>
  <c r="L409" i="7"/>
  <c r="K409" i="7"/>
  <c r="J409" i="7"/>
  <c r="O408" i="7"/>
  <c r="N408" i="7"/>
  <c r="M408" i="7"/>
  <c r="L408" i="7"/>
  <c r="K408" i="7"/>
  <c r="J408" i="7"/>
  <c r="O407" i="7"/>
  <c r="N407" i="7"/>
  <c r="M407" i="7"/>
  <c r="L407" i="7"/>
  <c r="K407" i="7"/>
  <c r="J407" i="7"/>
  <c r="O406" i="7"/>
  <c r="N406" i="7"/>
  <c r="M406" i="7"/>
  <c r="L406" i="7"/>
  <c r="K406" i="7"/>
  <c r="J406" i="7"/>
  <c r="O405" i="7"/>
  <c r="N405" i="7"/>
  <c r="M405" i="7"/>
  <c r="L405" i="7"/>
  <c r="K405" i="7"/>
  <c r="J405" i="7"/>
  <c r="F89" i="8"/>
  <c r="F90" i="8"/>
  <c r="F91" i="8"/>
  <c r="F92" i="8"/>
  <c r="F93" i="8"/>
  <c r="E89" i="8"/>
  <c r="E90" i="8"/>
  <c r="E91" i="8"/>
  <c r="E92" i="8"/>
  <c r="E93" i="8"/>
  <c r="E88" i="8"/>
  <c r="F88" i="8"/>
  <c r="D89" i="8"/>
  <c r="D90" i="8"/>
  <c r="D91" i="8"/>
  <c r="D92" i="8"/>
  <c r="D93" i="8"/>
  <c r="D88" i="8"/>
  <c r="F79" i="8"/>
  <c r="F80" i="8"/>
  <c r="F81" i="8"/>
  <c r="F82" i="8"/>
  <c r="F83" i="8"/>
  <c r="E79" i="8"/>
  <c r="E80" i="8"/>
  <c r="E81" i="8"/>
  <c r="E82" i="8"/>
  <c r="E83" i="8"/>
  <c r="E78" i="8"/>
  <c r="F78" i="8"/>
  <c r="D79" i="8"/>
  <c r="D80" i="8"/>
  <c r="D81" i="8"/>
  <c r="D82" i="8"/>
  <c r="D83" i="8"/>
  <c r="D78" i="8"/>
  <c r="I83" i="8"/>
  <c r="O83" i="8" s="1"/>
  <c r="H83" i="8"/>
  <c r="N83" i="8" s="1"/>
  <c r="G83" i="8"/>
  <c r="I82" i="8"/>
  <c r="O82" i="8" s="1"/>
  <c r="H82" i="8"/>
  <c r="H92" i="8" s="1"/>
  <c r="N92" i="8" s="1"/>
  <c r="G82" i="8"/>
  <c r="G92" i="8" s="1"/>
  <c r="M92" i="8" s="1"/>
  <c r="I81" i="8"/>
  <c r="O81" i="8" s="1"/>
  <c r="H81" i="8"/>
  <c r="H91" i="8" s="1"/>
  <c r="N91" i="8" s="1"/>
  <c r="G81" i="8"/>
  <c r="M81" i="8" s="1"/>
  <c r="I80" i="8"/>
  <c r="O80" i="8" s="1"/>
  <c r="H80" i="8"/>
  <c r="H90" i="8" s="1"/>
  <c r="N90" i="8" s="1"/>
  <c r="G80" i="8"/>
  <c r="G90" i="8" s="1"/>
  <c r="M90" i="8" s="1"/>
  <c r="I79" i="8"/>
  <c r="O79" i="8" s="1"/>
  <c r="H79" i="8"/>
  <c r="H89" i="8" s="1"/>
  <c r="N89" i="8" s="1"/>
  <c r="G79" i="8"/>
  <c r="G89" i="8" s="1"/>
  <c r="M89" i="8" s="1"/>
  <c r="I78" i="8"/>
  <c r="O78" i="8" s="1"/>
  <c r="H78" i="8"/>
  <c r="H88" i="8" s="1"/>
  <c r="N88" i="8" s="1"/>
  <c r="G78" i="8"/>
  <c r="G88" i="8" s="1"/>
  <c r="M88" i="8" s="1"/>
  <c r="O73" i="8"/>
  <c r="N73" i="8"/>
  <c r="M73" i="8"/>
  <c r="L73" i="8"/>
  <c r="K73" i="8"/>
  <c r="J73" i="8"/>
  <c r="O72" i="8"/>
  <c r="N72" i="8"/>
  <c r="M72" i="8"/>
  <c r="L72" i="8"/>
  <c r="K72" i="8"/>
  <c r="J72" i="8"/>
  <c r="O71" i="8"/>
  <c r="N71" i="8"/>
  <c r="M71" i="8"/>
  <c r="L71" i="8"/>
  <c r="K71" i="8"/>
  <c r="J71" i="8"/>
  <c r="O70" i="8"/>
  <c r="N70" i="8"/>
  <c r="M70" i="8"/>
  <c r="L70" i="8"/>
  <c r="K70" i="8"/>
  <c r="J70" i="8"/>
  <c r="O69" i="8"/>
  <c r="N69" i="8"/>
  <c r="M69" i="8"/>
  <c r="L69" i="8"/>
  <c r="K69" i="8"/>
  <c r="J69" i="8"/>
  <c r="O68" i="8"/>
  <c r="N68" i="8"/>
  <c r="M68" i="8"/>
  <c r="L68" i="8"/>
  <c r="K68" i="8"/>
  <c r="J68" i="8"/>
  <c r="D365" i="7"/>
  <c r="F396" i="7"/>
  <c r="F397" i="7"/>
  <c r="F398" i="7"/>
  <c r="F399" i="7"/>
  <c r="F400" i="7"/>
  <c r="E396" i="7"/>
  <c r="E397" i="7"/>
  <c r="E398" i="7"/>
  <c r="E399" i="7"/>
  <c r="E400" i="7"/>
  <c r="E395" i="7"/>
  <c r="F395" i="7"/>
  <c r="D396" i="7"/>
  <c r="D397" i="7"/>
  <c r="D398" i="7"/>
  <c r="D399" i="7"/>
  <c r="D400" i="7"/>
  <c r="D395" i="7"/>
  <c r="D385" i="7"/>
  <c r="D335" i="7"/>
  <c r="D366" i="7"/>
  <c r="F386" i="7"/>
  <c r="F387" i="7"/>
  <c r="F388" i="7"/>
  <c r="F389" i="7"/>
  <c r="F390" i="7"/>
  <c r="E386" i="7"/>
  <c r="E387" i="7"/>
  <c r="E388" i="7"/>
  <c r="E389" i="7"/>
  <c r="E390" i="7"/>
  <c r="E385" i="7"/>
  <c r="F385" i="7"/>
  <c r="D386" i="7"/>
  <c r="D387" i="7"/>
  <c r="D388" i="7"/>
  <c r="D389" i="7"/>
  <c r="D390" i="7"/>
  <c r="D391" i="7"/>
  <c r="I390" i="7"/>
  <c r="I400" i="7" s="1"/>
  <c r="O400" i="7" s="1"/>
  <c r="H390" i="7"/>
  <c r="G390" i="7"/>
  <c r="G400" i="7" s="1"/>
  <c r="M400" i="7" s="1"/>
  <c r="I389" i="7"/>
  <c r="O389" i="7" s="1"/>
  <c r="H389" i="7"/>
  <c r="G389" i="7"/>
  <c r="G399" i="7" s="1"/>
  <c r="M399" i="7" s="1"/>
  <c r="I388" i="7"/>
  <c r="I398" i="7" s="1"/>
  <c r="O398" i="7" s="1"/>
  <c r="H388" i="7"/>
  <c r="N388" i="7" s="1"/>
  <c r="G388" i="7"/>
  <c r="G398" i="7" s="1"/>
  <c r="M398" i="7" s="1"/>
  <c r="I387" i="7"/>
  <c r="O387" i="7" s="1"/>
  <c r="H387" i="7"/>
  <c r="G387" i="7"/>
  <c r="G397" i="7" s="1"/>
  <c r="M397" i="7" s="1"/>
  <c r="I386" i="7"/>
  <c r="I396" i="7" s="1"/>
  <c r="O396" i="7" s="1"/>
  <c r="H386" i="7"/>
  <c r="H396" i="7" s="1"/>
  <c r="N396" i="7" s="1"/>
  <c r="G386" i="7"/>
  <c r="M386" i="7" s="1"/>
  <c r="I385" i="7"/>
  <c r="O385" i="7" s="1"/>
  <c r="H385" i="7"/>
  <c r="N385" i="7" s="1"/>
  <c r="G385" i="7"/>
  <c r="G395" i="7" s="1"/>
  <c r="M395" i="7" s="1"/>
  <c r="O380" i="7"/>
  <c r="N380" i="7"/>
  <c r="M380" i="7"/>
  <c r="L380" i="7"/>
  <c r="K380" i="7"/>
  <c r="J380" i="7"/>
  <c r="O379" i="7"/>
  <c r="N379" i="7"/>
  <c r="M379" i="7"/>
  <c r="L379" i="7"/>
  <c r="K379" i="7"/>
  <c r="J379" i="7"/>
  <c r="O378" i="7"/>
  <c r="N378" i="7"/>
  <c r="M378" i="7"/>
  <c r="L378" i="7"/>
  <c r="K378" i="7"/>
  <c r="J378" i="7"/>
  <c r="O377" i="7"/>
  <c r="N377" i="7"/>
  <c r="M377" i="7"/>
  <c r="L377" i="7"/>
  <c r="K377" i="7"/>
  <c r="J377" i="7"/>
  <c r="O376" i="7"/>
  <c r="N376" i="7"/>
  <c r="M376" i="7"/>
  <c r="L376" i="7"/>
  <c r="K376" i="7"/>
  <c r="J376" i="7"/>
  <c r="O375" i="7"/>
  <c r="N375" i="7"/>
  <c r="M375" i="7"/>
  <c r="L375" i="7"/>
  <c r="K375" i="7"/>
  <c r="J375" i="7"/>
  <c r="F366" i="7"/>
  <c r="F367" i="7"/>
  <c r="F368" i="7"/>
  <c r="F369" i="7"/>
  <c r="F370" i="7"/>
  <c r="E366" i="7"/>
  <c r="E367" i="7"/>
  <c r="E368" i="7"/>
  <c r="E369" i="7"/>
  <c r="E370" i="7"/>
  <c r="E365" i="7"/>
  <c r="F365" i="7"/>
  <c r="D367" i="7"/>
  <c r="D368" i="7"/>
  <c r="D369" i="7"/>
  <c r="D370" i="7"/>
  <c r="F356" i="7"/>
  <c r="F357" i="7"/>
  <c r="F358" i="7"/>
  <c r="F359" i="7"/>
  <c r="F360" i="7"/>
  <c r="E356" i="7"/>
  <c r="E357" i="7"/>
  <c r="E358" i="7"/>
  <c r="E359" i="7"/>
  <c r="E360" i="7"/>
  <c r="E355" i="7"/>
  <c r="F355" i="7"/>
  <c r="D356" i="7"/>
  <c r="D357" i="7"/>
  <c r="D358" i="7"/>
  <c r="D359" i="7"/>
  <c r="D360" i="7"/>
  <c r="D355" i="7"/>
  <c r="G369" i="7"/>
  <c r="M369" i="7" s="1"/>
  <c r="D361" i="7"/>
  <c r="I360" i="7"/>
  <c r="H360" i="7"/>
  <c r="N360" i="7" s="1"/>
  <c r="G360" i="7"/>
  <c r="G370" i="7" s="1"/>
  <c r="M370" i="7" s="1"/>
  <c r="I359" i="7"/>
  <c r="O359" i="7" s="1"/>
  <c r="H359" i="7"/>
  <c r="H369" i="7" s="1"/>
  <c r="N369" i="7" s="1"/>
  <c r="G359" i="7"/>
  <c r="M359" i="7" s="1"/>
  <c r="I358" i="7"/>
  <c r="O358" i="7" s="1"/>
  <c r="H358" i="7"/>
  <c r="N358" i="7" s="1"/>
  <c r="G358" i="7"/>
  <c r="G368" i="7" s="1"/>
  <c r="M368" i="7" s="1"/>
  <c r="I357" i="7"/>
  <c r="O357" i="7" s="1"/>
  <c r="H357" i="7"/>
  <c r="H367" i="7" s="1"/>
  <c r="N367" i="7" s="1"/>
  <c r="G357" i="7"/>
  <c r="G367" i="7" s="1"/>
  <c r="M367" i="7" s="1"/>
  <c r="I356" i="7"/>
  <c r="I366" i="7" s="1"/>
  <c r="O366" i="7" s="1"/>
  <c r="H356" i="7"/>
  <c r="H366" i="7" s="1"/>
  <c r="N366" i="7" s="1"/>
  <c r="G356" i="7"/>
  <c r="M356" i="7" s="1"/>
  <c r="I355" i="7"/>
  <c r="I365" i="7" s="1"/>
  <c r="O365" i="7" s="1"/>
  <c r="H355" i="7"/>
  <c r="H365" i="7" s="1"/>
  <c r="N365" i="7" s="1"/>
  <c r="G355" i="7"/>
  <c r="G365" i="7" s="1"/>
  <c r="M365" i="7" s="1"/>
  <c r="O350" i="7"/>
  <c r="N350" i="7"/>
  <c r="M350" i="7"/>
  <c r="L350" i="7"/>
  <c r="K350" i="7"/>
  <c r="J350" i="7"/>
  <c r="O349" i="7"/>
  <c r="N349" i="7"/>
  <c r="M349" i="7"/>
  <c r="L349" i="7"/>
  <c r="K349" i="7"/>
  <c r="J349" i="7"/>
  <c r="O348" i="7"/>
  <c r="N348" i="7"/>
  <c r="M348" i="7"/>
  <c r="L348" i="7"/>
  <c r="K348" i="7"/>
  <c r="J348" i="7"/>
  <c r="O347" i="7"/>
  <c r="N347" i="7"/>
  <c r="M347" i="7"/>
  <c r="L347" i="7"/>
  <c r="K347" i="7"/>
  <c r="J347" i="7"/>
  <c r="O346" i="7"/>
  <c r="N346" i="7"/>
  <c r="M346" i="7"/>
  <c r="L346" i="7"/>
  <c r="K346" i="7"/>
  <c r="J346" i="7"/>
  <c r="O345" i="7"/>
  <c r="N345" i="7"/>
  <c r="M345" i="7"/>
  <c r="L345" i="7"/>
  <c r="K345" i="7"/>
  <c r="J345" i="7"/>
  <c r="J220" i="5"/>
  <c r="J239" i="5" s="1"/>
  <c r="K220" i="5"/>
  <c r="K239" i="5" s="1"/>
  <c r="L220" i="5"/>
  <c r="L239" i="5" s="1"/>
  <c r="M220" i="5"/>
  <c r="N220" i="5"/>
  <c r="O220" i="5"/>
  <c r="J221" i="5"/>
  <c r="J231" i="5" s="1"/>
  <c r="K221" i="5"/>
  <c r="L221" i="5"/>
  <c r="L231" i="5" s="1"/>
  <c r="M221" i="5"/>
  <c r="N221" i="5"/>
  <c r="O221" i="5"/>
  <c r="J222" i="5"/>
  <c r="J241" i="5" s="1"/>
  <c r="K222" i="5"/>
  <c r="K241" i="5" s="1"/>
  <c r="L222" i="5"/>
  <c r="L241" i="5" s="1"/>
  <c r="M222" i="5"/>
  <c r="N222" i="5"/>
  <c r="O222" i="5"/>
  <c r="J223" i="5"/>
  <c r="J242" i="5" s="1"/>
  <c r="K223" i="5"/>
  <c r="K242" i="5" s="1"/>
  <c r="L223" i="5"/>
  <c r="L242" i="5" s="1"/>
  <c r="M223" i="5"/>
  <c r="N223" i="5"/>
  <c r="O223" i="5"/>
  <c r="J224" i="5"/>
  <c r="J243" i="5" s="1"/>
  <c r="K224" i="5"/>
  <c r="L224" i="5"/>
  <c r="L243" i="5" s="1"/>
  <c r="M224" i="5"/>
  <c r="N224" i="5"/>
  <c r="O224" i="5"/>
  <c r="J225" i="5"/>
  <c r="J244" i="5" s="1"/>
  <c r="K225" i="5"/>
  <c r="K244" i="5" s="1"/>
  <c r="L225" i="5"/>
  <c r="M225" i="5"/>
  <c r="N225" i="5"/>
  <c r="O225" i="5"/>
  <c r="F336" i="7"/>
  <c r="F337" i="7"/>
  <c r="F338" i="7"/>
  <c r="F339" i="7"/>
  <c r="F340" i="7"/>
  <c r="E336" i="7"/>
  <c r="E337" i="7"/>
  <c r="E338" i="7"/>
  <c r="E339" i="7"/>
  <c r="E340" i="7"/>
  <c r="E335" i="7"/>
  <c r="F335" i="7"/>
  <c r="D336" i="7"/>
  <c r="D337" i="7"/>
  <c r="D338" i="7"/>
  <c r="D339" i="7"/>
  <c r="D340" i="7"/>
  <c r="F240" i="5"/>
  <c r="F241" i="5"/>
  <c r="F242" i="5"/>
  <c r="F243" i="5"/>
  <c r="F244" i="5"/>
  <c r="E240" i="5"/>
  <c r="E241" i="5"/>
  <c r="E242" i="5"/>
  <c r="E243" i="5"/>
  <c r="E244" i="5"/>
  <c r="E239" i="5"/>
  <c r="F239" i="5"/>
  <c r="D240" i="5"/>
  <c r="D241" i="5"/>
  <c r="D242" i="5"/>
  <c r="D243" i="5"/>
  <c r="D244" i="5"/>
  <c r="D239" i="5"/>
  <c r="F231" i="5"/>
  <c r="F232" i="5"/>
  <c r="F233" i="5"/>
  <c r="F234" i="5"/>
  <c r="F235" i="5"/>
  <c r="E231" i="5"/>
  <c r="E232" i="5"/>
  <c r="E233" i="5"/>
  <c r="E234" i="5"/>
  <c r="E235" i="5"/>
  <c r="E230" i="5"/>
  <c r="F230" i="5"/>
  <c r="D231" i="5"/>
  <c r="D232" i="5"/>
  <c r="D233" i="5"/>
  <c r="D234" i="5"/>
  <c r="D235" i="5"/>
  <c r="D230" i="5"/>
  <c r="I239" i="5"/>
  <c r="O239" i="5" s="1"/>
  <c r="H239" i="5"/>
  <c r="N239" i="5" s="1"/>
  <c r="G239" i="5"/>
  <c r="M239" i="5" s="1"/>
  <c r="I235" i="5"/>
  <c r="O235" i="5" s="1"/>
  <c r="H235" i="5"/>
  <c r="N235" i="5" s="1"/>
  <c r="G235" i="5"/>
  <c r="M235" i="5" s="1"/>
  <c r="I234" i="5"/>
  <c r="H234" i="5"/>
  <c r="N234" i="5" s="1"/>
  <c r="G234" i="5"/>
  <c r="G244" i="5" s="1"/>
  <c r="M244" i="5" s="1"/>
  <c r="I233" i="5"/>
  <c r="O233" i="5" s="1"/>
  <c r="H233" i="5"/>
  <c r="G233" i="5"/>
  <c r="G243" i="5" s="1"/>
  <c r="M243" i="5" s="1"/>
  <c r="I232" i="5"/>
  <c r="O232" i="5" s="1"/>
  <c r="H232" i="5"/>
  <c r="N232" i="5" s="1"/>
  <c r="G232" i="5"/>
  <c r="I231" i="5"/>
  <c r="O231" i="5" s="1"/>
  <c r="H231" i="5"/>
  <c r="N231" i="5" s="1"/>
  <c r="G231" i="5"/>
  <c r="G241" i="5" s="1"/>
  <c r="M241" i="5" s="1"/>
  <c r="I230" i="5"/>
  <c r="I240" i="5" s="1"/>
  <c r="O240" i="5" s="1"/>
  <c r="O230" i="5"/>
  <c r="H230" i="5"/>
  <c r="N230" i="5" s="1"/>
  <c r="G230" i="5"/>
  <c r="M230" i="5" s="1"/>
  <c r="L230" i="5"/>
  <c r="I243" i="5"/>
  <c r="O243" i="5" s="1"/>
  <c r="J230" i="5"/>
  <c r="F326" i="7"/>
  <c r="F327" i="7"/>
  <c r="F328" i="7"/>
  <c r="F329" i="7"/>
  <c r="F330" i="7"/>
  <c r="E326" i="7"/>
  <c r="E327" i="7"/>
  <c r="E328" i="7"/>
  <c r="E329" i="7"/>
  <c r="E330" i="7"/>
  <c r="E325" i="7"/>
  <c r="F325" i="7"/>
  <c r="D326" i="7"/>
  <c r="D327" i="7"/>
  <c r="D328" i="7"/>
  <c r="D329" i="7"/>
  <c r="D330" i="7"/>
  <c r="D331" i="7"/>
  <c r="D325" i="7"/>
  <c r="I330" i="7"/>
  <c r="H330" i="7"/>
  <c r="N330" i="7" s="1"/>
  <c r="G330" i="7"/>
  <c r="I329" i="7"/>
  <c r="O329" i="7" s="1"/>
  <c r="H329" i="7"/>
  <c r="G329" i="7"/>
  <c r="M329" i="7" s="1"/>
  <c r="I328" i="7"/>
  <c r="I338" i="7" s="1"/>
  <c r="O338" i="7" s="1"/>
  <c r="H328" i="7"/>
  <c r="H338" i="7" s="1"/>
  <c r="N338" i="7" s="1"/>
  <c r="G328" i="7"/>
  <c r="M328" i="7" s="1"/>
  <c r="I327" i="7"/>
  <c r="O327" i="7" s="1"/>
  <c r="H327" i="7"/>
  <c r="H337" i="7" s="1"/>
  <c r="N337" i="7" s="1"/>
  <c r="G327" i="7"/>
  <c r="G337" i="7" s="1"/>
  <c r="M337" i="7" s="1"/>
  <c r="I326" i="7"/>
  <c r="H326" i="7"/>
  <c r="H336" i="7" s="1"/>
  <c r="N336" i="7" s="1"/>
  <c r="G326" i="7"/>
  <c r="M326" i="7" s="1"/>
  <c r="M325" i="7"/>
  <c r="I325" i="7"/>
  <c r="I335" i="7" s="1"/>
  <c r="O335" i="7" s="1"/>
  <c r="H325" i="7"/>
  <c r="G325" i="7"/>
  <c r="G335" i="7" s="1"/>
  <c r="M335" i="7" s="1"/>
  <c r="O320" i="7"/>
  <c r="N320" i="7"/>
  <c r="M320" i="7"/>
  <c r="L320" i="7"/>
  <c r="K320" i="7"/>
  <c r="J320" i="7"/>
  <c r="O319" i="7"/>
  <c r="N319" i="7"/>
  <c r="M319" i="7"/>
  <c r="L319" i="7"/>
  <c r="K319" i="7"/>
  <c r="J319" i="7"/>
  <c r="O318" i="7"/>
  <c r="N318" i="7"/>
  <c r="M318" i="7"/>
  <c r="L318" i="7"/>
  <c r="K318" i="7"/>
  <c r="J318" i="7"/>
  <c r="O317" i="7"/>
  <c r="N317" i="7"/>
  <c r="M317" i="7"/>
  <c r="L317" i="7"/>
  <c r="K317" i="7"/>
  <c r="J317" i="7"/>
  <c r="O316" i="7"/>
  <c r="N316" i="7"/>
  <c r="M316" i="7"/>
  <c r="L316" i="7"/>
  <c r="K316" i="7"/>
  <c r="J316" i="7"/>
  <c r="O315" i="7"/>
  <c r="N315" i="7"/>
  <c r="M315" i="7"/>
  <c r="L315" i="7"/>
  <c r="K315" i="7"/>
  <c r="J315" i="7"/>
  <c r="F58" i="8"/>
  <c r="F59" i="8"/>
  <c r="F60" i="8"/>
  <c r="F61" i="8"/>
  <c r="F62" i="8"/>
  <c r="F57" i="8"/>
  <c r="E58" i="8"/>
  <c r="E59" i="8"/>
  <c r="E60" i="8"/>
  <c r="E61" i="8"/>
  <c r="E62" i="8"/>
  <c r="E57" i="8"/>
  <c r="D58" i="8"/>
  <c r="D59" i="8"/>
  <c r="D60" i="8"/>
  <c r="D61" i="8"/>
  <c r="D62" i="8"/>
  <c r="D57" i="8"/>
  <c r="I62" i="8"/>
  <c r="O62" i="8" s="1"/>
  <c r="H62" i="8"/>
  <c r="N62" i="8" s="1"/>
  <c r="G62" i="8"/>
  <c r="M62" i="8" s="1"/>
  <c r="I61" i="8"/>
  <c r="O61" i="8" s="1"/>
  <c r="H61" i="8"/>
  <c r="N61" i="8" s="1"/>
  <c r="G61" i="8"/>
  <c r="M61" i="8" s="1"/>
  <c r="I60" i="8"/>
  <c r="O60" i="8" s="1"/>
  <c r="H60" i="8"/>
  <c r="N60" i="8" s="1"/>
  <c r="G60" i="8"/>
  <c r="M60" i="8" s="1"/>
  <c r="I59" i="8"/>
  <c r="O59" i="8" s="1"/>
  <c r="H59" i="8"/>
  <c r="N59" i="8" s="1"/>
  <c r="G59" i="8"/>
  <c r="M59" i="8" s="1"/>
  <c r="I58" i="8"/>
  <c r="O58" i="8" s="1"/>
  <c r="H58" i="8"/>
  <c r="N58" i="8" s="1"/>
  <c r="G58" i="8"/>
  <c r="M58" i="8" s="1"/>
  <c r="M57" i="8"/>
  <c r="I57" i="8"/>
  <c r="O57" i="8" s="1"/>
  <c r="H57" i="8"/>
  <c r="N57" i="8" s="1"/>
  <c r="G57" i="8"/>
  <c r="O52" i="8"/>
  <c r="N52" i="8"/>
  <c r="M52" i="8"/>
  <c r="L52" i="8"/>
  <c r="K52" i="8"/>
  <c r="J52" i="8"/>
  <c r="O51" i="8"/>
  <c r="N51" i="8"/>
  <c r="M51" i="8"/>
  <c r="L51" i="8"/>
  <c r="K51" i="8"/>
  <c r="J51" i="8"/>
  <c r="O50" i="8"/>
  <c r="N50" i="8"/>
  <c r="M50" i="8"/>
  <c r="L50" i="8"/>
  <c r="K50" i="8"/>
  <c r="J50" i="8"/>
  <c r="O49" i="8"/>
  <c r="N49" i="8"/>
  <c r="M49" i="8"/>
  <c r="L49" i="8"/>
  <c r="K49" i="8"/>
  <c r="J49" i="8"/>
  <c r="O48" i="8"/>
  <c r="N48" i="8"/>
  <c r="M48" i="8"/>
  <c r="L48" i="8"/>
  <c r="K48" i="8"/>
  <c r="J48" i="8"/>
  <c r="O47" i="8"/>
  <c r="N47" i="8"/>
  <c r="M47" i="8"/>
  <c r="L47" i="8"/>
  <c r="K47" i="8"/>
  <c r="J47" i="8"/>
  <c r="F305" i="7"/>
  <c r="F306" i="7"/>
  <c r="F307" i="7"/>
  <c r="F308" i="7"/>
  <c r="F309" i="7"/>
  <c r="E305" i="7"/>
  <c r="E306" i="7"/>
  <c r="E307" i="7"/>
  <c r="E308" i="7"/>
  <c r="E309" i="7"/>
  <c r="E304" i="7"/>
  <c r="F304" i="7"/>
  <c r="D305" i="7"/>
  <c r="D306" i="7"/>
  <c r="D307" i="7"/>
  <c r="D308" i="7"/>
  <c r="D309" i="7"/>
  <c r="D304" i="7"/>
  <c r="I309" i="7"/>
  <c r="O309" i="7" s="1"/>
  <c r="H309" i="7"/>
  <c r="N309" i="7" s="1"/>
  <c r="G309" i="7"/>
  <c r="M309" i="7" s="1"/>
  <c r="I308" i="7"/>
  <c r="O308" i="7" s="1"/>
  <c r="H308" i="7"/>
  <c r="N308" i="7" s="1"/>
  <c r="G308" i="7"/>
  <c r="M308" i="7" s="1"/>
  <c r="I307" i="7"/>
  <c r="O307" i="7" s="1"/>
  <c r="H307" i="7"/>
  <c r="N307" i="7" s="1"/>
  <c r="G307" i="7"/>
  <c r="M307" i="7" s="1"/>
  <c r="I306" i="7"/>
  <c r="O306" i="7" s="1"/>
  <c r="H306" i="7"/>
  <c r="N306" i="7" s="1"/>
  <c r="G306" i="7"/>
  <c r="M306" i="7" s="1"/>
  <c r="I305" i="7"/>
  <c r="O305" i="7" s="1"/>
  <c r="H305" i="7"/>
  <c r="N305" i="7" s="1"/>
  <c r="G305" i="7"/>
  <c r="M305" i="7" s="1"/>
  <c r="I304" i="7"/>
  <c r="O304" i="7" s="1"/>
  <c r="H304" i="7"/>
  <c r="N304" i="7" s="1"/>
  <c r="G304" i="7"/>
  <c r="M304" i="7" s="1"/>
  <c r="O299" i="7"/>
  <c r="N299" i="7"/>
  <c r="M299" i="7"/>
  <c r="L299" i="7"/>
  <c r="K299" i="7"/>
  <c r="J299" i="7"/>
  <c r="O298" i="7"/>
  <c r="N298" i="7"/>
  <c r="M298" i="7"/>
  <c r="L298" i="7"/>
  <c r="K298" i="7"/>
  <c r="J298" i="7"/>
  <c r="O297" i="7"/>
  <c r="N297" i="7"/>
  <c r="M297" i="7"/>
  <c r="L297" i="7"/>
  <c r="K297" i="7"/>
  <c r="J297" i="7"/>
  <c r="O296" i="7"/>
  <c r="N296" i="7"/>
  <c r="M296" i="7"/>
  <c r="L296" i="7"/>
  <c r="K296" i="7"/>
  <c r="J296" i="7"/>
  <c r="O295" i="7"/>
  <c r="N295" i="7"/>
  <c r="M295" i="7"/>
  <c r="L295" i="7"/>
  <c r="K295" i="7"/>
  <c r="J295" i="7"/>
  <c r="O294" i="7"/>
  <c r="N294" i="7"/>
  <c r="M294" i="7"/>
  <c r="L294" i="7"/>
  <c r="K294" i="7"/>
  <c r="J294" i="7"/>
  <c r="F285" i="7"/>
  <c r="F286" i="7"/>
  <c r="F287" i="7"/>
  <c r="F288" i="7"/>
  <c r="F289" i="7"/>
  <c r="E285" i="7"/>
  <c r="E286" i="7"/>
  <c r="E287" i="7"/>
  <c r="E288" i="7"/>
  <c r="E289" i="7"/>
  <c r="E284" i="7"/>
  <c r="F284" i="7"/>
  <c r="D285" i="7"/>
  <c r="D286" i="7"/>
  <c r="D287" i="7"/>
  <c r="D288" i="7"/>
  <c r="D289" i="7"/>
  <c r="D284" i="7"/>
  <c r="I289" i="7"/>
  <c r="O289" i="7" s="1"/>
  <c r="H289" i="7"/>
  <c r="N289" i="7" s="1"/>
  <c r="G289" i="7"/>
  <c r="M289" i="7" s="1"/>
  <c r="I288" i="7"/>
  <c r="O288" i="7" s="1"/>
  <c r="H288" i="7"/>
  <c r="N288" i="7" s="1"/>
  <c r="G288" i="7"/>
  <c r="M288" i="7" s="1"/>
  <c r="I287" i="7"/>
  <c r="O287" i="7" s="1"/>
  <c r="H287" i="7"/>
  <c r="N287" i="7" s="1"/>
  <c r="G287" i="7"/>
  <c r="M287" i="7" s="1"/>
  <c r="I286" i="7"/>
  <c r="O286" i="7" s="1"/>
  <c r="H286" i="7"/>
  <c r="N286" i="7" s="1"/>
  <c r="G286" i="7"/>
  <c r="M286" i="7" s="1"/>
  <c r="I285" i="7"/>
  <c r="O285" i="7" s="1"/>
  <c r="H285" i="7"/>
  <c r="N285" i="7" s="1"/>
  <c r="G285" i="7"/>
  <c r="M285" i="7" s="1"/>
  <c r="I284" i="7"/>
  <c r="O284" i="7" s="1"/>
  <c r="H284" i="7"/>
  <c r="N284" i="7" s="1"/>
  <c r="G284" i="7"/>
  <c r="M284" i="7" s="1"/>
  <c r="O279" i="7"/>
  <c r="N279" i="7"/>
  <c r="M279" i="7"/>
  <c r="L279" i="7"/>
  <c r="K279" i="7"/>
  <c r="J279" i="7"/>
  <c r="O278" i="7"/>
  <c r="N278" i="7"/>
  <c r="M278" i="7"/>
  <c r="L278" i="7"/>
  <c r="K278" i="7"/>
  <c r="J278" i="7"/>
  <c r="O277" i="7"/>
  <c r="N277" i="7"/>
  <c r="M277" i="7"/>
  <c r="L277" i="7"/>
  <c r="K277" i="7"/>
  <c r="J277" i="7"/>
  <c r="O276" i="7"/>
  <c r="N276" i="7"/>
  <c r="M276" i="7"/>
  <c r="L276" i="7"/>
  <c r="K276" i="7"/>
  <c r="J276" i="7"/>
  <c r="O275" i="7"/>
  <c r="N275" i="7"/>
  <c r="M275" i="7"/>
  <c r="L275" i="7"/>
  <c r="K275" i="7"/>
  <c r="J275" i="7"/>
  <c r="O274" i="7"/>
  <c r="N274" i="7"/>
  <c r="M274" i="7"/>
  <c r="L274" i="7"/>
  <c r="K274" i="7"/>
  <c r="J274" i="7"/>
  <c r="F265" i="7"/>
  <c r="F266" i="7"/>
  <c r="F267" i="7"/>
  <c r="F268" i="7"/>
  <c r="F269" i="7"/>
  <c r="E265" i="7"/>
  <c r="E266" i="7"/>
  <c r="E267" i="7"/>
  <c r="E268" i="7"/>
  <c r="E269" i="7"/>
  <c r="E264" i="7"/>
  <c r="F264" i="7"/>
  <c r="D265" i="7"/>
  <c r="D266" i="7"/>
  <c r="D267" i="7"/>
  <c r="D268" i="7"/>
  <c r="D269" i="7"/>
  <c r="D264" i="7"/>
  <c r="I269" i="7"/>
  <c r="O269" i="7" s="1"/>
  <c r="H269" i="7"/>
  <c r="N269" i="7" s="1"/>
  <c r="G269" i="7"/>
  <c r="M269" i="7" s="1"/>
  <c r="I268" i="7"/>
  <c r="O268" i="7" s="1"/>
  <c r="H268" i="7"/>
  <c r="N268" i="7" s="1"/>
  <c r="G268" i="7"/>
  <c r="M268" i="7" s="1"/>
  <c r="I267" i="7"/>
  <c r="O267" i="7" s="1"/>
  <c r="H267" i="7"/>
  <c r="N267" i="7" s="1"/>
  <c r="G267" i="7"/>
  <c r="M267" i="7" s="1"/>
  <c r="I266" i="7"/>
  <c r="O266" i="7" s="1"/>
  <c r="H266" i="7"/>
  <c r="N266" i="7" s="1"/>
  <c r="G266" i="7"/>
  <c r="M266" i="7" s="1"/>
  <c r="I265" i="7"/>
  <c r="O265" i="7" s="1"/>
  <c r="H265" i="7"/>
  <c r="N265" i="7" s="1"/>
  <c r="G265" i="7"/>
  <c r="M265" i="7" s="1"/>
  <c r="I264" i="7"/>
  <c r="O264" i="7" s="1"/>
  <c r="H264" i="7"/>
  <c r="N264" i="7" s="1"/>
  <c r="G264" i="7"/>
  <c r="M264" i="7" s="1"/>
  <c r="O259" i="7"/>
  <c r="N259" i="7"/>
  <c r="M259" i="7"/>
  <c r="L259" i="7"/>
  <c r="K259" i="7"/>
  <c r="J259" i="7"/>
  <c r="O258" i="7"/>
  <c r="N258" i="7"/>
  <c r="M258" i="7"/>
  <c r="L258" i="7"/>
  <c r="K258" i="7"/>
  <c r="J258" i="7"/>
  <c r="O257" i="7"/>
  <c r="N257" i="7"/>
  <c r="M257" i="7"/>
  <c r="L257" i="7"/>
  <c r="K257" i="7"/>
  <c r="J257" i="7"/>
  <c r="O256" i="7"/>
  <c r="N256" i="7"/>
  <c r="M256" i="7"/>
  <c r="L256" i="7"/>
  <c r="K256" i="7"/>
  <c r="J256" i="7"/>
  <c r="O255" i="7"/>
  <c r="N255" i="7"/>
  <c r="M255" i="7"/>
  <c r="L255" i="7"/>
  <c r="K255" i="7"/>
  <c r="J255" i="7"/>
  <c r="O254" i="7"/>
  <c r="N254" i="7"/>
  <c r="M254" i="7"/>
  <c r="L254" i="7"/>
  <c r="K254" i="7"/>
  <c r="J254" i="7"/>
  <c r="F245" i="7"/>
  <c r="F246" i="7"/>
  <c r="F247" i="7"/>
  <c r="F248" i="7"/>
  <c r="F249" i="7"/>
  <c r="E245" i="7"/>
  <c r="E246" i="7"/>
  <c r="E247" i="7"/>
  <c r="E248" i="7"/>
  <c r="E249" i="7"/>
  <c r="E244" i="7"/>
  <c r="F244" i="7"/>
  <c r="D245" i="7"/>
  <c r="D246" i="7"/>
  <c r="D247" i="7"/>
  <c r="D248" i="7"/>
  <c r="D249" i="7"/>
  <c r="D244" i="7"/>
  <c r="I249" i="7"/>
  <c r="O249" i="7" s="1"/>
  <c r="H249" i="7"/>
  <c r="N249" i="7" s="1"/>
  <c r="G249" i="7"/>
  <c r="M249" i="7" s="1"/>
  <c r="I248" i="7"/>
  <c r="O248" i="7" s="1"/>
  <c r="H248" i="7"/>
  <c r="N248" i="7" s="1"/>
  <c r="G248" i="7"/>
  <c r="M248" i="7" s="1"/>
  <c r="I247" i="7"/>
  <c r="O247" i="7" s="1"/>
  <c r="H247" i="7"/>
  <c r="N247" i="7" s="1"/>
  <c r="G247" i="7"/>
  <c r="M247" i="7" s="1"/>
  <c r="O246" i="7"/>
  <c r="I246" i="7"/>
  <c r="H246" i="7"/>
  <c r="N246" i="7" s="1"/>
  <c r="G246" i="7"/>
  <c r="M246" i="7" s="1"/>
  <c r="I245" i="7"/>
  <c r="O245" i="7" s="1"/>
  <c r="H245" i="7"/>
  <c r="N245" i="7" s="1"/>
  <c r="G245" i="7"/>
  <c r="M245" i="7" s="1"/>
  <c r="I244" i="7"/>
  <c r="O244" i="7" s="1"/>
  <c r="H244" i="7"/>
  <c r="N244" i="7" s="1"/>
  <c r="G244" i="7"/>
  <c r="M244" i="7" s="1"/>
  <c r="O239" i="7"/>
  <c r="N239" i="7"/>
  <c r="M239" i="7"/>
  <c r="L239" i="7"/>
  <c r="K239" i="7"/>
  <c r="J239" i="7"/>
  <c r="O238" i="7"/>
  <c r="N238" i="7"/>
  <c r="M238" i="7"/>
  <c r="L238" i="7"/>
  <c r="K238" i="7"/>
  <c r="J238" i="7"/>
  <c r="O237" i="7"/>
  <c r="N237" i="7"/>
  <c r="M237" i="7"/>
  <c r="L237" i="7"/>
  <c r="K237" i="7"/>
  <c r="J237" i="7"/>
  <c r="O236" i="7"/>
  <c r="N236" i="7"/>
  <c r="M236" i="7"/>
  <c r="L236" i="7"/>
  <c r="K236" i="7"/>
  <c r="J236" i="7"/>
  <c r="O235" i="7"/>
  <c r="N235" i="7"/>
  <c r="M235" i="7"/>
  <c r="L235" i="7"/>
  <c r="K235" i="7"/>
  <c r="J235" i="7"/>
  <c r="O234" i="7"/>
  <c r="N234" i="7"/>
  <c r="M234" i="7"/>
  <c r="L234" i="7"/>
  <c r="K234" i="7"/>
  <c r="J234" i="7"/>
  <c r="F225" i="7"/>
  <c r="F226" i="7"/>
  <c r="F227" i="7"/>
  <c r="F228" i="7"/>
  <c r="F229" i="7"/>
  <c r="E225" i="7"/>
  <c r="E226" i="7"/>
  <c r="E227" i="7"/>
  <c r="E228" i="7"/>
  <c r="E229" i="7"/>
  <c r="E224" i="7"/>
  <c r="F224" i="7"/>
  <c r="D225" i="7"/>
  <c r="D226" i="7"/>
  <c r="D227" i="7"/>
  <c r="D228" i="7"/>
  <c r="D229" i="7"/>
  <c r="D224" i="7"/>
  <c r="I229" i="7"/>
  <c r="O229" i="7" s="1"/>
  <c r="H229" i="7"/>
  <c r="N229" i="7" s="1"/>
  <c r="G229" i="7"/>
  <c r="M229" i="7" s="1"/>
  <c r="I228" i="7"/>
  <c r="O228" i="7" s="1"/>
  <c r="H228" i="7"/>
  <c r="N228" i="7" s="1"/>
  <c r="G228" i="7"/>
  <c r="M228" i="7" s="1"/>
  <c r="I227" i="7"/>
  <c r="O227" i="7" s="1"/>
  <c r="H227" i="7"/>
  <c r="N227" i="7" s="1"/>
  <c r="G227" i="7"/>
  <c r="M227" i="7" s="1"/>
  <c r="I226" i="7"/>
  <c r="O226" i="7" s="1"/>
  <c r="H226" i="7"/>
  <c r="N226" i="7" s="1"/>
  <c r="G226" i="7"/>
  <c r="M226" i="7" s="1"/>
  <c r="I225" i="7"/>
  <c r="O225" i="7" s="1"/>
  <c r="H225" i="7"/>
  <c r="N225" i="7" s="1"/>
  <c r="G225" i="7"/>
  <c r="M225" i="7" s="1"/>
  <c r="I224" i="7"/>
  <c r="O224" i="7" s="1"/>
  <c r="H224" i="7"/>
  <c r="N224" i="7" s="1"/>
  <c r="G224" i="7"/>
  <c r="M224" i="7" s="1"/>
  <c r="O219" i="7"/>
  <c r="N219" i="7"/>
  <c r="M219" i="7"/>
  <c r="L219" i="7"/>
  <c r="K219" i="7"/>
  <c r="J219" i="7"/>
  <c r="O218" i="7"/>
  <c r="N218" i="7"/>
  <c r="M218" i="7"/>
  <c r="L218" i="7"/>
  <c r="K218" i="7"/>
  <c r="J218" i="7"/>
  <c r="O217" i="7"/>
  <c r="N217" i="7"/>
  <c r="M217" i="7"/>
  <c r="L217" i="7"/>
  <c r="K217" i="7"/>
  <c r="J217" i="7"/>
  <c r="O216" i="7"/>
  <c r="N216" i="7"/>
  <c r="M216" i="7"/>
  <c r="L216" i="7"/>
  <c r="K216" i="7"/>
  <c r="J216" i="7"/>
  <c r="O215" i="7"/>
  <c r="N215" i="7"/>
  <c r="M215" i="7"/>
  <c r="L215" i="7"/>
  <c r="K215" i="7"/>
  <c r="J215" i="7"/>
  <c r="O214" i="7"/>
  <c r="N214" i="7"/>
  <c r="M214" i="7"/>
  <c r="L214" i="7"/>
  <c r="K214" i="7"/>
  <c r="J214" i="7"/>
  <c r="F205" i="7"/>
  <c r="F206" i="7"/>
  <c r="F207" i="7"/>
  <c r="F208" i="7"/>
  <c r="F209" i="7"/>
  <c r="E205" i="7"/>
  <c r="E206" i="7"/>
  <c r="E207" i="7"/>
  <c r="E208" i="7"/>
  <c r="E209" i="7"/>
  <c r="E204" i="7"/>
  <c r="F204" i="7"/>
  <c r="D205" i="7"/>
  <c r="D206" i="7"/>
  <c r="D207" i="7"/>
  <c r="D208" i="7"/>
  <c r="D209" i="7"/>
  <c r="D204" i="7"/>
  <c r="I209" i="7"/>
  <c r="O209" i="7" s="1"/>
  <c r="H209" i="7"/>
  <c r="N209" i="7" s="1"/>
  <c r="G209" i="7"/>
  <c r="M209" i="7" s="1"/>
  <c r="I208" i="7"/>
  <c r="O208" i="7" s="1"/>
  <c r="H208" i="7"/>
  <c r="N208" i="7" s="1"/>
  <c r="G208" i="7"/>
  <c r="M208" i="7" s="1"/>
  <c r="I207" i="7"/>
  <c r="O207" i="7" s="1"/>
  <c r="H207" i="7"/>
  <c r="N207" i="7" s="1"/>
  <c r="G207" i="7"/>
  <c r="M207" i="7" s="1"/>
  <c r="I206" i="7"/>
  <c r="O206" i="7" s="1"/>
  <c r="H206" i="7"/>
  <c r="N206" i="7" s="1"/>
  <c r="G206" i="7"/>
  <c r="M206" i="7" s="1"/>
  <c r="I205" i="7"/>
  <c r="O205" i="7" s="1"/>
  <c r="H205" i="7"/>
  <c r="N205" i="7" s="1"/>
  <c r="G205" i="7"/>
  <c r="M205" i="7" s="1"/>
  <c r="I204" i="7"/>
  <c r="O204" i="7" s="1"/>
  <c r="H204" i="7"/>
  <c r="N204" i="7" s="1"/>
  <c r="G204" i="7"/>
  <c r="M204" i="7" s="1"/>
  <c r="O199" i="7"/>
  <c r="N199" i="7"/>
  <c r="M199" i="7"/>
  <c r="L199" i="7"/>
  <c r="K199" i="7"/>
  <c r="J199" i="7"/>
  <c r="O198" i="7"/>
  <c r="N198" i="7"/>
  <c r="M198" i="7"/>
  <c r="L198" i="7"/>
  <c r="K198" i="7"/>
  <c r="J198" i="7"/>
  <c r="O197" i="7"/>
  <c r="N197" i="7"/>
  <c r="M197" i="7"/>
  <c r="L197" i="7"/>
  <c r="K197" i="7"/>
  <c r="J197" i="7"/>
  <c r="O196" i="7"/>
  <c r="N196" i="7"/>
  <c r="M196" i="7"/>
  <c r="L196" i="7"/>
  <c r="K196" i="7"/>
  <c r="J196" i="7"/>
  <c r="O195" i="7"/>
  <c r="N195" i="7"/>
  <c r="M195" i="7"/>
  <c r="L195" i="7"/>
  <c r="K195" i="7"/>
  <c r="J195" i="7"/>
  <c r="O194" i="7"/>
  <c r="N194" i="7"/>
  <c r="M194" i="7"/>
  <c r="L194" i="7"/>
  <c r="K194" i="7"/>
  <c r="J194" i="7"/>
  <c r="F37" i="8"/>
  <c r="F38" i="8"/>
  <c r="F39" i="8"/>
  <c r="F40" i="8"/>
  <c r="F41" i="8"/>
  <c r="E37" i="8"/>
  <c r="E38" i="8"/>
  <c r="E39" i="8"/>
  <c r="E40" i="8"/>
  <c r="E41" i="8"/>
  <c r="E36" i="8"/>
  <c r="F36" i="8"/>
  <c r="D37" i="8"/>
  <c r="D38" i="8"/>
  <c r="D39" i="8"/>
  <c r="D40" i="8"/>
  <c r="D41" i="8"/>
  <c r="D36" i="8"/>
  <c r="I41" i="8"/>
  <c r="O41" i="8" s="1"/>
  <c r="H41" i="8"/>
  <c r="N41" i="8" s="1"/>
  <c r="G41" i="8"/>
  <c r="M41" i="8" s="1"/>
  <c r="I40" i="8"/>
  <c r="O40" i="8" s="1"/>
  <c r="H40" i="8"/>
  <c r="N40" i="8" s="1"/>
  <c r="G40" i="8"/>
  <c r="M40" i="8" s="1"/>
  <c r="I39" i="8"/>
  <c r="O39" i="8" s="1"/>
  <c r="H39" i="8"/>
  <c r="N39" i="8" s="1"/>
  <c r="G39" i="8"/>
  <c r="M39" i="8" s="1"/>
  <c r="I38" i="8"/>
  <c r="O38" i="8" s="1"/>
  <c r="H38" i="8"/>
  <c r="N38" i="8" s="1"/>
  <c r="G38" i="8"/>
  <c r="M38" i="8" s="1"/>
  <c r="I37" i="8"/>
  <c r="O37" i="8" s="1"/>
  <c r="H37" i="8"/>
  <c r="N37" i="8" s="1"/>
  <c r="G37" i="8"/>
  <c r="M37" i="8" s="1"/>
  <c r="I36" i="8"/>
  <c r="O36" i="8" s="1"/>
  <c r="H36" i="8"/>
  <c r="N36" i="8" s="1"/>
  <c r="G36" i="8"/>
  <c r="M36" i="8" s="1"/>
  <c r="O31" i="8"/>
  <c r="N31" i="8"/>
  <c r="M31" i="8"/>
  <c r="L31" i="8"/>
  <c r="K31" i="8"/>
  <c r="J31" i="8"/>
  <c r="O30" i="8"/>
  <c r="N30" i="8"/>
  <c r="M30" i="8"/>
  <c r="L30" i="8"/>
  <c r="K30" i="8"/>
  <c r="J30" i="8"/>
  <c r="O29" i="8"/>
  <c r="N29" i="8"/>
  <c r="M29" i="8"/>
  <c r="L29" i="8"/>
  <c r="K29" i="8"/>
  <c r="J29" i="8"/>
  <c r="O28" i="8"/>
  <c r="N28" i="8"/>
  <c r="M28" i="8"/>
  <c r="L28" i="8"/>
  <c r="K28" i="8"/>
  <c r="J28" i="8"/>
  <c r="O27" i="8"/>
  <c r="N27" i="8"/>
  <c r="M27" i="8"/>
  <c r="L27" i="8"/>
  <c r="K27" i="8"/>
  <c r="J27" i="8"/>
  <c r="O26" i="8"/>
  <c r="N26" i="8"/>
  <c r="M26" i="8"/>
  <c r="L26" i="8"/>
  <c r="K26" i="8"/>
  <c r="J26" i="8"/>
  <c r="F184" i="7"/>
  <c r="F185" i="7"/>
  <c r="F186" i="7"/>
  <c r="F187" i="7"/>
  <c r="F188" i="7"/>
  <c r="E184" i="7"/>
  <c r="E185" i="7"/>
  <c r="E186" i="7"/>
  <c r="E187" i="7"/>
  <c r="E188" i="7"/>
  <c r="E183" i="7"/>
  <c r="F183" i="7"/>
  <c r="D184" i="7"/>
  <c r="D185" i="7"/>
  <c r="D186" i="7"/>
  <c r="D187" i="7"/>
  <c r="D188" i="7"/>
  <c r="D183" i="7"/>
  <c r="I188" i="7"/>
  <c r="O188" i="7" s="1"/>
  <c r="H188" i="7"/>
  <c r="N188" i="7" s="1"/>
  <c r="G188" i="7"/>
  <c r="M188" i="7" s="1"/>
  <c r="N187" i="7"/>
  <c r="I187" i="7"/>
  <c r="O187" i="7" s="1"/>
  <c r="H187" i="7"/>
  <c r="G187" i="7"/>
  <c r="M187" i="7" s="1"/>
  <c r="I186" i="7"/>
  <c r="O186" i="7" s="1"/>
  <c r="H186" i="7"/>
  <c r="N186" i="7" s="1"/>
  <c r="G186" i="7"/>
  <c r="M186" i="7" s="1"/>
  <c r="I185" i="7"/>
  <c r="O185" i="7" s="1"/>
  <c r="H185" i="7"/>
  <c r="N185" i="7" s="1"/>
  <c r="G185" i="7"/>
  <c r="M185" i="7" s="1"/>
  <c r="I184" i="7"/>
  <c r="O184" i="7" s="1"/>
  <c r="H184" i="7"/>
  <c r="N184" i="7" s="1"/>
  <c r="G184" i="7"/>
  <c r="M184" i="7" s="1"/>
  <c r="I183" i="7"/>
  <c r="O183" i="7" s="1"/>
  <c r="H183" i="7"/>
  <c r="N183" i="7" s="1"/>
  <c r="G183" i="7"/>
  <c r="M183" i="7" s="1"/>
  <c r="O178" i="7"/>
  <c r="N178" i="7"/>
  <c r="M178" i="7"/>
  <c r="L178" i="7"/>
  <c r="K178" i="7"/>
  <c r="J178" i="7"/>
  <c r="O177" i="7"/>
  <c r="N177" i="7"/>
  <c r="M177" i="7"/>
  <c r="L177" i="7"/>
  <c r="K177" i="7"/>
  <c r="J177" i="7"/>
  <c r="O176" i="7"/>
  <c r="N176" i="7"/>
  <c r="M176" i="7"/>
  <c r="L176" i="7"/>
  <c r="K176" i="7"/>
  <c r="J176" i="7"/>
  <c r="O175" i="7"/>
  <c r="N175" i="7"/>
  <c r="M175" i="7"/>
  <c r="L175" i="7"/>
  <c r="K175" i="7"/>
  <c r="J175" i="7"/>
  <c r="O174" i="7"/>
  <c r="N174" i="7"/>
  <c r="M174" i="7"/>
  <c r="L174" i="7"/>
  <c r="K174" i="7"/>
  <c r="J174" i="7"/>
  <c r="O173" i="7"/>
  <c r="N173" i="7"/>
  <c r="M173" i="7"/>
  <c r="L173" i="7"/>
  <c r="K173" i="7"/>
  <c r="J173" i="7"/>
  <c r="F163" i="7"/>
  <c r="F164" i="7"/>
  <c r="F165" i="7"/>
  <c r="F166" i="7"/>
  <c r="F167" i="7"/>
  <c r="E163" i="7"/>
  <c r="E164" i="7"/>
  <c r="E165" i="7"/>
  <c r="E166" i="7"/>
  <c r="E167" i="7"/>
  <c r="E162" i="7"/>
  <c r="F162" i="7"/>
  <c r="D163" i="7"/>
  <c r="D164" i="7"/>
  <c r="D165" i="7"/>
  <c r="D166" i="7"/>
  <c r="D167" i="7"/>
  <c r="D162" i="7"/>
  <c r="I167" i="7"/>
  <c r="O167" i="7" s="1"/>
  <c r="H167" i="7"/>
  <c r="N167" i="7" s="1"/>
  <c r="G167" i="7"/>
  <c r="M167" i="7" s="1"/>
  <c r="I166" i="7"/>
  <c r="O166" i="7" s="1"/>
  <c r="H166" i="7"/>
  <c r="N166" i="7" s="1"/>
  <c r="G166" i="7"/>
  <c r="M166" i="7" s="1"/>
  <c r="I165" i="7"/>
  <c r="O165" i="7" s="1"/>
  <c r="H165" i="7"/>
  <c r="N165" i="7" s="1"/>
  <c r="G165" i="7"/>
  <c r="M165" i="7" s="1"/>
  <c r="I164" i="7"/>
  <c r="O164" i="7" s="1"/>
  <c r="H164" i="7"/>
  <c r="N164" i="7" s="1"/>
  <c r="G164" i="7"/>
  <c r="M164" i="7" s="1"/>
  <c r="I163" i="7"/>
  <c r="O163" i="7" s="1"/>
  <c r="H163" i="7"/>
  <c r="N163" i="7" s="1"/>
  <c r="G163" i="7"/>
  <c r="M163" i="7" s="1"/>
  <c r="I162" i="7"/>
  <c r="O162" i="7" s="1"/>
  <c r="H162" i="7"/>
  <c r="N162" i="7" s="1"/>
  <c r="G162" i="7"/>
  <c r="M162" i="7" s="1"/>
  <c r="O157" i="7"/>
  <c r="N157" i="7"/>
  <c r="M157" i="7"/>
  <c r="L157" i="7"/>
  <c r="K157" i="7"/>
  <c r="J157" i="7"/>
  <c r="O156" i="7"/>
  <c r="N156" i="7"/>
  <c r="M156" i="7"/>
  <c r="L156" i="7"/>
  <c r="K156" i="7"/>
  <c r="J156" i="7"/>
  <c r="O155" i="7"/>
  <c r="N155" i="7"/>
  <c r="M155" i="7"/>
  <c r="L155" i="7"/>
  <c r="K155" i="7"/>
  <c r="J155" i="7"/>
  <c r="O154" i="7"/>
  <c r="N154" i="7"/>
  <c r="M154" i="7"/>
  <c r="L154" i="7"/>
  <c r="K154" i="7"/>
  <c r="J154" i="7"/>
  <c r="O153" i="7"/>
  <c r="N153" i="7"/>
  <c r="M153" i="7"/>
  <c r="L153" i="7"/>
  <c r="K153" i="7"/>
  <c r="J153" i="7"/>
  <c r="O152" i="7"/>
  <c r="N152" i="7"/>
  <c r="M152" i="7"/>
  <c r="L152" i="7"/>
  <c r="K152" i="7"/>
  <c r="J152" i="7"/>
  <c r="F142" i="7"/>
  <c r="F143" i="7"/>
  <c r="F144" i="7"/>
  <c r="F145" i="7"/>
  <c r="F146" i="7"/>
  <c r="E142" i="7"/>
  <c r="E143" i="7"/>
  <c r="E144" i="7"/>
  <c r="E145" i="7"/>
  <c r="E146" i="7"/>
  <c r="E141" i="7"/>
  <c r="F141" i="7"/>
  <c r="D142" i="7"/>
  <c r="D143" i="7"/>
  <c r="D144" i="7"/>
  <c r="D145" i="7"/>
  <c r="D146" i="7"/>
  <c r="D141" i="7"/>
  <c r="I146" i="7"/>
  <c r="O146" i="7" s="1"/>
  <c r="H146" i="7"/>
  <c r="N146" i="7" s="1"/>
  <c r="G146" i="7"/>
  <c r="M146" i="7" s="1"/>
  <c r="I145" i="7"/>
  <c r="O145" i="7" s="1"/>
  <c r="H145" i="7"/>
  <c r="N145" i="7" s="1"/>
  <c r="G145" i="7"/>
  <c r="M145" i="7" s="1"/>
  <c r="I144" i="7"/>
  <c r="O144" i="7" s="1"/>
  <c r="H144" i="7"/>
  <c r="N144" i="7" s="1"/>
  <c r="G144" i="7"/>
  <c r="M144" i="7" s="1"/>
  <c r="I143" i="7"/>
  <c r="O143" i="7" s="1"/>
  <c r="H143" i="7"/>
  <c r="N143" i="7" s="1"/>
  <c r="G143" i="7"/>
  <c r="M143" i="7" s="1"/>
  <c r="I142" i="7"/>
  <c r="O142" i="7" s="1"/>
  <c r="H142" i="7"/>
  <c r="N142" i="7" s="1"/>
  <c r="G142" i="7"/>
  <c r="M142" i="7" s="1"/>
  <c r="O141" i="7"/>
  <c r="I141" i="7"/>
  <c r="H141" i="7"/>
  <c r="N141" i="7" s="1"/>
  <c r="G141" i="7"/>
  <c r="M141" i="7" s="1"/>
  <c r="O136" i="7"/>
  <c r="N136" i="7"/>
  <c r="M136" i="7"/>
  <c r="L136" i="7"/>
  <c r="K136" i="7"/>
  <c r="J136" i="7"/>
  <c r="O135" i="7"/>
  <c r="N135" i="7"/>
  <c r="M135" i="7"/>
  <c r="L135" i="7"/>
  <c r="K135" i="7"/>
  <c r="J135" i="7"/>
  <c r="O134" i="7"/>
  <c r="N134" i="7"/>
  <c r="M134" i="7"/>
  <c r="L134" i="7"/>
  <c r="K134" i="7"/>
  <c r="J134" i="7"/>
  <c r="O133" i="7"/>
  <c r="N133" i="7"/>
  <c r="M133" i="7"/>
  <c r="L133" i="7"/>
  <c r="K133" i="7"/>
  <c r="J133" i="7"/>
  <c r="O132" i="7"/>
  <c r="N132" i="7"/>
  <c r="M132" i="7"/>
  <c r="L132" i="7"/>
  <c r="K132" i="7"/>
  <c r="J132" i="7"/>
  <c r="O131" i="7"/>
  <c r="N131" i="7"/>
  <c r="M131" i="7"/>
  <c r="L131" i="7"/>
  <c r="K131" i="7"/>
  <c r="J131" i="7"/>
  <c r="F121" i="7"/>
  <c r="F122" i="7"/>
  <c r="F123" i="7"/>
  <c r="F124" i="7"/>
  <c r="F125" i="7"/>
  <c r="E121" i="7"/>
  <c r="E122" i="7"/>
  <c r="E123" i="7"/>
  <c r="E124" i="7"/>
  <c r="E125" i="7"/>
  <c r="E120" i="7"/>
  <c r="F120" i="7"/>
  <c r="D121" i="7"/>
  <c r="D122" i="7"/>
  <c r="D123" i="7"/>
  <c r="D124" i="7"/>
  <c r="D125" i="7"/>
  <c r="D120" i="7"/>
  <c r="I125" i="7"/>
  <c r="O125" i="7" s="1"/>
  <c r="H125" i="7"/>
  <c r="N125" i="7" s="1"/>
  <c r="G125" i="7"/>
  <c r="M125" i="7" s="1"/>
  <c r="I124" i="7"/>
  <c r="O124" i="7" s="1"/>
  <c r="H124" i="7"/>
  <c r="N124" i="7" s="1"/>
  <c r="G124" i="7"/>
  <c r="M124" i="7" s="1"/>
  <c r="I123" i="7"/>
  <c r="O123" i="7" s="1"/>
  <c r="H123" i="7"/>
  <c r="N123" i="7" s="1"/>
  <c r="G123" i="7"/>
  <c r="M123" i="7" s="1"/>
  <c r="I122" i="7"/>
  <c r="O122" i="7" s="1"/>
  <c r="H122" i="7"/>
  <c r="N122" i="7" s="1"/>
  <c r="G122" i="7"/>
  <c r="M122" i="7" s="1"/>
  <c r="I121" i="7"/>
  <c r="O121" i="7" s="1"/>
  <c r="H121" i="7"/>
  <c r="N121" i="7" s="1"/>
  <c r="G121" i="7"/>
  <c r="M121" i="7" s="1"/>
  <c r="I120" i="7"/>
  <c r="O120" i="7" s="1"/>
  <c r="H120" i="7"/>
  <c r="N120" i="7" s="1"/>
  <c r="G120" i="7"/>
  <c r="M120" i="7" s="1"/>
  <c r="O115" i="7"/>
  <c r="N115" i="7"/>
  <c r="M115" i="7"/>
  <c r="L115" i="7"/>
  <c r="L125" i="7" s="1"/>
  <c r="K115" i="7"/>
  <c r="K125" i="7" s="1"/>
  <c r="J115" i="7"/>
  <c r="J125" i="7" s="1"/>
  <c r="O114" i="7"/>
  <c r="N114" i="7"/>
  <c r="M114" i="7"/>
  <c r="L114" i="7"/>
  <c r="L124" i="7" s="1"/>
  <c r="K114" i="7"/>
  <c r="K124" i="7" s="1"/>
  <c r="J114" i="7"/>
  <c r="J124" i="7" s="1"/>
  <c r="O113" i="7"/>
  <c r="N113" i="7"/>
  <c r="M113" i="7"/>
  <c r="L113" i="7"/>
  <c r="L123" i="7" s="1"/>
  <c r="K113" i="7"/>
  <c r="K123" i="7" s="1"/>
  <c r="J113" i="7"/>
  <c r="J123" i="7" s="1"/>
  <c r="O112" i="7"/>
  <c r="N112" i="7"/>
  <c r="M112" i="7"/>
  <c r="L112" i="7"/>
  <c r="L122" i="7" s="1"/>
  <c r="K112" i="7"/>
  <c r="K122" i="7" s="1"/>
  <c r="J112" i="7"/>
  <c r="J122" i="7" s="1"/>
  <c r="O111" i="7"/>
  <c r="N111" i="7"/>
  <c r="M111" i="7"/>
  <c r="L111" i="7"/>
  <c r="L121" i="7" s="1"/>
  <c r="K111" i="7"/>
  <c r="K121" i="7" s="1"/>
  <c r="J111" i="7"/>
  <c r="J121" i="7" s="1"/>
  <c r="O110" i="7"/>
  <c r="N110" i="7"/>
  <c r="M110" i="7"/>
  <c r="L110" i="7"/>
  <c r="L120" i="7" s="1"/>
  <c r="K110" i="7"/>
  <c r="K120" i="7" s="1"/>
  <c r="J110" i="7"/>
  <c r="J120" i="7" s="1"/>
  <c r="F100" i="7"/>
  <c r="F101" i="7"/>
  <c r="F102" i="7"/>
  <c r="F103" i="7"/>
  <c r="F104" i="7"/>
  <c r="E100" i="7"/>
  <c r="E101" i="7"/>
  <c r="E102" i="7"/>
  <c r="E103" i="7"/>
  <c r="E104" i="7"/>
  <c r="E99" i="7"/>
  <c r="F99" i="7"/>
  <c r="D100" i="7"/>
  <c r="D101" i="7"/>
  <c r="D102" i="7"/>
  <c r="D103" i="7"/>
  <c r="D104" i="7"/>
  <c r="D99" i="7"/>
  <c r="I104" i="7"/>
  <c r="O104" i="7" s="1"/>
  <c r="H104" i="7"/>
  <c r="N104" i="7" s="1"/>
  <c r="G104" i="7"/>
  <c r="M104" i="7" s="1"/>
  <c r="I103" i="7"/>
  <c r="O103" i="7" s="1"/>
  <c r="H103" i="7"/>
  <c r="N103" i="7" s="1"/>
  <c r="G103" i="7"/>
  <c r="M103" i="7" s="1"/>
  <c r="M102" i="7"/>
  <c r="I102" i="7"/>
  <c r="O102" i="7" s="1"/>
  <c r="H102" i="7"/>
  <c r="N102" i="7" s="1"/>
  <c r="G102" i="7"/>
  <c r="I101" i="7"/>
  <c r="O101" i="7" s="1"/>
  <c r="H101" i="7"/>
  <c r="N101" i="7" s="1"/>
  <c r="G101" i="7"/>
  <c r="M101" i="7" s="1"/>
  <c r="I100" i="7"/>
  <c r="O100" i="7" s="1"/>
  <c r="H100" i="7"/>
  <c r="N100" i="7" s="1"/>
  <c r="G100" i="7"/>
  <c r="M100" i="7" s="1"/>
  <c r="I99" i="7"/>
  <c r="O99" i="7" s="1"/>
  <c r="H99" i="7"/>
  <c r="N99" i="7" s="1"/>
  <c r="G99" i="7"/>
  <c r="M99" i="7" s="1"/>
  <c r="O94" i="7"/>
  <c r="N94" i="7"/>
  <c r="M94" i="7"/>
  <c r="L94" i="7"/>
  <c r="L104" i="7" s="1"/>
  <c r="K94" i="7"/>
  <c r="K104" i="7" s="1"/>
  <c r="J94" i="7"/>
  <c r="J104" i="7" s="1"/>
  <c r="O93" i="7"/>
  <c r="N93" i="7"/>
  <c r="M93" i="7"/>
  <c r="L93" i="7"/>
  <c r="L103" i="7" s="1"/>
  <c r="K93" i="7"/>
  <c r="K103" i="7" s="1"/>
  <c r="J93" i="7"/>
  <c r="J103" i="7" s="1"/>
  <c r="O92" i="7"/>
  <c r="N92" i="7"/>
  <c r="M92" i="7"/>
  <c r="L92" i="7"/>
  <c r="L102" i="7" s="1"/>
  <c r="K92" i="7"/>
  <c r="K102" i="7" s="1"/>
  <c r="J92" i="7"/>
  <c r="J102" i="7" s="1"/>
  <c r="O91" i="7"/>
  <c r="N91" i="7"/>
  <c r="M91" i="7"/>
  <c r="L91" i="7"/>
  <c r="L101" i="7" s="1"/>
  <c r="K91" i="7"/>
  <c r="K101" i="7" s="1"/>
  <c r="J91" i="7"/>
  <c r="J101" i="7" s="1"/>
  <c r="O90" i="7"/>
  <c r="N90" i="7"/>
  <c r="M90" i="7"/>
  <c r="L90" i="7"/>
  <c r="L100" i="7" s="1"/>
  <c r="K90" i="7"/>
  <c r="K100" i="7" s="1"/>
  <c r="J90" i="7"/>
  <c r="J100" i="7" s="1"/>
  <c r="O89" i="7"/>
  <c r="N89" i="7"/>
  <c r="M89" i="7"/>
  <c r="L89" i="7"/>
  <c r="L99" i="7" s="1"/>
  <c r="K89" i="7"/>
  <c r="K99" i="7" s="1"/>
  <c r="J89" i="7"/>
  <c r="J99" i="7" s="1"/>
  <c r="I20" i="8"/>
  <c r="O20" i="8" s="1"/>
  <c r="H20" i="8"/>
  <c r="N20" i="8" s="1"/>
  <c r="G20" i="8"/>
  <c r="M20" i="8" s="1"/>
  <c r="F20" i="8"/>
  <c r="E20" i="8"/>
  <c r="D20" i="8"/>
  <c r="M19" i="8"/>
  <c r="I19" i="8"/>
  <c r="O19" i="8" s="1"/>
  <c r="H19" i="8"/>
  <c r="N19" i="8" s="1"/>
  <c r="G19" i="8"/>
  <c r="F19" i="8"/>
  <c r="E19" i="8"/>
  <c r="D19" i="8"/>
  <c r="I18" i="8"/>
  <c r="O18" i="8" s="1"/>
  <c r="H18" i="8"/>
  <c r="N18" i="8" s="1"/>
  <c r="G18" i="8"/>
  <c r="M18" i="8" s="1"/>
  <c r="F18" i="8"/>
  <c r="E18" i="8"/>
  <c r="D18" i="8"/>
  <c r="I17" i="8"/>
  <c r="O17" i="8" s="1"/>
  <c r="H17" i="8"/>
  <c r="N17" i="8" s="1"/>
  <c r="G17" i="8"/>
  <c r="M17" i="8" s="1"/>
  <c r="F17" i="8"/>
  <c r="E17" i="8"/>
  <c r="D17" i="8"/>
  <c r="I16" i="8"/>
  <c r="O16" i="8" s="1"/>
  <c r="H16" i="8"/>
  <c r="N16" i="8" s="1"/>
  <c r="G16" i="8"/>
  <c r="M16" i="8" s="1"/>
  <c r="F16" i="8"/>
  <c r="E16" i="8"/>
  <c r="D16" i="8"/>
  <c r="I15" i="8"/>
  <c r="O15" i="8" s="1"/>
  <c r="H15" i="8"/>
  <c r="N15" i="8" s="1"/>
  <c r="G15" i="8"/>
  <c r="M15" i="8" s="1"/>
  <c r="F15" i="8"/>
  <c r="E15" i="8"/>
  <c r="D15" i="8"/>
  <c r="O10" i="8"/>
  <c r="N10" i="8"/>
  <c r="M10" i="8"/>
  <c r="L10" i="8"/>
  <c r="K10" i="8"/>
  <c r="J10" i="8"/>
  <c r="O9" i="8"/>
  <c r="N9" i="8"/>
  <c r="M9" i="8"/>
  <c r="L9" i="8"/>
  <c r="K9" i="8"/>
  <c r="J9" i="8"/>
  <c r="O8" i="8"/>
  <c r="N8" i="8"/>
  <c r="M8" i="8"/>
  <c r="L8" i="8"/>
  <c r="K8" i="8"/>
  <c r="J8" i="8"/>
  <c r="O7" i="8"/>
  <c r="N7" i="8"/>
  <c r="M7" i="8"/>
  <c r="L7" i="8"/>
  <c r="K7" i="8"/>
  <c r="J7" i="8"/>
  <c r="O6" i="8"/>
  <c r="N6" i="8"/>
  <c r="M6" i="8"/>
  <c r="L6" i="8"/>
  <c r="K6" i="8"/>
  <c r="J6" i="8"/>
  <c r="O5" i="8"/>
  <c r="N5" i="8"/>
  <c r="M5" i="8"/>
  <c r="L5" i="8"/>
  <c r="K5" i="8"/>
  <c r="J5" i="8"/>
  <c r="F79" i="7"/>
  <c r="F80" i="7"/>
  <c r="F81" i="7"/>
  <c r="F82" i="7"/>
  <c r="F83" i="7"/>
  <c r="E79" i="7"/>
  <c r="E80" i="7"/>
  <c r="E81" i="7"/>
  <c r="E82" i="7"/>
  <c r="E83" i="7"/>
  <c r="E78" i="7"/>
  <c r="F78" i="7"/>
  <c r="D79" i="7"/>
  <c r="D80" i="7"/>
  <c r="D81" i="7"/>
  <c r="D82" i="7"/>
  <c r="D83" i="7"/>
  <c r="D78" i="7"/>
  <c r="I83" i="7"/>
  <c r="O83" i="7" s="1"/>
  <c r="H83" i="7"/>
  <c r="N83" i="7" s="1"/>
  <c r="G83" i="7"/>
  <c r="M83" i="7" s="1"/>
  <c r="I82" i="7"/>
  <c r="O82" i="7" s="1"/>
  <c r="H82" i="7"/>
  <c r="N82" i="7" s="1"/>
  <c r="G82" i="7"/>
  <c r="M82" i="7" s="1"/>
  <c r="I81" i="7"/>
  <c r="O81" i="7" s="1"/>
  <c r="H81" i="7"/>
  <c r="N81" i="7" s="1"/>
  <c r="G81" i="7"/>
  <c r="M81" i="7" s="1"/>
  <c r="I80" i="7"/>
  <c r="O80" i="7" s="1"/>
  <c r="H80" i="7"/>
  <c r="N80" i="7" s="1"/>
  <c r="G80" i="7"/>
  <c r="M80" i="7" s="1"/>
  <c r="I79" i="7"/>
  <c r="O79" i="7" s="1"/>
  <c r="H79" i="7"/>
  <c r="N79" i="7" s="1"/>
  <c r="G79" i="7"/>
  <c r="M79" i="7" s="1"/>
  <c r="I78" i="7"/>
  <c r="O78" i="7" s="1"/>
  <c r="H78" i="7"/>
  <c r="N78" i="7" s="1"/>
  <c r="G78" i="7"/>
  <c r="M78" i="7" s="1"/>
  <c r="O73" i="7"/>
  <c r="N73" i="7"/>
  <c r="M73" i="7"/>
  <c r="L73" i="7"/>
  <c r="L83" i="7" s="1"/>
  <c r="K73" i="7"/>
  <c r="K83" i="7" s="1"/>
  <c r="J73" i="7"/>
  <c r="J83" i="7" s="1"/>
  <c r="O72" i="7"/>
  <c r="N72" i="7"/>
  <c r="M72" i="7"/>
  <c r="L72" i="7"/>
  <c r="L82" i="7" s="1"/>
  <c r="K72" i="7"/>
  <c r="K82" i="7" s="1"/>
  <c r="J72" i="7"/>
  <c r="J82" i="7" s="1"/>
  <c r="O71" i="7"/>
  <c r="N71" i="7"/>
  <c r="M71" i="7"/>
  <c r="L71" i="7"/>
  <c r="L81" i="7" s="1"/>
  <c r="K71" i="7"/>
  <c r="K81" i="7" s="1"/>
  <c r="J71" i="7"/>
  <c r="J81" i="7" s="1"/>
  <c r="O70" i="7"/>
  <c r="N70" i="7"/>
  <c r="M70" i="7"/>
  <c r="L70" i="7"/>
  <c r="L80" i="7" s="1"/>
  <c r="K70" i="7"/>
  <c r="K80" i="7" s="1"/>
  <c r="J70" i="7"/>
  <c r="J80" i="7" s="1"/>
  <c r="O69" i="7"/>
  <c r="N69" i="7"/>
  <c r="M69" i="7"/>
  <c r="L69" i="7"/>
  <c r="L79" i="7" s="1"/>
  <c r="K69" i="7"/>
  <c r="K79" i="7" s="1"/>
  <c r="J69" i="7"/>
  <c r="J79" i="7" s="1"/>
  <c r="O68" i="7"/>
  <c r="N68" i="7"/>
  <c r="M68" i="7"/>
  <c r="L68" i="7"/>
  <c r="L78" i="7" s="1"/>
  <c r="K68" i="7"/>
  <c r="K78" i="7" s="1"/>
  <c r="J68" i="7"/>
  <c r="J78" i="7" s="1"/>
  <c r="F58" i="7"/>
  <c r="F59" i="7"/>
  <c r="F60" i="7"/>
  <c r="F61" i="7"/>
  <c r="F62" i="7"/>
  <c r="E58" i="7"/>
  <c r="E59" i="7"/>
  <c r="E60" i="7"/>
  <c r="E61" i="7"/>
  <c r="E62" i="7"/>
  <c r="E57" i="7"/>
  <c r="F57" i="7"/>
  <c r="D58" i="7"/>
  <c r="D59" i="7"/>
  <c r="D60" i="7"/>
  <c r="D61" i="7"/>
  <c r="D62" i="7"/>
  <c r="D57" i="7"/>
  <c r="I62" i="7"/>
  <c r="O62" i="7" s="1"/>
  <c r="H62" i="7"/>
  <c r="N62" i="7" s="1"/>
  <c r="G62" i="7"/>
  <c r="M62" i="7" s="1"/>
  <c r="I61" i="7"/>
  <c r="O61" i="7" s="1"/>
  <c r="H61" i="7"/>
  <c r="N61" i="7" s="1"/>
  <c r="G61" i="7"/>
  <c r="M61" i="7" s="1"/>
  <c r="I60" i="7"/>
  <c r="O60" i="7" s="1"/>
  <c r="H60" i="7"/>
  <c r="N60" i="7" s="1"/>
  <c r="G60" i="7"/>
  <c r="M60" i="7" s="1"/>
  <c r="I59" i="7"/>
  <c r="O59" i="7" s="1"/>
  <c r="H59" i="7"/>
  <c r="N59" i="7" s="1"/>
  <c r="G59" i="7"/>
  <c r="M59" i="7" s="1"/>
  <c r="I58" i="7"/>
  <c r="O58" i="7" s="1"/>
  <c r="H58" i="7"/>
  <c r="N58" i="7" s="1"/>
  <c r="G58" i="7"/>
  <c r="M58" i="7" s="1"/>
  <c r="I57" i="7"/>
  <c r="O57" i="7" s="1"/>
  <c r="H57" i="7"/>
  <c r="N57" i="7" s="1"/>
  <c r="G57" i="7"/>
  <c r="M57" i="7" s="1"/>
  <c r="O52" i="7"/>
  <c r="N52" i="7"/>
  <c r="M52" i="7"/>
  <c r="L52" i="7"/>
  <c r="L62" i="7" s="1"/>
  <c r="K52" i="7"/>
  <c r="K62" i="7" s="1"/>
  <c r="J52" i="7"/>
  <c r="J62" i="7" s="1"/>
  <c r="O51" i="7"/>
  <c r="N51" i="7"/>
  <c r="M51" i="7"/>
  <c r="L51" i="7"/>
  <c r="L61" i="7" s="1"/>
  <c r="K51" i="7"/>
  <c r="K61" i="7" s="1"/>
  <c r="J51" i="7"/>
  <c r="J61" i="7" s="1"/>
  <c r="O50" i="7"/>
  <c r="N50" i="7"/>
  <c r="M50" i="7"/>
  <c r="L50" i="7"/>
  <c r="L60" i="7" s="1"/>
  <c r="K50" i="7"/>
  <c r="K60" i="7" s="1"/>
  <c r="J50" i="7"/>
  <c r="J60" i="7" s="1"/>
  <c r="O49" i="7"/>
  <c r="N49" i="7"/>
  <c r="M49" i="7"/>
  <c r="L49" i="7"/>
  <c r="L59" i="7" s="1"/>
  <c r="K49" i="7"/>
  <c r="K59" i="7" s="1"/>
  <c r="J49" i="7"/>
  <c r="J59" i="7" s="1"/>
  <c r="O48" i="7"/>
  <c r="N48" i="7"/>
  <c r="M48" i="7"/>
  <c r="L48" i="7"/>
  <c r="L58" i="7" s="1"/>
  <c r="K48" i="7"/>
  <c r="K58" i="7" s="1"/>
  <c r="J48" i="7"/>
  <c r="J58" i="7" s="1"/>
  <c r="O47" i="7"/>
  <c r="N47" i="7"/>
  <c r="M47" i="7"/>
  <c r="L47" i="7"/>
  <c r="L57" i="7" s="1"/>
  <c r="K47" i="7"/>
  <c r="K57" i="7" s="1"/>
  <c r="J47" i="7"/>
  <c r="J57" i="7" s="1"/>
  <c r="F37" i="7"/>
  <c r="F38" i="7"/>
  <c r="F39" i="7"/>
  <c r="F40" i="7"/>
  <c r="F41" i="7"/>
  <c r="F36" i="7"/>
  <c r="E37" i="7"/>
  <c r="E38" i="7"/>
  <c r="E39" i="7"/>
  <c r="E40" i="7"/>
  <c r="E41" i="7"/>
  <c r="E36" i="7"/>
  <c r="D37" i="7"/>
  <c r="D38" i="7"/>
  <c r="D39" i="7"/>
  <c r="D40" i="7"/>
  <c r="D41" i="7"/>
  <c r="D36" i="7"/>
  <c r="I41" i="7"/>
  <c r="O41" i="7" s="1"/>
  <c r="H41" i="7"/>
  <c r="N41" i="7" s="1"/>
  <c r="G41" i="7"/>
  <c r="M41" i="7" s="1"/>
  <c r="L31" i="7"/>
  <c r="L41" i="7" s="1"/>
  <c r="K31" i="7"/>
  <c r="K41" i="7" s="1"/>
  <c r="J31" i="7"/>
  <c r="J41" i="7" s="1"/>
  <c r="I40" i="7"/>
  <c r="O40" i="7" s="1"/>
  <c r="H40" i="7"/>
  <c r="N40" i="7" s="1"/>
  <c r="G40" i="7"/>
  <c r="M40" i="7" s="1"/>
  <c r="L30" i="7"/>
  <c r="L40" i="7" s="1"/>
  <c r="K30" i="7"/>
  <c r="K40" i="7" s="1"/>
  <c r="J30" i="7"/>
  <c r="J40" i="7" s="1"/>
  <c r="I39" i="7"/>
  <c r="O39" i="7" s="1"/>
  <c r="H39" i="7"/>
  <c r="N39" i="7" s="1"/>
  <c r="G39" i="7"/>
  <c r="M39" i="7" s="1"/>
  <c r="L29" i="7"/>
  <c r="L39" i="7" s="1"/>
  <c r="K29" i="7"/>
  <c r="K39" i="7" s="1"/>
  <c r="J29" i="7"/>
  <c r="J39" i="7" s="1"/>
  <c r="I38" i="7"/>
  <c r="O38" i="7" s="1"/>
  <c r="H38" i="7"/>
  <c r="N38" i="7" s="1"/>
  <c r="G38" i="7"/>
  <c r="M38" i="7" s="1"/>
  <c r="L28" i="7"/>
  <c r="L38" i="7" s="1"/>
  <c r="K28" i="7"/>
  <c r="K38" i="7" s="1"/>
  <c r="J28" i="7"/>
  <c r="J38" i="7" s="1"/>
  <c r="I37" i="7"/>
  <c r="O37" i="7" s="1"/>
  <c r="H37" i="7"/>
  <c r="N37" i="7"/>
  <c r="G37" i="7"/>
  <c r="M37" i="7" s="1"/>
  <c r="L27" i="7"/>
  <c r="L37" i="7" s="1"/>
  <c r="K27" i="7"/>
  <c r="K37" i="7" s="1"/>
  <c r="J27" i="7"/>
  <c r="J37" i="7" s="1"/>
  <c r="I36" i="7"/>
  <c r="O36" i="7" s="1"/>
  <c r="H36" i="7"/>
  <c r="N36" i="7" s="1"/>
  <c r="G36" i="7"/>
  <c r="M36" i="7" s="1"/>
  <c r="L26" i="7"/>
  <c r="L36" i="7" s="1"/>
  <c r="K26" i="7"/>
  <c r="K36" i="7"/>
  <c r="J26" i="7"/>
  <c r="J36" i="7" s="1"/>
  <c r="O31" i="7"/>
  <c r="N31" i="7"/>
  <c r="M31" i="7"/>
  <c r="O30" i="7"/>
  <c r="N30" i="7"/>
  <c r="M30" i="7"/>
  <c r="O29" i="7"/>
  <c r="N29" i="7"/>
  <c r="M29" i="7"/>
  <c r="O28" i="7"/>
  <c r="N28" i="7"/>
  <c r="M28" i="7"/>
  <c r="O27" i="7"/>
  <c r="N27" i="7"/>
  <c r="M27" i="7"/>
  <c r="O26" i="7"/>
  <c r="N26" i="7"/>
  <c r="M26" i="7"/>
  <c r="J191" i="5"/>
  <c r="L6" i="7"/>
  <c r="L16" i="7" s="1"/>
  <c r="L7" i="7"/>
  <c r="L17" i="7" s="1"/>
  <c r="L8" i="7"/>
  <c r="L18" i="7" s="1"/>
  <c r="L9" i="7"/>
  <c r="L19" i="7" s="1"/>
  <c r="L10" i="7"/>
  <c r="L20" i="7" s="1"/>
  <c r="K6" i="7"/>
  <c r="K16" i="7" s="1"/>
  <c r="K7" i="7"/>
  <c r="K17" i="7" s="1"/>
  <c r="K8" i="7"/>
  <c r="K18" i="7" s="1"/>
  <c r="K9" i="7"/>
  <c r="K19" i="7" s="1"/>
  <c r="K10" i="7"/>
  <c r="K20" i="7" s="1"/>
  <c r="K5" i="7"/>
  <c r="K15" i="7" s="1"/>
  <c r="L5" i="7"/>
  <c r="L15" i="7" s="1"/>
  <c r="J6" i="7"/>
  <c r="J16" i="7" s="1"/>
  <c r="J7" i="7"/>
  <c r="J17" i="7" s="1"/>
  <c r="J8" i="7"/>
  <c r="J18" i="7" s="1"/>
  <c r="J9" i="7"/>
  <c r="J19" i="7" s="1"/>
  <c r="J10" i="7"/>
  <c r="J20" i="7" s="1"/>
  <c r="J5" i="7"/>
  <c r="J15" i="7" s="1"/>
  <c r="F20" i="7"/>
  <c r="E20" i="7"/>
  <c r="D20" i="7"/>
  <c r="F19" i="7"/>
  <c r="E19" i="7"/>
  <c r="D19" i="7"/>
  <c r="F18" i="7"/>
  <c r="E18" i="7"/>
  <c r="D18" i="7"/>
  <c r="F17" i="7"/>
  <c r="E17" i="7"/>
  <c r="D17" i="7"/>
  <c r="F16" i="7"/>
  <c r="E16" i="7"/>
  <c r="D16" i="7"/>
  <c r="F15" i="7"/>
  <c r="E15" i="7"/>
  <c r="D15" i="7"/>
  <c r="I19" i="7"/>
  <c r="O19" i="7" s="1"/>
  <c r="H19" i="7"/>
  <c r="N19" i="7" s="1"/>
  <c r="G19" i="7"/>
  <c r="I18" i="7"/>
  <c r="O18" i="7" s="1"/>
  <c r="H18" i="7"/>
  <c r="N18" i="7" s="1"/>
  <c r="G18" i="7"/>
  <c r="M18" i="7" s="1"/>
  <c r="I17" i="7"/>
  <c r="O17" i="7" s="1"/>
  <c r="H17" i="7"/>
  <c r="N17" i="7" s="1"/>
  <c r="G17" i="7"/>
  <c r="M17" i="7" s="1"/>
  <c r="I16" i="7"/>
  <c r="O16" i="7" s="1"/>
  <c r="H16" i="7"/>
  <c r="N16" i="7" s="1"/>
  <c r="G16" i="7"/>
  <c r="M16" i="7" s="1"/>
  <c r="I15" i="7"/>
  <c r="O15" i="7" s="1"/>
  <c r="H15" i="7"/>
  <c r="N15" i="7" s="1"/>
  <c r="G15" i="7"/>
  <c r="I20" i="7"/>
  <c r="O20" i="7" s="1"/>
  <c r="H20" i="7"/>
  <c r="N20" i="7" s="1"/>
  <c r="G20" i="7"/>
  <c r="M20" i="7" s="1"/>
  <c r="M19" i="7"/>
  <c r="M15" i="7"/>
  <c r="O10" i="7"/>
  <c r="N10" i="7"/>
  <c r="M10" i="7"/>
  <c r="O9" i="7"/>
  <c r="N9" i="7"/>
  <c r="M9" i="7"/>
  <c r="O8" i="7"/>
  <c r="N8" i="7"/>
  <c r="M8" i="7"/>
  <c r="O7" i="7"/>
  <c r="N7" i="7"/>
  <c r="M7" i="7"/>
  <c r="O6" i="7"/>
  <c r="N6" i="7"/>
  <c r="M6" i="7"/>
  <c r="O5" i="7"/>
  <c r="N5" i="7"/>
  <c r="M5" i="7"/>
  <c r="L111" i="5"/>
  <c r="L93" i="4"/>
  <c r="L103" i="4" s="1"/>
  <c r="L112" i="5"/>
  <c r="L94" i="4"/>
  <c r="L203" i="5" s="1"/>
  <c r="L113" i="5"/>
  <c r="L95" i="4"/>
  <c r="L114" i="5"/>
  <c r="L96" i="4"/>
  <c r="L115" i="5"/>
  <c r="L97" i="4"/>
  <c r="L107" i="4" s="1"/>
  <c r="K111" i="5"/>
  <c r="K121" i="5" s="1"/>
  <c r="K93" i="4"/>
  <c r="K112" i="5"/>
  <c r="K94" i="4"/>
  <c r="K143" i="5" s="1"/>
  <c r="K113" i="5"/>
  <c r="K95" i="4"/>
  <c r="K39" i="5" s="1"/>
  <c r="K114" i="5"/>
  <c r="K96" i="4"/>
  <c r="K106" i="4" s="1"/>
  <c r="K115" i="5"/>
  <c r="K97" i="4"/>
  <c r="K110" i="5"/>
  <c r="K92" i="4"/>
  <c r="L110" i="5"/>
  <c r="L120" i="5" s="1"/>
  <c r="L92" i="4"/>
  <c r="J111" i="5"/>
  <c r="J93" i="4"/>
  <c r="J112" i="5"/>
  <c r="J94" i="4"/>
  <c r="J104" i="4" s="1"/>
  <c r="J113" i="5"/>
  <c r="J95" i="4"/>
  <c r="J114" i="5"/>
  <c r="J96" i="4"/>
  <c r="J106" i="4" s="1"/>
  <c r="J115" i="5"/>
  <c r="J97" i="4"/>
  <c r="J107" i="4" s="1"/>
  <c r="J110" i="5"/>
  <c r="J120" i="5" s="1"/>
  <c r="J92" i="4"/>
  <c r="L132" i="5"/>
  <c r="L137" i="4"/>
  <c r="L211" i="5" s="1"/>
  <c r="L133" i="5"/>
  <c r="L138" i="4"/>
  <c r="L148" i="4" s="1"/>
  <c r="L134" i="5"/>
  <c r="L144" i="5" s="1"/>
  <c r="L139" i="4"/>
  <c r="L135" i="5"/>
  <c r="L140" i="4"/>
  <c r="L136" i="5"/>
  <c r="L141" i="4"/>
  <c r="K132" i="5"/>
  <c r="K151" i="5" s="1"/>
  <c r="K137" i="4"/>
  <c r="K147" i="4" s="1"/>
  <c r="K133" i="5"/>
  <c r="K138" i="4"/>
  <c r="K148" i="4" s="1"/>
  <c r="K134" i="5"/>
  <c r="K139" i="4"/>
  <c r="K135" i="5"/>
  <c r="K145" i="5" s="1"/>
  <c r="K140" i="4"/>
  <c r="K136" i="5"/>
  <c r="K141" i="4"/>
  <c r="K131" i="5"/>
  <c r="K136" i="4"/>
  <c r="L131" i="5"/>
  <c r="L141" i="5" s="1"/>
  <c r="L136" i="4"/>
  <c r="L232" i="5" s="1"/>
  <c r="J132" i="5"/>
  <c r="J137" i="4"/>
  <c r="J133" i="5"/>
  <c r="J138" i="4"/>
  <c r="J148" i="4" s="1"/>
  <c r="J134" i="5"/>
  <c r="J139" i="4"/>
  <c r="J235" i="5" s="1"/>
  <c r="J135" i="5"/>
  <c r="J140" i="4"/>
  <c r="J136" i="5"/>
  <c r="J141" i="4"/>
  <c r="J131" i="5"/>
  <c r="J141" i="5" s="1"/>
  <c r="J136" i="4"/>
  <c r="F151" i="5"/>
  <c r="F152" i="5"/>
  <c r="F153" i="5"/>
  <c r="F154" i="5"/>
  <c r="F155" i="5"/>
  <c r="E151" i="5"/>
  <c r="E152" i="5"/>
  <c r="E153" i="5"/>
  <c r="E154" i="5"/>
  <c r="E155" i="5"/>
  <c r="E150" i="5"/>
  <c r="F150" i="5"/>
  <c r="D151" i="5"/>
  <c r="D152" i="5"/>
  <c r="D153" i="5"/>
  <c r="D154" i="5"/>
  <c r="D155" i="5"/>
  <c r="D150" i="5"/>
  <c r="F181" i="5"/>
  <c r="F182" i="5"/>
  <c r="F183" i="5"/>
  <c r="F184" i="5"/>
  <c r="F185" i="5"/>
  <c r="E181" i="5"/>
  <c r="E182" i="5"/>
  <c r="E183" i="5"/>
  <c r="E184" i="5"/>
  <c r="E185" i="5"/>
  <c r="E180" i="5"/>
  <c r="F180" i="5"/>
  <c r="D181" i="5"/>
  <c r="D182" i="5"/>
  <c r="D183" i="5"/>
  <c r="D184" i="5"/>
  <c r="D185" i="5"/>
  <c r="D180" i="5"/>
  <c r="L162" i="5"/>
  <c r="L163" i="5"/>
  <c r="L164" i="5"/>
  <c r="L165" i="5"/>
  <c r="L166" i="5"/>
  <c r="L185" i="5" s="1"/>
  <c r="K162" i="5"/>
  <c r="K181" i="5" s="1"/>
  <c r="K163" i="5"/>
  <c r="K164" i="5"/>
  <c r="K165" i="5"/>
  <c r="K166" i="5"/>
  <c r="K161" i="5"/>
  <c r="L161" i="5"/>
  <c r="J162" i="5"/>
  <c r="J163" i="5"/>
  <c r="J164" i="5"/>
  <c r="J165" i="5"/>
  <c r="J175" i="5" s="1"/>
  <c r="J166" i="5"/>
  <c r="J185" i="5" s="1"/>
  <c r="J161" i="5"/>
  <c r="J180" i="5" s="1"/>
  <c r="L192" i="5"/>
  <c r="L193" i="5"/>
  <c r="L194" i="5"/>
  <c r="L195" i="5"/>
  <c r="L196" i="5"/>
  <c r="K192" i="5"/>
  <c r="K202" i="5" s="1"/>
  <c r="K193" i="5"/>
  <c r="K194" i="5"/>
  <c r="K195" i="5"/>
  <c r="K196" i="5"/>
  <c r="K191" i="5"/>
  <c r="K210" i="5" s="1"/>
  <c r="L191" i="5"/>
  <c r="J192" i="5"/>
  <c r="J193" i="5"/>
  <c r="J194" i="5"/>
  <c r="J195" i="5"/>
  <c r="J196" i="5"/>
  <c r="J151" i="4"/>
  <c r="F211" i="5"/>
  <c r="F212" i="5"/>
  <c r="F213" i="5"/>
  <c r="F214" i="5"/>
  <c r="F215" i="5"/>
  <c r="E211" i="5"/>
  <c r="E212" i="5"/>
  <c r="E213" i="5"/>
  <c r="E214" i="5"/>
  <c r="E215" i="5"/>
  <c r="E210" i="5"/>
  <c r="F210" i="5"/>
  <c r="D211" i="5"/>
  <c r="D212" i="5"/>
  <c r="D213" i="5"/>
  <c r="D214" i="5"/>
  <c r="D215" i="5"/>
  <c r="D210" i="5"/>
  <c r="F147" i="4"/>
  <c r="F148" i="4"/>
  <c r="F149" i="4"/>
  <c r="F150" i="4"/>
  <c r="F151" i="4"/>
  <c r="E147" i="4"/>
  <c r="E148" i="4"/>
  <c r="E149" i="4"/>
  <c r="E150" i="4"/>
  <c r="E151" i="4"/>
  <c r="E146" i="4"/>
  <c r="F146" i="4"/>
  <c r="D147" i="4"/>
  <c r="D148" i="4"/>
  <c r="D149" i="4"/>
  <c r="D150" i="4"/>
  <c r="D151" i="4"/>
  <c r="D146" i="4"/>
  <c r="I151" i="4"/>
  <c r="O151" i="4" s="1"/>
  <c r="H151" i="4"/>
  <c r="N151" i="4" s="1"/>
  <c r="G151" i="4"/>
  <c r="M151" i="4" s="1"/>
  <c r="I150" i="4"/>
  <c r="O150" i="4" s="1"/>
  <c r="H150" i="4"/>
  <c r="N150" i="4" s="1"/>
  <c r="G150" i="4"/>
  <c r="M150" i="4" s="1"/>
  <c r="I149" i="4"/>
  <c r="O149" i="4" s="1"/>
  <c r="H149" i="4"/>
  <c r="N149" i="4" s="1"/>
  <c r="G149" i="4"/>
  <c r="M149" i="4" s="1"/>
  <c r="I148" i="4"/>
  <c r="O148" i="4" s="1"/>
  <c r="H148" i="4"/>
  <c r="N148" i="4" s="1"/>
  <c r="G148" i="4"/>
  <c r="M148" i="4" s="1"/>
  <c r="I147" i="4"/>
  <c r="O147" i="4" s="1"/>
  <c r="H147" i="4"/>
  <c r="N147" i="4" s="1"/>
  <c r="G147" i="4"/>
  <c r="M147" i="4" s="1"/>
  <c r="I146" i="4"/>
  <c r="O146" i="4" s="1"/>
  <c r="H146" i="4"/>
  <c r="N146" i="4" s="1"/>
  <c r="G146" i="4"/>
  <c r="M146" i="4" s="1"/>
  <c r="O141" i="4"/>
  <c r="N141" i="4"/>
  <c r="M141" i="4"/>
  <c r="O140" i="4"/>
  <c r="N140" i="4"/>
  <c r="M140" i="4"/>
  <c r="O139" i="4"/>
  <c r="N139" i="4"/>
  <c r="M139" i="4"/>
  <c r="O138" i="4"/>
  <c r="N138" i="4"/>
  <c r="M138" i="4"/>
  <c r="O137" i="4"/>
  <c r="N137" i="4"/>
  <c r="M137" i="4"/>
  <c r="O136" i="4"/>
  <c r="N136" i="4"/>
  <c r="M136" i="4"/>
  <c r="F202" i="5"/>
  <c r="F203" i="5"/>
  <c r="F204" i="5"/>
  <c r="F205" i="5"/>
  <c r="F206" i="5"/>
  <c r="E202" i="5"/>
  <c r="E203" i="5"/>
  <c r="E204" i="5"/>
  <c r="E205" i="5"/>
  <c r="E206" i="5"/>
  <c r="E201" i="5"/>
  <c r="F201" i="5"/>
  <c r="D202" i="5"/>
  <c r="D203" i="5"/>
  <c r="D204" i="5"/>
  <c r="D205" i="5"/>
  <c r="D206" i="5"/>
  <c r="D201" i="5"/>
  <c r="I205" i="5"/>
  <c r="I215" i="5" s="1"/>
  <c r="O215" i="5" s="1"/>
  <c r="H205" i="5"/>
  <c r="N205" i="5" s="1"/>
  <c r="G205" i="5"/>
  <c r="G215" i="5" s="1"/>
  <c r="M215" i="5" s="1"/>
  <c r="I204" i="5"/>
  <c r="O204" i="5" s="1"/>
  <c r="H204" i="5"/>
  <c r="G204" i="5"/>
  <c r="M204" i="5" s="1"/>
  <c r="G214" i="5"/>
  <c r="M214" i="5" s="1"/>
  <c r="I203" i="5"/>
  <c r="H203" i="5"/>
  <c r="G203" i="5"/>
  <c r="M203" i="5" s="1"/>
  <c r="I202" i="5"/>
  <c r="I212" i="5" s="1"/>
  <c r="O212" i="5" s="1"/>
  <c r="H202" i="5"/>
  <c r="N202" i="5" s="1"/>
  <c r="G202" i="5"/>
  <c r="M202" i="5" s="1"/>
  <c r="G212" i="5"/>
  <c r="M212" i="5" s="1"/>
  <c r="I201" i="5"/>
  <c r="O201" i="5" s="1"/>
  <c r="H201" i="5"/>
  <c r="H211" i="5" s="1"/>
  <c r="N211" i="5" s="1"/>
  <c r="G201" i="5"/>
  <c r="M201" i="5" s="1"/>
  <c r="I210" i="5"/>
  <c r="O210" i="5" s="1"/>
  <c r="H210" i="5"/>
  <c r="N210" i="5" s="1"/>
  <c r="G210" i="5"/>
  <c r="M210" i="5" s="1"/>
  <c r="I206" i="5"/>
  <c r="O206" i="5" s="1"/>
  <c r="H206" i="5"/>
  <c r="N206" i="5" s="1"/>
  <c r="G206" i="5"/>
  <c r="M206" i="5" s="1"/>
  <c r="O196" i="5"/>
  <c r="N196" i="5"/>
  <c r="M196" i="5"/>
  <c r="O195" i="5"/>
  <c r="N195" i="5"/>
  <c r="M195" i="5"/>
  <c r="O194" i="5"/>
  <c r="N194" i="5"/>
  <c r="M194" i="5"/>
  <c r="O193" i="5"/>
  <c r="N193" i="5"/>
  <c r="M193" i="5"/>
  <c r="O192" i="5"/>
  <c r="N192" i="5"/>
  <c r="M192" i="5"/>
  <c r="O191" i="5"/>
  <c r="N191" i="5"/>
  <c r="M191" i="5"/>
  <c r="F173" i="5"/>
  <c r="F174" i="5"/>
  <c r="F175" i="5"/>
  <c r="F176" i="5"/>
  <c r="E173" i="5"/>
  <c r="E174" i="5"/>
  <c r="E175" i="5"/>
  <c r="E176" i="5"/>
  <c r="E172" i="5"/>
  <c r="F172" i="5"/>
  <c r="E171" i="5"/>
  <c r="F171" i="5"/>
  <c r="D176" i="5"/>
  <c r="D172" i="5"/>
  <c r="D173" i="5"/>
  <c r="D174" i="5"/>
  <c r="D175" i="5"/>
  <c r="D171" i="5"/>
  <c r="I175" i="5"/>
  <c r="O175" i="5" s="1"/>
  <c r="H175" i="5"/>
  <c r="N175" i="5" s="1"/>
  <c r="G175" i="5"/>
  <c r="M175" i="5" s="1"/>
  <c r="I174" i="5"/>
  <c r="I184" i="5" s="1"/>
  <c r="O184" i="5" s="1"/>
  <c r="H174" i="5"/>
  <c r="G174" i="5"/>
  <c r="I173" i="5"/>
  <c r="O173" i="5" s="1"/>
  <c r="H173" i="5"/>
  <c r="H183" i="5" s="1"/>
  <c r="N183" i="5" s="1"/>
  <c r="G173" i="5"/>
  <c r="I172" i="5"/>
  <c r="O172" i="5" s="1"/>
  <c r="H172" i="5"/>
  <c r="H182" i="5" s="1"/>
  <c r="N182" i="5" s="1"/>
  <c r="G172" i="5"/>
  <c r="G182" i="5" s="1"/>
  <c r="M182" i="5" s="1"/>
  <c r="I171" i="5"/>
  <c r="I181" i="5" s="1"/>
  <c r="O181" i="5" s="1"/>
  <c r="H171" i="5"/>
  <c r="N171" i="5" s="1"/>
  <c r="G171" i="5"/>
  <c r="M171" i="5" s="1"/>
  <c r="I180" i="5"/>
  <c r="O180" i="5" s="1"/>
  <c r="H180" i="5"/>
  <c r="N180" i="5" s="1"/>
  <c r="G180" i="5"/>
  <c r="M180" i="5" s="1"/>
  <c r="I176" i="5"/>
  <c r="O176" i="5" s="1"/>
  <c r="H176" i="5"/>
  <c r="N176" i="5" s="1"/>
  <c r="G176" i="5"/>
  <c r="M176" i="5" s="1"/>
  <c r="O166" i="5"/>
  <c r="N166" i="5"/>
  <c r="M166" i="5"/>
  <c r="O165" i="5"/>
  <c r="N165" i="5"/>
  <c r="M165" i="5"/>
  <c r="O164" i="5"/>
  <c r="N164" i="5"/>
  <c r="M164" i="5"/>
  <c r="O163" i="5"/>
  <c r="N163" i="5"/>
  <c r="M163" i="5"/>
  <c r="O162" i="5"/>
  <c r="N162" i="5"/>
  <c r="M162" i="5"/>
  <c r="O161" i="5"/>
  <c r="N161" i="5"/>
  <c r="M161" i="5"/>
  <c r="G150" i="5"/>
  <c r="M150" i="5" s="1"/>
  <c r="H150" i="5"/>
  <c r="N150" i="5" s="1"/>
  <c r="I150" i="5"/>
  <c r="O150" i="5"/>
  <c r="I145" i="5"/>
  <c r="I155" i="5" s="1"/>
  <c r="O155" i="5" s="1"/>
  <c r="H145" i="5"/>
  <c r="H155" i="5" s="1"/>
  <c r="N155" i="5" s="1"/>
  <c r="G145" i="5"/>
  <c r="I144" i="5"/>
  <c r="O144" i="5" s="1"/>
  <c r="H144" i="5"/>
  <c r="H154" i="5" s="1"/>
  <c r="N154" i="5" s="1"/>
  <c r="G144" i="5"/>
  <c r="M144" i="5" s="1"/>
  <c r="I143" i="5"/>
  <c r="I153" i="5" s="1"/>
  <c r="O153" i="5" s="1"/>
  <c r="H143" i="5"/>
  <c r="N143" i="5"/>
  <c r="H153" i="5"/>
  <c r="N153" i="5" s="1"/>
  <c r="G143" i="5"/>
  <c r="G153" i="5" s="1"/>
  <c r="M153" i="5" s="1"/>
  <c r="I142" i="5"/>
  <c r="O142" i="5" s="1"/>
  <c r="H142" i="5"/>
  <c r="H152" i="5"/>
  <c r="N152" i="5" s="1"/>
  <c r="G142" i="5"/>
  <c r="G152" i="5" s="1"/>
  <c r="M152" i="5" s="1"/>
  <c r="I141" i="5"/>
  <c r="I151" i="5" s="1"/>
  <c r="O151" i="5" s="1"/>
  <c r="H141" i="5"/>
  <c r="N141" i="5" s="1"/>
  <c r="G141" i="5"/>
  <c r="M141" i="5" s="1"/>
  <c r="G151" i="5"/>
  <c r="M151" i="5" s="1"/>
  <c r="F142" i="5"/>
  <c r="F143" i="5"/>
  <c r="F144" i="5"/>
  <c r="F145" i="5"/>
  <c r="F146" i="5"/>
  <c r="E142" i="5"/>
  <c r="E143" i="5"/>
  <c r="E144" i="5"/>
  <c r="E145" i="5"/>
  <c r="E146" i="5"/>
  <c r="E141" i="5"/>
  <c r="F141" i="5"/>
  <c r="D142" i="5"/>
  <c r="D143" i="5"/>
  <c r="D144" i="5"/>
  <c r="D145" i="5"/>
  <c r="D146" i="5"/>
  <c r="D141" i="5"/>
  <c r="I146" i="5"/>
  <c r="O146" i="5" s="1"/>
  <c r="H146" i="5"/>
  <c r="N146" i="5" s="1"/>
  <c r="G146" i="5"/>
  <c r="M146" i="5" s="1"/>
  <c r="N142" i="5"/>
  <c r="O136" i="5"/>
  <c r="N136" i="5"/>
  <c r="M136" i="5"/>
  <c r="O135" i="5"/>
  <c r="N135" i="5"/>
  <c r="M135" i="5"/>
  <c r="O134" i="5"/>
  <c r="N134" i="5"/>
  <c r="M134" i="5"/>
  <c r="O133" i="5"/>
  <c r="N133" i="5"/>
  <c r="M133" i="5"/>
  <c r="O132" i="5"/>
  <c r="N132" i="5"/>
  <c r="M132" i="5"/>
  <c r="O131" i="5"/>
  <c r="N131" i="5"/>
  <c r="M131" i="5"/>
  <c r="F58" i="5"/>
  <c r="F59" i="5"/>
  <c r="F60" i="5"/>
  <c r="F61" i="5"/>
  <c r="F62" i="5"/>
  <c r="E58" i="5"/>
  <c r="E59" i="5"/>
  <c r="E60" i="5"/>
  <c r="E61" i="5"/>
  <c r="E62" i="5"/>
  <c r="E57" i="5"/>
  <c r="F57" i="5"/>
  <c r="D58" i="5"/>
  <c r="D59" i="5"/>
  <c r="D60" i="5"/>
  <c r="D61" i="5"/>
  <c r="D62" i="5"/>
  <c r="D57" i="5"/>
  <c r="G62" i="5"/>
  <c r="M62" i="5" s="1"/>
  <c r="I62" i="5"/>
  <c r="O62" i="5" s="1"/>
  <c r="H62" i="5"/>
  <c r="N62" i="5" s="1"/>
  <c r="G61" i="5"/>
  <c r="M61" i="5" s="1"/>
  <c r="I61" i="5"/>
  <c r="O61" i="5" s="1"/>
  <c r="H61" i="5"/>
  <c r="N61" i="5" s="1"/>
  <c r="G60" i="5"/>
  <c r="M60" i="5" s="1"/>
  <c r="I60" i="5"/>
  <c r="O60" i="5" s="1"/>
  <c r="H60" i="5"/>
  <c r="N60" i="5" s="1"/>
  <c r="G59" i="5"/>
  <c r="M59" i="5" s="1"/>
  <c r="I59" i="5"/>
  <c r="O59" i="5" s="1"/>
  <c r="H59" i="5"/>
  <c r="N59" i="5" s="1"/>
  <c r="G58" i="5"/>
  <c r="M58" i="5" s="1"/>
  <c r="I58" i="5"/>
  <c r="O58" i="5" s="1"/>
  <c r="H58" i="5"/>
  <c r="N58" i="5" s="1"/>
  <c r="G57" i="5"/>
  <c r="M57" i="5" s="1"/>
  <c r="I57" i="5"/>
  <c r="O57" i="5" s="1"/>
  <c r="H57" i="5"/>
  <c r="N57" i="5" s="1"/>
  <c r="O52" i="5"/>
  <c r="N52" i="5"/>
  <c r="M52" i="5"/>
  <c r="L52" i="5"/>
  <c r="K52" i="5"/>
  <c r="J52" i="5"/>
  <c r="J62" i="5" s="1"/>
  <c r="O51" i="5"/>
  <c r="N51" i="5"/>
  <c r="M51" i="5"/>
  <c r="L51" i="5"/>
  <c r="K51" i="5"/>
  <c r="J51" i="5"/>
  <c r="J61" i="5" s="1"/>
  <c r="O50" i="5"/>
  <c r="N50" i="5"/>
  <c r="M50" i="5"/>
  <c r="L50" i="5"/>
  <c r="K50" i="5"/>
  <c r="J50" i="5"/>
  <c r="O49" i="5"/>
  <c r="N49" i="5"/>
  <c r="M49" i="5"/>
  <c r="L49" i="5"/>
  <c r="K49" i="5"/>
  <c r="J49" i="5"/>
  <c r="O48" i="5"/>
  <c r="N48" i="5"/>
  <c r="M48" i="5"/>
  <c r="L48" i="5"/>
  <c r="K48" i="5"/>
  <c r="K58" i="5" s="1"/>
  <c r="J48" i="5"/>
  <c r="O47" i="5"/>
  <c r="N47" i="5"/>
  <c r="M47" i="5"/>
  <c r="L47" i="5"/>
  <c r="K47" i="5"/>
  <c r="K57" i="5" s="1"/>
  <c r="J47" i="5"/>
  <c r="F16" i="5"/>
  <c r="F17" i="5"/>
  <c r="F18" i="5"/>
  <c r="F19" i="5"/>
  <c r="F20" i="5"/>
  <c r="E16" i="5"/>
  <c r="E17" i="5"/>
  <c r="E18" i="5"/>
  <c r="E19" i="5"/>
  <c r="E20" i="5"/>
  <c r="E15" i="5"/>
  <c r="F15" i="5"/>
  <c r="D16" i="5"/>
  <c r="D17" i="5"/>
  <c r="D18" i="5"/>
  <c r="D19" i="5"/>
  <c r="D20" i="5"/>
  <c r="D15" i="5"/>
  <c r="G20" i="5"/>
  <c r="M20" i="5" s="1"/>
  <c r="I20" i="5"/>
  <c r="O20" i="5" s="1"/>
  <c r="H20" i="5"/>
  <c r="N20" i="5" s="1"/>
  <c r="I19" i="5"/>
  <c r="O19" i="5" s="1"/>
  <c r="H19" i="5"/>
  <c r="N19" i="5" s="1"/>
  <c r="G19" i="5"/>
  <c r="M19" i="5" s="1"/>
  <c r="I18" i="5"/>
  <c r="O18" i="5" s="1"/>
  <c r="H18" i="5"/>
  <c r="N18" i="5" s="1"/>
  <c r="G18" i="5"/>
  <c r="M18" i="5" s="1"/>
  <c r="I17" i="5"/>
  <c r="O17" i="5" s="1"/>
  <c r="H17" i="5"/>
  <c r="N17" i="5" s="1"/>
  <c r="G17" i="5"/>
  <c r="M17" i="5" s="1"/>
  <c r="I16" i="5"/>
  <c r="O16" i="5" s="1"/>
  <c r="H16" i="5"/>
  <c r="N16" i="5" s="1"/>
  <c r="G16" i="5"/>
  <c r="M16" i="5" s="1"/>
  <c r="I15" i="5"/>
  <c r="O15" i="5" s="1"/>
  <c r="H15" i="5"/>
  <c r="N15" i="5" s="1"/>
  <c r="G15" i="5"/>
  <c r="M15" i="5" s="1"/>
  <c r="O10" i="5"/>
  <c r="N10" i="5"/>
  <c r="M10" i="5"/>
  <c r="L10" i="5"/>
  <c r="K10" i="5"/>
  <c r="K20" i="5" s="1"/>
  <c r="J10" i="5"/>
  <c r="O9" i="5"/>
  <c r="N9" i="5"/>
  <c r="M9" i="5"/>
  <c r="L9" i="5"/>
  <c r="K9" i="5"/>
  <c r="J9" i="5"/>
  <c r="J19" i="5" s="1"/>
  <c r="O8" i="5"/>
  <c r="N8" i="5"/>
  <c r="M8" i="5"/>
  <c r="L8" i="5"/>
  <c r="K8" i="5"/>
  <c r="J8" i="5"/>
  <c r="O7" i="5"/>
  <c r="N7" i="5"/>
  <c r="M7" i="5"/>
  <c r="L7" i="5"/>
  <c r="K7" i="5"/>
  <c r="J7" i="5"/>
  <c r="J17" i="5" s="1"/>
  <c r="O6" i="5"/>
  <c r="N6" i="5"/>
  <c r="M6" i="5"/>
  <c r="L6" i="5"/>
  <c r="K6" i="5"/>
  <c r="K16" i="5" s="1"/>
  <c r="J6" i="5"/>
  <c r="O5" i="5"/>
  <c r="N5" i="5"/>
  <c r="M5" i="5"/>
  <c r="L5" i="5"/>
  <c r="L15" i="5" s="1"/>
  <c r="K5" i="5"/>
  <c r="K15" i="5" s="1"/>
  <c r="J5" i="5"/>
  <c r="J15" i="5" s="1"/>
  <c r="F121" i="5"/>
  <c r="F122" i="5"/>
  <c r="F123" i="5"/>
  <c r="F124" i="5"/>
  <c r="F125" i="5"/>
  <c r="E121" i="5"/>
  <c r="E122" i="5"/>
  <c r="E123" i="5"/>
  <c r="E124" i="5"/>
  <c r="E125" i="5"/>
  <c r="E120" i="5"/>
  <c r="F120" i="5"/>
  <c r="D121" i="5"/>
  <c r="D122" i="5"/>
  <c r="D123" i="5"/>
  <c r="D124" i="5"/>
  <c r="D125" i="5"/>
  <c r="D120" i="5"/>
  <c r="I125" i="5"/>
  <c r="O125" i="5" s="1"/>
  <c r="H125" i="5"/>
  <c r="N125" i="5" s="1"/>
  <c r="G125" i="5"/>
  <c r="M125" i="5" s="1"/>
  <c r="I124" i="5"/>
  <c r="O124" i="5" s="1"/>
  <c r="H124" i="5"/>
  <c r="N124" i="5" s="1"/>
  <c r="G124" i="5"/>
  <c r="M124" i="5" s="1"/>
  <c r="G123" i="5"/>
  <c r="M123" i="5" s="1"/>
  <c r="I123" i="5"/>
  <c r="O123" i="5" s="1"/>
  <c r="H123" i="5"/>
  <c r="N123" i="5" s="1"/>
  <c r="I122" i="5"/>
  <c r="O122" i="5" s="1"/>
  <c r="H122" i="5"/>
  <c r="N122" i="5" s="1"/>
  <c r="G122" i="5"/>
  <c r="M122" i="5" s="1"/>
  <c r="I121" i="5"/>
  <c r="O121" i="5" s="1"/>
  <c r="H121" i="5"/>
  <c r="N121" i="5" s="1"/>
  <c r="G121" i="5"/>
  <c r="M121" i="5" s="1"/>
  <c r="I120" i="5"/>
  <c r="O120" i="5" s="1"/>
  <c r="H120" i="5"/>
  <c r="N120" i="5" s="1"/>
  <c r="G120" i="5"/>
  <c r="M120" i="5" s="1"/>
  <c r="O115" i="5"/>
  <c r="N115" i="5"/>
  <c r="M115" i="5"/>
  <c r="O114" i="5"/>
  <c r="N114" i="5"/>
  <c r="M114" i="5"/>
  <c r="O113" i="5"/>
  <c r="N113" i="5"/>
  <c r="M113" i="5"/>
  <c r="O112" i="5"/>
  <c r="N112" i="5"/>
  <c r="M112" i="5"/>
  <c r="O111" i="5"/>
  <c r="N111" i="5"/>
  <c r="M111" i="5"/>
  <c r="O110" i="5"/>
  <c r="N110" i="5"/>
  <c r="M110" i="5"/>
  <c r="J89" i="5"/>
  <c r="F100" i="5"/>
  <c r="F101" i="5"/>
  <c r="F102" i="5"/>
  <c r="F103" i="5"/>
  <c r="F104" i="5"/>
  <c r="E100" i="5"/>
  <c r="E101" i="5"/>
  <c r="E102" i="5"/>
  <c r="E103" i="5"/>
  <c r="E104" i="5"/>
  <c r="D100" i="5"/>
  <c r="D101" i="5"/>
  <c r="D102" i="5"/>
  <c r="D103" i="5"/>
  <c r="D104" i="5"/>
  <c r="E99" i="5"/>
  <c r="F99" i="5"/>
  <c r="D99" i="5"/>
  <c r="I104" i="5"/>
  <c r="O104" i="5" s="1"/>
  <c r="H104" i="5"/>
  <c r="N104" i="5" s="1"/>
  <c r="G104" i="5"/>
  <c r="M104" i="5" s="1"/>
  <c r="I103" i="5"/>
  <c r="O103" i="5" s="1"/>
  <c r="H103" i="5"/>
  <c r="N103" i="5" s="1"/>
  <c r="G103" i="5"/>
  <c r="M103" i="5" s="1"/>
  <c r="I102" i="5"/>
  <c r="O102" i="5" s="1"/>
  <c r="H102" i="5"/>
  <c r="N102" i="5" s="1"/>
  <c r="G102" i="5"/>
  <c r="M102" i="5" s="1"/>
  <c r="I101" i="5"/>
  <c r="O101" i="5" s="1"/>
  <c r="H101" i="5"/>
  <c r="N101" i="5" s="1"/>
  <c r="G101" i="5"/>
  <c r="M101" i="5" s="1"/>
  <c r="I100" i="5"/>
  <c r="O100" i="5" s="1"/>
  <c r="H100" i="5"/>
  <c r="N100" i="5" s="1"/>
  <c r="G100" i="5"/>
  <c r="M100" i="5" s="1"/>
  <c r="I99" i="5"/>
  <c r="O99" i="5" s="1"/>
  <c r="H99" i="5"/>
  <c r="N99" i="5" s="1"/>
  <c r="G99" i="5"/>
  <c r="M99" i="5" s="1"/>
  <c r="O94" i="5"/>
  <c r="N94" i="5"/>
  <c r="M94" i="5"/>
  <c r="L94" i="5"/>
  <c r="L104" i="5" s="1"/>
  <c r="K94" i="5"/>
  <c r="K104" i="5" s="1"/>
  <c r="J94" i="5"/>
  <c r="O93" i="5"/>
  <c r="N93" i="5"/>
  <c r="M93" i="5"/>
  <c r="L93" i="5"/>
  <c r="L103" i="5" s="1"/>
  <c r="K93" i="5"/>
  <c r="J93" i="5"/>
  <c r="J103" i="5" s="1"/>
  <c r="O92" i="5"/>
  <c r="N92" i="5"/>
  <c r="M92" i="5"/>
  <c r="L92" i="5"/>
  <c r="K92" i="5"/>
  <c r="J92" i="5"/>
  <c r="O91" i="5"/>
  <c r="N91" i="5"/>
  <c r="M91" i="5"/>
  <c r="L91" i="5"/>
  <c r="K91" i="5"/>
  <c r="J91" i="5"/>
  <c r="O90" i="5"/>
  <c r="N90" i="5"/>
  <c r="M90" i="5"/>
  <c r="L90" i="5"/>
  <c r="K90" i="5"/>
  <c r="J90" i="5"/>
  <c r="O89" i="5"/>
  <c r="N89" i="5"/>
  <c r="M89" i="5"/>
  <c r="L89" i="5"/>
  <c r="K89" i="5"/>
  <c r="J69" i="5"/>
  <c r="J70" i="5"/>
  <c r="J71" i="5"/>
  <c r="J72" i="5"/>
  <c r="J82" i="5" s="1"/>
  <c r="J73" i="5"/>
  <c r="J83" i="5" s="1"/>
  <c r="F79" i="5"/>
  <c r="F80" i="5"/>
  <c r="F81" i="5"/>
  <c r="F82" i="5"/>
  <c r="F83" i="5"/>
  <c r="E79" i="5"/>
  <c r="E80" i="5"/>
  <c r="E81" i="5"/>
  <c r="E82" i="5"/>
  <c r="E83" i="5"/>
  <c r="E78" i="5"/>
  <c r="F78" i="5"/>
  <c r="D79" i="5"/>
  <c r="D80" i="5"/>
  <c r="D81" i="5"/>
  <c r="D82" i="5"/>
  <c r="D83" i="5"/>
  <c r="D78" i="5"/>
  <c r="I83" i="5"/>
  <c r="O83" i="5"/>
  <c r="H83" i="5"/>
  <c r="N83" i="5" s="1"/>
  <c r="G83" i="5"/>
  <c r="M83" i="5" s="1"/>
  <c r="I82" i="5"/>
  <c r="O82" i="5" s="1"/>
  <c r="H82" i="5"/>
  <c r="N82" i="5" s="1"/>
  <c r="G82" i="5"/>
  <c r="M82" i="5" s="1"/>
  <c r="I81" i="5"/>
  <c r="O81" i="5" s="1"/>
  <c r="H81" i="5"/>
  <c r="N81" i="5" s="1"/>
  <c r="G81" i="5"/>
  <c r="M81" i="5" s="1"/>
  <c r="I80" i="5"/>
  <c r="O80" i="5" s="1"/>
  <c r="H80" i="5"/>
  <c r="N80" i="5" s="1"/>
  <c r="G80" i="5"/>
  <c r="M80" i="5" s="1"/>
  <c r="I79" i="5"/>
  <c r="O79" i="5" s="1"/>
  <c r="H79" i="5"/>
  <c r="N79" i="5" s="1"/>
  <c r="G79" i="5"/>
  <c r="M79" i="5" s="1"/>
  <c r="I78" i="5"/>
  <c r="O78" i="5" s="1"/>
  <c r="H78" i="5"/>
  <c r="N78" i="5" s="1"/>
  <c r="G78" i="5"/>
  <c r="M78" i="5" s="1"/>
  <c r="O73" i="5"/>
  <c r="N73" i="5"/>
  <c r="M73" i="5"/>
  <c r="L73" i="5"/>
  <c r="L83" i="5" s="1"/>
  <c r="K73" i="5"/>
  <c r="K83" i="5" s="1"/>
  <c r="O72" i="5"/>
  <c r="N72" i="5"/>
  <c r="M72" i="5"/>
  <c r="L72" i="5"/>
  <c r="L82" i="5" s="1"/>
  <c r="K72" i="5"/>
  <c r="K82" i="5" s="1"/>
  <c r="O71" i="5"/>
  <c r="N71" i="5"/>
  <c r="M71" i="5"/>
  <c r="L71" i="5"/>
  <c r="K71" i="5"/>
  <c r="O70" i="5"/>
  <c r="N70" i="5"/>
  <c r="M70" i="5"/>
  <c r="L70" i="5"/>
  <c r="L80" i="5"/>
  <c r="K70" i="5"/>
  <c r="O69" i="5"/>
  <c r="N69" i="5"/>
  <c r="M69" i="5"/>
  <c r="L69" i="5"/>
  <c r="K69" i="5"/>
  <c r="K79" i="5" s="1"/>
  <c r="O68" i="5"/>
  <c r="N68" i="5"/>
  <c r="M68" i="5"/>
  <c r="L68" i="5"/>
  <c r="K68" i="5"/>
  <c r="K78" i="5" s="1"/>
  <c r="J68" i="5"/>
  <c r="J78" i="5" s="1"/>
  <c r="F37" i="5"/>
  <c r="F38" i="5"/>
  <c r="F39" i="5"/>
  <c r="F40" i="5"/>
  <c r="F41" i="5"/>
  <c r="E37" i="5"/>
  <c r="E38" i="5"/>
  <c r="E39" i="5"/>
  <c r="E40" i="5"/>
  <c r="E41" i="5"/>
  <c r="E36" i="5"/>
  <c r="F36" i="5"/>
  <c r="D37" i="5"/>
  <c r="D38" i="5"/>
  <c r="D39" i="5"/>
  <c r="D40" i="5"/>
  <c r="D41" i="5"/>
  <c r="D36" i="5"/>
  <c r="I41" i="5"/>
  <c r="O41" i="5" s="1"/>
  <c r="H41" i="5"/>
  <c r="N41" i="5" s="1"/>
  <c r="G41" i="5"/>
  <c r="M41" i="5" s="1"/>
  <c r="I40" i="5"/>
  <c r="O40" i="5" s="1"/>
  <c r="H40" i="5"/>
  <c r="N40" i="5" s="1"/>
  <c r="G40" i="5"/>
  <c r="M40" i="5" s="1"/>
  <c r="I39" i="5"/>
  <c r="O39" i="5" s="1"/>
  <c r="H39" i="5"/>
  <c r="N39" i="5" s="1"/>
  <c r="G39" i="5"/>
  <c r="M39" i="5" s="1"/>
  <c r="I38" i="5"/>
  <c r="O38" i="5" s="1"/>
  <c r="H38" i="5"/>
  <c r="N38" i="5" s="1"/>
  <c r="G38" i="5"/>
  <c r="M38" i="5"/>
  <c r="I37" i="5"/>
  <c r="O37" i="5" s="1"/>
  <c r="H37" i="5"/>
  <c r="N37" i="5" s="1"/>
  <c r="G37" i="5"/>
  <c r="M37" i="5" s="1"/>
  <c r="I36" i="5"/>
  <c r="O36" i="5" s="1"/>
  <c r="H36" i="5"/>
  <c r="N36" i="5" s="1"/>
  <c r="G36" i="5"/>
  <c r="M36" i="5" s="1"/>
  <c r="O31" i="5"/>
  <c r="N31" i="5"/>
  <c r="M31" i="5"/>
  <c r="L31" i="5"/>
  <c r="L41" i="5" s="1"/>
  <c r="K31" i="5"/>
  <c r="K41" i="5" s="1"/>
  <c r="J31" i="5"/>
  <c r="O30" i="5"/>
  <c r="N30" i="5"/>
  <c r="M30" i="5"/>
  <c r="L30" i="5"/>
  <c r="K30" i="5"/>
  <c r="J30" i="5"/>
  <c r="J40" i="5" s="1"/>
  <c r="O29" i="5"/>
  <c r="N29" i="5"/>
  <c r="M29" i="5"/>
  <c r="L29" i="5"/>
  <c r="K29" i="5"/>
  <c r="J29" i="5"/>
  <c r="O28" i="5"/>
  <c r="N28" i="5"/>
  <c r="M28" i="5"/>
  <c r="L28" i="5"/>
  <c r="L38" i="5" s="1"/>
  <c r="K28" i="5"/>
  <c r="J28" i="5"/>
  <c r="O27" i="5"/>
  <c r="N27" i="5"/>
  <c r="M27" i="5"/>
  <c r="L27" i="5"/>
  <c r="K27" i="5"/>
  <c r="K37" i="5" s="1"/>
  <c r="J27" i="5"/>
  <c r="O26" i="5"/>
  <c r="N26" i="5"/>
  <c r="M26" i="5"/>
  <c r="L26" i="5"/>
  <c r="L36" i="5" s="1"/>
  <c r="K26" i="5"/>
  <c r="K36" i="5" s="1"/>
  <c r="J26" i="5"/>
  <c r="F126" i="4"/>
  <c r="F127" i="4"/>
  <c r="F128" i="4"/>
  <c r="F129" i="4"/>
  <c r="F130" i="4"/>
  <c r="E126" i="4"/>
  <c r="E127" i="4"/>
  <c r="E128" i="4"/>
  <c r="E129" i="4"/>
  <c r="E130" i="4"/>
  <c r="D126" i="4"/>
  <c r="D127" i="4"/>
  <c r="D128" i="4"/>
  <c r="D129" i="4"/>
  <c r="D130" i="4"/>
  <c r="E125" i="4"/>
  <c r="F125" i="4"/>
  <c r="D125" i="4"/>
  <c r="I130" i="4"/>
  <c r="O130" i="4" s="1"/>
  <c r="H130" i="4"/>
  <c r="N130" i="4" s="1"/>
  <c r="G130" i="4"/>
  <c r="M130" i="4" s="1"/>
  <c r="I129" i="4"/>
  <c r="O129" i="4" s="1"/>
  <c r="H129" i="4"/>
  <c r="N129" i="4" s="1"/>
  <c r="G129" i="4"/>
  <c r="M129" i="4" s="1"/>
  <c r="I128" i="4"/>
  <c r="O128" i="4" s="1"/>
  <c r="H128" i="4"/>
  <c r="N128" i="4" s="1"/>
  <c r="G128" i="4"/>
  <c r="M128" i="4" s="1"/>
  <c r="I127" i="4"/>
  <c r="O127" i="4" s="1"/>
  <c r="H127" i="4"/>
  <c r="N127" i="4" s="1"/>
  <c r="G127" i="4"/>
  <c r="M127" i="4" s="1"/>
  <c r="I126" i="4"/>
  <c r="O126" i="4" s="1"/>
  <c r="H126" i="4"/>
  <c r="N126" i="4" s="1"/>
  <c r="G126" i="4"/>
  <c r="M126" i="4" s="1"/>
  <c r="I125" i="4"/>
  <c r="O125" i="4" s="1"/>
  <c r="H125" i="4"/>
  <c r="N125" i="4" s="1"/>
  <c r="G125" i="4"/>
  <c r="M125" i="4" s="1"/>
  <c r="O120" i="4"/>
  <c r="N120" i="4"/>
  <c r="M120" i="4"/>
  <c r="L120" i="4"/>
  <c r="L130" i="4" s="1"/>
  <c r="K120" i="4"/>
  <c r="K130" i="4" s="1"/>
  <c r="J120" i="4"/>
  <c r="J130" i="4" s="1"/>
  <c r="O119" i="4"/>
  <c r="N119" i="4"/>
  <c r="M119" i="4"/>
  <c r="L119" i="4"/>
  <c r="K119" i="4"/>
  <c r="J119" i="4"/>
  <c r="J129" i="4" s="1"/>
  <c r="O118" i="4"/>
  <c r="N118" i="4"/>
  <c r="M118" i="4"/>
  <c r="L118" i="4"/>
  <c r="K118" i="4"/>
  <c r="J118" i="4"/>
  <c r="O117" i="4"/>
  <c r="N117" i="4"/>
  <c r="M117" i="4"/>
  <c r="L117" i="4"/>
  <c r="L127" i="4" s="1"/>
  <c r="K117" i="4"/>
  <c r="J117" i="4"/>
  <c r="O116" i="4"/>
  <c r="N116" i="4"/>
  <c r="M116" i="4"/>
  <c r="L116" i="4"/>
  <c r="K116" i="4"/>
  <c r="J116" i="4"/>
  <c r="O115" i="4"/>
  <c r="N115" i="4"/>
  <c r="M115" i="4"/>
  <c r="L115" i="4"/>
  <c r="K115" i="4"/>
  <c r="J115" i="4"/>
  <c r="J125" i="4" s="1"/>
  <c r="F103" i="4"/>
  <c r="F104" i="4"/>
  <c r="F105" i="4"/>
  <c r="F106" i="4"/>
  <c r="F107" i="4"/>
  <c r="E103" i="4"/>
  <c r="E104" i="4"/>
  <c r="E105" i="4"/>
  <c r="E106" i="4"/>
  <c r="E107" i="4"/>
  <c r="E102" i="4"/>
  <c r="F102" i="4"/>
  <c r="D103" i="4"/>
  <c r="D104" i="4"/>
  <c r="D105" i="4"/>
  <c r="D106" i="4"/>
  <c r="D107" i="4"/>
  <c r="D102" i="4"/>
  <c r="I107" i="4"/>
  <c r="O107" i="4" s="1"/>
  <c r="H107" i="4"/>
  <c r="N107" i="4" s="1"/>
  <c r="G107" i="4"/>
  <c r="M107" i="4" s="1"/>
  <c r="I106" i="4"/>
  <c r="O106" i="4" s="1"/>
  <c r="H106" i="4"/>
  <c r="N106" i="4" s="1"/>
  <c r="G106" i="4"/>
  <c r="M106" i="4" s="1"/>
  <c r="G105" i="4"/>
  <c r="M105" i="4" s="1"/>
  <c r="I105" i="4"/>
  <c r="O105" i="4" s="1"/>
  <c r="H105" i="4"/>
  <c r="N105" i="4" s="1"/>
  <c r="I104" i="4"/>
  <c r="O104" i="4" s="1"/>
  <c r="H104" i="4"/>
  <c r="N104" i="4" s="1"/>
  <c r="G104" i="4"/>
  <c r="M104" i="4" s="1"/>
  <c r="I103" i="4"/>
  <c r="O103" i="4" s="1"/>
  <c r="H103" i="4"/>
  <c r="N103" i="4" s="1"/>
  <c r="G103" i="4"/>
  <c r="M103" i="4" s="1"/>
  <c r="I102" i="4"/>
  <c r="O102" i="4" s="1"/>
  <c r="H102" i="4"/>
  <c r="N102" i="4" s="1"/>
  <c r="G102" i="4"/>
  <c r="M102" i="4" s="1"/>
  <c r="O97" i="4"/>
  <c r="N97" i="4"/>
  <c r="M97" i="4"/>
  <c r="O96" i="4"/>
  <c r="N96" i="4"/>
  <c r="M96" i="4"/>
  <c r="O95" i="4"/>
  <c r="N95" i="4"/>
  <c r="M95" i="4"/>
  <c r="O94" i="4"/>
  <c r="N94" i="4"/>
  <c r="M94" i="4"/>
  <c r="O93" i="4"/>
  <c r="N93" i="4"/>
  <c r="M93" i="4"/>
  <c r="O92" i="4"/>
  <c r="N92" i="4"/>
  <c r="M92" i="4"/>
  <c r="L106" i="4"/>
  <c r="L19" i="5"/>
  <c r="K103" i="4"/>
  <c r="K105" i="4"/>
  <c r="K102" i="5"/>
  <c r="K107" i="4"/>
  <c r="K102" i="4"/>
  <c r="J57" i="5"/>
  <c r="F80" i="4"/>
  <c r="F81" i="4"/>
  <c r="F82" i="4"/>
  <c r="F83" i="4"/>
  <c r="F84" i="4"/>
  <c r="E80" i="4"/>
  <c r="E81" i="4"/>
  <c r="E82" i="4"/>
  <c r="E83" i="4"/>
  <c r="E84" i="4"/>
  <c r="E79" i="4"/>
  <c r="F79" i="4"/>
  <c r="D80" i="4"/>
  <c r="D81" i="4"/>
  <c r="D82" i="4"/>
  <c r="D83" i="4"/>
  <c r="D84" i="4"/>
  <c r="D79" i="4"/>
  <c r="I84" i="4"/>
  <c r="O84" i="4" s="1"/>
  <c r="H84" i="4"/>
  <c r="N84" i="4" s="1"/>
  <c r="G84" i="4"/>
  <c r="M84" i="4" s="1"/>
  <c r="I83" i="4"/>
  <c r="O83" i="4" s="1"/>
  <c r="H83" i="4"/>
  <c r="N83" i="4" s="1"/>
  <c r="G83" i="4"/>
  <c r="M83" i="4" s="1"/>
  <c r="I82" i="4"/>
  <c r="O82" i="4" s="1"/>
  <c r="H82" i="4"/>
  <c r="N82" i="4" s="1"/>
  <c r="G82" i="4"/>
  <c r="M82" i="4" s="1"/>
  <c r="I81" i="4"/>
  <c r="O81" i="4" s="1"/>
  <c r="H81" i="4"/>
  <c r="N81" i="4" s="1"/>
  <c r="G81" i="4"/>
  <c r="M81" i="4" s="1"/>
  <c r="I80" i="4"/>
  <c r="O80" i="4" s="1"/>
  <c r="H80" i="4"/>
  <c r="N80" i="4" s="1"/>
  <c r="G80" i="4"/>
  <c r="M80" i="4" s="1"/>
  <c r="I79" i="4"/>
  <c r="O79" i="4" s="1"/>
  <c r="H79" i="4"/>
  <c r="N79" i="4" s="1"/>
  <c r="G79" i="4"/>
  <c r="M79" i="4" s="1"/>
  <c r="O74" i="4"/>
  <c r="N74" i="4"/>
  <c r="M74" i="4"/>
  <c r="L74" i="4"/>
  <c r="L84" i="4" s="1"/>
  <c r="K74" i="4"/>
  <c r="K84" i="4" s="1"/>
  <c r="J74" i="4"/>
  <c r="J84" i="4" s="1"/>
  <c r="O73" i="4"/>
  <c r="N73" i="4"/>
  <c r="M73" i="4"/>
  <c r="L73" i="4"/>
  <c r="L83" i="4" s="1"/>
  <c r="K73" i="4"/>
  <c r="K83" i="4" s="1"/>
  <c r="J73" i="4"/>
  <c r="J83" i="4" s="1"/>
  <c r="O72" i="4"/>
  <c r="N72" i="4"/>
  <c r="M72" i="4"/>
  <c r="L72" i="4"/>
  <c r="L82" i="4" s="1"/>
  <c r="K72" i="4"/>
  <c r="K82" i="4" s="1"/>
  <c r="J72" i="4"/>
  <c r="J82" i="4" s="1"/>
  <c r="O71" i="4"/>
  <c r="N71" i="4"/>
  <c r="M71" i="4"/>
  <c r="L71" i="4"/>
  <c r="L81" i="4" s="1"/>
  <c r="K71" i="4"/>
  <c r="K81" i="4" s="1"/>
  <c r="J71" i="4"/>
  <c r="J81" i="4" s="1"/>
  <c r="O70" i="4"/>
  <c r="N70" i="4"/>
  <c r="M70" i="4"/>
  <c r="L70" i="4"/>
  <c r="L80" i="4" s="1"/>
  <c r="K70" i="4"/>
  <c r="K80" i="4" s="1"/>
  <c r="J70" i="4"/>
  <c r="J80" i="4" s="1"/>
  <c r="O69" i="4"/>
  <c r="N69" i="4"/>
  <c r="M69" i="4"/>
  <c r="L69" i="4"/>
  <c r="L79" i="4" s="1"/>
  <c r="K69" i="4"/>
  <c r="K79" i="4" s="1"/>
  <c r="J69" i="4"/>
  <c r="J79" i="4" s="1"/>
  <c r="J49" i="4"/>
  <c r="K49" i="4"/>
  <c r="L49" i="4"/>
  <c r="M49" i="4"/>
  <c r="N49" i="4"/>
  <c r="O49" i="4"/>
  <c r="J50" i="4"/>
  <c r="J60" i="4" s="1"/>
  <c r="K50" i="4"/>
  <c r="L50" i="4"/>
  <c r="M50" i="4"/>
  <c r="N50" i="4"/>
  <c r="O50" i="4"/>
  <c r="J51" i="4"/>
  <c r="K51" i="4"/>
  <c r="L51" i="4"/>
  <c r="M51" i="4"/>
  <c r="N51" i="4"/>
  <c r="O51" i="4"/>
  <c r="J52" i="4"/>
  <c r="J62" i="4" s="1"/>
  <c r="K52" i="4"/>
  <c r="K62" i="4" s="1"/>
  <c r="L52" i="4"/>
  <c r="M52" i="4"/>
  <c r="N52" i="4"/>
  <c r="O52" i="4"/>
  <c r="J53" i="4"/>
  <c r="K53" i="4"/>
  <c r="L53" i="4"/>
  <c r="M53" i="4"/>
  <c r="N53" i="4"/>
  <c r="O53" i="4"/>
  <c r="K48" i="4"/>
  <c r="L48" i="4"/>
  <c r="M48" i="4"/>
  <c r="N48" i="4"/>
  <c r="O48" i="4"/>
  <c r="J48" i="4"/>
  <c r="D59" i="4"/>
  <c r="E59" i="4"/>
  <c r="F59" i="4"/>
  <c r="G59" i="4"/>
  <c r="M59" i="4" s="1"/>
  <c r="H59" i="4"/>
  <c r="N59" i="4" s="1"/>
  <c r="I59" i="4"/>
  <c r="O59" i="4" s="1"/>
  <c r="D60" i="4"/>
  <c r="E60" i="4"/>
  <c r="F60" i="4"/>
  <c r="G60" i="4"/>
  <c r="M60" i="4" s="1"/>
  <c r="H60" i="4"/>
  <c r="N60" i="4" s="1"/>
  <c r="I60" i="4"/>
  <c r="O60" i="4" s="1"/>
  <c r="D61" i="4"/>
  <c r="E61" i="4"/>
  <c r="F61" i="4"/>
  <c r="G61" i="4"/>
  <c r="M61" i="4" s="1"/>
  <c r="H61" i="4"/>
  <c r="N61" i="4" s="1"/>
  <c r="I61" i="4"/>
  <c r="O61" i="4" s="1"/>
  <c r="D62" i="4"/>
  <c r="E62" i="4"/>
  <c r="F62" i="4"/>
  <c r="G62" i="4"/>
  <c r="M62" i="4" s="1"/>
  <c r="H62" i="4"/>
  <c r="N62" i="4" s="1"/>
  <c r="I62" i="4"/>
  <c r="O62" i="4" s="1"/>
  <c r="D63" i="4"/>
  <c r="E63" i="4"/>
  <c r="F63" i="4"/>
  <c r="G63" i="4"/>
  <c r="M63" i="4"/>
  <c r="H63" i="4"/>
  <c r="N63" i="4" s="1"/>
  <c r="I63" i="4"/>
  <c r="O63" i="4" s="1"/>
  <c r="E58" i="4"/>
  <c r="F58" i="4"/>
  <c r="G58" i="4"/>
  <c r="M58" i="4" s="1"/>
  <c r="H58" i="4"/>
  <c r="N58" i="4" s="1"/>
  <c r="I58" i="4"/>
  <c r="D58" i="4"/>
  <c r="D37" i="4"/>
  <c r="J28" i="4"/>
  <c r="K28" i="4"/>
  <c r="L28" i="4"/>
  <c r="J29" i="4"/>
  <c r="J39" i="4" s="1"/>
  <c r="K29" i="4"/>
  <c r="L29" i="4"/>
  <c r="J30" i="4"/>
  <c r="K30" i="4"/>
  <c r="L30" i="4"/>
  <c r="J31" i="4"/>
  <c r="K31" i="4"/>
  <c r="L31" i="4"/>
  <c r="J32" i="4"/>
  <c r="K32" i="4"/>
  <c r="L32" i="4"/>
  <c r="K27" i="4"/>
  <c r="L27" i="4"/>
  <c r="J27" i="4"/>
  <c r="J6" i="4"/>
  <c r="K6" i="4"/>
  <c r="L6" i="4"/>
  <c r="J7" i="4"/>
  <c r="K7" i="4"/>
  <c r="L7" i="4"/>
  <c r="J8" i="4"/>
  <c r="K8" i="4"/>
  <c r="L8" i="4"/>
  <c r="J9" i="4"/>
  <c r="K9" i="4"/>
  <c r="L9" i="4"/>
  <c r="J10" i="4"/>
  <c r="K10" i="4"/>
  <c r="L10" i="4"/>
  <c r="K5" i="4"/>
  <c r="L5" i="4"/>
  <c r="D16" i="4"/>
  <c r="E16" i="4"/>
  <c r="F16" i="4"/>
  <c r="G16" i="4"/>
  <c r="M16" i="4" s="1"/>
  <c r="H16" i="4"/>
  <c r="N16" i="4" s="1"/>
  <c r="I16" i="4"/>
  <c r="O16" i="4" s="1"/>
  <c r="D17" i="4"/>
  <c r="E17" i="4"/>
  <c r="F17" i="4"/>
  <c r="L50" i="3"/>
  <c r="G17" i="4"/>
  <c r="M17" i="4" s="1"/>
  <c r="H17" i="4"/>
  <c r="N17" i="4" s="1"/>
  <c r="I17" i="4"/>
  <c r="O17" i="4" s="1"/>
  <c r="D18" i="4"/>
  <c r="E18" i="4"/>
  <c r="F18" i="4"/>
  <c r="G18" i="4"/>
  <c r="M18" i="4" s="1"/>
  <c r="H18" i="4"/>
  <c r="N18" i="4" s="1"/>
  <c r="I18" i="4"/>
  <c r="O18" i="4" s="1"/>
  <c r="D19" i="4"/>
  <c r="E19" i="4"/>
  <c r="F19" i="4"/>
  <c r="G19" i="4"/>
  <c r="M19" i="4" s="1"/>
  <c r="H19" i="4"/>
  <c r="N19" i="4" s="1"/>
  <c r="I19" i="4"/>
  <c r="O19" i="4" s="1"/>
  <c r="D20" i="4"/>
  <c r="E20" i="4"/>
  <c r="F20" i="4"/>
  <c r="G20" i="4"/>
  <c r="M20" i="4" s="1"/>
  <c r="H20" i="4"/>
  <c r="N20" i="4" s="1"/>
  <c r="I20" i="4"/>
  <c r="O20" i="4" s="1"/>
  <c r="I15" i="4"/>
  <c r="O15" i="4" s="1"/>
  <c r="H15" i="4"/>
  <c r="N15" i="4" s="1"/>
  <c r="G15" i="4"/>
  <c r="M15" i="4" s="1"/>
  <c r="F15" i="4"/>
  <c r="E15" i="4"/>
  <c r="D15" i="4"/>
  <c r="D38" i="4"/>
  <c r="E38" i="4"/>
  <c r="F38" i="4"/>
  <c r="G38" i="4"/>
  <c r="M38" i="4" s="1"/>
  <c r="H38" i="4"/>
  <c r="N38" i="4" s="1"/>
  <c r="I38" i="4"/>
  <c r="O38" i="4" s="1"/>
  <c r="D39" i="4"/>
  <c r="E39" i="4"/>
  <c r="F39" i="4"/>
  <c r="G39" i="4"/>
  <c r="M39" i="4" s="1"/>
  <c r="H39" i="4"/>
  <c r="N39" i="4" s="1"/>
  <c r="I39" i="4"/>
  <c r="O39" i="4" s="1"/>
  <c r="D40" i="4"/>
  <c r="E40" i="4"/>
  <c r="F40" i="4"/>
  <c r="G40" i="4"/>
  <c r="M40" i="4" s="1"/>
  <c r="H40" i="4"/>
  <c r="N40" i="4"/>
  <c r="I40" i="4"/>
  <c r="O40" i="4" s="1"/>
  <c r="D41" i="4"/>
  <c r="E41" i="4"/>
  <c r="F41" i="4"/>
  <c r="G41" i="4"/>
  <c r="M41" i="4" s="1"/>
  <c r="H41" i="4"/>
  <c r="N41" i="4" s="1"/>
  <c r="I41" i="4"/>
  <c r="O41" i="4" s="1"/>
  <c r="D42" i="4"/>
  <c r="E42" i="4"/>
  <c r="F42" i="4"/>
  <c r="G42" i="4"/>
  <c r="M42" i="4" s="1"/>
  <c r="H42" i="4"/>
  <c r="N42" i="4" s="1"/>
  <c r="I42" i="4"/>
  <c r="O42" i="4" s="1"/>
  <c r="I37" i="4"/>
  <c r="O37" i="4" s="1"/>
  <c r="H37" i="4"/>
  <c r="N37" i="4" s="1"/>
  <c r="G37" i="4"/>
  <c r="M37" i="4" s="1"/>
  <c r="F37" i="4"/>
  <c r="E37" i="4"/>
  <c r="O58" i="4"/>
  <c r="O32" i="4"/>
  <c r="N32" i="4"/>
  <c r="M32" i="4"/>
  <c r="O31" i="4"/>
  <c r="N31" i="4"/>
  <c r="M31" i="4"/>
  <c r="O30" i="4"/>
  <c r="N30" i="4"/>
  <c r="M30" i="4"/>
  <c r="O29" i="4"/>
  <c r="N29" i="4"/>
  <c r="M29" i="4"/>
  <c r="O28" i="4"/>
  <c r="N28" i="4"/>
  <c r="M28" i="4"/>
  <c r="O27" i="4"/>
  <c r="N27" i="4"/>
  <c r="M27" i="4"/>
  <c r="O10" i="4"/>
  <c r="N10" i="4"/>
  <c r="M10" i="4"/>
  <c r="O9" i="4"/>
  <c r="N9" i="4"/>
  <c r="M9" i="4"/>
  <c r="O8" i="4"/>
  <c r="N8" i="4"/>
  <c r="M8" i="4"/>
  <c r="O7" i="4"/>
  <c r="N7" i="4"/>
  <c r="M7" i="4"/>
  <c r="O6" i="4"/>
  <c r="N6" i="4"/>
  <c r="M6" i="4"/>
  <c r="O5" i="4"/>
  <c r="N5" i="4"/>
  <c r="M5" i="4"/>
  <c r="J5" i="4"/>
  <c r="D59" i="3"/>
  <c r="E59" i="3"/>
  <c r="F59" i="3"/>
  <c r="D60" i="3"/>
  <c r="E60" i="3"/>
  <c r="F60" i="3"/>
  <c r="D61" i="3"/>
  <c r="E61" i="3"/>
  <c r="F61" i="3"/>
  <c r="D62" i="3"/>
  <c r="E62" i="3"/>
  <c r="F62" i="3"/>
  <c r="D63" i="3"/>
  <c r="E63" i="3"/>
  <c r="F63" i="3"/>
  <c r="E58" i="3"/>
  <c r="F58" i="3"/>
  <c r="D58" i="3"/>
  <c r="I63" i="3"/>
  <c r="O63" i="3" s="1"/>
  <c r="H63" i="3"/>
  <c r="N63" i="3" s="1"/>
  <c r="G63" i="3"/>
  <c r="M63" i="3" s="1"/>
  <c r="I62" i="3"/>
  <c r="O62" i="3" s="1"/>
  <c r="H62" i="3"/>
  <c r="N62" i="3" s="1"/>
  <c r="G62" i="3"/>
  <c r="M62" i="3" s="1"/>
  <c r="I61" i="3"/>
  <c r="O61" i="3" s="1"/>
  <c r="H61" i="3"/>
  <c r="N61" i="3" s="1"/>
  <c r="G61" i="3"/>
  <c r="M61" i="3" s="1"/>
  <c r="I60" i="3"/>
  <c r="O60" i="3" s="1"/>
  <c r="H60" i="3"/>
  <c r="N60" i="3" s="1"/>
  <c r="G60" i="3"/>
  <c r="M60" i="3" s="1"/>
  <c r="I59" i="3"/>
  <c r="O59" i="3" s="1"/>
  <c r="H59" i="3"/>
  <c r="N59" i="3" s="1"/>
  <c r="G59" i="3"/>
  <c r="M59" i="3" s="1"/>
  <c r="I58" i="3"/>
  <c r="O58" i="3" s="1"/>
  <c r="H58" i="3"/>
  <c r="N58" i="3" s="1"/>
  <c r="G58" i="3"/>
  <c r="M58" i="3" s="1"/>
  <c r="O53" i="3"/>
  <c r="N53" i="3"/>
  <c r="M53" i="3"/>
  <c r="L53" i="3"/>
  <c r="K53" i="3"/>
  <c r="J53" i="3"/>
  <c r="J63" i="4" s="1"/>
  <c r="O52" i="3"/>
  <c r="N52" i="3"/>
  <c r="M52" i="3"/>
  <c r="L52" i="3"/>
  <c r="K52" i="3"/>
  <c r="J52" i="3"/>
  <c r="O51" i="3"/>
  <c r="N51" i="3"/>
  <c r="M51" i="3"/>
  <c r="L51" i="3"/>
  <c r="L61" i="4" s="1"/>
  <c r="K51" i="3"/>
  <c r="J51" i="3"/>
  <c r="J61" i="4" s="1"/>
  <c r="O50" i="3"/>
  <c r="N50" i="3"/>
  <c r="M50" i="3"/>
  <c r="K50" i="3"/>
  <c r="K17" i="4" s="1"/>
  <c r="J50" i="3"/>
  <c r="O49" i="3"/>
  <c r="N49" i="3"/>
  <c r="M49" i="3"/>
  <c r="L49" i="3"/>
  <c r="K49" i="3"/>
  <c r="J49" i="3"/>
  <c r="O48" i="3"/>
  <c r="N48" i="3"/>
  <c r="M48" i="3"/>
  <c r="L48" i="3"/>
  <c r="K48" i="3"/>
  <c r="J48" i="3"/>
  <c r="I42" i="3"/>
  <c r="O42" i="3" s="1"/>
  <c r="H42" i="3"/>
  <c r="N42" i="3" s="1"/>
  <c r="G42" i="3"/>
  <c r="M42" i="3" s="1"/>
  <c r="F42" i="3"/>
  <c r="E42" i="3"/>
  <c r="D42" i="3"/>
  <c r="I41" i="3"/>
  <c r="O41" i="3" s="1"/>
  <c r="H41" i="3"/>
  <c r="N41" i="3" s="1"/>
  <c r="G41" i="3"/>
  <c r="M41" i="3" s="1"/>
  <c r="F41" i="3"/>
  <c r="E41" i="3"/>
  <c r="D41" i="3"/>
  <c r="I40" i="3"/>
  <c r="O40" i="3" s="1"/>
  <c r="H40" i="3"/>
  <c r="N40" i="3" s="1"/>
  <c r="G40" i="3"/>
  <c r="M40" i="3" s="1"/>
  <c r="F40" i="3"/>
  <c r="L40" i="3" s="1"/>
  <c r="E40" i="3"/>
  <c r="D40" i="3"/>
  <c r="I39" i="3"/>
  <c r="O39" i="3" s="1"/>
  <c r="H39" i="3"/>
  <c r="N39" i="3" s="1"/>
  <c r="G39" i="3"/>
  <c r="M39" i="3" s="1"/>
  <c r="F39" i="3"/>
  <c r="E39" i="3"/>
  <c r="D39" i="3"/>
  <c r="I38" i="3"/>
  <c r="O38" i="3" s="1"/>
  <c r="H38" i="3"/>
  <c r="N38" i="3" s="1"/>
  <c r="G38" i="3"/>
  <c r="M38" i="3" s="1"/>
  <c r="F38" i="3"/>
  <c r="E38" i="3"/>
  <c r="D38" i="3"/>
  <c r="I37" i="3"/>
  <c r="O37" i="3"/>
  <c r="H37" i="3"/>
  <c r="N37" i="3" s="1"/>
  <c r="G37" i="3"/>
  <c r="M37" i="3" s="1"/>
  <c r="F37" i="3"/>
  <c r="E37" i="3"/>
  <c r="D37" i="3"/>
  <c r="O32" i="3"/>
  <c r="N32" i="3"/>
  <c r="M32" i="3"/>
  <c r="L32" i="3"/>
  <c r="K32" i="3"/>
  <c r="J32" i="3"/>
  <c r="O31" i="3"/>
  <c r="N31" i="3"/>
  <c r="M31" i="3"/>
  <c r="L31" i="3"/>
  <c r="K31" i="3"/>
  <c r="J31" i="3"/>
  <c r="O30" i="3"/>
  <c r="N30" i="3"/>
  <c r="M30" i="3"/>
  <c r="L30" i="3"/>
  <c r="K30" i="3"/>
  <c r="J30" i="3"/>
  <c r="O29" i="3"/>
  <c r="N29" i="3"/>
  <c r="M29" i="3"/>
  <c r="L29" i="3"/>
  <c r="L60" i="3" s="1"/>
  <c r="K29" i="3"/>
  <c r="J29" i="3"/>
  <c r="O28" i="3"/>
  <c r="N28" i="3"/>
  <c r="M28" i="3"/>
  <c r="L28" i="3"/>
  <c r="K28" i="3"/>
  <c r="J28" i="3"/>
  <c r="O27" i="3"/>
  <c r="N27" i="3"/>
  <c r="M27" i="3"/>
  <c r="L27" i="3"/>
  <c r="K27" i="3"/>
  <c r="J27" i="3"/>
  <c r="I20" i="3"/>
  <c r="O20" i="3" s="1"/>
  <c r="H20" i="3"/>
  <c r="N20" i="3" s="1"/>
  <c r="G20" i="3"/>
  <c r="M20" i="3" s="1"/>
  <c r="F20" i="3"/>
  <c r="E20" i="3"/>
  <c r="D20" i="3"/>
  <c r="I19" i="3"/>
  <c r="O19" i="3" s="1"/>
  <c r="H19" i="3"/>
  <c r="N19" i="3" s="1"/>
  <c r="G19" i="3"/>
  <c r="M19" i="3" s="1"/>
  <c r="F19" i="3"/>
  <c r="E19" i="3"/>
  <c r="D19" i="3"/>
  <c r="I18" i="3"/>
  <c r="O18" i="3" s="1"/>
  <c r="H18" i="3"/>
  <c r="N18" i="3" s="1"/>
  <c r="G18" i="3"/>
  <c r="M18" i="3"/>
  <c r="F18" i="3"/>
  <c r="E18" i="3"/>
  <c r="D18" i="3"/>
  <c r="I17" i="3"/>
  <c r="O17" i="3" s="1"/>
  <c r="H17" i="3"/>
  <c r="N17" i="3" s="1"/>
  <c r="G17" i="3"/>
  <c r="M17" i="3" s="1"/>
  <c r="F17" i="3"/>
  <c r="E17" i="3"/>
  <c r="D17" i="3"/>
  <c r="I16" i="3"/>
  <c r="O16" i="3" s="1"/>
  <c r="H16" i="3"/>
  <c r="N16" i="3" s="1"/>
  <c r="G16" i="3"/>
  <c r="M16" i="3" s="1"/>
  <c r="F16" i="3"/>
  <c r="E16" i="3"/>
  <c r="K16" i="3" s="1"/>
  <c r="D16" i="3"/>
  <c r="I15" i="3"/>
  <c r="O15" i="3" s="1"/>
  <c r="H15" i="3"/>
  <c r="N15" i="3" s="1"/>
  <c r="G15" i="3"/>
  <c r="M15" i="3" s="1"/>
  <c r="F15" i="3"/>
  <c r="E15" i="3"/>
  <c r="D15" i="3"/>
  <c r="O10" i="3"/>
  <c r="N10" i="3"/>
  <c r="M10" i="3"/>
  <c r="L10" i="3"/>
  <c r="K10" i="3"/>
  <c r="J10" i="3"/>
  <c r="O9" i="3"/>
  <c r="N9" i="3"/>
  <c r="M9" i="3"/>
  <c r="L9" i="3"/>
  <c r="K9" i="3"/>
  <c r="J9" i="3"/>
  <c r="O8" i="3"/>
  <c r="N8" i="3"/>
  <c r="M8" i="3"/>
  <c r="L8" i="3"/>
  <c r="K8" i="3"/>
  <c r="J8" i="3"/>
  <c r="O7" i="3"/>
  <c r="N7" i="3"/>
  <c r="M7" i="3"/>
  <c r="L7" i="3"/>
  <c r="K7" i="3"/>
  <c r="J7" i="3"/>
  <c r="O6" i="3"/>
  <c r="N6" i="3"/>
  <c r="M6" i="3"/>
  <c r="L6" i="3"/>
  <c r="K6" i="3"/>
  <c r="J6" i="3"/>
  <c r="O5" i="3"/>
  <c r="N5" i="3"/>
  <c r="M5" i="3"/>
  <c r="L5" i="3"/>
  <c r="K5" i="3"/>
  <c r="J5" i="3"/>
  <c r="J70" i="2"/>
  <c r="J69" i="2"/>
  <c r="O74" i="2"/>
  <c r="N74" i="2"/>
  <c r="M74" i="2"/>
  <c r="L74" i="2"/>
  <c r="K74" i="2"/>
  <c r="J74" i="2"/>
  <c r="O73" i="2"/>
  <c r="N73" i="2"/>
  <c r="M73" i="2"/>
  <c r="L73" i="2"/>
  <c r="K73" i="2"/>
  <c r="J73" i="2"/>
  <c r="O72" i="2"/>
  <c r="N72" i="2"/>
  <c r="M72" i="2"/>
  <c r="L72" i="2"/>
  <c r="K72" i="2"/>
  <c r="J72" i="2"/>
  <c r="O71" i="2"/>
  <c r="N71" i="2"/>
  <c r="M71" i="2"/>
  <c r="L71" i="2"/>
  <c r="K71" i="2"/>
  <c r="J71" i="2"/>
  <c r="O70" i="2"/>
  <c r="N70" i="2"/>
  <c r="M70" i="2"/>
  <c r="L70" i="2"/>
  <c r="K70" i="2"/>
  <c r="O69" i="2"/>
  <c r="N69" i="2"/>
  <c r="M69" i="2"/>
  <c r="L69" i="2"/>
  <c r="K69" i="2"/>
  <c r="AE63" i="2"/>
  <c r="AD63" i="2"/>
  <c r="AC63" i="2"/>
  <c r="AB63" i="2"/>
  <c r="AA63" i="2"/>
  <c r="Z63" i="2"/>
  <c r="O63" i="2"/>
  <c r="N63" i="2"/>
  <c r="M63" i="2"/>
  <c r="L63" i="2"/>
  <c r="K63" i="2"/>
  <c r="J63" i="2"/>
  <c r="AE62" i="2"/>
  <c r="AD62" i="2"/>
  <c r="AC62" i="2"/>
  <c r="AB62" i="2"/>
  <c r="AA62" i="2"/>
  <c r="Z62" i="2"/>
  <c r="O62" i="2"/>
  <c r="N62" i="2"/>
  <c r="M62" i="2"/>
  <c r="L62" i="2"/>
  <c r="K62" i="2"/>
  <c r="J62" i="2"/>
  <c r="AE61" i="2"/>
  <c r="AD61" i="2"/>
  <c r="AC61" i="2"/>
  <c r="AB61" i="2"/>
  <c r="AA61" i="2"/>
  <c r="Z61" i="2"/>
  <c r="O61" i="2"/>
  <c r="N61" i="2"/>
  <c r="M61" i="2"/>
  <c r="L61" i="2"/>
  <c r="K61" i="2"/>
  <c r="J61" i="2"/>
  <c r="AE60" i="2"/>
  <c r="AD60" i="2"/>
  <c r="AC60" i="2"/>
  <c r="AB60" i="2"/>
  <c r="AA60" i="2"/>
  <c r="Z60" i="2"/>
  <c r="O60" i="2"/>
  <c r="N60" i="2"/>
  <c r="M60" i="2"/>
  <c r="L60" i="2"/>
  <c r="K60" i="2"/>
  <c r="J60" i="2"/>
  <c r="AE59" i="2"/>
  <c r="AD59" i="2"/>
  <c r="AC59" i="2"/>
  <c r="AB59" i="2"/>
  <c r="AA59" i="2"/>
  <c r="Z59" i="2"/>
  <c r="O59" i="2"/>
  <c r="N59" i="2"/>
  <c r="M59" i="2"/>
  <c r="L59" i="2"/>
  <c r="K59" i="2"/>
  <c r="J59" i="2"/>
  <c r="AE58" i="2"/>
  <c r="AD58" i="2"/>
  <c r="AC58" i="2"/>
  <c r="AB58" i="2"/>
  <c r="AA58" i="2"/>
  <c r="Z58" i="2"/>
  <c r="O58" i="2"/>
  <c r="N58" i="2"/>
  <c r="M58" i="2"/>
  <c r="L58" i="2"/>
  <c r="K58" i="2"/>
  <c r="J58" i="2"/>
  <c r="V51" i="2"/>
  <c r="U51" i="2"/>
  <c r="T51" i="2"/>
  <c r="V50" i="2"/>
  <c r="U50" i="2"/>
  <c r="T50" i="2"/>
  <c r="V49" i="2"/>
  <c r="U49" i="2"/>
  <c r="T49" i="2"/>
  <c r="V48" i="2"/>
  <c r="U48" i="2"/>
  <c r="T48" i="2"/>
  <c r="V47" i="2"/>
  <c r="U47" i="2"/>
  <c r="T47" i="2"/>
  <c r="V46" i="2"/>
  <c r="U46" i="2"/>
  <c r="T46" i="2"/>
  <c r="Y51" i="2"/>
  <c r="AE51" i="2" s="1"/>
  <c r="X51" i="2"/>
  <c r="AD51" i="2" s="1"/>
  <c r="W51" i="2"/>
  <c r="AC51" i="2" s="1"/>
  <c r="Y50" i="2"/>
  <c r="AE50" i="2" s="1"/>
  <c r="X50" i="2"/>
  <c r="AD50" i="2" s="1"/>
  <c r="W50" i="2"/>
  <c r="AC50" i="2" s="1"/>
  <c r="Y49" i="2"/>
  <c r="AE49" i="2" s="1"/>
  <c r="X49" i="2"/>
  <c r="AD49" i="2" s="1"/>
  <c r="W49" i="2"/>
  <c r="AC49" i="2" s="1"/>
  <c r="Y48" i="2"/>
  <c r="AE48" i="2"/>
  <c r="X48" i="2"/>
  <c r="AD48" i="2" s="1"/>
  <c r="W48" i="2"/>
  <c r="AC48" i="2" s="1"/>
  <c r="Y47" i="2"/>
  <c r="AE47" i="2" s="1"/>
  <c r="X47" i="2"/>
  <c r="AD47" i="2" s="1"/>
  <c r="W47" i="2"/>
  <c r="AC47" i="2"/>
  <c r="Y46" i="2"/>
  <c r="AE46" i="2" s="1"/>
  <c r="X46" i="2"/>
  <c r="AD46" i="2" s="1"/>
  <c r="W46" i="2"/>
  <c r="AC46" i="2" s="1"/>
  <c r="F51" i="2"/>
  <c r="E51" i="2"/>
  <c r="D51" i="2"/>
  <c r="F50" i="2"/>
  <c r="E50" i="2"/>
  <c r="D50" i="2"/>
  <c r="F49" i="2"/>
  <c r="E49" i="2"/>
  <c r="D49" i="2"/>
  <c r="F48" i="2"/>
  <c r="E48" i="2"/>
  <c r="D48" i="2"/>
  <c r="F47" i="2"/>
  <c r="E47" i="2"/>
  <c r="D47" i="2"/>
  <c r="F46" i="2"/>
  <c r="E46" i="2"/>
  <c r="D46" i="2"/>
  <c r="I51" i="2"/>
  <c r="O51" i="2" s="1"/>
  <c r="H51" i="2"/>
  <c r="N51" i="2" s="1"/>
  <c r="G51" i="2"/>
  <c r="M51" i="2" s="1"/>
  <c r="I50" i="2"/>
  <c r="O50" i="2" s="1"/>
  <c r="H50" i="2"/>
  <c r="N50" i="2" s="1"/>
  <c r="G50" i="2"/>
  <c r="M50" i="2"/>
  <c r="I49" i="2"/>
  <c r="O49" i="2" s="1"/>
  <c r="H49" i="2"/>
  <c r="N49" i="2" s="1"/>
  <c r="G49" i="2"/>
  <c r="M49" i="2" s="1"/>
  <c r="I48" i="2"/>
  <c r="O48" i="2" s="1"/>
  <c r="H48" i="2"/>
  <c r="N48" i="2" s="1"/>
  <c r="G48" i="2"/>
  <c r="M48" i="2" s="1"/>
  <c r="I47" i="2"/>
  <c r="O47" i="2" s="1"/>
  <c r="H47" i="2"/>
  <c r="N47" i="2" s="1"/>
  <c r="G47" i="2"/>
  <c r="M47" i="2" s="1"/>
  <c r="I46" i="2"/>
  <c r="O46" i="2" s="1"/>
  <c r="H46" i="2"/>
  <c r="N46" i="2" s="1"/>
  <c r="G46" i="2"/>
  <c r="M46" i="2" s="1"/>
  <c r="AE41" i="2"/>
  <c r="AD41" i="2"/>
  <c r="AC41" i="2"/>
  <c r="AB41" i="2"/>
  <c r="AA41" i="2"/>
  <c r="Z41" i="2"/>
  <c r="O41" i="2"/>
  <c r="N41" i="2"/>
  <c r="M41" i="2"/>
  <c r="L41" i="2"/>
  <c r="AB51" i="2" s="1"/>
  <c r="K41" i="2"/>
  <c r="AA51" i="2" s="1"/>
  <c r="J41" i="2"/>
  <c r="Z51" i="2" s="1"/>
  <c r="AE40" i="2"/>
  <c r="AD40" i="2"/>
  <c r="AC40" i="2"/>
  <c r="AB40" i="2"/>
  <c r="AA40" i="2"/>
  <c r="Z40" i="2"/>
  <c r="O40" i="2"/>
  <c r="N40" i="2"/>
  <c r="M40" i="2"/>
  <c r="L40" i="2"/>
  <c r="AB50" i="2" s="1"/>
  <c r="K40" i="2"/>
  <c r="AA50" i="2" s="1"/>
  <c r="J40" i="2"/>
  <c r="Z50" i="2" s="1"/>
  <c r="AE39" i="2"/>
  <c r="AD39" i="2"/>
  <c r="AC39" i="2"/>
  <c r="AB39" i="2"/>
  <c r="AA39" i="2"/>
  <c r="Z39" i="2"/>
  <c r="O39" i="2"/>
  <c r="N39" i="2"/>
  <c r="M39" i="2"/>
  <c r="L39" i="2"/>
  <c r="AB49" i="2" s="1"/>
  <c r="K39" i="2"/>
  <c r="AA49" i="2" s="1"/>
  <c r="J39" i="2"/>
  <c r="Z49" i="2" s="1"/>
  <c r="AE38" i="2"/>
  <c r="AD38" i="2"/>
  <c r="AC38" i="2"/>
  <c r="AB38" i="2"/>
  <c r="AA38" i="2"/>
  <c r="Z38" i="2"/>
  <c r="O38" i="2"/>
  <c r="N38" i="2"/>
  <c r="M38" i="2"/>
  <c r="L38" i="2"/>
  <c r="AB48" i="2" s="1"/>
  <c r="K38" i="2"/>
  <c r="J38" i="2"/>
  <c r="J48" i="2" s="1"/>
  <c r="AE37" i="2"/>
  <c r="AD37" i="2"/>
  <c r="AC37" i="2"/>
  <c r="AB37" i="2"/>
  <c r="AA37" i="2"/>
  <c r="Z37" i="2"/>
  <c r="O37" i="2"/>
  <c r="N37" i="2"/>
  <c r="M37" i="2"/>
  <c r="L37" i="2"/>
  <c r="K37" i="2"/>
  <c r="AA47" i="2"/>
  <c r="J37" i="2"/>
  <c r="Z47" i="2" s="1"/>
  <c r="AE36" i="2"/>
  <c r="AD36" i="2"/>
  <c r="AC36" i="2"/>
  <c r="AB36" i="2"/>
  <c r="AA36" i="2"/>
  <c r="Z36" i="2"/>
  <c r="O36" i="2"/>
  <c r="N36" i="2"/>
  <c r="M36" i="2"/>
  <c r="L36" i="2"/>
  <c r="AB46" i="2"/>
  <c r="K36" i="2"/>
  <c r="AA46" i="2" s="1"/>
  <c r="J36" i="2"/>
  <c r="Z46" i="2" s="1"/>
  <c r="D28" i="2"/>
  <c r="D27" i="2"/>
  <c r="D26" i="2"/>
  <c r="D25" i="2"/>
  <c r="AE10" i="2"/>
  <c r="AD10" i="2"/>
  <c r="AC10" i="2"/>
  <c r="AB10" i="2"/>
  <c r="AA10" i="2"/>
  <c r="Z10" i="2"/>
  <c r="AE9" i="2"/>
  <c r="AD9" i="2"/>
  <c r="AC9" i="2"/>
  <c r="AB9" i="2"/>
  <c r="AA9" i="2"/>
  <c r="Z9" i="2"/>
  <c r="AE8" i="2"/>
  <c r="AD8" i="2"/>
  <c r="AC8" i="2"/>
  <c r="AB8" i="2"/>
  <c r="AA8" i="2"/>
  <c r="Z8" i="2"/>
  <c r="AE7" i="2"/>
  <c r="AD7" i="2"/>
  <c r="AC7" i="2"/>
  <c r="AB7" i="2"/>
  <c r="AA7" i="2"/>
  <c r="Z7" i="2"/>
  <c r="AE6" i="2"/>
  <c r="AD6" i="2"/>
  <c r="AC6" i="2"/>
  <c r="AB6" i="2"/>
  <c r="AA6" i="2"/>
  <c r="Z6" i="2"/>
  <c r="AE5" i="2"/>
  <c r="AD5" i="2"/>
  <c r="AC5" i="2"/>
  <c r="AB5" i="2"/>
  <c r="AA5" i="2"/>
  <c r="Z5" i="2"/>
  <c r="O10" i="1"/>
  <c r="N10" i="1"/>
  <c r="M10" i="1"/>
  <c r="L10" i="1"/>
  <c r="K10" i="1"/>
  <c r="J10" i="1"/>
  <c r="O9" i="1"/>
  <c r="N9" i="1"/>
  <c r="M9" i="1"/>
  <c r="L9" i="1"/>
  <c r="K9" i="1"/>
  <c r="J9" i="1"/>
  <c r="O8" i="1"/>
  <c r="N8" i="1"/>
  <c r="M8" i="1"/>
  <c r="L8" i="1"/>
  <c r="K8" i="1"/>
  <c r="J8" i="1"/>
  <c r="O7" i="1"/>
  <c r="N7" i="1"/>
  <c r="M7" i="1"/>
  <c r="L7" i="1"/>
  <c r="K7" i="1"/>
  <c r="J7" i="1"/>
  <c r="O6" i="1"/>
  <c r="N6" i="1"/>
  <c r="M6" i="1"/>
  <c r="L6" i="1"/>
  <c r="K6" i="1"/>
  <c r="J6" i="1"/>
  <c r="O5" i="1"/>
  <c r="N5" i="1"/>
  <c r="M5" i="1"/>
  <c r="L5" i="1"/>
  <c r="K5" i="1"/>
  <c r="J5" i="1"/>
  <c r="I20" i="2"/>
  <c r="O20" i="2" s="1"/>
  <c r="H20" i="2"/>
  <c r="N20" i="2" s="1"/>
  <c r="G20" i="2"/>
  <c r="M20" i="2" s="1"/>
  <c r="F20" i="2"/>
  <c r="E20" i="2"/>
  <c r="D20" i="2"/>
  <c r="I19" i="2"/>
  <c r="O19" i="2" s="1"/>
  <c r="H19" i="2"/>
  <c r="N19" i="2" s="1"/>
  <c r="G19" i="2"/>
  <c r="M19" i="2" s="1"/>
  <c r="F19" i="2"/>
  <c r="E19" i="2"/>
  <c r="D19" i="2"/>
  <c r="I18" i="2"/>
  <c r="O18" i="2" s="1"/>
  <c r="H18" i="2"/>
  <c r="N18" i="2" s="1"/>
  <c r="G18" i="2"/>
  <c r="M18" i="2" s="1"/>
  <c r="F18" i="2"/>
  <c r="L18" i="2" s="1"/>
  <c r="E18" i="2"/>
  <c r="D18" i="2"/>
  <c r="I17" i="2"/>
  <c r="O17" i="2" s="1"/>
  <c r="H17" i="2"/>
  <c r="N17" i="2" s="1"/>
  <c r="G17" i="2"/>
  <c r="M17" i="2" s="1"/>
  <c r="F17" i="2"/>
  <c r="E17" i="2"/>
  <c r="D17" i="2"/>
  <c r="I16" i="2"/>
  <c r="O16" i="2" s="1"/>
  <c r="H16" i="2"/>
  <c r="N16" i="2" s="1"/>
  <c r="G16" i="2"/>
  <c r="M16" i="2" s="1"/>
  <c r="F16" i="2"/>
  <c r="E16" i="2"/>
  <c r="D16" i="2"/>
  <c r="I15" i="2"/>
  <c r="O15" i="2" s="1"/>
  <c r="H15" i="2"/>
  <c r="N15" i="2" s="1"/>
  <c r="G15" i="2"/>
  <c r="M15" i="2" s="1"/>
  <c r="F15" i="2"/>
  <c r="E15" i="2"/>
  <c r="D15" i="2"/>
  <c r="O10" i="2"/>
  <c r="N10" i="2"/>
  <c r="M10" i="2"/>
  <c r="L10" i="2"/>
  <c r="K10" i="2"/>
  <c r="J10" i="2"/>
  <c r="O9" i="2"/>
  <c r="N9" i="2"/>
  <c r="M9" i="2"/>
  <c r="L9" i="2"/>
  <c r="K9" i="2"/>
  <c r="K19" i="2" s="1"/>
  <c r="J9" i="2"/>
  <c r="O8" i="2"/>
  <c r="N8" i="2"/>
  <c r="M8" i="2"/>
  <c r="L8" i="2"/>
  <c r="K8" i="2"/>
  <c r="K18" i="2" s="1"/>
  <c r="J8" i="2"/>
  <c r="E28" i="2" s="1"/>
  <c r="O7" i="2"/>
  <c r="N7" i="2"/>
  <c r="M7" i="2"/>
  <c r="L7" i="2"/>
  <c r="K7" i="2"/>
  <c r="K17" i="2" s="1"/>
  <c r="J7" i="2"/>
  <c r="E27" i="2" s="1"/>
  <c r="O6" i="2"/>
  <c r="N6" i="2"/>
  <c r="M6" i="2"/>
  <c r="L6" i="2"/>
  <c r="K6" i="2"/>
  <c r="J6" i="2"/>
  <c r="E26" i="2" s="1"/>
  <c r="O5" i="2"/>
  <c r="N5" i="2"/>
  <c r="M5" i="2"/>
  <c r="L5" i="2"/>
  <c r="K5" i="2"/>
  <c r="J5" i="2"/>
  <c r="E25" i="2" s="1"/>
  <c r="H181" i="5"/>
  <c r="N181" i="5" s="1"/>
  <c r="L155" i="5"/>
  <c r="L146" i="5"/>
  <c r="O141" i="5"/>
  <c r="I183" i="5"/>
  <c r="O183" i="5" s="1"/>
  <c r="O205" i="5"/>
  <c r="K204" i="5"/>
  <c r="K155" i="5"/>
  <c r="K146" i="5"/>
  <c r="J210" i="5"/>
  <c r="J144" i="5"/>
  <c r="J153" i="5"/>
  <c r="L154" i="5"/>
  <c r="L145" i="5"/>
  <c r="M173" i="5"/>
  <c r="G183" i="5"/>
  <c r="M183" i="5" s="1"/>
  <c r="I214" i="5"/>
  <c r="O214" i="5" s="1"/>
  <c r="J174" i="5"/>
  <c r="J183" i="5"/>
  <c r="L180" i="5"/>
  <c r="L171" i="5"/>
  <c r="J146" i="5"/>
  <c r="N173" i="5"/>
  <c r="N201" i="5"/>
  <c r="J205" i="5"/>
  <c r="H185" i="5"/>
  <c r="N185" i="5" s="1"/>
  <c r="K206" i="5"/>
  <c r="J215" i="5"/>
  <c r="K214" i="5"/>
  <c r="L58" i="4" l="1"/>
  <c r="K60" i="4"/>
  <c r="J18" i="3"/>
  <c r="K58" i="4"/>
  <c r="J20" i="3"/>
  <c r="L16" i="3"/>
  <c r="L18" i="3"/>
  <c r="K17" i="5"/>
  <c r="L143" i="5"/>
  <c r="L17" i="5"/>
  <c r="L182" i="5"/>
  <c r="J79" i="5"/>
  <c r="M387" i="7"/>
  <c r="K18" i="3"/>
  <c r="K103" i="5"/>
  <c r="K172" i="5"/>
  <c r="K203" i="5"/>
  <c r="H520" i="7"/>
  <c r="N520" i="7" s="1"/>
  <c r="K174" i="5"/>
  <c r="J126" i="4"/>
  <c r="J37" i="5"/>
  <c r="J39" i="5"/>
  <c r="K128" i="4"/>
  <c r="M78" i="8"/>
  <c r="J49" i="2"/>
  <c r="J17" i="2"/>
  <c r="K49" i="2"/>
  <c r="J58" i="4"/>
  <c r="J18" i="5"/>
  <c r="L215" i="5"/>
  <c r="J201" i="5"/>
  <c r="J60" i="5"/>
  <c r="K184" i="5"/>
  <c r="L17" i="3"/>
  <c r="L16" i="5"/>
  <c r="K60" i="5"/>
  <c r="M142" i="5"/>
  <c r="M445" i="7"/>
  <c r="L212" i="5"/>
  <c r="L58" i="3"/>
  <c r="L62" i="3"/>
  <c r="L37" i="3"/>
  <c r="L39" i="4"/>
  <c r="L60" i="5"/>
  <c r="K152" i="5"/>
  <c r="J16" i="2"/>
  <c r="K46" i="2"/>
  <c r="J40" i="3"/>
  <c r="L41" i="3"/>
  <c r="K81" i="5"/>
  <c r="L59" i="5"/>
  <c r="K232" i="5"/>
  <c r="K141" i="5"/>
  <c r="O479" i="7"/>
  <c r="H215" i="5"/>
  <c r="N215" i="5" s="1"/>
  <c r="K42" i="3"/>
  <c r="J15" i="4"/>
  <c r="K63" i="4"/>
  <c r="K61" i="4"/>
  <c r="K59" i="4"/>
  <c r="J103" i="4"/>
  <c r="J38" i="5"/>
  <c r="K18" i="5"/>
  <c r="G427" i="7"/>
  <c r="M427" i="7" s="1"/>
  <c r="M477" i="7"/>
  <c r="H488" i="7"/>
  <c r="N488" i="7" s="1"/>
  <c r="I182" i="5"/>
  <c r="O182" i="5" s="1"/>
  <c r="G185" i="5"/>
  <c r="M185" i="5" s="1"/>
  <c r="K104" i="4"/>
  <c r="K38" i="5"/>
  <c r="L79" i="5"/>
  <c r="I154" i="5"/>
  <c r="O154" i="5" s="1"/>
  <c r="L202" i="5"/>
  <c r="K173" i="5"/>
  <c r="I429" i="7"/>
  <c r="O429" i="7" s="1"/>
  <c r="K125" i="5"/>
  <c r="O390" i="7"/>
  <c r="J58" i="5"/>
  <c r="K48" i="2"/>
  <c r="J100" i="5"/>
  <c r="K215" i="5"/>
  <c r="L183" i="5"/>
  <c r="J204" i="5"/>
  <c r="N172" i="5"/>
  <c r="I211" i="5"/>
  <c r="O211" i="5" s="1"/>
  <c r="I397" i="7"/>
  <c r="O397" i="7" s="1"/>
  <c r="K40" i="4"/>
  <c r="J15" i="2"/>
  <c r="J39" i="3"/>
  <c r="K80" i="5"/>
  <c r="K230" i="5"/>
  <c r="O356" i="7"/>
  <c r="J19" i="4"/>
  <c r="K18" i="4"/>
  <c r="L37" i="5"/>
  <c r="L172" i="5"/>
  <c r="J151" i="5"/>
  <c r="K122" i="5"/>
  <c r="M360" i="7"/>
  <c r="L17" i="2"/>
  <c r="L142" i="5"/>
  <c r="J41" i="3"/>
  <c r="J101" i="5"/>
  <c r="J59" i="5"/>
  <c r="H151" i="5"/>
  <c r="N151" i="5" s="1"/>
  <c r="K180" i="5"/>
  <c r="J99" i="5"/>
  <c r="L99" i="5"/>
  <c r="H240" i="5"/>
  <c r="N240" i="5" s="1"/>
  <c r="N359" i="7"/>
  <c r="H458" i="7"/>
  <c r="N458" i="7" s="1"/>
  <c r="L19" i="2"/>
  <c r="K20" i="3"/>
  <c r="L173" i="5"/>
  <c r="J50" i="2"/>
  <c r="K41" i="3"/>
  <c r="K39" i="4"/>
  <c r="L41" i="4"/>
  <c r="K127" i="4"/>
  <c r="K101" i="5"/>
  <c r="J16" i="5"/>
  <c r="K59" i="5"/>
  <c r="G213" i="5"/>
  <c r="M213" i="5" s="1"/>
  <c r="K176" i="5"/>
  <c r="N355" i="7"/>
  <c r="N477" i="7"/>
  <c r="J102" i="5"/>
  <c r="K175" i="5"/>
  <c r="J46" i="2"/>
  <c r="K15" i="3"/>
  <c r="L39" i="5"/>
  <c r="K42" i="4"/>
  <c r="J213" i="5"/>
  <c r="N144" i="5"/>
  <c r="L213" i="5"/>
  <c r="K17" i="3"/>
  <c r="L102" i="4"/>
  <c r="K100" i="5"/>
  <c r="J143" i="5"/>
  <c r="J173" i="5"/>
  <c r="J20" i="2"/>
  <c r="L15" i="3"/>
  <c r="K39" i="3"/>
  <c r="K37" i="4"/>
  <c r="L125" i="4"/>
  <c r="L129" i="4"/>
  <c r="L78" i="5"/>
  <c r="J81" i="5"/>
  <c r="L100" i="5"/>
  <c r="L102" i="5"/>
  <c r="J202" i="5"/>
  <c r="J155" i="5"/>
  <c r="K150" i="5"/>
  <c r="J125" i="5"/>
  <c r="K120" i="5"/>
  <c r="L125" i="5"/>
  <c r="O325" i="7"/>
  <c r="M231" i="5"/>
  <c r="M385" i="7"/>
  <c r="H398" i="7"/>
  <c r="N398" i="7" s="1"/>
  <c r="M82" i="8"/>
  <c r="O446" i="7"/>
  <c r="K50" i="2"/>
  <c r="K20" i="2"/>
  <c r="J47" i="2"/>
  <c r="J17" i="3"/>
  <c r="L39" i="3"/>
  <c r="J36" i="5"/>
  <c r="K142" i="5"/>
  <c r="J102" i="4"/>
  <c r="L210" i="5"/>
  <c r="N328" i="7"/>
  <c r="G396" i="7"/>
  <c r="M396" i="7" s="1"/>
  <c r="N79" i="8"/>
  <c r="N82" i="8"/>
  <c r="G486" i="7"/>
  <c r="M486" i="7" s="1"/>
  <c r="H212" i="5"/>
  <c r="N212" i="5" s="1"/>
  <c r="L240" i="5"/>
  <c r="M505" i="7"/>
  <c r="G430" i="7"/>
  <c r="M430" i="7" s="1"/>
  <c r="K15" i="2"/>
  <c r="J58" i="3"/>
  <c r="J60" i="3"/>
  <c r="J149" i="4"/>
  <c r="K58" i="3"/>
  <c r="L81" i="5"/>
  <c r="L57" i="5"/>
  <c r="N145" i="5"/>
  <c r="L150" i="5"/>
  <c r="L62" i="5"/>
  <c r="K126" i="4"/>
  <c r="I337" i="7"/>
  <c r="O337" i="7" s="1"/>
  <c r="I367" i="7"/>
  <c r="O367" i="7" s="1"/>
  <c r="M80" i="8"/>
  <c r="K62" i="3"/>
  <c r="M172" i="5"/>
  <c r="O145" i="5"/>
  <c r="L47" i="2"/>
  <c r="J38" i="3"/>
  <c r="K60" i="3"/>
  <c r="J17" i="4"/>
  <c r="J37" i="4"/>
  <c r="J128" i="4"/>
  <c r="K61" i="5"/>
  <c r="O174" i="5"/>
  <c r="K124" i="5"/>
  <c r="L20" i="5"/>
  <c r="L146" i="4"/>
  <c r="O143" i="5"/>
  <c r="L19" i="3"/>
  <c r="L38" i="3"/>
  <c r="L15" i="4"/>
  <c r="J105" i="4"/>
  <c r="L126" i="4"/>
  <c r="L128" i="4"/>
  <c r="L101" i="5"/>
  <c r="G154" i="5"/>
  <c r="M154" i="5" s="1"/>
  <c r="I185" i="5"/>
  <c r="O185" i="5" s="1"/>
  <c r="K212" i="5"/>
  <c r="K144" i="5"/>
  <c r="J122" i="5"/>
  <c r="N479" i="7"/>
  <c r="M479" i="7"/>
  <c r="N506" i="7"/>
  <c r="K211" i="5"/>
  <c r="N327" i="7"/>
  <c r="I242" i="5"/>
  <c r="O242" i="5" s="1"/>
  <c r="H368" i="7"/>
  <c r="N368" i="7" s="1"/>
  <c r="I487" i="7"/>
  <c r="O487" i="7" s="1"/>
  <c r="N475" i="7"/>
  <c r="H242" i="5"/>
  <c r="N242" i="5" s="1"/>
  <c r="O355" i="7"/>
  <c r="G366" i="7"/>
  <c r="M366" i="7" s="1"/>
  <c r="L16" i="4"/>
  <c r="J154" i="5"/>
  <c r="J145" i="5"/>
  <c r="L19" i="4"/>
  <c r="J184" i="5"/>
  <c r="M232" i="5"/>
  <c r="G242" i="5"/>
  <c r="M242" i="5" s="1"/>
  <c r="K19" i="4"/>
  <c r="L105" i="4"/>
  <c r="L204" i="5"/>
  <c r="K38" i="3"/>
  <c r="L38" i="4"/>
  <c r="L59" i="3"/>
  <c r="L59" i="4"/>
  <c r="L16" i="2"/>
  <c r="J19" i="2"/>
  <c r="AB47" i="2"/>
  <c r="AA48" i="2"/>
  <c r="L233" i="5"/>
  <c r="L147" i="4"/>
  <c r="J38" i="4"/>
  <c r="L17" i="4"/>
  <c r="I213" i="5"/>
  <c r="O213" i="5" s="1"/>
  <c r="O203" i="5"/>
  <c r="L51" i="2"/>
  <c r="K16" i="2"/>
  <c r="L46" i="2"/>
  <c r="L50" i="2"/>
  <c r="J20" i="4"/>
  <c r="J16" i="4"/>
  <c r="J40" i="4"/>
  <c r="J214" i="5"/>
  <c r="G184" i="5"/>
  <c r="M184" i="5" s="1"/>
  <c r="M174" i="5"/>
  <c r="J61" i="3"/>
  <c r="J18" i="2"/>
  <c r="K47" i="2"/>
  <c r="J59" i="3"/>
  <c r="K61" i="3"/>
  <c r="K63" i="3"/>
  <c r="J41" i="4"/>
  <c r="K20" i="4"/>
  <c r="H214" i="5"/>
  <c r="N214" i="5" s="1"/>
  <c r="N204" i="5"/>
  <c r="J42" i="3"/>
  <c r="K125" i="4"/>
  <c r="K171" i="5"/>
  <c r="K146" i="4"/>
  <c r="O234" i="5"/>
  <c r="I244" i="5"/>
  <c r="O244" i="5" s="1"/>
  <c r="L174" i="5"/>
  <c r="I339" i="7"/>
  <c r="O339" i="7" s="1"/>
  <c r="N386" i="7"/>
  <c r="I91" i="8"/>
  <c r="O91" i="8" s="1"/>
  <c r="O448" i="7"/>
  <c r="K150" i="4"/>
  <c r="K201" i="5"/>
  <c r="J123" i="5"/>
  <c r="L150" i="4"/>
  <c r="H340" i="7"/>
  <c r="N340" i="7" s="1"/>
  <c r="I368" i="7"/>
  <c r="O368" i="7" s="1"/>
  <c r="O386" i="7"/>
  <c r="N81" i="8"/>
  <c r="G428" i="7"/>
  <c r="M428" i="7" s="1"/>
  <c r="I457" i="7"/>
  <c r="O457" i="7" s="1"/>
  <c r="G485" i="7"/>
  <c r="M485" i="7" s="1"/>
  <c r="N509" i="7"/>
  <c r="G517" i="7"/>
  <c r="M517" i="7" s="1"/>
  <c r="K185" i="5"/>
  <c r="L181" i="5"/>
  <c r="J211" i="5"/>
  <c r="J80" i="5"/>
  <c r="H93" i="8"/>
  <c r="N93" i="8" s="1"/>
  <c r="O508" i="7"/>
  <c r="H395" i="7"/>
  <c r="N395" i="7" s="1"/>
  <c r="I399" i="7"/>
  <c r="O399" i="7" s="1"/>
  <c r="M79" i="8"/>
  <c r="I425" i="7"/>
  <c r="O425" i="7" s="1"/>
  <c r="L15" i="2"/>
  <c r="L37" i="4"/>
  <c r="J104" i="5"/>
  <c r="K19" i="5"/>
  <c r="K205" i="5"/>
  <c r="J176" i="5"/>
  <c r="L151" i="5"/>
  <c r="J147" i="4"/>
  <c r="K123" i="5"/>
  <c r="L123" i="5"/>
  <c r="N326" i="7"/>
  <c r="O328" i="7"/>
  <c r="I241" i="5"/>
  <c r="O241" i="5" s="1"/>
  <c r="J240" i="5"/>
  <c r="N356" i="7"/>
  <c r="N449" i="7"/>
  <c r="I460" i="7"/>
  <c r="O460" i="7" s="1"/>
  <c r="L48" i="2"/>
  <c r="J19" i="3"/>
  <c r="J37" i="3"/>
  <c r="J18" i="4"/>
  <c r="J127" i="4"/>
  <c r="K40" i="5"/>
  <c r="M143" i="5"/>
  <c r="O202" i="5"/>
  <c r="J206" i="5"/>
  <c r="K182" i="5"/>
  <c r="I395" i="7"/>
  <c r="O395" i="7" s="1"/>
  <c r="M389" i="7"/>
  <c r="O418" i="7"/>
  <c r="L20" i="3"/>
  <c r="J16" i="3"/>
  <c r="K19" i="3"/>
  <c r="K37" i="3"/>
  <c r="K40" i="3"/>
  <c r="L18" i="4"/>
  <c r="K129" i="4"/>
  <c r="L40" i="5"/>
  <c r="K99" i="5"/>
  <c r="K213" i="5"/>
  <c r="N80" i="8"/>
  <c r="I485" i="7"/>
  <c r="O485" i="7" s="1"/>
  <c r="L151" i="4"/>
  <c r="G338" i="7"/>
  <c r="M338" i="7" s="1"/>
  <c r="N447" i="7"/>
  <c r="M450" i="7"/>
  <c r="M480" i="7"/>
  <c r="O505" i="7"/>
  <c r="O510" i="7"/>
  <c r="N357" i="7"/>
  <c r="N419" i="7"/>
  <c r="L20" i="2"/>
  <c r="J15" i="3"/>
  <c r="L42" i="3"/>
  <c r="K59" i="3"/>
  <c r="L20" i="4"/>
  <c r="K38" i="4"/>
  <c r="L62" i="4"/>
  <c r="L60" i="4"/>
  <c r="J41" i="5"/>
  <c r="L18" i="5"/>
  <c r="J20" i="5"/>
  <c r="L58" i="5"/>
  <c r="L201" i="5"/>
  <c r="L206" i="5"/>
  <c r="L176" i="5"/>
  <c r="J150" i="4"/>
  <c r="K62" i="5"/>
  <c r="M234" i="5"/>
  <c r="G339" i="7"/>
  <c r="M339" i="7" s="1"/>
  <c r="M355" i="7"/>
  <c r="M388" i="7"/>
  <c r="I455" i="7"/>
  <c r="O455" i="7" s="1"/>
  <c r="O478" i="7"/>
  <c r="M508" i="7"/>
  <c r="M205" i="5"/>
  <c r="I369" i="7"/>
  <c r="O369" i="7" s="1"/>
  <c r="N508" i="7"/>
  <c r="K16" i="4"/>
  <c r="J51" i="2"/>
  <c r="L63" i="3"/>
  <c r="J42" i="4"/>
  <c r="N446" i="7"/>
  <c r="H456" i="7"/>
  <c r="N456" i="7" s="1"/>
  <c r="L40" i="4"/>
  <c r="L63" i="4"/>
  <c r="Z48" i="2"/>
  <c r="J62" i="3"/>
  <c r="K15" i="4"/>
  <c r="H213" i="5"/>
  <c r="N213" i="5" s="1"/>
  <c r="N203" i="5"/>
  <c r="J203" i="5"/>
  <c r="J212" i="5"/>
  <c r="J121" i="5"/>
  <c r="L104" i="4"/>
  <c r="L122" i="5"/>
  <c r="J142" i="5"/>
  <c r="H184" i="5"/>
  <c r="N184" i="5" s="1"/>
  <c r="N174" i="5"/>
  <c r="L61" i="3"/>
  <c r="J172" i="5"/>
  <c r="J181" i="5"/>
  <c r="K51" i="2"/>
  <c r="O171" i="5"/>
  <c r="G211" i="5"/>
  <c r="M211" i="5" s="1"/>
  <c r="L214" i="5"/>
  <c r="L205" i="5"/>
  <c r="L184" i="5"/>
  <c r="L175" i="5"/>
  <c r="L49" i="2"/>
  <c r="K41" i="4"/>
  <c r="J59" i="4"/>
  <c r="L61" i="5"/>
  <c r="G155" i="5"/>
  <c r="M155" i="5" s="1"/>
  <c r="M145" i="5"/>
  <c r="J171" i="5"/>
  <c r="J234" i="5"/>
  <c r="J182" i="5"/>
  <c r="J63" i="3"/>
  <c r="G181" i="5"/>
  <c r="M181" i="5" s="1"/>
  <c r="J152" i="5"/>
  <c r="K154" i="5"/>
  <c r="L149" i="4"/>
  <c r="L153" i="5"/>
  <c r="K149" i="4"/>
  <c r="K153" i="5"/>
  <c r="J232" i="5"/>
  <c r="J146" i="4"/>
  <c r="L42" i="4"/>
  <c r="I152" i="5"/>
  <c r="O152" i="5" s="1"/>
  <c r="K183" i="5"/>
  <c r="J150" i="5"/>
  <c r="L124" i="5"/>
  <c r="K151" i="4"/>
  <c r="N418" i="7"/>
  <c r="H428" i="7"/>
  <c r="N428" i="7" s="1"/>
  <c r="K234" i="5"/>
  <c r="K243" i="5"/>
  <c r="O330" i="7"/>
  <c r="I340" i="7"/>
  <c r="O340" i="7" s="1"/>
  <c r="G520" i="7"/>
  <c r="M520" i="7" s="1"/>
  <c r="M510" i="7"/>
  <c r="J124" i="5"/>
  <c r="M233" i="5"/>
  <c r="H426" i="7"/>
  <c r="N426" i="7" s="1"/>
  <c r="N416" i="7"/>
  <c r="L152" i="5"/>
  <c r="L121" i="5"/>
  <c r="I370" i="7"/>
  <c r="O370" i="7" s="1"/>
  <c r="O360" i="7"/>
  <c r="H399" i="7"/>
  <c r="N399" i="7" s="1"/>
  <c r="N389" i="7"/>
  <c r="G516" i="7"/>
  <c r="M516" i="7" s="1"/>
  <c r="M506" i="7"/>
  <c r="O326" i="7"/>
  <c r="I336" i="7"/>
  <c r="O336" i="7" s="1"/>
  <c r="H430" i="7"/>
  <c r="N430" i="7" s="1"/>
  <c r="N420" i="7"/>
  <c r="N476" i="7"/>
  <c r="H486" i="7"/>
  <c r="N486" i="7" s="1"/>
  <c r="H397" i="7"/>
  <c r="N397" i="7" s="1"/>
  <c r="N387" i="7"/>
  <c r="I430" i="7"/>
  <c r="O430" i="7" s="1"/>
  <c r="O420" i="7"/>
  <c r="M446" i="7"/>
  <c r="G456" i="7"/>
  <c r="M456" i="7" s="1"/>
  <c r="H244" i="5"/>
  <c r="N244" i="5" s="1"/>
  <c r="L234" i="5"/>
  <c r="M358" i="7"/>
  <c r="I93" i="8"/>
  <c r="O93" i="8" s="1"/>
  <c r="I486" i="7"/>
  <c r="O486" i="7" s="1"/>
  <c r="O476" i="7"/>
  <c r="I519" i="7"/>
  <c r="O519" i="7" s="1"/>
  <c r="N233" i="5"/>
  <c r="H243" i="5"/>
  <c r="N243" i="5" s="1"/>
  <c r="G93" i="8"/>
  <c r="M93" i="8" s="1"/>
  <c r="M83" i="8"/>
  <c r="I90" i="8"/>
  <c r="O90" i="8" s="1"/>
  <c r="G459" i="7"/>
  <c r="M459" i="7" s="1"/>
  <c r="M449" i="7"/>
  <c r="M478" i="7"/>
  <c r="H241" i="5"/>
  <c r="N241" i="5" s="1"/>
  <c r="G336" i="7"/>
  <c r="M336" i="7" s="1"/>
  <c r="H370" i="7"/>
  <c r="N370" i="7" s="1"/>
  <c r="N450" i="7"/>
  <c r="N505" i="7"/>
  <c r="O506" i="7"/>
  <c r="L235" i="5"/>
  <c r="G91" i="8"/>
  <c r="M91" i="8" s="1"/>
  <c r="M415" i="7"/>
  <c r="G429" i="7"/>
  <c r="M429" i="7" s="1"/>
  <c r="M447" i="7"/>
  <c r="H490" i="7"/>
  <c r="N490" i="7" s="1"/>
  <c r="N480" i="7"/>
  <c r="M357" i="7"/>
  <c r="N78" i="8"/>
  <c r="O449" i="7"/>
  <c r="I459" i="7"/>
  <c r="O459" i="7" s="1"/>
  <c r="O480" i="7"/>
  <c r="I490" i="7"/>
  <c r="O490" i="7" s="1"/>
  <c r="H517" i="7"/>
  <c r="N517" i="7" s="1"/>
  <c r="N507" i="7"/>
  <c r="G519" i="7"/>
  <c r="M519" i="7" s="1"/>
  <c r="M509" i="7"/>
  <c r="M327" i="7"/>
  <c r="H339" i="7"/>
  <c r="N339" i="7" s="1"/>
  <c r="N329" i="7"/>
  <c r="L244" i="5"/>
  <c r="M390" i="7"/>
  <c r="O416" i="7"/>
  <c r="N417" i="7"/>
  <c r="H427" i="7"/>
  <c r="N427" i="7" s="1"/>
  <c r="G426" i="7"/>
  <c r="M426" i="7" s="1"/>
  <c r="I517" i="7"/>
  <c r="O517" i="7" s="1"/>
  <c r="G240" i="5"/>
  <c r="M240" i="5" s="1"/>
  <c r="O388" i="7"/>
  <c r="I427" i="7"/>
  <c r="O427" i="7" s="1"/>
  <c r="H455" i="7"/>
  <c r="N455" i="7" s="1"/>
  <c r="N445" i="7"/>
  <c r="K233" i="5"/>
  <c r="K235" i="5"/>
  <c r="J233" i="5"/>
  <c r="N390" i="7"/>
  <c r="H400" i="7"/>
  <c r="N400" i="7" s="1"/>
  <c r="M448" i="7"/>
  <c r="G458" i="7"/>
  <c r="M458" i="7" s="1"/>
  <c r="H335" i="7"/>
  <c r="N335" i="7" s="1"/>
  <c r="N325" i="7"/>
  <c r="M330" i="7"/>
  <c r="G340" i="7"/>
  <c r="M340" i="7" s="1"/>
  <c r="K231" i="5"/>
  <c r="K240" i="5"/>
  <c r="I89" i="8"/>
  <c r="O89" i="8" s="1"/>
  <c r="I88" i="8"/>
  <c r="O88" i="8" s="1"/>
  <c r="I92" i="8"/>
  <c r="O92" i="8" s="1"/>
</calcChain>
</file>

<file path=xl/sharedStrings.xml><?xml version="1.0" encoding="utf-8"?>
<sst xmlns="http://schemas.openxmlformats.org/spreadsheetml/2006/main" count="5097" uniqueCount="237">
  <si>
    <t>LV RT 2013 cRIO Single-Point Benchmark Results (Hz)</t>
  </si>
  <si>
    <r>
      <t>cRIO-9024, LV RT 2013.1a4, NI-RIO 13.0.0d114</t>
    </r>
    <r>
      <rPr>
        <sz val="12"/>
        <color theme="1"/>
        <rFont val="Calibri"/>
        <family val="2"/>
        <scheme val="minor"/>
      </rPr>
      <t xml:space="preserve"> (9205/9264) - 2min settling time - Isolated Network, REBOOT before each test</t>
    </r>
  </si>
  <si>
    <t>Test</t>
  </si>
  <si>
    <t>Number of Channels, Rate (Hz)</t>
  </si>
  <si>
    <t>Number of Channels, Period (uS)</t>
  </si>
  <si>
    <t>Acronym</t>
  </si>
  <si>
    <t>Description</t>
  </si>
  <si>
    <t>I/O Mode</t>
  </si>
  <si>
    <t>T1a</t>
  </si>
  <si>
    <t>AI / AO</t>
  </si>
  <si>
    <t>Polling</t>
  </si>
  <si>
    <t>T1b</t>
  </si>
  <si>
    <t>Interrupts</t>
  </si>
  <si>
    <t xml:space="preserve">T2a </t>
  </si>
  <si>
    <t xml:space="preserve">AI/PID/AO </t>
  </si>
  <si>
    <t xml:space="preserve">T2b </t>
  </si>
  <si>
    <t>T3</t>
  </si>
  <si>
    <t xml:space="preserve">AI/AO/Local Logging </t>
  </si>
  <si>
    <t>T4</t>
  </si>
  <si>
    <t>AI/AO/Host Comm.</t>
  </si>
  <si>
    <t>Number of Channels (%)</t>
  </si>
  <si>
    <t>Result Improvement vs. cRIO-9024 (% &amp; uS)</t>
  </si>
  <si>
    <t>Max Numbers</t>
  </si>
  <si>
    <t>Number of Channels, Difference in Period (uS)</t>
  </si>
  <si>
    <t>1ch</t>
  </si>
  <si>
    <t>%</t>
  </si>
  <si>
    <t>Difference in Period (uS)</t>
  </si>
  <si>
    <t>N/A</t>
  </si>
  <si>
    <t>Result Improvement vs. RIO's "green board" results (% &amp; uS)</t>
  </si>
  <si>
    <t>Result Improvement vs. "red board" (% &amp; uS)</t>
  </si>
  <si>
    <t>Worst of 5</t>
  </si>
  <si>
    <t>T1a: first run was actually 992, not sure why since subsequent runs were not affected by this.</t>
  </si>
  <si>
    <t>Case</t>
  </si>
  <si>
    <r>
      <t>cRIO-9068 (blue board), LV RT 2013b75, NI-RIO 13.0.0d229</t>
    </r>
    <r>
      <rPr>
        <sz val="12"/>
        <color theme="1"/>
        <rFont val="Calibri"/>
        <family val="2"/>
        <scheme val="minor"/>
      </rPr>
      <t xml:space="preserve"> (9205/9264)</t>
    </r>
  </si>
  <si>
    <r>
      <t>cRIO-9068 (red board), LV RT 2013b11, NI-RIO 13.0.0d174</t>
    </r>
    <r>
      <rPr>
        <sz val="12"/>
        <color theme="1"/>
        <rFont val="Calibri"/>
        <family val="2"/>
        <scheme val="minor"/>
      </rPr>
      <t xml:space="preserve"> (9205/9264)</t>
    </r>
  </si>
  <si>
    <t>Improvement cause unknown..</t>
  </si>
  <si>
    <r>
      <t>cRIO-9068 (blue board), LV RT 2013, NI-RIO 13.0.0</t>
    </r>
    <r>
      <rPr>
        <sz val="12"/>
        <color theme="1"/>
        <rFont val="Calibri"/>
        <family val="2"/>
        <scheme val="minor"/>
      </rPr>
      <t xml:space="preserve"> (9205/9264)</t>
    </r>
  </si>
  <si>
    <r>
      <t>cRIO-9068 (blue board), LV RT 2013.1d58, NI-RIO 13.1.0</t>
    </r>
    <r>
      <rPr>
        <sz val="12"/>
        <color theme="1"/>
        <rFont val="Calibri"/>
        <family val="2"/>
        <scheme val="minor"/>
      </rPr>
      <t xml:space="preserve"> (9205/9264)</t>
    </r>
  </si>
  <si>
    <t>1ch outlier, next lowest was 39756</t>
  </si>
  <si>
    <t>http://us-aus-rtweb1.natinst.com:81/run/527c14403130616000000001/</t>
  </si>
  <si>
    <t>LV RT 2014 cRIO Single-Point Benchmark Results (Hz)</t>
  </si>
  <si>
    <r>
      <t>cRIO-9068, LV RT 2014b22, NI-RIO 14.0.0d228</t>
    </r>
    <r>
      <rPr>
        <sz val="12"/>
        <color theme="1"/>
        <rFont val="Calibri"/>
        <family val="2"/>
        <scheme val="minor"/>
      </rPr>
      <t xml:space="preserve"> (9205/9264)</t>
    </r>
  </si>
  <si>
    <t>Result Improvement vs. 2013 (% &amp; uS)</t>
  </si>
  <si>
    <t>http://us-aus-rtweb1.natinst.com/Reports/RT/2014/performance/rtlinux/rtperf-9068/sp_online_poll/2014-02-13_13-37-38/HTML/2014-02-13_13-44-05_SinglePointBenchmarks_ATS.html</t>
  </si>
  <si>
    <t>http://us-aus-rtweb1.natinst.com/Reports/RT/2014/performance/rtlinux/rtperf-9068/sp_online_poll/2014-05-08_16-49-43/</t>
  </si>
  <si>
    <r>
      <t>cRIO-9068, LV RT 2014b142, NI-RIO 14.0.0d311</t>
    </r>
    <r>
      <rPr>
        <sz val="12"/>
        <color theme="1"/>
        <rFont val="Calibri"/>
        <family val="2"/>
        <scheme val="minor"/>
      </rPr>
      <t xml:space="preserve"> (9205/9264)</t>
    </r>
  </si>
  <si>
    <t>1ch next lowest 46847, we saw similar outliers in 2013</t>
  </si>
  <si>
    <t>Result Improvement vs. 2014 (% &amp; uS)</t>
  </si>
  <si>
    <t>http://us-aus-rtweb1.natinst.com/Reports/RT/2014/performance/rtlinux/rtperf-9068/sp_online_poll/2014-11-11_17-00-08/</t>
  </si>
  <si>
    <t>LV RT 2014 SP1 cRIO Single-Point Benchmark Results (Hz)</t>
  </si>
  <si>
    <r>
      <t>cRIO-9068, LV RT 2014 SP1 d157, NI-RIO 14.5.0</t>
    </r>
    <r>
      <rPr>
        <sz val="12"/>
        <color theme="1"/>
        <rFont val="Calibri"/>
        <family val="2"/>
        <scheme val="minor"/>
      </rPr>
      <t xml:space="preserve"> </t>
    </r>
  </si>
  <si>
    <t>LV RT 2015 cRIO Single-Point Benchmark Results (Hz)</t>
  </si>
  <si>
    <t>http://us-aus-rtweb1.natinst.com/Reports/RT/2015/performance/rtlinux/rtperf-9068/sp_online_poll/2015-02-17_23-55-58/HTML/2015-02-18_00-07-07_SinglePointBenchmarks_ATS.html#TSsummary</t>
  </si>
  <si>
    <r>
      <t>cRIO-9068, LV RT 2015b30, NI-RIO 15.0.0.0</t>
    </r>
    <r>
      <rPr>
        <sz val="12"/>
        <color theme="1"/>
        <rFont val="Calibri"/>
        <family val="2"/>
        <scheme val="minor"/>
      </rPr>
      <t xml:space="preserve"> (9205/9264)</t>
    </r>
  </si>
  <si>
    <t>http://us-aus-rtweb1.natinst.com/Reports/RT/2015/performance/rtlinux/rtperf-9068/sp_online_poll/2015-01-21_01-02-40/HTML/2015-01-21_01-13-54_SinglePointBenchmarks_ATS.html#Test_cRIO-Benchmark.lvproj%5CRT%20Target%5CAI-AO-FILE%5CTest_cRIO_AI-AO-FILE_01_INT</t>
  </si>
  <si>
    <r>
      <t>cRIO-9068, LV RT 2015 b2, NI-RIO 15.0.0.0</t>
    </r>
    <r>
      <rPr>
        <sz val="12"/>
        <color theme="1"/>
        <rFont val="Calibri"/>
        <family val="2"/>
        <scheme val="minor"/>
      </rPr>
      <t xml:space="preserve"> (9205/9264)</t>
    </r>
  </si>
  <si>
    <t>Result Improvement vs. 2014 SP1 (% &amp; uS)</t>
  </si>
  <si>
    <t>http://us-aus-rtweb1.natinst.com/Reports/RT/2015/performance/rtlinux/rtperf-9068/sp_online_poll/2015-02-23_12-07-01/HTML/2015-02-23_12-18-42_SinglePointBenchmarks_ATS.html#Test_cRIO-Benchmark.lvproj%5CRT%20Target%5CAI-AO%5CTest_cRIO_AI-AO_01_INT.vi</t>
  </si>
  <si>
    <t>cRIO-9068, LV RT 2015 b35, NI-RIO 15.0</t>
  </si>
  <si>
    <t>cRIO-9068, LV RT 2015rc1, NI-RIO 15.0.0b24</t>
  </si>
  <si>
    <t>Link to report : 9068_sp_online_poll_15.0rc1</t>
  </si>
  <si>
    <t>cRIO-9068, LV RT 2015rc16, NI-RIO 15.0.0b34</t>
  </si>
  <si>
    <t>T1a for 1ch was run manually again and numbers are taken from that (since the numbers from run were low).</t>
  </si>
  <si>
    <t>T1a for 4 ch and T4 for 16ch were run manually again and numbers are taken from that (since the numbers from first run were low).</t>
  </si>
  <si>
    <t>Link to report : 9068_sp_online_poll_15.0rc16</t>
  </si>
  <si>
    <t>Result Improvement vs. 2015 (% &amp; uS)</t>
  </si>
  <si>
    <t>Link to report : 9068_sp_online_poll_15.0.1a1</t>
  </si>
  <si>
    <t>cRIO-9068, LV RT 2015.0.1a1, NI-RIO 15.3.0a4</t>
  </si>
  <si>
    <t>LV RT 2016 cRIO Single-Point Benchmark Results (Hz)</t>
  </si>
  <si>
    <t>cRIO-9068, LV RT 16.0b40, NI-RIO 16.0.0a4</t>
  </si>
  <si>
    <t>cRIO-9068, LV RT 16.0b53, NI-RIO 16.0.0a13</t>
  </si>
  <si>
    <t>Error</t>
  </si>
  <si>
    <t>Link to report : 9068_sp_online_poll_16.0b53 Target got disconnected for T4 cases</t>
  </si>
  <si>
    <t>cRIO-9068, LV RT 16.0b56, NI-RIO 16.0.0a13</t>
  </si>
  <si>
    <t>Link to report : 9068_sp_online_poll_16.0b56 Target got disconnected for T4 cases and T3 16 ch case</t>
  </si>
  <si>
    <t>cRIO-9068, LV RT 16.0b35, NI-RIO 16.0.0a4</t>
  </si>
  <si>
    <t>cRIO-9068, LV RT 16.0b46, NI-RIO 16.0.0a4</t>
  </si>
  <si>
    <t>Link to report : 9068_sp_online_poll_16.0b46</t>
  </si>
  <si>
    <t>Link to report : 9068_sp_online_poll_16.0b40</t>
  </si>
  <si>
    <t>Link to report : 9068_sp_online_poll_16.0b35</t>
  </si>
  <si>
    <t>Result Improvement vs. 2015 SP1 (% &amp; uS)</t>
  </si>
  <si>
    <t>Link to report Worst of 10 iterations: 9068_sp_online_poll_16.0b75 T1a and T2b 1ch being outliers</t>
  </si>
  <si>
    <t>cRIO-9068, LV RT 16.0b75,NI-RIO 16.0</t>
  </si>
  <si>
    <t>cRIO-9068, LV RT 16.0rc3,NI-RIO 16.0</t>
  </si>
  <si>
    <t>Worst of 10 iterations: 9068_sp_online_poll_16.rc03_T2a 1ch being outlier</t>
  </si>
  <si>
    <t>cRIO-9068, LV RT 16.0,NI-RIO 16.0</t>
  </si>
  <si>
    <t>Worst of 10 iterations: 9068_sp_online_poll_16.0</t>
  </si>
  <si>
    <t>cRIO-9068, LV RT 2015.0.1rc0, NI-RIO 15.3.0a4</t>
  </si>
  <si>
    <t>Link to report : 9068_sp_online_poll_15.0.1rc0</t>
  </si>
  <si>
    <t>Result Improvement vs. 2016 (% &amp; uS)</t>
  </si>
  <si>
    <t>LV RT 2017 cRIO Single-Point Benchmark Results (Hz)</t>
  </si>
  <si>
    <t>Worst of 10 iterations: 9068_sp_online_poll_17.0d41</t>
  </si>
  <si>
    <t>cRIO-9068, LV RT 17.0d41,NI-RIO 16.0.0f0</t>
  </si>
  <si>
    <t>Err</t>
  </si>
  <si>
    <t>Worst of 10 iterations: 9068_sp_online_poll_17.0d65</t>
  </si>
  <si>
    <t>cRIO-9068, LV RT 17.0d65,NI-RIO 16.0.0f0</t>
  </si>
  <si>
    <t>cRIO-9068, LV RT 17.0d75,NI-RIO 16.0</t>
  </si>
  <si>
    <t>cRIO-9068, LV RT 17.0d80,NI-RIO 16.0</t>
  </si>
  <si>
    <t>cRIO-9068, LV RT 17.0d79,NI-RIO 16.0</t>
  </si>
  <si>
    <t>Worst of 10 iterations: 9068_sp_online_poll_17.0d75</t>
  </si>
  <si>
    <t>CAR :607849</t>
  </si>
  <si>
    <t>Worst of 10 iterations: 9068_sp_online_poll_17.0d80</t>
  </si>
  <si>
    <t>CAR : 607849</t>
  </si>
  <si>
    <t>Worst of 100 iterations: 9068_sp_online_poll_17.0d79</t>
  </si>
  <si>
    <t>cRIO-9068, LV RT 17.0d88,NI-RIO 16.0</t>
  </si>
  <si>
    <t>Worst of 10 iterations: 9068_sp_online_poll_17.0d88</t>
  </si>
  <si>
    <t>cRIO-9068, LV RT 17.0d93,NI-RIO 16.0</t>
  </si>
  <si>
    <t>Worst of 10 iterations: 9068_sp_online_poll_17.0d93</t>
  </si>
  <si>
    <t>cRIO-9068, LV RT 17.0a2,NI-RIO 16.0</t>
  </si>
  <si>
    <t>Worst of 10 iterations: 9068_sp_online_poll_17.0a2</t>
  </si>
  <si>
    <t>cRIO-9068, LV RT 17.0a12,NI-RIO 17.0d16</t>
  </si>
  <si>
    <t>Worst of 10 iterations: 9068_sp_online_poll_17.0a12</t>
  </si>
  <si>
    <t>Worst of 10 iterations: 9068_sp_online_poll_17.0a17</t>
  </si>
  <si>
    <t>cRIO-9068, LV RT 17.0a17,NI-RIO 17.0.0d17</t>
  </si>
  <si>
    <t>Worst of 100 iterations: 9068_sp_online_poll_17.0a14</t>
  </si>
  <si>
    <t>cRIO-9068, LV RT 17.0a20,NI-RIO 17.0.0d17</t>
  </si>
  <si>
    <t>Worst of 10 iterations: 9068_sp_online_poll_17.0a20</t>
  </si>
  <si>
    <t>cRIO-9068, LV RT 17.0a40,NI-RIO 17.0.0d24</t>
  </si>
  <si>
    <t>Worst of 10 iterations: 9068_sp_online_poll_17.0a40</t>
  </si>
  <si>
    <t>cRIO-9068, LV RT 17.0a48,NI-RIO 17.0.0d24</t>
  </si>
  <si>
    <t>Worst of 10 iterations: 9068_sp_online_poll_17.0a48</t>
  </si>
  <si>
    <t>cRIO-9068, LV RT 17.0b3,NI-RIO 17.0.0d25</t>
  </si>
  <si>
    <t>Worst of 10 iterations: 9068_sp_online_poll_17.0b3</t>
  </si>
  <si>
    <t>cRIO-9068, LV RT 17.0b8,NI-RIO 17.0.0d25</t>
  </si>
  <si>
    <t>Worst of 10 iterations: 9068_sp_online_poll_17.0b8</t>
  </si>
  <si>
    <t>cRIO-9068, LV RT 17.0b12,NI-RIO 17.0.0d29</t>
  </si>
  <si>
    <t>Worst of 10 iterations: 9068_sp_online_poll_17.0b12</t>
  </si>
  <si>
    <t>cRIO-9068, LV RT 17.0a14,NI-RIO 17.0d17</t>
  </si>
  <si>
    <t>cRIO-9068, LV RT 17.0b6,NI-RIO 17.0.0d25</t>
  </si>
  <si>
    <t>Worst of 100 iterations: 9068_sp_online_poll_17.0b6</t>
  </si>
  <si>
    <t>cRIO-9068, LV RT 17.0b19,NI-RIO 17.0.0a18</t>
  </si>
  <si>
    <t>Worst of 10 iterations: 9068_sp_online_poll_17.0b19</t>
  </si>
  <si>
    <t>Result Improvement vs. 2016 Rerun (% &amp; uS)</t>
  </si>
  <si>
    <t>cRIO-9068, LV RT 16.0 Rerun,NI-RIO 16.0</t>
  </si>
  <si>
    <t>cRIO-9068, LV RT 17.0b23,NI-RIO 17.0.0a24</t>
  </si>
  <si>
    <t>Worst of 10 iterations: 9068_sp_online_poll_17.0b23</t>
  </si>
  <si>
    <t>cRIO-9068, LV RT 17.0b28,NI-RIO 17.0.0a30</t>
  </si>
  <si>
    <t>Worst of 10 iterations: 9068_sp_online_poll_17.0b28</t>
  </si>
  <si>
    <t>cRIO-9068, LV RT 17.0b24,NI-RIO 17.0.0a25</t>
  </si>
  <si>
    <t>Worst of 100 iterations: 9068_sp_online_poll_17.0b24</t>
  </si>
  <si>
    <t>cRIO-9068, LV RT 17.0b35,NI-RIO 17.0.0b3</t>
  </si>
  <si>
    <t>Worst of 10 iterations: 9068_sp_online_poll_17.0b35</t>
  </si>
  <si>
    <t>cRIO-9068, LV RT 17.0b40,NI-RIO 17.0.0b8</t>
  </si>
  <si>
    <t>Worst of 10 iterations: 9068_sp_online_poll_17.0b40</t>
  </si>
  <si>
    <t>cRIO-9068, LV RT 17.0rc0,NI-RIO 17.0.0b16</t>
  </si>
  <si>
    <t>Worst of 10 iterations: 9068_sp_online_poll_17.0rc0</t>
  </si>
  <si>
    <t>cRIO-9068, LV RT 17.0,NI-RIO 17.0.0b23</t>
  </si>
  <si>
    <t>Worst of 10 iterations: 9068_sp_online_poll_17.0</t>
  </si>
  <si>
    <t>cRIO-9068, LV 17.0.1b3, LV RT 17.0,NI-RIO 17.6.0d141</t>
  </si>
  <si>
    <t>Result Improvement vs. 2017 (% &amp; uS)</t>
  </si>
  <si>
    <t>Worst of 10 iterations: 9068_sp_online_poll_17.0.1b3</t>
  </si>
  <si>
    <t>cRIO-9068, LV 17.0.1b10, LV RT 17.0,NI-RIO 17.6.0a17</t>
  </si>
  <si>
    <t>Worst of 10 iterations: 9068_sp_online_poll_17.0.1b10</t>
  </si>
  <si>
    <t>cRIO-9068, LV 17.0.1, LV RT 17.0,NI-RIO 17.6.0a37</t>
  </si>
  <si>
    <t>Worst of 10 iterations: 9068_sp_online_poll_17.0.1</t>
  </si>
  <si>
    <t>LV RT 2018 cRIO Single-Point Benchmark Results (Hz)</t>
  </si>
  <si>
    <t>Worst of 10 iterations: 9068_sp_online_poll_18.0a2</t>
  </si>
  <si>
    <t>cRIO-9068, LV RT 18.0a2, NI-RIO 18.0.0d32</t>
  </si>
  <si>
    <t>Worst of 10 iterations: 9068_sp_online_poll_18.0a11</t>
  </si>
  <si>
    <t>cRIO-9068, LV RT 18.0a11, NI-RIO 18.0.0d47</t>
  </si>
  <si>
    <t>T3 Cases run again</t>
  </si>
  <si>
    <t>cRIO-9068, LV RT 18.0b0, NI-RIO 18.0.0d60</t>
  </si>
  <si>
    <t>Worst of 10 iterations: 9068_sp_online_poll_18.0b0</t>
  </si>
  <si>
    <t>cRIO-9068, LV RT 18.0b5, NI-RIO 18.0.0d71</t>
  </si>
  <si>
    <t>Worst of 10 iterations: 9068_sp_online_poll_18.0b5</t>
  </si>
  <si>
    <t>T3 and T4 Cases were run again</t>
  </si>
  <si>
    <t>Worst of 10 iterations: 9068_sp_online_poll_18.0b13</t>
  </si>
  <si>
    <t>cRIO-9068, LV RT 18.0b13, NI-RIO 18.0.0d97</t>
  </si>
  <si>
    <t>cRIO-9068, LV RT 18.0b22, NI-RIO 18.0.0d106</t>
  </si>
  <si>
    <t>Worst of 10 iterations: 9068_sp_online_poll_18.0b22</t>
  </si>
  <si>
    <t>cRIO-9068, LV RT 18.0b30, NI-RIO 18.0.0d120</t>
  </si>
  <si>
    <t>Worst of 10 iterations: 9068_sp_online_poll_18.0b30</t>
  </si>
  <si>
    <t>CAR : 681734</t>
  </si>
  <si>
    <t>cRIO-9068, LV RT 18.0b46, NI-RIO 18.0.0d120</t>
  </si>
  <si>
    <t>Worst of 10 iterations: 9068_sp_online_poll_18.0b46</t>
  </si>
  <si>
    <t>cRIO-9068, LV RT 18.0b54, NI-RIO 18.0.0d148</t>
  </si>
  <si>
    <t>Worst of 10 iterations: 9068_sp_online_poll_18.0b54</t>
  </si>
  <si>
    <t>cRIO-9068, LV RT 18.0b60, NI-RIO 18.0.0d151</t>
  </si>
  <si>
    <t>Worst of 10 iterations: 9068_sp_online_poll_18.0b60</t>
  </si>
  <si>
    <t>cRIO-9068, LV RT 18.0rc1, NI-RIO 18.0.0516a0</t>
  </si>
  <si>
    <t>Worst of 10 iterations: 9068_sp_online_poll_18.0rc1</t>
  </si>
  <si>
    <t>cRIO-9068, LV RT 18.0, NI-RIO 18.0.2216b3</t>
  </si>
  <si>
    <t>Worst of 10 iterations: 9068_sp_online_poll_18.0</t>
  </si>
  <si>
    <t>T3 Cases were run again</t>
  </si>
  <si>
    <t>T4 Cases were run again</t>
  </si>
  <si>
    <t>Worst of 10 iterations: 9068_sp_online_poll_18.0.1b3</t>
  </si>
  <si>
    <t>Result Improvement vs. 2018 (% &amp; uS)</t>
  </si>
  <si>
    <t>T3,T4 Cases were run again</t>
  </si>
  <si>
    <t>cRIO-9068, LV RT 18.0.1b3, NI-RIO 18.5.0.0614d113</t>
  </si>
  <si>
    <t>Worst of 10 iterations: 9068_sp_online_poll_18.0.1</t>
  </si>
  <si>
    <t>cRIO-9068, LV RT 18.0.1, NI-RIO 18.5.0.0819b10</t>
  </si>
  <si>
    <t>LV RT 2019 cRIO Single-Point Benchmark Results (Hz)</t>
  </si>
  <si>
    <t>cRIO-9068, LV RT 19.0.a0, NI-RIO 19.0.0,0206d102</t>
  </si>
  <si>
    <t>Worst of 10 iterations: 9068_sp_online_poll_19.0a0</t>
  </si>
  <si>
    <t>T4 case-1 run</t>
  </si>
  <si>
    <t>cRIO-9068, LV RT 19.0.a6, NI-RIO 19.0.0,0146d107</t>
  </si>
  <si>
    <t>Worst of 10 iterations: 9068_sp_online_poll_19.0a6</t>
  </si>
  <si>
    <t>T3Cases were run again</t>
  </si>
  <si>
    <t>T4 case ran again--1st case :error 66</t>
  </si>
  <si>
    <t>Error  66</t>
  </si>
  <si>
    <t>cRIO-9068, LV RT 19.0.a9, NI-RIO 19.0.0,0146d107</t>
  </si>
  <si>
    <t>Worst of 10 iterations: 9068_sp_online_poll_19.0a9</t>
  </si>
  <si>
    <t>Error 66</t>
  </si>
  <si>
    <t>T3,T4 case ran again--1st case :error 66</t>
  </si>
  <si>
    <t>cRIO-9068, LV RT 19.0.a25, NI-RIO 19.0.0,1650d126</t>
  </si>
  <si>
    <t>Worst of 10 iterations: 9068_sp_online_poll_19.0a25</t>
  </si>
  <si>
    <t>T3,T4 Cases were run again : T4 1st case-Error 66</t>
  </si>
  <si>
    <t>cRIO-9068, LV RT 19.0.a28, NI-RIO 19.0.0,1757d128</t>
  </si>
  <si>
    <t>Worst of 10 iterations: 9068_sp_online_poll_19.0a28</t>
  </si>
  <si>
    <t>cRIO-9068, LV RT 19.0.b2, NI-RIO 19.0.0,1757d128</t>
  </si>
  <si>
    <t>Worst of 10 iterations: 9068_sp_online_poll_19.0b2</t>
  </si>
  <si>
    <t xml:space="preserve">T3Cases were run again  </t>
  </si>
  <si>
    <t>T4 cases were run again</t>
  </si>
  <si>
    <t>li</t>
  </si>
  <si>
    <t>cRIO-9068, LV RT 19.0.b27, NI-RIO 19.0.0,0657d146</t>
  </si>
  <si>
    <t xml:space="preserve">T3&amp;T4 Cases were run again  </t>
  </si>
  <si>
    <t>Worst of 10 iterations: 9068_sp_online_poll_19.0b27</t>
  </si>
  <si>
    <t>cRIO-9068, LV RT 19.0.b33, NI-RIO 19.0d156</t>
  </si>
  <si>
    <t>Result Improvement vs. 2018SP1 (% &amp; uS)</t>
  </si>
  <si>
    <t>Worst of 10 iterations: 9068_sp_online_poll_19.0b33</t>
  </si>
  <si>
    <t>cRIO-9068, LV RT 19.0.b49, NI-RIO 19.0d156</t>
  </si>
  <si>
    <t>Worst of 10 iterations: 9068_sp_online_poll_19.0b49</t>
  </si>
  <si>
    <t>cRIO-9068, LV RT 19.0.b57, NI-RIO 19.0d190</t>
  </si>
  <si>
    <t>Worst of 10 iterations: 9068_sp_online_poll_19.0b57</t>
  </si>
  <si>
    <t xml:space="preserve">T3 &amp; T4 Cases were run again  </t>
  </si>
  <si>
    <t>cRIO-9068, LV RT 19.0.b67, NI-RIO 19.0d193</t>
  </si>
  <si>
    <t>Worst of 10 iterations: 9068_sp_online_poll_19.0b67</t>
  </si>
  <si>
    <t>cRIO-9068, LV RT 19.0.b79, NI-RIO 19.0d209</t>
  </si>
  <si>
    <t>Worst of 10 iterations: 9068_sp_online_poll_19.0b79</t>
  </si>
  <si>
    <t>cRIO-9068, LV RT 19.0.b83, NI-RIO 19.0d216</t>
  </si>
  <si>
    <t>Worst of 10 iterations: 9068_sp_online_poll_19.0b83</t>
  </si>
  <si>
    <t>Worst of 10 iterations: 9068_sp_online_poll_19.0b91</t>
  </si>
  <si>
    <t>cRIO-9068, LV RT 19.0.b91, NI-RIO 19.0d216</t>
  </si>
  <si>
    <t>cRIO-9068, LV RT 19.0.b101, NI-RIO 19.0d239</t>
  </si>
  <si>
    <t>Worst of 10 iterations: 9068_sp_online_poll_19.0b101</t>
  </si>
  <si>
    <t>cRIO-9068, LV RT 19.0.0, NI-RIO 19.0b14</t>
  </si>
  <si>
    <t>Worst of 10 iterations: 9068_sp_online_poll_19.0.0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</si>
</sst>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.1"/>
      <color theme="1"/>
      <name val="Arial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197">
    <xf numFmtId="0" fontId="0" fillId="0" borderId="0" xfId="0"/>
    <xf numFmtId="0" fontId="3" fillId="4" borderId="2" xfId="0" applyFont="1" applyFill="1" applyBorder="1"/>
    <xf numFmtId="0" fontId="3" fillId="4" borderId="3" xfId="0" applyFont="1" applyFill="1" applyBorder="1"/>
    <xf numFmtId="0" fontId="4" fillId="4" borderId="1" xfId="0" applyFont="1" applyFill="1" applyBorder="1"/>
    <xf numFmtId="0" fontId="4" fillId="4" borderId="2" xfId="0" applyFont="1" applyFill="1" applyBorder="1"/>
    <xf numFmtId="0" fontId="4" fillId="4" borderId="3" xfId="0" applyFont="1" applyFill="1" applyBorder="1"/>
    <xf numFmtId="0" fontId="2" fillId="2" borderId="4" xfId="2" applyFont="1" applyBorder="1"/>
    <xf numFmtId="0" fontId="2" fillId="3" borderId="4" xfId="3" applyFont="1" applyBorder="1" applyAlignment="1">
      <alignment horizontal="center" wrapText="1"/>
    </xf>
    <xf numFmtId="0" fontId="0" fillId="2" borderId="4" xfId="2" applyFont="1" applyBorder="1"/>
    <xf numFmtId="0" fontId="1" fillId="2" borderId="4" xfId="2" applyBorder="1"/>
    <xf numFmtId="0" fontId="1" fillId="0" borderId="4" xfId="2" applyFill="1" applyBorder="1"/>
    <xf numFmtId="4" fontId="0" fillId="0" borderId="4" xfId="0" applyNumberFormat="1" applyBorder="1"/>
    <xf numFmtId="164" fontId="0" fillId="0" borderId="4" xfId="1" applyNumberFormat="1" applyFont="1" applyBorder="1"/>
    <xf numFmtId="0" fontId="3" fillId="4" borderId="1" xfId="0" applyFont="1" applyFill="1" applyBorder="1"/>
    <xf numFmtId="0" fontId="2" fillId="3" borderId="1" xfId="3" applyFont="1" applyBorder="1"/>
    <xf numFmtId="0" fontId="1" fillId="2" borderId="8" xfId="2" applyBorder="1"/>
    <xf numFmtId="0" fontId="3" fillId="4" borderId="0" xfId="0" applyFont="1" applyFill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6" fillId="0" borderId="0" xfId="4" applyAlignment="1" applyProtection="1"/>
    <xf numFmtId="0" fontId="1" fillId="2" borderId="1" xfId="2" applyBorder="1"/>
    <xf numFmtId="0" fontId="1" fillId="0" borderId="3" xfId="2" applyFill="1" applyBorder="1"/>
    <xf numFmtId="0" fontId="2" fillId="3" borderId="9" xfId="3" applyFont="1" applyBorder="1" applyAlignment="1">
      <alignment horizontal="center" wrapText="1"/>
    </xf>
    <xf numFmtId="0" fontId="7" fillId="0" borderId="4" xfId="0" applyFont="1" applyBorder="1" applyAlignment="1">
      <alignment horizontal="right"/>
    </xf>
    <xf numFmtId="0" fontId="0" fillId="2" borderId="1" xfId="2" applyFont="1" applyBorder="1"/>
    <xf numFmtId="0" fontId="0" fillId="2" borderId="8" xfId="2" applyFont="1" applyBorder="1"/>
    <xf numFmtId="0" fontId="0" fillId="0" borderId="4" xfId="2" applyFont="1" applyFill="1" applyBorder="1"/>
    <xf numFmtId="0" fontId="1" fillId="2" borderId="0" xfId="2"/>
    <xf numFmtId="0" fontId="0" fillId="2" borderId="0" xfId="2" applyFont="1"/>
    <xf numFmtId="164" fontId="0" fillId="0" borderId="0" xfId="1" applyNumberFormat="1" applyFont="1"/>
    <xf numFmtId="4" fontId="0" fillId="0" borderId="0" xfId="0" applyNumberFormat="1"/>
    <xf numFmtId="0" fontId="1" fillId="0" borderId="4" xfId="2" applyFill="1" applyBorder="1" applyAlignment="1">
      <alignment horizontal="left"/>
    </xf>
    <xf numFmtId="0" fontId="6" fillId="0" borderId="2" xfId="4" applyBorder="1" applyAlignment="1" applyProtection="1"/>
    <xf numFmtId="0" fontId="2" fillId="2" borderId="15" xfId="2" applyFont="1" applyBorder="1"/>
    <xf numFmtId="0" fontId="2" fillId="3" borderId="16" xfId="3" applyFont="1" applyBorder="1" applyAlignment="1">
      <alignment horizontal="center" wrapText="1"/>
    </xf>
    <xf numFmtId="0" fontId="0" fillId="2" borderId="15" xfId="2" applyFont="1" applyBorder="1"/>
    <xf numFmtId="4" fontId="0" fillId="0" borderId="16" xfId="0" applyNumberFormat="1" applyBorder="1"/>
    <xf numFmtId="0" fontId="1" fillId="2" borderId="15" xfId="2" applyBorder="1"/>
    <xf numFmtId="0" fontId="6" fillId="0" borderId="14" xfId="4" applyBorder="1" applyAlignment="1" applyProtection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2" fillId="2" borderId="1" xfId="2" applyFont="1" applyBorder="1" applyAlignment="1">
      <alignment horizontal="center"/>
    </xf>
    <xf numFmtId="0" fontId="2" fillId="2" borderId="2" xfId="2" applyFont="1" applyBorder="1" applyAlignment="1">
      <alignment horizontal="center"/>
    </xf>
    <xf numFmtId="0" fontId="2" fillId="2" borderId="3" xfId="2" applyFont="1" applyBorder="1" applyAlignment="1">
      <alignment horizontal="center"/>
    </xf>
    <xf numFmtId="0" fontId="2" fillId="3" borderId="1" xfId="3" applyFont="1" applyBorder="1" applyAlignment="1">
      <alignment horizontal="center"/>
    </xf>
    <xf numFmtId="0" fontId="2" fillId="3" borderId="2" xfId="3" applyFont="1" applyBorder="1" applyAlignment="1">
      <alignment horizontal="center"/>
    </xf>
    <xf numFmtId="0" fontId="2" fillId="3" borderId="3" xfId="3" applyFont="1" applyBorder="1" applyAlignment="1">
      <alignment horizontal="center"/>
    </xf>
    <xf numFmtId="0" fontId="9" fillId="0" borderId="0" xfId="0" applyFont="1"/>
    <xf numFmtId="0" fontId="11" fillId="2" borderId="4" xfId="2" applyFont="1" applyBorder="1"/>
    <xf numFmtId="0" fontId="11" fillId="3" borderId="9" xfId="3" applyFont="1" applyBorder="1" applyAlignment="1">
      <alignment horizontal="center" wrapText="1"/>
    </xf>
    <xf numFmtId="0" fontId="11" fillId="3" borderId="4" xfId="3" applyFont="1" applyBorder="1" applyAlignment="1">
      <alignment horizontal="center" wrapText="1"/>
    </xf>
    <xf numFmtId="0" fontId="9" fillId="2" borderId="4" xfId="2" applyFont="1" applyBorder="1"/>
    <xf numFmtId="0" fontId="9" fillId="2" borderId="1" xfId="2" applyFont="1" applyBorder="1"/>
    <xf numFmtId="0" fontId="9" fillId="0" borderId="4" xfId="2" applyFont="1" applyFill="1" applyBorder="1"/>
    <xf numFmtId="0" fontId="9" fillId="0" borderId="3" xfId="2" applyFont="1" applyFill="1" applyBorder="1"/>
    <xf numFmtId="4" fontId="9" fillId="0" borderId="4" xfId="0" applyNumberFormat="1" applyFont="1" applyBorder="1"/>
    <xf numFmtId="164" fontId="9" fillId="0" borderId="4" xfId="1" applyNumberFormat="1" applyFont="1" applyBorder="1"/>
    <xf numFmtId="0" fontId="9" fillId="0" borderId="4" xfId="2" applyFont="1" applyFill="1" applyBorder="1" applyAlignment="1">
      <alignment horizontal="left"/>
    </xf>
    <xf numFmtId="0" fontId="12" fillId="0" borderId="2" xfId="4" applyFont="1" applyBorder="1" applyAlignment="1" applyProtection="1"/>
    <xf numFmtId="0" fontId="11" fillId="2" borderId="15" xfId="2" applyFont="1" applyBorder="1"/>
    <xf numFmtId="0" fontId="11" fillId="3" borderId="16" xfId="3" applyFont="1" applyBorder="1" applyAlignment="1">
      <alignment horizontal="center" wrapText="1"/>
    </xf>
    <xf numFmtId="0" fontId="9" fillId="2" borderId="15" xfId="2" applyFont="1" applyBorder="1"/>
    <xf numFmtId="4" fontId="9" fillId="0" borderId="16" xfId="0" applyNumberFormat="1" applyFont="1" applyBorder="1"/>
    <xf numFmtId="0" fontId="12" fillId="0" borderId="14" xfId="4" applyFont="1" applyBorder="1" applyAlignment="1" applyProtection="1"/>
    <xf numFmtId="0" fontId="9" fillId="0" borderId="17" xfId="0" applyFont="1" applyBorder="1"/>
    <xf numFmtId="0" fontId="9" fillId="0" borderId="18" xfId="0" applyFont="1" applyBorder="1"/>
    <xf numFmtId="0" fontId="9" fillId="0" borderId="19" xfId="0" applyFont="1" applyBorder="1"/>
    <xf numFmtId="0" fontId="9" fillId="2" borderId="20" xfId="2" applyFont="1" applyBorder="1"/>
    <xf numFmtId="0" fontId="9" fillId="2" borderId="21" xfId="2" applyFont="1" applyBorder="1"/>
    <xf numFmtId="164" fontId="9" fillId="0" borderId="21" xfId="1" applyNumberFormat="1" applyFont="1" applyBorder="1"/>
    <xf numFmtId="4" fontId="9" fillId="0" borderId="21" xfId="0" applyNumberFormat="1" applyFont="1" applyBorder="1"/>
    <xf numFmtId="4" fontId="9" fillId="0" borderId="22" xfId="0" applyNumberFormat="1" applyFont="1" applyBorder="1"/>
    <xf numFmtId="0" fontId="14" fillId="0" borderId="0" xfId="0" applyFont="1"/>
    <xf numFmtId="0" fontId="16" fillId="2" borderId="15" xfId="2" applyFont="1" applyBorder="1"/>
    <xf numFmtId="0" fontId="16" fillId="2" borderId="4" xfId="2" applyFont="1" applyBorder="1"/>
    <xf numFmtId="0" fontId="16" fillId="3" borderId="9" xfId="3" applyFont="1" applyBorder="1" applyAlignment="1">
      <alignment horizontal="center" wrapText="1"/>
    </xf>
    <xf numFmtId="0" fontId="16" fillId="3" borderId="4" xfId="3" applyFont="1" applyBorder="1" applyAlignment="1">
      <alignment horizontal="center" wrapText="1"/>
    </xf>
    <xf numFmtId="0" fontId="16" fillId="3" borderId="16" xfId="3" applyFont="1" applyBorder="1" applyAlignment="1">
      <alignment horizontal="center" wrapText="1"/>
    </xf>
    <xf numFmtId="0" fontId="14" fillId="2" borderId="15" xfId="2" applyFont="1" applyBorder="1"/>
    <xf numFmtId="0" fontId="14" fillId="2" borderId="4" xfId="2" applyFont="1" applyBorder="1"/>
    <xf numFmtId="0" fontId="14" fillId="2" borderId="1" xfId="2" applyFont="1" applyBorder="1"/>
    <xf numFmtId="0" fontId="14" fillId="0" borderId="4" xfId="2" applyFont="1" applyFill="1" applyBorder="1" applyAlignment="1">
      <alignment horizontal="left"/>
    </xf>
    <xf numFmtId="0" fontId="14" fillId="0" borderId="3" xfId="2" applyFont="1" applyFill="1" applyBorder="1"/>
    <xf numFmtId="0" fontId="14" fillId="0" borderId="4" xfId="2" applyFont="1" applyFill="1" applyBorder="1"/>
    <xf numFmtId="4" fontId="14" fillId="0" borderId="4" xfId="0" applyNumberFormat="1" applyFont="1" applyBorder="1"/>
    <xf numFmtId="4" fontId="14" fillId="0" borderId="16" xfId="0" applyNumberFormat="1" applyFont="1" applyBorder="1"/>
    <xf numFmtId="0" fontId="17" fillId="0" borderId="2" xfId="4" applyFont="1" applyBorder="1" applyAlignment="1" applyProtection="1"/>
    <xf numFmtId="0" fontId="17" fillId="0" borderId="14" xfId="4" applyFont="1" applyBorder="1" applyAlignment="1" applyProtection="1"/>
    <xf numFmtId="164" fontId="14" fillId="0" borderId="4" xfId="1" applyNumberFormat="1" applyFont="1" applyBorder="1"/>
    <xf numFmtId="0" fontId="14" fillId="2" borderId="20" xfId="2" applyFont="1" applyBorder="1"/>
    <xf numFmtId="0" fontId="14" fillId="2" borderId="21" xfId="2" applyFont="1" applyBorder="1"/>
    <xf numFmtId="164" fontId="14" fillId="0" borderId="21" xfId="1" applyNumberFormat="1" applyFont="1" applyBorder="1"/>
    <xf numFmtId="4" fontId="14" fillId="0" borderId="21" xfId="0" applyNumberFormat="1" applyFont="1" applyBorder="1"/>
    <xf numFmtId="4" fontId="14" fillId="0" borderId="22" xfId="0" applyNumberFormat="1" applyFont="1" applyBorder="1"/>
    <xf numFmtId="0" fontId="0" fillId="0" borderId="4" xfId="2" applyFont="1" applyFill="1" applyBorder="1" applyAlignment="1">
      <alignment horizontal="left"/>
    </xf>
    <xf numFmtId="0" fontId="6" fillId="0" borderId="2" xfId="4" applyBorder="1" applyAlignment="1" applyProtection="1">
      <alignment horizontal="left"/>
    </xf>
    <xf numFmtId="0" fontId="0" fillId="0" borderId="4" xfId="2" applyFont="1" applyFill="1" applyBorder="1" applyAlignment="1">
      <alignment horizontal="right"/>
    </xf>
    <xf numFmtId="0" fontId="14" fillId="0" borderId="4" xfId="2" applyFont="1" applyFill="1" applyBorder="1" applyAlignment="1">
      <alignment horizontal="right"/>
    </xf>
    <xf numFmtId="0" fontId="1" fillId="0" borderId="8" xfId="2" applyFill="1" applyBorder="1" applyAlignment="1">
      <alignment horizontal="right"/>
    </xf>
    <xf numFmtId="0" fontId="0" fillId="0" borderId="8" xfId="2" applyFont="1" applyFill="1" applyBorder="1" applyAlignment="1">
      <alignment horizontal="right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2" fillId="2" borderId="4" xfId="2" applyFont="1" applyBorder="1" applyAlignment="1">
      <alignment horizontal="center"/>
    </xf>
    <xf numFmtId="0" fontId="2" fillId="3" borderId="4" xfId="3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3" borderId="6" xfId="3" applyFont="1" applyBorder="1" applyAlignment="1">
      <alignment horizontal="center"/>
    </xf>
    <xf numFmtId="0" fontId="2" fillId="3" borderId="7" xfId="3" applyFont="1" applyBorder="1" applyAlignment="1">
      <alignment horizontal="center"/>
    </xf>
    <xf numFmtId="0" fontId="2" fillId="2" borderId="1" xfId="2" applyFont="1" applyBorder="1" applyAlignment="1">
      <alignment horizontal="center"/>
    </xf>
    <xf numFmtId="0" fontId="2" fillId="2" borderId="2" xfId="2" applyFont="1" applyBorder="1" applyAlignment="1">
      <alignment horizontal="center"/>
    </xf>
    <xf numFmtId="0" fontId="2" fillId="2" borderId="3" xfId="2" applyFont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6" fillId="0" borderId="2" xfId="4" applyBorder="1" applyAlignment="1" applyProtection="1"/>
    <xf numFmtId="0" fontId="8" fillId="4" borderId="10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1" fillId="2" borderId="15" xfId="2" applyFont="1" applyBorder="1" applyAlignment="1">
      <alignment horizontal="center"/>
    </xf>
    <xf numFmtId="0" fontId="11" fillId="2" borderId="4" xfId="2" applyFont="1" applyBorder="1" applyAlignment="1">
      <alignment horizontal="center"/>
    </xf>
    <xf numFmtId="0" fontId="11" fillId="3" borderId="4" xfId="3" applyFont="1" applyBorder="1" applyAlignment="1">
      <alignment horizontal="center"/>
    </xf>
    <xf numFmtId="0" fontId="11" fillId="3" borderId="16" xfId="3" applyFont="1" applyBorder="1" applyAlignment="1">
      <alignment horizontal="center"/>
    </xf>
    <xf numFmtId="0" fontId="12" fillId="0" borderId="23" xfId="4" applyFont="1" applyBorder="1" applyAlignment="1" applyProtection="1">
      <alignment horizontal="left"/>
    </xf>
    <xf numFmtId="0" fontId="12" fillId="0" borderId="7" xfId="4" applyFont="1" applyBorder="1" applyAlignment="1" applyProtection="1">
      <alignment horizontal="left"/>
    </xf>
    <xf numFmtId="0" fontId="12" fillId="0" borderId="2" xfId="4" applyFont="1" applyBorder="1" applyAlignment="1" applyProtection="1">
      <alignment horizontal="left"/>
    </xf>
    <xf numFmtId="0" fontId="8" fillId="4" borderId="13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4" borderId="14" xfId="0" applyFont="1" applyFill="1" applyBorder="1" applyAlignment="1">
      <alignment horizontal="center"/>
    </xf>
    <xf numFmtId="0" fontId="12" fillId="0" borderId="13" xfId="4" applyFont="1" applyBorder="1" applyAlignment="1" applyProtection="1">
      <alignment horizontal="left"/>
    </xf>
    <xf numFmtId="0" fontId="8" fillId="4" borderId="1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2" fillId="0" borderId="2" xfId="4" applyFont="1" applyBorder="1" applyAlignment="1" applyProtection="1"/>
    <xf numFmtId="0" fontId="6" fillId="0" borderId="13" xfId="4" applyBorder="1" applyAlignment="1" applyProtection="1">
      <alignment horizontal="left"/>
    </xf>
    <xf numFmtId="0" fontId="6" fillId="0" borderId="2" xfId="4" applyBorder="1" applyAlignment="1" applyProtection="1">
      <alignment horizontal="left"/>
    </xf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2" fillId="2" borderId="15" xfId="2" applyFont="1" applyBorder="1" applyAlignment="1">
      <alignment horizontal="center"/>
    </xf>
    <xf numFmtId="0" fontId="2" fillId="3" borderId="16" xfId="3" applyFont="1" applyBorder="1" applyAlignment="1">
      <alignment horizont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16" fillId="2" borderId="15" xfId="2" applyFont="1" applyBorder="1" applyAlignment="1">
      <alignment horizontal="center"/>
    </xf>
    <xf numFmtId="0" fontId="16" fillId="2" borderId="4" xfId="2" applyFont="1" applyBorder="1" applyAlignment="1">
      <alignment horizontal="center"/>
    </xf>
    <xf numFmtId="0" fontId="16" fillId="3" borderId="4" xfId="3" applyFont="1" applyBorder="1" applyAlignment="1">
      <alignment horizontal="center"/>
    </xf>
    <xf numFmtId="0" fontId="16" fillId="3" borderId="16" xfId="3" applyFont="1" applyBorder="1" applyAlignment="1">
      <alignment horizontal="center"/>
    </xf>
    <xf numFmtId="0" fontId="13" fillId="4" borderId="10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14" xfId="0" applyFont="1" applyFill="1" applyBorder="1" applyAlignment="1">
      <alignment horizontal="center" vertical="center"/>
    </xf>
    <xf numFmtId="0" fontId="6" fillId="0" borderId="23" xfId="4" applyBorder="1" applyAlignment="1" applyProtection="1">
      <alignment horizontal="left"/>
    </xf>
    <xf numFmtId="0" fontId="6" fillId="0" borderId="7" xfId="4" applyBorder="1" applyAlignment="1" applyProtection="1">
      <alignment horizontal="left"/>
    </xf>
    <xf numFmtId="0" fontId="13" fillId="4" borderId="2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3" xfId="0" applyFont="1" applyFill="1" applyBorder="1" applyAlignment="1">
      <alignment horizontal="center"/>
    </xf>
    <xf numFmtId="0" fontId="15" fillId="4" borderId="13" xfId="0" applyFont="1" applyFill="1" applyBorder="1" applyAlignment="1">
      <alignment horizontal="center" vertical="center"/>
    </xf>
    <xf numFmtId="0" fontId="17" fillId="0" borderId="23" xfId="4" applyFont="1" applyBorder="1" applyAlignment="1" applyProtection="1">
      <alignment horizontal="left"/>
    </xf>
    <xf numFmtId="0" fontId="17" fillId="0" borderId="7" xfId="4" applyFont="1" applyBorder="1" applyAlignment="1" applyProtection="1">
      <alignment horizontal="left"/>
    </xf>
    <xf numFmtId="0" fontId="17" fillId="0" borderId="2" xfId="4" applyFont="1" applyBorder="1" applyAlignment="1" applyProtection="1">
      <alignment horizontal="left"/>
    </xf>
    <xf numFmtId="0" fontId="16" fillId="2" borderId="13" xfId="2" applyFont="1" applyBorder="1" applyAlignment="1">
      <alignment horizontal="center"/>
    </xf>
    <xf numFmtId="0" fontId="16" fillId="2" borderId="2" xfId="2" applyFont="1" applyBorder="1" applyAlignment="1">
      <alignment horizontal="center"/>
    </xf>
    <xf numFmtId="0" fontId="16" fillId="2" borderId="3" xfId="2" applyFont="1" applyBorder="1" applyAlignment="1">
      <alignment horizontal="center"/>
    </xf>
    <xf numFmtId="0" fontId="16" fillId="3" borderId="1" xfId="3" applyFont="1" applyBorder="1" applyAlignment="1">
      <alignment horizontal="center"/>
    </xf>
    <xf numFmtId="0" fontId="16" fillId="3" borderId="2" xfId="3" applyFont="1" applyBorder="1" applyAlignment="1">
      <alignment horizontal="center"/>
    </xf>
    <xf numFmtId="0" fontId="16" fillId="3" borderId="3" xfId="3" applyFont="1" applyBorder="1" applyAlignment="1">
      <alignment horizontal="center"/>
    </xf>
    <xf numFmtId="0" fontId="16" fillId="3" borderId="14" xfId="3" applyFont="1" applyBorder="1" applyAlignment="1">
      <alignment horizontal="center"/>
    </xf>
    <xf numFmtId="0" fontId="2" fillId="3" borderId="1" xfId="3" applyFont="1" applyBorder="1" applyAlignment="1">
      <alignment horizontal="center"/>
    </xf>
    <xf numFmtId="0" fontId="2" fillId="3" borderId="2" xfId="3" applyFont="1" applyBorder="1" applyAlignment="1">
      <alignment horizontal="center"/>
    </xf>
    <xf numFmtId="0" fontId="2" fillId="3" borderId="3" xfId="3" applyFont="1" applyBorder="1" applyAlignment="1">
      <alignment horizontal="center"/>
    </xf>
    <xf numFmtId="0" fontId="6" fillId="0" borderId="2" xfId="4" applyBorder="1" applyAlignment="1" applyProtection="1">
      <alignment horizontal="center"/>
    </xf>
    <xf numFmtId="0" fontId="6" fillId="0" borderId="0" xfId="4" applyAlignment="1" applyProtection="1"/>
  </cellXfs>
  <cellStyles count="5">
    <cellStyle name="20% - Accent1" xfId="2" builtinId="30"/>
    <cellStyle name="20% - Accent2" xfId="3" builtinId="34"/>
    <cellStyle name="Hyperlink" xfId="4" builtinId="8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us-aus-rtweb1.natinst.com:81/run/527c14403130616000000001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us-aus-rtweb1.natinst.com/Reports/RT/2014/performance/rtlinux/rtperf-9068/sp_online_poll/2014-11-11_17-00-08/" TargetMode="External"/><Relationship Id="rId1" Type="http://schemas.openxmlformats.org/officeDocument/2006/relationships/hyperlink" Target="http://us-aus-rtweb1.natinst.com/Reports/RT/2014/performance/rtlinux/rtperf-9068/sp_online_poll/2014-05-08_16-49-43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us-aus-rtweb1.natinst.com/Reports/RT/2015/performance/rtlinux/rtperf-9068/sp_online_poll/2015-05-28_13-42-30/HTML/2015-05-28_13-52-13_SinglePointBenchmarks_ATS.html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://us-aus-rtweb1.natinst.com/Reports/RT/2015/performance/rtlinux/rtperf-9068/sp_online_poll/2015-02-23_12-07-01/HTML/2015-02-23_12-18-42_SinglePointBenchmarks_ATS.html" TargetMode="External"/><Relationship Id="rId1" Type="http://schemas.openxmlformats.org/officeDocument/2006/relationships/hyperlink" Target="http://us-aus-rtweb1.natinst.com/Reports/RT/2015/performance/rtlinux/rtperf-9068/sp_online_poll/2015-01-21_01-02-40/HTML/2015-01-21_01-13-54_SinglePointBenchmarks_ATS.html" TargetMode="External"/><Relationship Id="rId6" Type="http://schemas.openxmlformats.org/officeDocument/2006/relationships/hyperlink" Target="http://us-aus-rtweb1/Reports/RT/2015/performance/rtlinux/rtperf-9068/sp_online_poll/2015-12-28_22-33-36/HTML/2015-12-28_22-42-08_SinglePointBenchmarks_ATS.html" TargetMode="External"/><Relationship Id="rId5" Type="http://schemas.openxmlformats.org/officeDocument/2006/relationships/hyperlink" Target="http://us-aus-rtweb1.natinst.com/Reports/RT/2015/performance/rtlinux/rtperf-9068/sp_online_poll/2015-11-17_15-33-43/HTML/2015-11-17_15-41-35_SinglePointBenchmarks_ATS.html" TargetMode="External"/><Relationship Id="rId4" Type="http://schemas.openxmlformats.org/officeDocument/2006/relationships/hyperlink" Target="http://us-aus-rtweb1.natinst.com/Reports/RT/2015/performance/rtlinux/rtperf-9068/sp_online_poll/2015-06-19_22-45-05/HTML/2015-06-19_22-46-50_SinglePointBenchmarks_ATS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us-aus-rtweb1.natinst.com/Reports/RT/2016/performance/rtlinux/rtperf-9068/sp_online_poll/2016-06-03_15-26-54/HTML/2016-06-03_15-35-46_SinglePointBenchmarks_ATS.html" TargetMode="External"/><Relationship Id="rId3" Type="http://schemas.openxmlformats.org/officeDocument/2006/relationships/hyperlink" Target="http://us-aus-rtweb1.natinst.com/Reports/RT/2016/performance/rtlinux/rtperf-9068/sp_online_poll/2016-04-11_16-19-57/HTML/2016-04-11_16-29-32_SinglePointBenchmarks_ATS.html" TargetMode="External"/><Relationship Id="rId7" Type="http://schemas.openxmlformats.org/officeDocument/2006/relationships/hyperlink" Target="http://us-aus-rtweb1.natinst.com/Reports/RT/2016/performance/rtlinux/rtperf-9068/sp_online_poll/2016-05-21_11-56-48/HTML/2016-05-21_12-05-12_SinglePointBenchmarks_ATS.html" TargetMode="External"/><Relationship Id="rId2" Type="http://schemas.openxmlformats.org/officeDocument/2006/relationships/hyperlink" Target="http://us-aus-rtweb1.natinst.com/Reports/RT/2016/performance/rtlinux/rtperf-9068/sp_online_poll/2016-04-07_04-43-27/HTML/2016-04-07_04-52-32_SinglePointBenchmarks_ATS.html" TargetMode="External"/><Relationship Id="rId1" Type="http://schemas.openxmlformats.org/officeDocument/2006/relationships/hyperlink" Target="http://us-aus-rtweb1.natinst.com/Reports/RT/2016/performance/rtlinux/rtperf-9068/sp_online_poll/2016-03-17_08-05-27/HTML/2016-03-17_08-14-10_SinglePointBenchmarks_ATS.html" TargetMode="External"/><Relationship Id="rId6" Type="http://schemas.openxmlformats.org/officeDocument/2006/relationships/hyperlink" Target="http://us-aus-rtweb1.natinst.com/Reports/RT/2016/performance/rtlinux/rtperf-9068/sp_online_poll/2016-03-31_14-30-17/HTML/2016-03-31_14-39-07_SinglePointBenchmarks_ATS.html" TargetMode="External"/><Relationship Id="rId11" Type="http://schemas.openxmlformats.org/officeDocument/2006/relationships/printerSettings" Target="../printerSettings/printerSettings3.bin"/><Relationship Id="rId5" Type="http://schemas.openxmlformats.org/officeDocument/2006/relationships/hyperlink" Target="http://us-aus-rtweb1.natinst.com/Reports/RT/2016/performance/rtlinux/rtperf-9068/sp_online_poll/2016-03-11_18-15-54/HTML/2016-03-11_18-24-52_SinglePointBenchmarks_ATS.html" TargetMode="External"/><Relationship Id="rId10" Type="http://schemas.openxmlformats.org/officeDocument/2006/relationships/hyperlink" Target="http://us-aus-rtweb1/Reports/RT/2017/performance/rtlinux/rtperf-9068/sp_online_poll/2017-02-08_03-19-49/HTML/2017-02-08_03-31-40__ATS.html" TargetMode="External"/><Relationship Id="rId4" Type="http://schemas.openxmlformats.org/officeDocument/2006/relationships/hyperlink" Target="http://us-aus-rtweb1.natinst.com/Reports/RT/2016/performance/rtlinux/rtperf-9068/sp_online_poll/2016-04-11_16-19-57/HTML/2016-04-11_16-29-32_SinglePointBenchmarks_ATS.html" TargetMode="External"/><Relationship Id="rId9" Type="http://schemas.openxmlformats.org/officeDocument/2006/relationships/hyperlink" Target="http://us-aus-rtweb1/Reports/RT/2016/performance/rtlinux/rtperf-9068/sp_online_poll/2016-06-11_11-05-56/HTML/2016-06-11_11-15-04_SinglePointBenchmarks_ATS.html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://nippm.natinst.com/itg/web/knta/crt/RequestDetail.jsp?REQUEST_ID=607849&amp;ID_CACHE_NAME=REQ_SEARCH_0" TargetMode="External"/><Relationship Id="rId13" Type="http://schemas.openxmlformats.org/officeDocument/2006/relationships/hyperlink" Target="http://nippm.natinst.com/itg/web/knta/crt/RequestDetail.jsp?REQUEST_ID=607849&amp;ID_CACHE_NAME=REQ_SEARCH_0" TargetMode="External"/><Relationship Id="rId18" Type="http://schemas.openxmlformats.org/officeDocument/2006/relationships/hyperlink" Target="http://us-aus-rtweb1/Reports/RT/2017/performance/rtlinux/rtperf-9068/sp_online_poll/2016-12-06_20-13-12/HTML/2016-12-06_20-21-54_SinglePointBenchmarks_ATS.html" TargetMode="External"/><Relationship Id="rId26" Type="http://schemas.openxmlformats.org/officeDocument/2006/relationships/hyperlink" Target="http://us-aus-rtweb1/Reports/RT/2017/performance/rtlinux/rtperf-9068/sp_online_poll/2017-02-16_17-20-54/HTML/2017-02-16_17-28-59_SinglePointBenchmarks_ATS.html" TargetMode="External"/><Relationship Id="rId3" Type="http://schemas.openxmlformats.org/officeDocument/2006/relationships/hyperlink" Target="http://us-aus-rtweb1/Reports/RT/2017/performance/rtlinux/rtperf-9068/sp_online_poll/2016-10-12_08-00-57/HTML/2016-10-12_08-16-03__ATS.html" TargetMode="External"/><Relationship Id="rId21" Type="http://schemas.openxmlformats.org/officeDocument/2006/relationships/hyperlink" Target="http://us-aus-rtweb1/Reports/RT/2017/performance/rtlinux/rtperf-9068/sp_online_poll/2017-01-27_12-45-28/HTML/2017-01-27_12-53-51_SinglePointBenchmarks_ATS.html" TargetMode="External"/><Relationship Id="rId34" Type="http://schemas.openxmlformats.org/officeDocument/2006/relationships/printerSettings" Target="../printerSettings/printerSettings4.bin"/><Relationship Id="rId7" Type="http://schemas.openxmlformats.org/officeDocument/2006/relationships/hyperlink" Target="http://us-aus-rtweb1/Reports/RT/2017/performance/rtlinux/rtperf-9068/sp_online_poll/2016-10-22_21-53-27/HTML/2016-10-22_22-02-04_SinglePointBenchmarks_ATS.html" TargetMode="External"/><Relationship Id="rId12" Type="http://schemas.openxmlformats.org/officeDocument/2006/relationships/hyperlink" Target="http://nippm.natinst.com/itg/web/knta/crt/RequestDetail.jsp?REQUEST_ID=607849&amp;ID_CACHE_NAME=REQ_SEARCH_0" TargetMode="External"/><Relationship Id="rId17" Type="http://schemas.openxmlformats.org/officeDocument/2006/relationships/hyperlink" Target="http://nippm.natinst.com/itg/web/knta/crt/RequestDetail.jsp?REQUEST_ID=607849&amp;ID_CACHE_NAME=REQ_SEARCH_0" TargetMode="External"/><Relationship Id="rId25" Type="http://schemas.openxmlformats.org/officeDocument/2006/relationships/hyperlink" Target="http://us-aus-rtweb1/Reports/RT/2017/performance/rtlinux/rtperf-9068/sp_online_poll/2017-02-10_20-31-33/HTML/2017-02-10_20-39-51_SinglePointBenchmarks_ATS.html" TargetMode="External"/><Relationship Id="rId33" Type="http://schemas.openxmlformats.org/officeDocument/2006/relationships/hyperlink" Target="http://us-aus-rtweb1/Reports/RT/2017/performance/rtlinux/rtperf-9068/sp_online_poll/2017-10-17_02-04-26/HTML/2017-10-17_02-12-25_SinglePointBenchmarks_ATS.html" TargetMode="External"/><Relationship Id="rId2" Type="http://schemas.openxmlformats.org/officeDocument/2006/relationships/hyperlink" Target="http://us-aus-rtweb1/Reports/RT/2017/performance/rtlinux/rtperf-9068/sp_online_poll/2016-09-28_20-26-47/HTML/2016-09-28_20-35-20_SinglePointBenchmarks_ATS.html" TargetMode="External"/><Relationship Id="rId16" Type="http://schemas.openxmlformats.org/officeDocument/2006/relationships/hyperlink" Target="http://us-aus-rtweb1/Reports/RT/2017/performance/rtlinux/rtperf-9068/sp_online_poll/2016-11-29_19-44-52/HTML/2016-11-29_19-53-25_SinglePointBenchmarks_ATS.html" TargetMode="External"/><Relationship Id="rId20" Type="http://schemas.openxmlformats.org/officeDocument/2006/relationships/hyperlink" Target="http://us-aus-rtweb1/Reports/RT/2017/performance/rtlinux/rtperf-9068/sp_online_poll/2017-01-09_22-28-24/HTML/2017-01-09_22-37-18_SinglePointBenchmarks_ATS.html" TargetMode="External"/><Relationship Id="rId29" Type="http://schemas.openxmlformats.org/officeDocument/2006/relationships/hyperlink" Target="http://us-aus-rtweb1/Reports/RT/2017/performance/rtlinux/rtperf-9068/sp_online_poll/2017-03-10_21-38-34/HTML/2017-03-10_21-47-05_SinglePointBenchmarks_ATS.html" TargetMode="External"/><Relationship Id="rId1" Type="http://schemas.openxmlformats.org/officeDocument/2006/relationships/hyperlink" Target="http://us-aus-rtweb1/Reports/RT/2017/performance/rtlinux/rtperf-9068/sp_online_poll/2016-09-16_17-34-49/HTML/2016-09-16_17-43-16_SinglePointBenchmarks_ATS.html" TargetMode="External"/><Relationship Id="rId6" Type="http://schemas.openxmlformats.org/officeDocument/2006/relationships/hyperlink" Target="http://nippm.natinst.com/itg/web/knta/crt/RequestDetail.jsp?REQUEST_ID=607849&amp;ID_CACHE_NAME=REQ_SEARCH_0" TargetMode="External"/><Relationship Id="rId11" Type="http://schemas.openxmlformats.org/officeDocument/2006/relationships/hyperlink" Target="http://us-aus-rtweb1/Reports/RT/2017/performance/rtlinux/rtperf-9068/sp_online_poll/2016-11-03_17-11-13/HTML/2016-11-03_17-19-47_SinglePointBenchmarks_ATS.html" TargetMode="External"/><Relationship Id="rId24" Type="http://schemas.openxmlformats.org/officeDocument/2006/relationships/hyperlink" Target="http://us-aus-rtweb1/Reports/RT/2017/performance/rtlinux/rtperf-9068/sp_online_poll/2017-02-02_17-14-07/HTML/2017-02-02_17-22-08_SinglePointBenchmarks_ATS.html" TargetMode="External"/><Relationship Id="rId32" Type="http://schemas.openxmlformats.org/officeDocument/2006/relationships/hyperlink" Target="http://us-aus-rtweb1/Reports/RT/2017/performance/rtlinux/rtperf-9068/sp_online_poll/2017-10-05_18-26-26/HTML/2017-10-05_18-35-11_SinglePointBenchmarks_ATS.html" TargetMode="External"/><Relationship Id="rId5" Type="http://schemas.openxmlformats.org/officeDocument/2006/relationships/hyperlink" Target="http://us-aus-rtweb1/Reports/RT/2017/performance/rtlinux/rtperf-9068/sp_online_poll/2016-10-18_00-51-20/HTML/2016-10-18_01-00-02_SinglePointBenchmarks_ATS.html" TargetMode="External"/><Relationship Id="rId15" Type="http://schemas.openxmlformats.org/officeDocument/2006/relationships/hyperlink" Target="http://nippm.natinst.com/itg/web/knta/crt/RequestDetail.jsp?REQUEST_ID=607849&amp;ID_CACHE_NAME=REQ_SEARCH_0" TargetMode="External"/><Relationship Id="rId23" Type="http://schemas.openxmlformats.org/officeDocument/2006/relationships/hyperlink" Target="http://us-aus-rtweb1/Reports/RT/2017/performance/rtlinux/rtperf-9068/sp_online_poll/2017-01-25_20-55-32/HTML/2017-01-25_21-04-16_SinglePointBenchmarks_ATS.html" TargetMode="External"/><Relationship Id="rId28" Type="http://schemas.openxmlformats.org/officeDocument/2006/relationships/hyperlink" Target="http://us-aus-rtweb1/Reports/RT/2017/performance/rtlinux/rtperf-9068/sp_online_poll/2017-03-03_19-39-10/HTML/2017-03-03_19-48-01_SinglePointBenchmarks_ATS.html" TargetMode="External"/><Relationship Id="rId10" Type="http://schemas.openxmlformats.org/officeDocument/2006/relationships/hyperlink" Target="http://nippm.natinst.com/itg/web/knta/crt/RequestDetail.jsp?REQUEST_ID=607849&amp;ID_CACHE_NAME=REQ_SEARCH_0" TargetMode="External"/><Relationship Id="rId19" Type="http://schemas.openxmlformats.org/officeDocument/2006/relationships/hyperlink" Target="http://us-aus-rtweb1/Reports/RT/2017/performance/rtlinux/rtperf-9068/sp_online_poll/2017-01-01_22-43-56/HTML/2017-01-01_22-52-50_SinglePointBenchmarks_ATS.html" TargetMode="External"/><Relationship Id="rId31" Type="http://schemas.openxmlformats.org/officeDocument/2006/relationships/hyperlink" Target="http://us-aus-rtweb1/Reports/RT/2017/performance/rtlinux/rtperf-9068/sp_online_poll/2017-09-13_23-24-30/HTML/2017-09-13_23-32-35_SinglePointBenchmarks_ATS.html" TargetMode="External"/><Relationship Id="rId4" Type="http://schemas.openxmlformats.org/officeDocument/2006/relationships/hyperlink" Target="http://nippm.natinst.com/itg/web/knta/crt/RequestDetail.jsp?REQUEST_ID=607849&amp;ID_CACHE_NAME=REQ_SEARCH_0" TargetMode="External"/><Relationship Id="rId9" Type="http://schemas.openxmlformats.org/officeDocument/2006/relationships/hyperlink" Target="http://us-aus-rtweb1/Reports/RT/2017/performance/rtlinux/rtperf-9068/sp_online_poll/2016-10-29_19-18-01/HTML/2016-10-29_19-26-36_SinglePointBenchmarks_ATS.html" TargetMode="External"/><Relationship Id="rId14" Type="http://schemas.openxmlformats.org/officeDocument/2006/relationships/hyperlink" Target="http://us-aus-rtweb1/Reports/RT/2017/performance/rtlinux/rtperf-9068/sp_online_poll/2016-11-23_00-33-22/HTML/2016-11-23_00-41-47_SinglePointBenchmarks_ATS.html" TargetMode="External"/><Relationship Id="rId22" Type="http://schemas.openxmlformats.org/officeDocument/2006/relationships/hyperlink" Target="http://us-aus-rtweb1/Reports/RT/2017/performance/rtlinux/rtperf-9068/sp_online_poll/2017-01-19_14-53-59/HTML/2017-01-19_15-04-22_SinglePointBenchmarks_ATS.html" TargetMode="External"/><Relationship Id="rId27" Type="http://schemas.openxmlformats.org/officeDocument/2006/relationships/hyperlink" Target="http://us-aus-rtweb1/Reports/RT/2017/performance/rtlinux/rtperf-9068/sp_online_poll/2017-02-24_21-07-26/HTML/2017-02-24_21-15-47_SinglePointBenchmarks_ATS.html" TargetMode="External"/><Relationship Id="rId30" Type="http://schemas.openxmlformats.org/officeDocument/2006/relationships/hyperlink" Target="http://us-aus-rtweb1/Reports/RT/2017/performance/rtlinux/rtperf-9068/sp_online_poll/2017-03-16_20-50-01/HTML/2017-03-16_20-58-19_SinglePointBenchmarks_ATS.html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us-aus-rtweb1/Reports/RT/2017/performance/rtlinux/rtperf-9068/sp_online_poll/2016-11-24_04-04-40/HTML/2016-11-28_22-59-21__ATS.html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http://nippm.natinst.com/itg/web/knta/crt/RequestDetail.jsp?REQUEST_ID=607849&amp;ID_CACHE_NAME=REQ_SEARCH_0" TargetMode="External"/><Relationship Id="rId1" Type="http://schemas.openxmlformats.org/officeDocument/2006/relationships/hyperlink" Target="http://us-aus-rtweb1/Reports/RT/2017/performance/rtlinux/rtperf-9068/sp_online_poll/2016-10-13_05-25-42/HTML/2016-10-13_05-54-21__ATS.html" TargetMode="External"/><Relationship Id="rId6" Type="http://schemas.openxmlformats.org/officeDocument/2006/relationships/hyperlink" Target="http://us-aus-rtweb1/Reports/RT/2017/performance/rtlinux/rtperf-9068/sp_online_poll/2017-02-17_10-41-33/HTML/2017-02-17_10-53-55__ATS.html" TargetMode="External"/><Relationship Id="rId5" Type="http://schemas.openxmlformats.org/officeDocument/2006/relationships/hyperlink" Target="http://us-aus-rtweb1/Reports/RT/2017/performance/rtlinux/rtperf-9068/sp_online_poll/2017-01-25_10-56-29/HTML/2017-01-25_11-13-55__ATS.html" TargetMode="External"/><Relationship Id="rId4" Type="http://schemas.openxmlformats.org/officeDocument/2006/relationships/hyperlink" Target="http://nippm.natinst.com/itg/web/knta/crt/RequestDetail.jsp?REQUEST_ID=607849&amp;ID_CACHE_NAME=REQ_SEARCH_0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://us-aus-rtweb1/Reports/RT/2018/performance/rtlinux/rtperf-9068/sp_online_poll/2017-12-19_23-29-44/HTML/2017-12-20_00-28-18__ATS.html" TargetMode="External"/><Relationship Id="rId13" Type="http://schemas.openxmlformats.org/officeDocument/2006/relationships/hyperlink" Target="http://nippm.natinst.com/itg/web/knta/crt/RequestDetail.jsp?REQUEST_ID=681734&amp;ID_CACHE_NAME=REQ_SEARCH_0" TargetMode="External"/><Relationship Id="rId18" Type="http://schemas.openxmlformats.org/officeDocument/2006/relationships/hyperlink" Target="http://us-aus-rtweb1/Reports/RT/2018/performance/rtlinux/rtperf-9068/sp_online_poll/2018-03-06_19-09-02/HTML/2018-03-06_19-17-47_SinglePointBenchmarks_ATS.html" TargetMode="External"/><Relationship Id="rId26" Type="http://schemas.openxmlformats.org/officeDocument/2006/relationships/hyperlink" Target="http://us-aus-rtweb1/Reports/RT/2018SP1/performance/rtlinux/rtperf-9068/sp_online_poll/2018-08-21_06-50-25/HTML/2018-08-30_05-53-47__ATS.html" TargetMode="External"/><Relationship Id="rId3" Type="http://schemas.openxmlformats.org/officeDocument/2006/relationships/hyperlink" Target="http://us-aus-rtweb1/Reports/RT/2018/performance/rtlinux/rtperf-9068/sp_online_poll/2017-11-15_03-33-31/HTML/2017-11-15_04-12-51__ATS.html" TargetMode="External"/><Relationship Id="rId21" Type="http://schemas.openxmlformats.org/officeDocument/2006/relationships/hyperlink" Target="http://nippm.natinst.com/itg/web/knta/crt/RequestDetail.jsp?REQUEST_ID=681734&amp;ID_CACHE_NAME=REQ_SEARCH_0" TargetMode="External"/><Relationship Id="rId7" Type="http://schemas.openxmlformats.org/officeDocument/2006/relationships/hyperlink" Target="http://us-aus-rtweb1/Reports/RT/2018/performance/rtlinux/rtperf-9068/sp_online_poll/2017-12-18_23-16-56/HTML/2017-12-18_23-26-27_SinglePointBenchmarks_ATS.html" TargetMode="External"/><Relationship Id="rId12" Type="http://schemas.openxmlformats.org/officeDocument/2006/relationships/hyperlink" Target="http://us-aus-rtweb1/Reports/RT/2018/performance/rtlinux/rtperf-9068/sp_online_poll/2018-01-28_22-34-56/HTML/2018-01-28_22-43-45_SinglePointBenchmarks_ATS.html" TargetMode="External"/><Relationship Id="rId17" Type="http://schemas.openxmlformats.org/officeDocument/2006/relationships/hyperlink" Target="http://nippm.natinst.com/itg/web/knta/crt/RequestDetail.jsp?REQUEST_ID=681734&amp;ID_CACHE_NAME=REQ_SEARCH_0" TargetMode="External"/><Relationship Id="rId25" Type="http://schemas.openxmlformats.org/officeDocument/2006/relationships/hyperlink" Target="http://nippm.natinst.com/itg/web/knta/crt/RequestDetail.jsp?REQUEST_ID=681734&amp;ID_CACHE_NAME=REQ_SEARCH_0" TargetMode="External"/><Relationship Id="rId33" Type="http://schemas.openxmlformats.org/officeDocument/2006/relationships/printerSettings" Target="../printerSettings/printerSettings6.bin"/><Relationship Id="rId2" Type="http://schemas.openxmlformats.org/officeDocument/2006/relationships/hyperlink" Target="http://us-aus-rtweb1/Reports/RT/2018/performance/rtlinux/rtperf-9068/sp_online_poll/2017-11-13_22-20-57/HTML/2017-11-13_22-30-04_SinglePointBenchmarks_ATS.html" TargetMode="External"/><Relationship Id="rId16" Type="http://schemas.openxmlformats.org/officeDocument/2006/relationships/hyperlink" Target="http://us-aus-rtweb1/Reports/RT/2018/performance/rtlinux/rtperf-9068/sp_online_poll/2018-02-11_05-23-40/HTML/2018-02-11_05-32-28_SinglePointBenchmarks_ATS.html" TargetMode="External"/><Relationship Id="rId20" Type="http://schemas.openxmlformats.org/officeDocument/2006/relationships/hyperlink" Target="http://us-aus-rtweb1/Reports/RT/2018/performance/rtlinux/rtperf-9068/sp_online_poll/2018-03-21_06-00-45/HTML/2018-03-21_06-09-13_SinglePointBenchmarks_ATS.html" TargetMode="External"/><Relationship Id="rId29" Type="http://schemas.openxmlformats.org/officeDocument/2006/relationships/hyperlink" Target="http://us-aus-rtweb1/Reports/RT/2018SP1/performance/rtlinux/rtperf-9068/sp_online_poll/2018-09-22_20-44-58/HTML/2018-09-22_20-53-53_SinglePointBenchmarks_ATS.html" TargetMode="External"/><Relationship Id="rId1" Type="http://schemas.openxmlformats.org/officeDocument/2006/relationships/hyperlink" Target="http://us-aus-rtweb1/Reports/RT/2018/performance/rtlinux/rtperf-9068/sp_online_poll/2017-10-24_19-41-11/HTML/2017-10-24_19-50-53_SinglePointBenchmarks_ATS.html" TargetMode="External"/><Relationship Id="rId6" Type="http://schemas.openxmlformats.org/officeDocument/2006/relationships/hyperlink" Target="http://us-aus-rtweb1/Reports/RT/2018/performance/rtlinux/rtperf-9068/sp_online_poll/2017-12-04_04-43-47/HTML/2017-12-05_04-53-57__ATS.html" TargetMode="External"/><Relationship Id="rId11" Type="http://schemas.openxmlformats.org/officeDocument/2006/relationships/hyperlink" Target="http://nippm.natinst.com/itg/web/knta/crt/RequestDetail.jsp?REQUEST_ID=681734&amp;ID_CACHE_NAME=REQ_SEARCH_0" TargetMode="External"/><Relationship Id="rId24" Type="http://schemas.openxmlformats.org/officeDocument/2006/relationships/hyperlink" Target="http://us-aus-rtweb1/Reports/RT/2018SP1/performance/rtlinux/rtperf-9068/sp_online_poll/2018-08-21_06-50-25/HTML/2018-08-21_06-59-04_SinglePointBenchmarks_ATS.html" TargetMode="External"/><Relationship Id="rId32" Type="http://schemas.openxmlformats.org/officeDocument/2006/relationships/hyperlink" Target="http://us-aus-rtweb1/Reports/RT/2018SP1/performance/rtlinux/rtperf-9068/sp_online_poll/2018-09-22_20-44-58/HTML/2018-09-27_04-43-39__ATS.html" TargetMode="External"/><Relationship Id="rId5" Type="http://schemas.openxmlformats.org/officeDocument/2006/relationships/hyperlink" Target="http://us-aus-rtweb1/Reports/RT/2018/performance/rtlinux/rtperf-9068/sp_online_poll/2017-12-04_04-43-47/HTML/2017-12-04_04-54-47__ATS.html" TargetMode="External"/><Relationship Id="rId15" Type="http://schemas.openxmlformats.org/officeDocument/2006/relationships/hyperlink" Target="http://nippm.natinst.com/itg/web/knta/crt/RequestDetail.jsp?REQUEST_ID=681734&amp;ID_CACHE_NAME=REQ_SEARCH_0" TargetMode="External"/><Relationship Id="rId23" Type="http://schemas.openxmlformats.org/officeDocument/2006/relationships/hyperlink" Target="http://us-aus-rtweb1/Reports/RT/2018/performance/rtlinux/rtperf-9068/sp_online_poll/2018-03-23_01-55-08/HTML/2018-03-23_02-44-27__ATS.html" TargetMode="External"/><Relationship Id="rId28" Type="http://schemas.openxmlformats.org/officeDocument/2006/relationships/hyperlink" Target="http://us-aus-rtweb1/Reports/RT/2018SP1/performance/rtlinux/rtperf-9068/sp_online_poll/2018-08-21_06-50-25/HTML/2018-08-30_02-20-56_InstallPolling_ATS.html" TargetMode="External"/><Relationship Id="rId10" Type="http://schemas.openxmlformats.org/officeDocument/2006/relationships/hyperlink" Target="http://us-aus-rtweb1/Reports/RT/2018/performance/rtlinux/rtperf-9068/sp_online_poll/2018-01-08_04-27-20/HTML/2018-01-08_04-35-59_SinglePointBenchmarks_ATS.html" TargetMode="External"/><Relationship Id="rId19" Type="http://schemas.openxmlformats.org/officeDocument/2006/relationships/hyperlink" Target="http://nippm.natinst.com/itg/web/knta/crt/RequestDetail.jsp?REQUEST_ID=681734&amp;ID_CACHE_NAME=REQ_SEARCH_0" TargetMode="External"/><Relationship Id="rId31" Type="http://schemas.openxmlformats.org/officeDocument/2006/relationships/hyperlink" Target="http://us-aus-rtweb1/Reports/RT/2018/performance/rtlinux/rtperf-9068/sp_online_poll/2018-03-20_23-47-16/HTML/2018-03-21_00-05-29__ATS.html" TargetMode="External"/><Relationship Id="rId4" Type="http://schemas.openxmlformats.org/officeDocument/2006/relationships/hyperlink" Target="http://us-aus-rtweb1/Reports/RT/2018/performance/rtlinux/rtperf-9068/sp_online_poll/2017-11-13_22-20-57/HTML/2017-11-13_22-30-04_SinglePointBenchmarks_ATS.html" TargetMode="External"/><Relationship Id="rId9" Type="http://schemas.openxmlformats.org/officeDocument/2006/relationships/hyperlink" Target="http://us-aus-rtweb1/Reports/RT/2018/performance/rtlinux/rtperf-9068/sp_online_poll/2018-01-01_23-27-29/HTML/2018-01-01_23-36-16_SinglePointBenchmarks_ATS.html" TargetMode="External"/><Relationship Id="rId14" Type="http://schemas.openxmlformats.org/officeDocument/2006/relationships/hyperlink" Target="http://us-aus-rtweb1/Reports/RT/2018/performance/rtlinux/rtperf-9068/sp_online_poll/2018-02-04_22-05-01/HTML/2018-02-04_22-14-14_SinglePointBenchmarks_ATS.html" TargetMode="External"/><Relationship Id="rId22" Type="http://schemas.openxmlformats.org/officeDocument/2006/relationships/hyperlink" Target="http://us-aus-rtweb1/Reports/RT/2018/performance/rtlinux/rtperf-9068/sp_online_poll/2018-03-20_23-47-16/HTML/2018-03-21_00-05-29__ATS.html" TargetMode="External"/><Relationship Id="rId27" Type="http://schemas.openxmlformats.org/officeDocument/2006/relationships/hyperlink" Target="http://us-aus-rtweb1/Reports/RT/2018/performance/rtlinux/rtperf-9068/sp_online_poll/2018-03-20_23-47-16/HTML/2018-03-21_00-05-29__ATS.html" TargetMode="External"/><Relationship Id="rId30" Type="http://schemas.openxmlformats.org/officeDocument/2006/relationships/hyperlink" Target="http://nippm.natinst.com/itg/web/knta/crt/RequestDetail.jsp?REQUEST_ID=681734&amp;ID_CACHE_NAME=REQ_SEARCH_0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://us-aus-rtweb1.natinst.com/Reports/RT/2019/Performance/rtlinux/rtperf-9068/sp_online_poll/2018-10-22_19-59-36/HTML/2018-10-24_01-50-27_SinglePointBenchmarks_ATS.html" TargetMode="External"/><Relationship Id="rId18" Type="http://schemas.openxmlformats.org/officeDocument/2006/relationships/hyperlink" Target="http://us-aus-rtweb1.natinst.com/Reports/RT/2019/Performance/rtlinux/rtperf-9068/sp_online_poll/2018-11-05_16-49-36/HTML/2018-11-05_16-59-34_SinglePointBenchmarks_ATS.html" TargetMode="External"/><Relationship Id="rId26" Type="http://schemas.openxmlformats.org/officeDocument/2006/relationships/hyperlink" Target="http://nippm.natinst.com/itg/web/knta/crt/RequestDetail.jsp?REQUEST_ID=681734&amp;ID_CACHE_NAME=REQ_SEARCH_0" TargetMode="External"/><Relationship Id="rId39" Type="http://schemas.openxmlformats.org/officeDocument/2006/relationships/hyperlink" Target="http://nippm.natinst.com/itg/web/knta/crt/RequestDetail.jsp?REQUEST_ID=681734&amp;ID_CACHE_NAME=REQ_SEARCH_0" TargetMode="External"/><Relationship Id="rId21" Type="http://schemas.openxmlformats.org/officeDocument/2006/relationships/hyperlink" Target="http://us-aus-rtweb1.natinst.com/Reports/RT/2019/Performance/rtlinux/rtperf-9068/sp_online_poll/2018-11-30_23-59-48/HTML/2018-12-01_00-09-12_SinglePointBenchmarks_ATS.html" TargetMode="External"/><Relationship Id="rId34" Type="http://schemas.openxmlformats.org/officeDocument/2006/relationships/hyperlink" Target="http://us-aus-rtweb1/Reports/RT/2019/Performance/rtlinux/rtperf-9068/sp_online_poll/2019-01-05_08-15-26/HTML/2019-01-07_03-36-05_SinglePointBenchmarks_ATS.html" TargetMode="External"/><Relationship Id="rId42" Type="http://schemas.openxmlformats.org/officeDocument/2006/relationships/hyperlink" Target="http://nippm.natinst.com/itg/web/knta/crt/RequestDetail.jsp?REQUEST_ID=681734&amp;ID_CACHE_NAME=REQ_SEARCH_0" TargetMode="External"/><Relationship Id="rId47" Type="http://schemas.openxmlformats.org/officeDocument/2006/relationships/hyperlink" Target="http://us-aus-rtweb1/Reports/RT/2019/Performance/rtlinux/rtperf-9068/sp_online_poll/2019-02-25_23-04-18/HTML/2019-02-22_03-53-05__ATS.html" TargetMode="External"/><Relationship Id="rId50" Type="http://schemas.openxmlformats.org/officeDocument/2006/relationships/hyperlink" Target="http://us-aus-rtweb1/Reports/RT/2019/Performance/rtlinux/rtperf-9068/sp_online_poll/2019-03-09_08-57-47/HTML/2019-03-09_09-07-31_SinglePointBenchmarks_ATS.html" TargetMode="External"/><Relationship Id="rId55" Type="http://schemas.openxmlformats.org/officeDocument/2006/relationships/hyperlink" Target="http://us-aus-rtweb1.natinst.com/Reports/RT/2019/Performance/rtlinux/rtperf-9068/sp_online_poll/2019-03-23_09-03-08/HTML/2019-03-25_00-39-31_SinglePointBenchmarks_ATS.html" TargetMode="External"/><Relationship Id="rId7" Type="http://schemas.openxmlformats.org/officeDocument/2006/relationships/hyperlink" Target="http://nippm.natinst.com/itg/web/knta/crt/RequestDetail.jsp?REQUEST_ID=681734&amp;ID_CACHE_NAME=REQ_SEARCH_0" TargetMode="External"/><Relationship Id="rId12" Type="http://schemas.openxmlformats.org/officeDocument/2006/relationships/hyperlink" Target="http://nippm.natinst.com/itg/web/knta/crt/RequestDetail.jsp?REQUEST_ID=681734&amp;ID_CACHE_NAME=REQ_SEARCH_0" TargetMode="External"/><Relationship Id="rId17" Type="http://schemas.openxmlformats.org/officeDocument/2006/relationships/hyperlink" Target="http://us-aus-rtweb1.natinst.com/Reports/RT/2019/Performance/rtlinux/rtperf-9068/sp_online_poll/2018-10-31_09-50-17/HTML/2018-11-02_01-05-37_SinglePointBenchmarks_ATS.html" TargetMode="External"/><Relationship Id="rId25" Type="http://schemas.openxmlformats.org/officeDocument/2006/relationships/hyperlink" Target="http://us-aus-rtweb1.natinst.com/Reports/RT/2019/Performance/rtlinux/rtperf-9068/sp_online_poll/2018-12-07_19-35-18/HTML/2018-12-07_19-45-03_SinglePointBenchmarks_ATS.html" TargetMode="External"/><Relationship Id="rId33" Type="http://schemas.openxmlformats.org/officeDocument/2006/relationships/hyperlink" Target="http://us-aus-rtweb1/Reports/RT/2019/Performance/rtlinux/rtperf-9068/sp_online_poll/2019-01-05_08-15-26/HTML/2019-01-07_00-45-42_SinglePointBenchmarks_ATS.html" TargetMode="External"/><Relationship Id="rId38" Type="http://schemas.openxmlformats.org/officeDocument/2006/relationships/hyperlink" Target="http://us-aus-rtweb1/Reports/RT/2019/Performance/rtlinux/rtperf-9068/sp_online_poll/2019-01-26_12-12-50/HTML/2019-01-26_12-22-50_SinglePointBenchmarks_ATS.html" TargetMode="External"/><Relationship Id="rId46" Type="http://schemas.openxmlformats.org/officeDocument/2006/relationships/hyperlink" Target="http://us-aus-rtweb1/Reports/RT/2019/Performance/rtlinux/rtperf-9068/sp_online_poll/2019-02-16_08-20-58/HTML/2019-02-17_23-43-39_SinglePointBenchmarks_ATS.html" TargetMode="External"/><Relationship Id="rId2" Type="http://schemas.openxmlformats.org/officeDocument/2006/relationships/hyperlink" Target="http://nippm.natinst.com/itg/web/knta/crt/RequestDetail.jsp?REQUEST_ID=681734&amp;ID_CACHE_NAME=REQ_SEARCH_0" TargetMode="External"/><Relationship Id="rId16" Type="http://schemas.openxmlformats.org/officeDocument/2006/relationships/hyperlink" Target="http://nippm.natinst.com/itg/web/knta/crt/RequestDetail.jsp?REQUEST_ID=681734&amp;ID_CACHE_NAME=REQ_SEARCH_0" TargetMode="External"/><Relationship Id="rId20" Type="http://schemas.openxmlformats.org/officeDocument/2006/relationships/hyperlink" Target="http://us-aus-rtweb1.natinst.com/Reports/RT/2019/Performance/rtlinux/rtperf-9068/sp_online_poll/2018-11-05_16-49-36/HTML/2018-11-08_22-58-18_SinglePointBenchmarks_ATS.html" TargetMode="External"/><Relationship Id="rId29" Type="http://schemas.openxmlformats.org/officeDocument/2006/relationships/hyperlink" Target="http://nippm.natinst.com/itg/web/knta/crt/RequestDetail.jsp?REQUEST_ID=681734&amp;ID_CACHE_NAME=REQ_SEARCH_0" TargetMode="External"/><Relationship Id="rId41" Type="http://schemas.openxmlformats.org/officeDocument/2006/relationships/hyperlink" Target="http://us-aus-rtweb1/Reports/RT/2019/Performance/rtlinux/rtperf-9068/sp_online_poll/2019-02-08_18-07-10/HTML/2019-02-08_18-16-43_SinglePointBenchmarks_ATS.html" TargetMode="External"/><Relationship Id="rId54" Type="http://schemas.openxmlformats.org/officeDocument/2006/relationships/hyperlink" Target="http://nippm.natinst.com/itg/web/knta/crt/RequestDetail.jsp?REQUEST_ID=681734&amp;ID_CACHE_NAME=REQ_SEARCH_0" TargetMode="External"/><Relationship Id="rId1" Type="http://schemas.openxmlformats.org/officeDocument/2006/relationships/hyperlink" Target="http://us-aus-rtweb1.natinst.com/Reports/RT/2019/Performance/rtlinux/rtperf-9068/sp_online_poll/2018-10-05_03-36-23/HTML/2018-10-05_03-43-11_SinglePointBenchmarks_ATS.html" TargetMode="External"/><Relationship Id="rId6" Type="http://schemas.openxmlformats.org/officeDocument/2006/relationships/hyperlink" Target="http://us-aus-rtweb1.natinst.com/Reports/RT/2019/Performance/rtlinux/rtperf-9068/sp_online_poll/2018-10-11_07-11-45/HTML/2018-10-11_07-20-30_SinglePointBenchmarks_ATS.html" TargetMode="External"/><Relationship Id="rId11" Type="http://schemas.openxmlformats.org/officeDocument/2006/relationships/hyperlink" Target="http://us-aus-rtweb1.natinst.com/Reports/RT/2019/Performance/rtlinux/rtperf-9068/sp_online_poll/2018-10-22_19-59-36/HTML/2018-10-22_20-09-16_SinglePointBenchmarks_ATS.html" TargetMode="External"/><Relationship Id="rId24" Type="http://schemas.openxmlformats.org/officeDocument/2006/relationships/hyperlink" Target="http://us-aus-rtweb1.natinst.com/Reports/RT/2019/Performance/rtlinux/rtperf-9068/sp_online_poll/2018-11-30_23-59-48/HTML/2018-12-04_02-44-51_SinglePointBenchmarks_ATS.html" TargetMode="External"/><Relationship Id="rId32" Type="http://schemas.openxmlformats.org/officeDocument/2006/relationships/hyperlink" Target="http://nippm.natinst.com/itg/web/knta/crt/RequestDetail.jsp?REQUEST_ID=681734&amp;ID_CACHE_NAME=REQ_SEARCH_0" TargetMode="External"/><Relationship Id="rId37" Type="http://schemas.openxmlformats.org/officeDocument/2006/relationships/hyperlink" Target="http://us-aus-rtweb1/Reports/RT/2019/Performance/rtlinux/rtperf-9068/sp_online_poll/2019-01-12_09-01-20/HTML/2019-01-13_23-02-20_SinglePointBenchmarks_ATS.html" TargetMode="External"/><Relationship Id="rId40" Type="http://schemas.openxmlformats.org/officeDocument/2006/relationships/hyperlink" Target="http://us-aus-rtweb1/Reports/RT/2019/Performance/rtlinux/rtperf-9068/sp_online_poll/2019-01-30_23-27-47/HTML/2019-01-30_23-31-10_SinglePointBenchmarks_ATS.html" TargetMode="External"/><Relationship Id="rId45" Type="http://schemas.openxmlformats.org/officeDocument/2006/relationships/hyperlink" Target="http://nippm.natinst.com/itg/web/knta/crt/RequestDetail.jsp?REQUEST_ID=681734&amp;ID_CACHE_NAME=REQ_SEARCH_0" TargetMode="External"/><Relationship Id="rId53" Type="http://schemas.openxmlformats.org/officeDocument/2006/relationships/hyperlink" Target="http://us-aus-rtweb1.natinst.com/Reports/RT/2019/Performance/rtlinux/rtperf-9068/sp_online_poll/2019-03-23_09-03-08/HTML/2019-03-23_09-12-37_SinglePointBenchmarks_ATS.html" TargetMode="External"/><Relationship Id="rId5" Type="http://schemas.openxmlformats.org/officeDocument/2006/relationships/hyperlink" Target="http://us-aus-rtweb1.natinst.com/Reports/RT/2019/Performance/rtlinux/rtperf-9068/sp_online_poll/2018-10-05_03-36-23/HTML/2018-10-10_05-50-24_SinglePointBenchmarks_ATS.html" TargetMode="External"/><Relationship Id="rId15" Type="http://schemas.openxmlformats.org/officeDocument/2006/relationships/hyperlink" Target="http://us-aus-rtweb1.natinst.com/Reports/RT/2019/Performance/rtlinux/rtperf-9068/sp_online_poll/2018-10-31_09-50-17/HTML/2018-10-31_10-00-02_SinglePointBenchmarks_ATS.html" TargetMode="External"/><Relationship Id="rId23" Type="http://schemas.openxmlformats.org/officeDocument/2006/relationships/hyperlink" Target="http://us-aus-rtweb1.natinst.com/Reports/RT/2019/Performance/rtlinux/rtperf-9068/sp_online_poll/2018-11-30_23-59-48/HTML/2018-12-04_00-08-19_SinglePointBenchmarks_ATS.html" TargetMode="External"/><Relationship Id="rId28" Type="http://schemas.openxmlformats.org/officeDocument/2006/relationships/hyperlink" Target="http://us-aus-rtweb1/Reports/RT/2019/Performance/rtlinux/rtperf-9068/sp_online_poll/2018-12-15_10-03-55/HTML/2018-12-15_10-13-18_SinglePointBenchmarks_ATS.html" TargetMode="External"/><Relationship Id="rId36" Type="http://schemas.openxmlformats.org/officeDocument/2006/relationships/hyperlink" Target="http://nippm.natinst.com/itg/web/knta/crt/RequestDetail.jsp?REQUEST_ID=681734&amp;ID_CACHE_NAME=REQ_SEARCH_0" TargetMode="External"/><Relationship Id="rId49" Type="http://schemas.openxmlformats.org/officeDocument/2006/relationships/hyperlink" Target="http://us-aus-rtweb1/Reports/RT/2019/Performance/rtlinux/rtperf-9068/sp_online_poll/2019-02-25_23-04-18/HTML/2019-02-25_23-20-16_SinglePointBenchmarks_ATS.html" TargetMode="External"/><Relationship Id="rId10" Type="http://schemas.openxmlformats.org/officeDocument/2006/relationships/hyperlink" Target="http://us-aus-rtweb1.natinst.com/Reports/RT/2019/Performance/rtlinux/rtperf-9068/sp_online_poll/2018-10-11_07-11-45/HTML/2018-10-16_07-07-48_SinglePointBenchmarks_ATS.html" TargetMode="External"/><Relationship Id="rId19" Type="http://schemas.openxmlformats.org/officeDocument/2006/relationships/hyperlink" Target="http://nippm.natinst.com/itg/web/knta/crt/RequestDetail.jsp?REQUEST_ID=681734&amp;ID_CACHE_NAME=REQ_SEARCH_0" TargetMode="External"/><Relationship Id="rId31" Type="http://schemas.openxmlformats.org/officeDocument/2006/relationships/hyperlink" Target="http://us-aus-rtweb1/Reports/RT/2019/Performance/rtlinux/rtperf-9068/sp_online_poll/2019-01-05_08-15-26/HTML/2019-01-05_08-25-35_SinglePointBenchmarks_ATS.html" TargetMode="External"/><Relationship Id="rId44" Type="http://schemas.openxmlformats.org/officeDocument/2006/relationships/hyperlink" Target="http://us-aus-rtweb1/Reports/RT/2019/Performance/rtlinux/rtperf-9068/sp_online_poll/2019-02-16_08-20-58/HTML/2019-02-16_08-30-33_SinglePointBenchmarks_ATS.html" TargetMode="External"/><Relationship Id="rId52" Type="http://schemas.openxmlformats.org/officeDocument/2006/relationships/hyperlink" Target="http://us-aus-rtweb1/Reports/RT/2019/Performance/rtlinux/rtperf-9068/sp_online_poll/2019-03-09_08-57-47/HTML/2019-03-11_00-30-29_SinglePointBenchmarks_ATS.html" TargetMode="External"/><Relationship Id="rId4" Type="http://schemas.openxmlformats.org/officeDocument/2006/relationships/hyperlink" Target="http://us-aus-rtweb1.natinst.com/Reports/RT/2019/Performance/rtlinux/rtperf-9068/sp_online_poll/2018-10-05_03-36-23/HTML/2018-10-05_04-08-52_InstallPolling_ATS.html" TargetMode="External"/><Relationship Id="rId9" Type="http://schemas.openxmlformats.org/officeDocument/2006/relationships/hyperlink" Target="http://us-aus-rtweb1.natinst.com/Reports/RT/2019/Performance/rtlinux/rtperf-9068/sp_online_poll/2018-10-11_07-11-45/HTML/2018-10-16_03-49-53_SinglePointBenchmarks_ATS.html" TargetMode="External"/><Relationship Id="rId14" Type="http://schemas.openxmlformats.org/officeDocument/2006/relationships/hyperlink" Target="http://us-aus-rtweb1.natinst.com/Reports/RT/2019/Performance/rtlinux/rtperf-9068/sp_online_poll/2018-10-22_19-59-36/HTML/2018-10-25_23-56-37_SinglePointBenchmarks_ATS.html" TargetMode="External"/><Relationship Id="rId22" Type="http://schemas.openxmlformats.org/officeDocument/2006/relationships/hyperlink" Target="http://nippm.natinst.com/itg/web/knta/crt/RequestDetail.jsp?REQUEST_ID=681734&amp;ID_CACHE_NAME=REQ_SEARCH_0" TargetMode="External"/><Relationship Id="rId27" Type="http://schemas.openxmlformats.org/officeDocument/2006/relationships/hyperlink" Target="http://us-aus-rtweb1.natinst.com/Reports/RT/2019/Performance/rtlinux/rtperf-9068/sp_online_poll/2018-12-07_19-35-18/HTML/2018-12-11_05-33-28_SinglePointBenchmarks_ATS.html" TargetMode="External"/><Relationship Id="rId30" Type="http://schemas.openxmlformats.org/officeDocument/2006/relationships/hyperlink" Target="http://us-aus-rtweb1/Reports/RT/2019/Performance/rtlinux/rtperf-9068/sp_online_poll/2018-12-15_10-03-55/HTML/2018-12-16_22-51-22_SinglePointBenchmarks_ATS.html" TargetMode="External"/><Relationship Id="rId35" Type="http://schemas.openxmlformats.org/officeDocument/2006/relationships/hyperlink" Target="http://us-aus-rtweb1/Reports/RT/2019/Performance/rtlinux/rtperf-9068/sp_online_poll/2019-01-12_09-01-20/HTML/2019-01-12_09-10-54_SinglePointBenchmarks_ATS.html" TargetMode="External"/><Relationship Id="rId43" Type="http://schemas.openxmlformats.org/officeDocument/2006/relationships/hyperlink" Target="http://us-aus-rtweb1/Reports/RT/2019/Performance/rtlinux/rtperf-9068/sp_online_poll/2019-02-08_18-07-10/HTML/2019-02-10_23-52-38_SinglePointBenchmarks_ATS.html" TargetMode="External"/><Relationship Id="rId48" Type="http://schemas.openxmlformats.org/officeDocument/2006/relationships/hyperlink" Target="http://nippm.natinst.com/itg/web/knta/crt/RequestDetail.jsp?REQUEST_ID=681734&amp;ID_CACHE_NAME=REQ_SEARCH_0" TargetMode="External"/><Relationship Id="rId56" Type="http://schemas.openxmlformats.org/officeDocument/2006/relationships/printerSettings" Target="../printerSettings/printerSettings7.bin"/><Relationship Id="rId8" Type="http://schemas.openxmlformats.org/officeDocument/2006/relationships/hyperlink" Target="http://us-aus-rtweb1/Reports/RT/2018/performance/rtlinux/rtperf-9068/sp_online_poll/2018-03-20_23-47-16/HTML/2018-03-21_00-05-29__ATS.html" TargetMode="External"/><Relationship Id="rId51" Type="http://schemas.openxmlformats.org/officeDocument/2006/relationships/hyperlink" Target="http://nippm.natinst.com/itg/web/knta/crt/RequestDetail.jsp?REQUEST_ID=681734&amp;ID_CACHE_NAME=REQ_SEARCH_0" TargetMode="External"/><Relationship Id="rId3" Type="http://schemas.openxmlformats.org/officeDocument/2006/relationships/hyperlink" Target="http://us-aus-rtweb1/Reports/RT/2018/performance/rtlinux/rtperf-9068/sp_online_poll/2018-03-20_23-47-16/HTML/2018-03-21_00-05-29__AT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workbookViewId="0">
      <selection activeCell="E43" sqref="E43"/>
    </sheetView>
  </sheetViews>
  <sheetFormatPr defaultRowHeight="15" x14ac:dyDescent="0.25"/>
  <sheetData>
    <row r="1" spans="1:15" ht="18.75" x14ac:dyDescent="0.3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"/>
      <c r="K1" s="1"/>
      <c r="L1" s="1"/>
      <c r="M1" s="1"/>
      <c r="N1" s="1"/>
      <c r="O1" s="2"/>
    </row>
    <row r="2" spans="1:15" ht="15.75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x14ac:dyDescent="0.25">
      <c r="A3" s="105" t="s">
        <v>2</v>
      </c>
      <c r="B3" s="105"/>
      <c r="C3" s="105"/>
      <c r="D3" s="106" t="s">
        <v>3</v>
      </c>
      <c r="E3" s="106"/>
      <c r="F3" s="106"/>
      <c r="G3" s="106"/>
      <c r="H3" s="106"/>
      <c r="I3" s="106"/>
      <c r="J3" s="106" t="s">
        <v>4</v>
      </c>
      <c r="K3" s="106"/>
      <c r="L3" s="106"/>
      <c r="M3" s="106"/>
      <c r="N3" s="106"/>
      <c r="O3" s="106"/>
    </row>
    <row r="4" spans="1:15" x14ac:dyDescent="0.25">
      <c r="A4" s="6" t="s">
        <v>5</v>
      </c>
      <c r="B4" s="6" t="s">
        <v>6</v>
      </c>
      <c r="C4" s="6" t="s">
        <v>7</v>
      </c>
      <c r="D4" s="7">
        <v>1</v>
      </c>
      <c r="E4" s="7">
        <v>4</v>
      </c>
      <c r="F4" s="7">
        <v>16</v>
      </c>
      <c r="G4" s="7">
        <v>32</v>
      </c>
      <c r="H4" s="7">
        <v>64</v>
      </c>
      <c r="I4" s="7">
        <v>80</v>
      </c>
      <c r="J4" s="7">
        <v>1</v>
      </c>
      <c r="K4" s="7">
        <v>4</v>
      </c>
      <c r="L4" s="7">
        <v>16</v>
      </c>
      <c r="M4" s="7">
        <v>32</v>
      </c>
      <c r="N4" s="7">
        <v>64</v>
      </c>
      <c r="O4" s="7">
        <v>80</v>
      </c>
    </row>
    <row r="5" spans="1:15" x14ac:dyDescent="0.25">
      <c r="A5" s="8" t="s">
        <v>8</v>
      </c>
      <c r="B5" s="9" t="s">
        <v>9</v>
      </c>
      <c r="C5" s="9" t="s">
        <v>10</v>
      </c>
      <c r="D5" s="10">
        <v>73726</v>
      </c>
      <c r="E5" s="10">
        <v>26141</v>
      </c>
      <c r="F5" s="10">
        <v>6947</v>
      </c>
      <c r="G5" s="10">
        <v>3508</v>
      </c>
      <c r="H5" s="10">
        <v>3140</v>
      </c>
      <c r="I5" s="10">
        <v>2373</v>
      </c>
      <c r="J5" s="11">
        <f t="shared" ref="J5:O10" si="0">(1/D5)*1000000</f>
        <v>13.563735995442585</v>
      </c>
      <c r="K5" s="11">
        <f t="shared" si="0"/>
        <v>38.254083623426801</v>
      </c>
      <c r="L5" s="11">
        <f t="shared" si="0"/>
        <v>143.94702749388227</v>
      </c>
      <c r="M5" s="11">
        <f t="shared" si="0"/>
        <v>285.06271379703537</v>
      </c>
      <c r="N5" s="11">
        <f t="shared" si="0"/>
        <v>318.4713375796178</v>
      </c>
      <c r="O5" s="11">
        <f t="shared" si="0"/>
        <v>421.40750105351879</v>
      </c>
    </row>
    <row r="6" spans="1:15" x14ac:dyDescent="0.25">
      <c r="A6" s="8" t="s">
        <v>11</v>
      </c>
      <c r="B6" s="9" t="s">
        <v>9</v>
      </c>
      <c r="C6" s="9" t="s">
        <v>12</v>
      </c>
      <c r="D6" s="10">
        <v>28363</v>
      </c>
      <c r="E6" s="10">
        <v>15816</v>
      </c>
      <c r="F6" s="10">
        <v>5304</v>
      </c>
      <c r="G6" s="10">
        <v>2888</v>
      </c>
      <c r="H6" s="10">
        <v>2529</v>
      </c>
      <c r="I6" s="10">
        <v>2352</v>
      </c>
      <c r="J6" s="11">
        <f t="shared" si="0"/>
        <v>35.257201283362129</v>
      </c>
      <c r="K6" s="11">
        <f t="shared" si="0"/>
        <v>63.227111785533637</v>
      </c>
      <c r="L6" s="11">
        <f t="shared" si="0"/>
        <v>188.53695324283561</v>
      </c>
      <c r="M6" s="11">
        <f t="shared" si="0"/>
        <v>346.26038781163436</v>
      </c>
      <c r="N6" s="11">
        <f t="shared" si="0"/>
        <v>395.41320680110715</v>
      </c>
      <c r="O6" s="11">
        <f t="shared" si="0"/>
        <v>425.17006802721085</v>
      </c>
    </row>
    <row r="7" spans="1:15" x14ac:dyDescent="0.25">
      <c r="A7" s="9" t="s">
        <v>13</v>
      </c>
      <c r="B7" s="9" t="s">
        <v>14</v>
      </c>
      <c r="C7" s="9" t="s">
        <v>10</v>
      </c>
      <c r="D7" s="10">
        <v>68123</v>
      </c>
      <c r="E7" s="10">
        <v>22299</v>
      </c>
      <c r="F7" s="10">
        <v>6281</v>
      </c>
      <c r="G7" s="10">
        <v>3112</v>
      </c>
      <c r="H7" s="10">
        <v>2315</v>
      </c>
      <c r="I7" s="10">
        <v>2084</v>
      </c>
      <c r="J7" s="11">
        <f t="shared" si="0"/>
        <v>14.679330035377186</v>
      </c>
      <c r="K7" s="11">
        <f t="shared" si="0"/>
        <v>44.84506031660613</v>
      </c>
      <c r="L7" s="11">
        <f t="shared" si="0"/>
        <v>159.21031682853049</v>
      </c>
      <c r="M7" s="11">
        <f t="shared" si="0"/>
        <v>321.33676092544982</v>
      </c>
      <c r="N7" s="11">
        <f t="shared" si="0"/>
        <v>431.96544276457882</v>
      </c>
      <c r="O7" s="11">
        <f t="shared" si="0"/>
        <v>479.84644913627636</v>
      </c>
    </row>
    <row r="8" spans="1:15" x14ac:dyDescent="0.25">
      <c r="A8" s="9" t="s">
        <v>15</v>
      </c>
      <c r="B8" s="9" t="s">
        <v>14</v>
      </c>
      <c r="C8" s="9" t="s">
        <v>12</v>
      </c>
      <c r="D8" s="10">
        <v>20602</v>
      </c>
      <c r="E8" s="10">
        <v>11334</v>
      </c>
      <c r="F8" s="10">
        <v>4474</v>
      </c>
      <c r="G8" s="10">
        <v>2469</v>
      </c>
      <c r="H8" s="10">
        <v>2014</v>
      </c>
      <c r="I8" s="10">
        <v>1816</v>
      </c>
      <c r="J8" s="11">
        <f t="shared" si="0"/>
        <v>48.538976798369092</v>
      </c>
      <c r="K8" s="11">
        <f t="shared" si="0"/>
        <v>88.230104111522863</v>
      </c>
      <c r="L8" s="11">
        <f t="shared" si="0"/>
        <v>223.51363433169425</v>
      </c>
      <c r="M8" s="11">
        <f t="shared" si="0"/>
        <v>405.0222762251924</v>
      </c>
      <c r="N8" s="11">
        <f t="shared" si="0"/>
        <v>496.52432969215488</v>
      </c>
      <c r="O8" s="11">
        <f t="shared" si="0"/>
        <v>550.66079295154191</v>
      </c>
    </row>
    <row r="9" spans="1:15" x14ac:dyDescent="0.25">
      <c r="A9" s="9" t="s">
        <v>16</v>
      </c>
      <c r="B9" s="9" t="s">
        <v>17</v>
      </c>
      <c r="C9" s="9" t="s">
        <v>12</v>
      </c>
      <c r="D9" s="10">
        <v>17450</v>
      </c>
      <c r="E9" s="10">
        <v>10095</v>
      </c>
      <c r="F9" s="10">
        <v>4134</v>
      </c>
      <c r="G9" s="10">
        <v>2524</v>
      </c>
      <c r="H9" s="10">
        <v>2159</v>
      </c>
      <c r="I9" s="10">
        <v>2001</v>
      </c>
      <c r="J9" s="11">
        <f t="shared" si="0"/>
        <v>57.306590257879662</v>
      </c>
      <c r="K9" s="11">
        <f t="shared" si="0"/>
        <v>99.058940069341261</v>
      </c>
      <c r="L9" s="11">
        <f t="shared" si="0"/>
        <v>241.89646831156264</v>
      </c>
      <c r="M9" s="11">
        <f t="shared" si="0"/>
        <v>396.19651347068145</v>
      </c>
      <c r="N9" s="11">
        <f t="shared" si="0"/>
        <v>463.17739694302918</v>
      </c>
      <c r="O9" s="11">
        <f t="shared" si="0"/>
        <v>499.75012493753121</v>
      </c>
    </row>
    <row r="10" spans="1:15" x14ac:dyDescent="0.25">
      <c r="A10" s="9" t="s">
        <v>18</v>
      </c>
      <c r="B10" s="8" t="s">
        <v>19</v>
      </c>
      <c r="C10" s="9" t="s">
        <v>12</v>
      </c>
      <c r="D10" s="10">
        <v>15550</v>
      </c>
      <c r="E10" s="10">
        <v>9624</v>
      </c>
      <c r="F10" s="10">
        <v>4257</v>
      </c>
      <c r="G10" s="10">
        <v>2488</v>
      </c>
      <c r="H10" s="10">
        <v>2159</v>
      </c>
      <c r="I10" s="10">
        <v>2031</v>
      </c>
      <c r="J10" s="11">
        <f t="shared" si="0"/>
        <v>64.308681672025713</v>
      </c>
      <c r="K10" s="11">
        <f t="shared" si="0"/>
        <v>103.90689941812137</v>
      </c>
      <c r="L10" s="11">
        <f t="shared" si="0"/>
        <v>234.90721165139772</v>
      </c>
      <c r="M10" s="11">
        <f t="shared" si="0"/>
        <v>401.92926045016077</v>
      </c>
      <c r="N10" s="11">
        <f t="shared" si="0"/>
        <v>463.17739694302918</v>
      </c>
      <c r="O10" s="11">
        <f t="shared" si="0"/>
        <v>492.36829148202861</v>
      </c>
    </row>
  </sheetData>
  <mergeCells count="4">
    <mergeCell ref="A1:I1"/>
    <mergeCell ref="A3:C3"/>
    <mergeCell ref="D3:I3"/>
    <mergeCell ref="J3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75"/>
  <sheetViews>
    <sheetView topLeftCell="A22" workbookViewId="0">
      <selection activeCell="D71" sqref="D71"/>
    </sheetView>
  </sheetViews>
  <sheetFormatPr defaultRowHeight="15" x14ac:dyDescent="0.25"/>
  <cols>
    <col min="2" max="2" width="19" customWidth="1"/>
    <col min="3" max="3" width="10.5703125" customWidth="1"/>
    <col min="10" max="10" width="9.85546875" bestFit="1" customWidth="1"/>
  </cols>
  <sheetData>
    <row r="1" spans="1:31" ht="18.75" x14ac:dyDescent="0.25">
      <c r="A1" s="107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25"/>
      <c r="Q1" s="117" t="s">
        <v>22</v>
      </c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</row>
    <row r="2" spans="1:31" ht="15.75" x14ac:dyDescent="0.25">
      <c r="A2" s="109" t="s">
        <v>34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26"/>
      <c r="Q2" s="117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</row>
    <row r="3" spans="1:31" x14ac:dyDescent="0.25">
      <c r="A3" s="105" t="s">
        <v>2</v>
      </c>
      <c r="B3" s="105"/>
      <c r="C3" s="105"/>
      <c r="D3" s="106" t="s">
        <v>3</v>
      </c>
      <c r="E3" s="106"/>
      <c r="F3" s="106"/>
      <c r="G3" s="106"/>
      <c r="H3" s="106"/>
      <c r="I3" s="106"/>
      <c r="J3" s="106" t="s">
        <v>4</v>
      </c>
      <c r="K3" s="106"/>
      <c r="L3" s="106"/>
      <c r="M3" s="106"/>
      <c r="N3" s="106"/>
      <c r="O3" s="106"/>
      <c r="Q3" s="113" t="s">
        <v>2</v>
      </c>
      <c r="R3" s="114"/>
      <c r="S3" s="115"/>
      <c r="T3" s="111" t="s">
        <v>3</v>
      </c>
      <c r="U3" s="112"/>
      <c r="V3" s="112"/>
      <c r="W3" s="112"/>
      <c r="X3" s="112"/>
      <c r="Y3" s="112"/>
      <c r="Z3" s="111" t="s">
        <v>4</v>
      </c>
      <c r="AA3" s="112"/>
      <c r="AB3" s="112"/>
      <c r="AC3" s="112"/>
      <c r="AD3" s="112"/>
      <c r="AE3" s="112"/>
    </row>
    <row r="4" spans="1:31" x14ac:dyDescent="0.25">
      <c r="A4" s="6" t="s">
        <v>5</v>
      </c>
      <c r="B4" s="6" t="s">
        <v>6</v>
      </c>
      <c r="C4" s="6" t="s">
        <v>7</v>
      </c>
      <c r="D4" s="7">
        <v>1</v>
      </c>
      <c r="E4" s="7">
        <v>4</v>
      </c>
      <c r="F4" s="7">
        <v>16</v>
      </c>
      <c r="G4" s="7">
        <v>32</v>
      </c>
      <c r="H4" s="7">
        <v>64</v>
      </c>
      <c r="I4" s="7">
        <v>80</v>
      </c>
      <c r="J4" s="7">
        <v>1</v>
      </c>
      <c r="K4" s="7">
        <v>4</v>
      </c>
      <c r="L4" s="7">
        <v>16</v>
      </c>
      <c r="M4" s="7">
        <v>32</v>
      </c>
      <c r="N4" s="7">
        <v>64</v>
      </c>
      <c r="O4" s="7">
        <v>80</v>
      </c>
      <c r="Q4" s="6" t="s">
        <v>5</v>
      </c>
      <c r="R4" s="6" t="s">
        <v>6</v>
      </c>
      <c r="S4" s="6" t="s">
        <v>7</v>
      </c>
      <c r="T4" s="7">
        <v>1</v>
      </c>
      <c r="U4" s="7">
        <v>4</v>
      </c>
      <c r="V4" s="7">
        <v>16</v>
      </c>
      <c r="W4" s="7">
        <v>32</v>
      </c>
      <c r="X4" s="7">
        <v>64</v>
      </c>
      <c r="Y4" s="7">
        <v>80</v>
      </c>
      <c r="Z4" s="7">
        <v>1</v>
      </c>
      <c r="AA4" s="7">
        <v>4</v>
      </c>
      <c r="AB4" s="7">
        <v>16</v>
      </c>
      <c r="AC4" s="7">
        <v>32</v>
      </c>
      <c r="AD4" s="7">
        <v>64</v>
      </c>
      <c r="AE4" s="7">
        <v>80</v>
      </c>
    </row>
    <row r="5" spans="1:31" x14ac:dyDescent="0.25">
      <c r="A5" s="8" t="s">
        <v>8</v>
      </c>
      <c r="B5" s="9" t="s">
        <v>9</v>
      </c>
      <c r="C5" s="9" t="s">
        <v>10</v>
      </c>
      <c r="D5" s="10">
        <v>38628</v>
      </c>
      <c r="E5" s="10">
        <v>21650</v>
      </c>
      <c r="F5" s="10">
        <v>6505</v>
      </c>
      <c r="G5" s="10"/>
      <c r="H5" s="10"/>
      <c r="I5" s="10"/>
      <c r="J5" s="11">
        <f t="shared" ref="J5:O10" si="0">IF(D5="","",(1/D5)*1000000)</f>
        <v>25.887956922439681</v>
      </c>
      <c r="K5" s="11">
        <f t="shared" si="0"/>
        <v>46.18937644341802</v>
      </c>
      <c r="L5" s="11">
        <f t="shared" si="0"/>
        <v>153.72790161414298</v>
      </c>
      <c r="M5" s="11" t="str">
        <f t="shared" si="0"/>
        <v/>
      </c>
      <c r="N5" s="11" t="str">
        <f t="shared" si="0"/>
        <v/>
      </c>
      <c r="O5" s="11" t="str">
        <f t="shared" si="0"/>
        <v/>
      </c>
      <c r="Q5" s="8" t="s">
        <v>8</v>
      </c>
      <c r="R5" s="9" t="s">
        <v>9</v>
      </c>
      <c r="S5" s="9" t="s">
        <v>10</v>
      </c>
      <c r="T5" s="10">
        <v>48469</v>
      </c>
      <c r="U5" s="10">
        <v>21759</v>
      </c>
      <c r="V5" s="10">
        <v>6538</v>
      </c>
      <c r="W5" s="10"/>
      <c r="X5" s="10"/>
      <c r="Y5" s="10"/>
      <c r="Z5" s="11">
        <f t="shared" ref="Z5:Z10" si="1">IF(T5="","",(1/T5)*1000000)</f>
        <v>20.631744001320431</v>
      </c>
      <c r="AA5" s="11">
        <f t="shared" ref="AA5:AA10" si="2">IF(U5="","",(1/U5)*1000000)</f>
        <v>45.957994393124686</v>
      </c>
      <c r="AB5" s="11">
        <f t="shared" ref="AB5:AB10" si="3">IF(V5="","",(1/V5)*1000000)</f>
        <v>152.95197308045275</v>
      </c>
      <c r="AC5" s="11" t="str">
        <f t="shared" ref="AC5:AC10" si="4">IF(W5="","",(1/W5)*1000000)</f>
        <v/>
      </c>
      <c r="AD5" s="11" t="str">
        <f t="shared" ref="AD5:AD10" si="5">IF(X5="","",(1/X5)*1000000)</f>
        <v/>
      </c>
      <c r="AE5" s="11" t="str">
        <f t="shared" ref="AE5:AE10" si="6">IF(Y5="","",(1/Y5)*1000000)</f>
        <v/>
      </c>
    </row>
    <row r="6" spans="1:31" x14ac:dyDescent="0.25">
      <c r="A6" s="8" t="s">
        <v>11</v>
      </c>
      <c r="B6" s="9" t="s">
        <v>9</v>
      </c>
      <c r="C6" s="9" t="s">
        <v>12</v>
      </c>
      <c r="D6" s="10">
        <v>9958</v>
      </c>
      <c r="E6" s="10">
        <v>7893</v>
      </c>
      <c r="F6" s="10">
        <v>4162</v>
      </c>
      <c r="G6" s="10"/>
      <c r="H6" s="10"/>
      <c r="I6" s="10"/>
      <c r="J6" s="11">
        <f t="shared" si="0"/>
        <v>100.4217714400482</v>
      </c>
      <c r="K6" s="11">
        <f t="shared" si="0"/>
        <v>126.69453946534905</v>
      </c>
      <c r="L6" s="11">
        <f t="shared" si="0"/>
        <v>240.26910139356079</v>
      </c>
      <c r="M6" s="11" t="str">
        <f t="shared" si="0"/>
        <v/>
      </c>
      <c r="N6" s="11" t="str">
        <f t="shared" si="0"/>
        <v/>
      </c>
      <c r="O6" s="11" t="str">
        <f t="shared" si="0"/>
        <v/>
      </c>
      <c r="Q6" s="8" t="s">
        <v>11</v>
      </c>
      <c r="R6" s="9" t="s">
        <v>9</v>
      </c>
      <c r="S6" s="9" t="s">
        <v>12</v>
      </c>
      <c r="T6" s="10">
        <v>9975</v>
      </c>
      <c r="U6" s="10">
        <v>8323</v>
      </c>
      <c r="V6" s="10">
        <v>4267</v>
      </c>
      <c r="W6" s="10"/>
      <c r="X6" s="10"/>
      <c r="Y6" s="10"/>
      <c r="Z6" s="11">
        <f t="shared" si="1"/>
        <v>100.25062656641605</v>
      </c>
      <c r="AA6" s="11">
        <f t="shared" si="2"/>
        <v>120.14898474107893</v>
      </c>
      <c r="AB6" s="11">
        <f t="shared" si="3"/>
        <v>234.35669088352472</v>
      </c>
      <c r="AC6" s="11" t="str">
        <f t="shared" si="4"/>
        <v/>
      </c>
      <c r="AD6" s="11" t="str">
        <f t="shared" si="5"/>
        <v/>
      </c>
      <c r="AE6" s="11" t="str">
        <f t="shared" si="6"/>
        <v/>
      </c>
    </row>
    <row r="7" spans="1:31" x14ac:dyDescent="0.25">
      <c r="A7" s="9" t="s">
        <v>13</v>
      </c>
      <c r="B7" s="9" t="s">
        <v>14</v>
      </c>
      <c r="C7" s="9" t="s">
        <v>10</v>
      </c>
      <c r="D7" s="10">
        <v>42589</v>
      </c>
      <c r="E7" s="10">
        <v>12740</v>
      </c>
      <c r="F7" s="10">
        <v>4852</v>
      </c>
      <c r="G7" s="10"/>
      <c r="H7" s="10"/>
      <c r="I7" s="10"/>
      <c r="J7" s="11">
        <f t="shared" si="0"/>
        <v>23.480241376881356</v>
      </c>
      <c r="K7" s="11">
        <f t="shared" si="0"/>
        <v>78.492935635792776</v>
      </c>
      <c r="L7" s="11">
        <f t="shared" si="0"/>
        <v>206.10057708161582</v>
      </c>
      <c r="M7" s="11" t="str">
        <f t="shared" si="0"/>
        <v/>
      </c>
      <c r="N7" s="11" t="str">
        <f t="shared" si="0"/>
        <v/>
      </c>
      <c r="O7" s="11" t="str">
        <f t="shared" si="0"/>
        <v/>
      </c>
      <c r="Q7" s="9" t="s">
        <v>13</v>
      </c>
      <c r="R7" s="9" t="s">
        <v>14</v>
      </c>
      <c r="S7" s="9" t="s">
        <v>10</v>
      </c>
      <c r="T7" s="10">
        <v>42803</v>
      </c>
      <c r="U7" s="10">
        <v>14737</v>
      </c>
      <c r="V7" s="10">
        <v>4876</v>
      </c>
      <c r="W7" s="10"/>
      <c r="X7" s="10"/>
      <c r="Y7" s="10"/>
      <c r="Z7" s="11">
        <f t="shared" si="1"/>
        <v>23.362848398476743</v>
      </c>
      <c r="AA7" s="11">
        <f t="shared" si="2"/>
        <v>67.856415824116169</v>
      </c>
      <c r="AB7" s="11">
        <f t="shared" si="3"/>
        <v>205.08613617719445</v>
      </c>
      <c r="AC7" s="11" t="str">
        <f t="shared" si="4"/>
        <v/>
      </c>
      <c r="AD7" s="11" t="str">
        <f t="shared" si="5"/>
        <v/>
      </c>
      <c r="AE7" s="11" t="str">
        <f t="shared" si="6"/>
        <v/>
      </c>
    </row>
    <row r="8" spans="1:31" x14ac:dyDescent="0.25">
      <c r="A8" s="9" t="s">
        <v>15</v>
      </c>
      <c r="B8" s="9" t="s">
        <v>14</v>
      </c>
      <c r="C8" s="9" t="s">
        <v>12</v>
      </c>
      <c r="D8" s="10">
        <v>9246</v>
      </c>
      <c r="E8" s="10">
        <v>6798</v>
      </c>
      <c r="F8" s="10">
        <v>3451</v>
      </c>
      <c r="G8" s="10"/>
      <c r="H8" s="10"/>
      <c r="I8" s="10"/>
      <c r="J8" s="11">
        <f t="shared" si="0"/>
        <v>108.15487778498812</v>
      </c>
      <c r="K8" s="11">
        <f t="shared" si="0"/>
        <v>147.10208884966164</v>
      </c>
      <c r="L8" s="11">
        <f t="shared" si="0"/>
        <v>289.77108084613155</v>
      </c>
      <c r="M8" s="11" t="str">
        <f t="shared" si="0"/>
        <v/>
      </c>
      <c r="N8" s="11" t="str">
        <f t="shared" si="0"/>
        <v/>
      </c>
      <c r="O8" s="11" t="str">
        <f t="shared" si="0"/>
        <v/>
      </c>
      <c r="Q8" s="9" t="s">
        <v>15</v>
      </c>
      <c r="R8" s="9" t="s">
        <v>14</v>
      </c>
      <c r="S8" s="9" t="s">
        <v>12</v>
      </c>
      <c r="T8" s="10">
        <v>9773</v>
      </c>
      <c r="U8" s="10">
        <v>6958</v>
      </c>
      <c r="V8" s="10">
        <v>3468</v>
      </c>
      <c r="W8" s="10"/>
      <c r="X8" s="10"/>
      <c r="Y8" s="10"/>
      <c r="Z8" s="11">
        <f t="shared" si="1"/>
        <v>102.32272587741738</v>
      </c>
      <c r="AA8" s="11">
        <f t="shared" si="2"/>
        <v>143.71945961483183</v>
      </c>
      <c r="AB8" s="11">
        <f t="shared" si="3"/>
        <v>288.35063437139564</v>
      </c>
      <c r="AC8" s="11" t="str">
        <f t="shared" si="4"/>
        <v/>
      </c>
      <c r="AD8" s="11" t="str">
        <f t="shared" si="5"/>
        <v/>
      </c>
      <c r="AE8" s="11" t="str">
        <f t="shared" si="6"/>
        <v/>
      </c>
    </row>
    <row r="9" spans="1:31" x14ac:dyDescent="0.25">
      <c r="A9" s="9" t="s">
        <v>16</v>
      </c>
      <c r="B9" s="9" t="s">
        <v>17</v>
      </c>
      <c r="C9" s="9" t="s">
        <v>12</v>
      </c>
      <c r="D9" s="10">
        <v>4445</v>
      </c>
      <c r="E9" s="10">
        <v>3895</v>
      </c>
      <c r="F9" s="10">
        <v>3416</v>
      </c>
      <c r="G9" s="10"/>
      <c r="H9" s="10"/>
      <c r="I9" s="10"/>
      <c r="J9" s="11">
        <f t="shared" si="0"/>
        <v>224.97187851518558</v>
      </c>
      <c r="K9" s="11">
        <f t="shared" si="0"/>
        <v>256.73940949935815</v>
      </c>
      <c r="L9" s="11">
        <f t="shared" si="0"/>
        <v>292.74004683840747</v>
      </c>
      <c r="M9" s="11" t="str">
        <f t="shared" si="0"/>
        <v/>
      </c>
      <c r="N9" s="11" t="str">
        <f t="shared" si="0"/>
        <v/>
      </c>
      <c r="O9" s="11" t="str">
        <f t="shared" si="0"/>
        <v/>
      </c>
      <c r="Q9" s="9" t="s">
        <v>16</v>
      </c>
      <c r="R9" s="9" t="s">
        <v>17</v>
      </c>
      <c r="S9" s="9" t="s">
        <v>12</v>
      </c>
      <c r="T9" s="10">
        <v>4629</v>
      </c>
      <c r="U9" s="10">
        <v>4109</v>
      </c>
      <c r="V9" s="10">
        <v>3445</v>
      </c>
      <c r="W9" s="10"/>
      <c r="X9" s="10"/>
      <c r="Y9" s="10"/>
      <c r="Z9" s="11">
        <f t="shared" si="1"/>
        <v>216.02937999567942</v>
      </c>
      <c r="AA9" s="11">
        <f t="shared" si="2"/>
        <v>243.36821611097591</v>
      </c>
      <c r="AB9" s="11">
        <f t="shared" si="3"/>
        <v>290.27576197387515</v>
      </c>
      <c r="AC9" s="11" t="str">
        <f t="shared" si="4"/>
        <v/>
      </c>
      <c r="AD9" s="11" t="str">
        <f t="shared" si="5"/>
        <v/>
      </c>
      <c r="AE9" s="11" t="str">
        <f t="shared" si="6"/>
        <v/>
      </c>
    </row>
    <row r="10" spans="1:31" x14ac:dyDescent="0.25">
      <c r="A10" s="9" t="s">
        <v>18</v>
      </c>
      <c r="B10" s="8" t="s">
        <v>19</v>
      </c>
      <c r="C10" s="9" t="s">
        <v>12</v>
      </c>
      <c r="D10" s="10">
        <v>4457</v>
      </c>
      <c r="E10" s="10">
        <v>4014</v>
      </c>
      <c r="F10" s="10">
        <v>3317</v>
      </c>
      <c r="G10" s="10"/>
      <c r="H10" s="10"/>
      <c r="I10" s="10"/>
      <c r="J10" s="11">
        <f t="shared" si="0"/>
        <v>224.3661655822302</v>
      </c>
      <c r="K10" s="11">
        <f t="shared" si="0"/>
        <v>249.12805181863476</v>
      </c>
      <c r="L10" s="11">
        <f t="shared" si="0"/>
        <v>301.47723846849561</v>
      </c>
      <c r="M10" s="11" t="str">
        <f t="shared" si="0"/>
        <v/>
      </c>
      <c r="N10" s="11" t="str">
        <f t="shared" si="0"/>
        <v/>
      </c>
      <c r="O10" s="11" t="str">
        <f t="shared" si="0"/>
        <v/>
      </c>
      <c r="Q10" s="9" t="s">
        <v>18</v>
      </c>
      <c r="R10" s="8" t="s">
        <v>19</v>
      </c>
      <c r="S10" s="9" t="s">
        <v>12</v>
      </c>
      <c r="T10" s="10">
        <v>4480</v>
      </c>
      <c r="U10" s="10">
        <v>4103</v>
      </c>
      <c r="V10" s="10">
        <v>3374</v>
      </c>
      <c r="W10" s="10"/>
      <c r="X10" s="10"/>
      <c r="Y10" s="10"/>
      <c r="Z10" s="11">
        <f t="shared" si="1"/>
        <v>223.21428571428569</v>
      </c>
      <c r="AA10" s="11">
        <f t="shared" si="2"/>
        <v>243.72410431391665</v>
      </c>
      <c r="AB10" s="11">
        <f t="shared" si="3"/>
        <v>296.38411381149967</v>
      </c>
      <c r="AC10" s="11" t="str">
        <f t="shared" si="4"/>
        <v/>
      </c>
      <c r="AD10" s="11" t="str">
        <f t="shared" si="5"/>
        <v/>
      </c>
      <c r="AE10" s="11" t="str">
        <f t="shared" si="6"/>
        <v/>
      </c>
    </row>
    <row r="12" spans="1:31" ht="18.75" x14ac:dyDescent="0.3">
      <c r="A12" s="103" t="s">
        <v>21</v>
      </c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16"/>
    </row>
    <row r="13" spans="1:31" x14ac:dyDescent="0.25">
      <c r="A13" s="105" t="s">
        <v>2</v>
      </c>
      <c r="B13" s="105"/>
      <c r="C13" s="105"/>
      <c r="D13" s="106" t="s">
        <v>20</v>
      </c>
      <c r="E13" s="106"/>
      <c r="F13" s="106"/>
      <c r="G13" s="106"/>
      <c r="H13" s="106"/>
      <c r="I13" s="106"/>
      <c r="J13" s="106" t="s">
        <v>23</v>
      </c>
      <c r="K13" s="106"/>
      <c r="L13" s="106"/>
      <c r="M13" s="106"/>
      <c r="N13" s="106"/>
      <c r="O13" s="106"/>
    </row>
    <row r="14" spans="1:31" x14ac:dyDescent="0.25">
      <c r="A14" s="6" t="s">
        <v>5</v>
      </c>
      <c r="B14" s="6" t="s">
        <v>6</v>
      </c>
      <c r="C14" s="6" t="s">
        <v>7</v>
      </c>
      <c r="D14" s="7">
        <v>1</v>
      </c>
      <c r="E14" s="7">
        <v>4</v>
      </c>
      <c r="F14" s="7">
        <v>16</v>
      </c>
      <c r="G14" s="7">
        <v>32</v>
      </c>
      <c r="H14" s="7">
        <v>64</v>
      </c>
      <c r="I14" s="7">
        <v>80</v>
      </c>
      <c r="J14" s="7">
        <v>1</v>
      </c>
      <c r="K14" s="7">
        <v>4</v>
      </c>
      <c r="L14" s="7">
        <v>16</v>
      </c>
      <c r="M14" s="7">
        <v>32</v>
      </c>
      <c r="N14" s="7">
        <v>64</v>
      </c>
      <c r="O14" s="7">
        <v>80</v>
      </c>
    </row>
    <row r="15" spans="1:31" x14ac:dyDescent="0.25">
      <c r="A15" s="8" t="s">
        <v>8</v>
      </c>
      <c r="B15" s="9" t="s">
        <v>9</v>
      </c>
      <c r="C15" s="9" t="s">
        <v>10</v>
      </c>
      <c r="D15" s="12">
        <f>IF(D5="","",(D5-'cRIO-9024 Benchmark'!D5)/'cRIO-9024 Benchmark'!D5)</f>
        <v>-0.47606000596804382</v>
      </c>
      <c r="E15" s="12">
        <f>IF(E5="","",(E5-'cRIO-9024 Benchmark'!E5)/'cRIO-9024 Benchmark'!E5)</f>
        <v>-0.17179908955280976</v>
      </c>
      <c r="F15" s="12">
        <f>IF(F5="","",(F5-'cRIO-9024 Benchmark'!F5)/'cRIO-9024 Benchmark'!F5)</f>
        <v>-6.362458615229595E-2</v>
      </c>
      <c r="G15" s="12" t="str">
        <f>IF(G5="","",(G5-'cRIO-9024 Benchmark'!G5)/'cRIO-9024 Benchmark'!G5)</f>
        <v/>
      </c>
      <c r="H15" s="12" t="str">
        <f>IF(H5="","",(H5-'cRIO-9024 Benchmark'!H5)/'cRIO-9024 Benchmark'!H5)</f>
        <v/>
      </c>
      <c r="I15" s="12" t="str">
        <f>IF(I5="","",(I5-'cRIO-9024 Benchmark'!I5)/'cRIO-9024 Benchmark'!I5)</f>
        <v/>
      </c>
      <c r="J15" s="11">
        <f>IF(D15="","",J5-((1/'cRIO-9024 Benchmark'!D5)*1000000))</f>
        <v>12.324220926997096</v>
      </c>
      <c r="K15" s="11">
        <f>IF(E15="","",K5-((1/'cRIO-9024 Benchmark'!E5)*1000000))</f>
        <v>7.9352928199912185</v>
      </c>
      <c r="L15" s="11">
        <f>IF(F15="","",L5-((1/'cRIO-9024 Benchmark'!F5)*1000000))</f>
        <v>9.7808741202607052</v>
      </c>
      <c r="M15" s="11" t="str">
        <f>IF(G15="","",M5-((1/'cRIO-9024 Benchmark'!G5)*1000000))</f>
        <v/>
      </c>
      <c r="N15" s="11" t="str">
        <f>IF(H15="","",N5-((1/'cRIO-9024 Benchmark'!H5)*1000000))</f>
        <v/>
      </c>
      <c r="O15" s="11" t="str">
        <f>IF(I15="","",O5-((1/'cRIO-9024 Benchmark'!I5)*1000000))</f>
        <v/>
      </c>
    </row>
    <row r="16" spans="1:31" x14ac:dyDescent="0.25">
      <c r="A16" s="8" t="s">
        <v>11</v>
      </c>
      <c r="B16" s="9" t="s">
        <v>9</v>
      </c>
      <c r="C16" s="9" t="s">
        <v>12</v>
      </c>
      <c r="D16" s="12">
        <f>IF(D6="","",(D6-'cRIO-9024 Benchmark'!D6)/'cRIO-9024 Benchmark'!D6)</f>
        <v>-0.64890878962027998</v>
      </c>
      <c r="E16" s="12">
        <f>IF(E6="","",(E6-'cRIO-9024 Benchmark'!E6)/'cRIO-9024 Benchmark'!E6)</f>
        <v>-0.50094840667678298</v>
      </c>
      <c r="F16" s="12">
        <f>IF(F6="","",(F6-'cRIO-9024 Benchmark'!F6)/'cRIO-9024 Benchmark'!F6)</f>
        <v>-0.21530920060331826</v>
      </c>
      <c r="G16" s="12" t="str">
        <f>IF(G6="","",(G6-'cRIO-9024 Benchmark'!G6)/'cRIO-9024 Benchmark'!G6)</f>
        <v/>
      </c>
      <c r="H16" s="12" t="str">
        <f>IF(H6="","",(H6-'cRIO-9024 Benchmark'!H6)/'cRIO-9024 Benchmark'!H6)</f>
        <v/>
      </c>
      <c r="I16" s="12" t="str">
        <f>IF(I6="","",(I6-'cRIO-9024 Benchmark'!I6)/'cRIO-9024 Benchmark'!I6)</f>
        <v/>
      </c>
      <c r="J16" s="11">
        <f>IF(D16="","",J6-((1/'cRIO-9024 Benchmark'!D6)*1000000))</f>
        <v>65.164570156686068</v>
      </c>
      <c r="K16" s="11">
        <f>IF(E16="","",K6-((1/'cRIO-9024 Benchmark'!E6)*1000000))</f>
        <v>63.467427679815415</v>
      </c>
      <c r="L16" s="11">
        <f>IF(F16="","",L6-((1/'cRIO-9024 Benchmark'!F6)*1000000))</f>
        <v>51.73214815072518</v>
      </c>
      <c r="M16" s="11" t="str">
        <f>IF(G16="","",M6-((1/'cRIO-9024 Benchmark'!G6)*1000000))</f>
        <v/>
      </c>
      <c r="N16" s="11" t="str">
        <f>IF(H16="","",N6-((1/'cRIO-9024 Benchmark'!H6)*1000000))</f>
        <v/>
      </c>
      <c r="O16" s="11" t="str">
        <f>IF(I16="","",O6-((1/'cRIO-9024 Benchmark'!I6)*1000000))</f>
        <v/>
      </c>
    </row>
    <row r="17" spans="1:31" x14ac:dyDescent="0.25">
      <c r="A17" s="9" t="s">
        <v>13</v>
      </c>
      <c r="B17" s="9" t="s">
        <v>14</v>
      </c>
      <c r="C17" s="9" t="s">
        <v>10</v>
      </c>
      <c r="D17" s="12">
        <f>IF(D7="","",(D7-'cRIO-9024 Benchmark'!D7)/'cRIO-9024 Benchmark'!D7)</f>
        <v>-0.37482201312332103</v>
      </c>
      <c r="E17" s="12">
        <f>IF(E7="","",(E7-'cRIO-9024 Benchmark'!E7)/'cRIO-9024 Benchmark'!E7)</f>
        <v>-0.42867393156643796</v>
      </c>
      <c r="F17" s="12">
        <f>IF(F7="","",(F7-'cRIO-9024 Benchmark'!F7)/'cRIO-9024 Benchmark'!F7)</f>
        <v>-0.22751154274797006</v>
      </c>
      <c r="G17" s="12" t="str">
        <f>IF(G7="","",(G7-'cRIO-9024 Benchmark'!G7)/'cRIO-9024 Benchmark'!G7)</f>
        <v/>
      </c>
      <c r="H17" s="12" t="str">
        <f>IF(H7="","",(H7-'cRIO-9024 Benchmark'!H7)/'cRIO-9024 Benchmark'!H7)</f>
        <v/>
      </c>
      <c r="I17" s="12" t="str">
        <f>IF(I7="","",(I7-'cRIO-9024 Benchmark'!I7)/'cRIO-9024 Benchmark'!I7)</f>
        <v/>
      </c>
      <c r="J17" s="11">
        <f>IF(D17="","",J7-((1/'cRIO-9024 Benchmark'!D7)*1000000))</f>
        <v>8.80091134150417</v>
      </c>
      <c r="K17" s="11">
        <f>IF(E17="","",K7-((1/'cRIO-9024 Benchmark'!E7)*1000000))</f>
        <v>33.647875319186646</v>
      </c>
      <c r="L17" s="11">
        <f>IF(F17="","",L7-((1/'cRIO-9024 Benchmark'!F7)*1000000))</f>
        <v>46.89026025308533</v>
      </c>
      <c r="M17" s="11" t="str">
        <f>IF(G17="","",M7-((1/'cRIO-9024 Benchmark'!G7)*1000000))</f>
        <v/>
      </c>
      <c r="N17" s="11" t="str">
        <f>IF(H17="","",N7-((1/'cRIO-9024 Benchmark'!H7)*1000000))</f>
        <v/>
      </c>
      <c r="O17" s="11" t="str">
        <f>IF(I17="","",O7-((1/'cRIO-9024 Benchmark'!I7)*1000000))</f>
        <v/>
      </c>
    </row>
    <row r="18" spans="1:31" x14ac:dyDescent="0.25">
      <c r="A18" s="9" t="s">
        <v>15</v>
      </c>
      <c r="B18" s="9" t="s">
        <v>14</v>
      </c>
      <c r="C18" s="9" t="s">
        <v>12</v>
      </c>
      <c r="D18" s="12">
        <f>IF(D8="","",(D8-'cRIO-9024 Benchmark'!D8)/'cRIO-9024 Benchmark'!D8)</f>
        <v>-0.55120862052227937</v>
      </c>
      <c r="E18" s="12">
        <f>IF(E8="","",(E8-'cRIO-9024 Benchmark'!E8)/'cRIO-9024 Benchmark'!E8)</f>
        <v>-0.40021175224986766</v>
      </c>
      <c r="F18" s="12">
        <f>IF(F8="","",(F8-'cRIO-9024 Benchmark'!F8)/'cRIO-9024 Benchmark'!F8)</f>
        <v>-0.2286544479213232</v>
      </c>
      <c r="G18" s="12" t="str">
        <f>IF(G8="","",(G8-'cRIO-9024 Benchmark'!G8)/'cRIO-9024 Benchmark'!G8)</f>
        <v/>
      </c>
      <c r="H18" s="12" t="str">
        <f>IF(H8="","",(H8-'cRIO-9024 Benchmark'!H8)/'cRIO-9024 Benchmark'!H8)</f>
        <v/>
      </c>
      <c r="I18" s="12" t="str">
        <f>IF(I8="","",(I8-'cRIO-9024 Benchmark'!I8)/'cRIO-9024 Benchmark'!I8)</f>
        <v/>
      </c>
      <c r="J18" s="11">
        <f>IF(D18="","",J8-((1/'cRIO-9024 Benchmark'!D8)*1000000))</f>
        <v>59.615900986619025</v>
      </c>
      <c r="K18" s="11">
        <f>IF(E18="","",K8-((1/'cRIO-9024 Benchmark'!E8)*1000000))</f>
        <v>58.871984738138778</v>
      </c>
      <c r="L18" s="11">
        <f>IF(F18="","",L8-((1/'cRIO-9024 Benchmark'!F8)*1000000))</f>
        <v>66.257446514437305</v>
      </c>
      <c r="M18" s="11" t="str">
        <f>IF(G18="","",M8-((1/'cRIO-9024 Benchmark'!G8)*1000000))</f>
        <v/>
      </c>
      <c r="N18" s="11" t="str">
        <f>IF(H18="","",N8-((1/'cRIO-9024 Benchmark'!H8)*1000000))</f>
        <v/>
      </c>
      <c r="O18" s="11" t="str">
        <f>IF(I18="","",O8-((1/'cRIO-9024 Benchmark'!I8)*1000000))</f>
        <v/>
      </c>
    </row>
    <row r="19" spans="1:31" x14ac:dyDescent="0.25">
      <c r="A19" s="9" t="s">
        <v>16</v>
      </c>
      <c r="B19" s="9" t="s">
        <v>17</v>
      </c>
      <c r="C19" s="9" t="s">
        <v>12</v>
      </c>
      <c r="D19" s="12">
        <f>IF(D9="","",(D9-'cRIO-9024 Benchmark'!D9)/'cRIO-9024 Benchmark'!D9)</f>
        <v>-0.74527220630372493</v>
      </c>
      <c r="E19" s="12">
        <f>IF(E9="","",(E9-'cRIO-9024 Benchmark'!E9)/'cRIO-9024 Benchmark'!E9)</f>
        <v>-0.61416542842991584</v>
      </c>
      <c r="F19" s="12">
        <f>IF(F9="","",(F9-'cRIO-9024 Benchmark'!F9)/'cRIO-9024 Benchmark'!F9)</f>
        <v>-0.17368166424770198</v>
      </c>
      <c r="G19" s="12" t="str">
        <f>IF(G9="","",(G9-'cRIO-9024 Benchmark'!G9)/'cRIO-9024 Benchmark'!G9)</f>
        <v/>
      </c>
      <c r="H19" s="12" t="str">
        <f>IF(H9="","",(H9-'cRIO-9024 Benchmark'!H9)/'cRIO-9024 Benchmark'!H9)</f>
        <v/>
      </c>
      <c r="I19" s="12" t="str">
        <f>IF(I9="","",(I9-'cRIO-9024 Benchmark'!I9)/'cRIO-9024 Benchmark'!I9)</f>
        <v/>
      </c>
      <c r="J19" s="11">
        <f>IF(D19="","",J9-((1/'cRIO-9024 Benchmark'!D9)*1000000))</f>
        <v>167.66528825730592</v>
      </c>
      <c r="K19" s="11">
        <f>IF(E19="","",K9-((1/'cRIO-9024 Benchmark'!E9)*1000000))</f>
        <v>157.6804694300169</v>
      </c>
      <c r="L19" s="11">
        <f>IF(F19="","",L9-((1/'cRIO-9024 Benchmark'!F9)*1000000))</f>
        <v>50.843578526844823</v>
      </c>
      <c r="M19" s="11" t="str">
        <f>IF(G19="","",M9-((1/'cRIO-9024 Benchmark'!G9)*1000000))</f>
        <v/>
      </c>
      <c r="N19" s="11" t="str">
        <f>IF(H19="","",N9-((1/'cRIO-9024 Benchmark'!H9)*1000000))</f>
        <v/>
      </c>
      <c r="O19" s="11" t="str">
        <f>IF(I19="","",O9-((1/'cRIO-9024 Benchmark'!I9)*1000000))</f>
        <v/>
      </c>
    </row>
    <row r="20" spans="1:31" x14ac:dyDescent="0.25">
      <c r="A20" s="9" t="s">
        <v>18</v>
      </c>
      <c r="B20" s="8" t="s">
        <v>19</v>
      </c>
      <c r="C20" s="9" t="s">
        <v>12</v>
      </c>
      <c r="D20" s="12">
        <f>IF(D10="","",(D10-'cRIO-9024 Benchmark'!D10)/'cRIO-9024 Benchmark'!D10)</f>
        <v>-0.71337620578778138</v>
      </c>
      <c r="E20" s="12">
        <f>IF(E10="","",(E10-'cRIO-9024 Benchmark'!E10)/'cRIO-9024 Benchmark'!E10)</f>
        <v>-0.58291770573566082</v>
      </c>
      <c r="F20" s="12">
        <f>IF(F10="","",(F10-'cRIO-9024 Benchmark'!F10)/'cRIO-9024 Benchmark'!F10)</f>
        <v>-0.22081277895231383</v>
      </c>
      <c r="G20" s="12" t="str">
        <f>IF(G10="","",(G10-'cRIO-9024 Benchmark'!G10)/'cRIO-9024 Benchmark'!G10)</f>
        <v/>
      </c>
      <c r="H20" s="12" t="str">
        <f>IF(H10="","",(H10-'cRIO-9024 Benchmark'!H10)/'cRIO-9024 Benchmark'!H10)</f>
        <v/>
      </c>
      <c r="I20" s="12" t="str">
        <f>IF(I10="","",(I10-'cRIO-9024 Benchmark'!I10)/'cRIO-9024 Benchmark'!I10)</f>
        <v/>
      </c>
      <c r="J20" s="11">
        <f>IF(D20="","",J10-((1/'cRIO-9024 Benchmark'!D10)*1000000))</f>
        <v>160.0574839102045</v>
      </c>
      <c r="K20" s="11">
        <f>IF(E20="","",K10-((1/'cRIO-9024 Benchmark'!E10)*1000000))</f>
        <v>145.2211524005134</v>
      </c>
      <c r="L20" s="11">
        <f>IF(F20="","",L10-((1/'cRIO-9024 Benchmark'!F10)*1000000))</f>
        <v>66.570026817097897</v>
      </c>
      <c r="M20" s="11" t="str">
        <f>IF(G20="","",M10-((1/'cRIO-9024 Benchmark'!G10)*1000000))</f>
        <v/>
      </c>
      <c r="N20" s="11" t="str">
        <f>IF(H20="","",N10-((1/'cRIO-9024 Benchmark'!H10)*1000000))</f>
        <v/>
      </c>
      <c r="O20" s="11" t="str">
        <f>IF(I20="","",O10-((1/'cRIO-9024 Benchmark'!I10)*1000000))</f>
        <v/>
      </c>
    </row>
    <row r="22" spans="1:31" ht="18.75" x14ac:dyDescent="0.3">
      <c r="A22" s="13" t="s">
        <v>28</v>
      </c>
      <c r="B22" s="1"/>
      <c r="C22" s="1"/>
      <c r="D22" s="1"/>
      <c r="E22" s="1"/>
    </row>
    <row r="23" spans="1:31" x14ac:dyDescent="0.25">
      <c r="A23" s="105" t="s">
        <v>2</v>
      </c>
      <c r="B23" s="105"/>
      <c r="C23" s="105"/>
      <c r="D23" s="14" t="s">
        <v>25</v>
      </c>
      <c r="E23" s="14" t="s">
        <v>26</v>
      </c>
    </row>
    <row r="24" spans="1:31" x14ac:dyDescent="0.25">
      <c r="A24" s="6" t="s">
        <v>5</v>
      </c>
      <c r="B24" s="6" t="s">
        <v>6</v>
      </c>
      <c r="C24" s="6" t="s">
        <v>7</v>
      </c>
      <c r="D24" s="7" t="s">
        <v>24</v>
      </c>
      <c r="E24" s="7" t="s">
        <v>24</v>
      </c>
    </row>
    <row r="25" spans="1:31" x14ac:dyDescent="0.25">
      <c r="A25" s="8" t="s">
        <v>8</v>
      </c>
      <c r="B25" s="9" t="s">
        <v>9</v>
      </c>
      <c r="C25" s="9" t="s">
        <v>10</v>
      </c>
      <c r="D25" s="12">
        <f>IF(D5="","",(D5-35380)/35380)</f>
        <v>9.1803278688524587E-2</v>
      </c>
      <c r="E25" s="11">
        <f>IF(D5="","",J5-((1/35380)*1000000))</f>
        <v>-2.37659932402725</v>
      </c>
    </row>
    <row r="26" spans="1:31" x14ac:dyDescent="0.25">
      <c r="A26" s="8" t="s">
        <v>11</v>
      </c>
      <c r="B26" s="9" t="s">
        <v>9</v>
      </c>
      <c r="C26" s="9" t="s">
        <v>12</v>
      </c>
      <c r="D26" s="12">
        <f>IF(D6="","",(D6-9711)/9711)</f>
        <v>2.5435073627844713E-2</v>
      </c>
      <c r="E26" s="11">
        <f>IF(D6="","",J6-((1/9711)*1000000))</f>
        <v>-2.5542351504162184</v>
      </c>
    </row>
    <row r="27" spans="1:31" x14ac:dyDescent="0.25">
      <c r="A27" s="9" t="s">
        <v>13</v>
      </c>
      <c r="B27" s="9" t="s">
        <v>14</v>
      </c>
      <c r="C27" s="9" t="s">
        <v>10</v>
      </c>
      <c r="D27" s="12">
        <f>IF(D7="","",(D7-31192)/31192)</f>
        <v>0.36538214926904333</v>
      </c>
      <c r="E27" s="11">
        <f>IF(D7="","",J7-((1/31192)*1000000))</f>
        <v>-8.5792610596408245</v>
      </c>
    </row>
    <row r="28" spans="1:31" x14ac:dyDescent="0.25">
      <c r="A28" s="9" t="s">
        <v>15</v>
      </c>
      <c r="B28" s="9" t="s">
        <v>14</v>
      </c>
      <c r="C28" s="9" t="s">
        <v>12</v>
      </c>
      <c r="D28" s="12">
        <f>IF(D8="","",(D8-6490)/6490)</f>
        <v>0.424653312788906</v>
      </c>
      <c r="E28" s="11">
        <f>IF(D8="","",J8-((1/6490)*1000000))</f>
        <v>-45.928327145674444</v>
      </c>
    </row>
    <row r="29" spans="1:31" x14ac:dyDescent="0.25">
      <c r="A29" s="9" t="s">
        <v>16</v>
      </c>
      <c r="B29" s="9" t="s">
        <v>17</v>
      </c>
      <c r="C29" s="9" t="s">
        <v>12</v>
      </c>
      <c r="D29" s="12" t="s">
        <v>27</v>
      </c>
      <c r="E29" s="12" t="s">
        <v>27</v>
      </c>
    </row>
    <row r="30" spans="1:31" x14ac:dyDescent="0.25">
      <c r="A30" s="9" t="s">
        <v>18</v>
      </c>
      <c r="B30" s="8" t="s">
        <v>19</v>
      </c>
      <c r="C30" s="9" t="s">
        <v>12</v>
      </c>
      <c r="D30" s="12" t="s">
        <v>27</v>
      </c>
      <c r="E30" s="12" t="s">
        <v>27</v>
      </c>
    </row>
    <row r="32" spans="1:31" ht="18.75" hidden="1" x14ac:dyDescent="0.25">
      <c r="A32" s="119" t="s">
        <v>0</v>
      </c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1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</row>
    <row r="33" spans="1:31" ht="15.75" hidden="1" customHeight="1" x14ac:dyDescent="0.25">
      <c r="A33" s="122" t="s">
        <v>33</v>
      </c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4"/>
      <c r="Q33" s="117" t="s">
        <v>22</v>
      </c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</row>
    <row r="34" spans="1:31" hidden="1" x14ac:dyDescent="0.25">
      <c r="A34" s="105" t="s">
        <v>2</v>
      </c>
      <c r="B34" s="105"/>
      <c r="C34" s="105"/>
      <c r="D34" s="106" t="s">
        <v>3</v>
      </c>
      <c r="E34" s="106"/>
      <c r="F34" s="106"/>
      <c r="G34" s="106"/>
      <c r="H34" s="106"/>
      <c r="I34" s="106"/>
      <c r="J34" s="106" t="s">
        <v>4</v>
      </c>
      <c r="K34" s="106"/>
      <c r="L34" s="106"/>
      <c r="M34" s="106"/>
      <c r="N34" s="106"/>
      <c r="O34" s="106"/>
      <c r="Q34" s="113" t="s">
        <v>2</v>
      </c>
      <c r="R34" s="114"/>
      <c r="S34" s="115"/>
      <c r="T34" s="111" t="s">
        <v>3</v>
      </c>
      <c r="U34" s="112"/>
      <c r="V34" s="112"/>
      <c r="W34" s="112"/>
      <c r="X34" s="112"/>
      <c r="Y34" s="112"/>
      <c r="Z34" s="111" t="s">
        <v>4</v>
      </c>
      <c r="AA34" s="112"/>
      <c r="AB34" s="112"/>
      <c r="AC34" s="112"/>
      <c r="AD34" s="112"/>
      <c r="AE34" s="112"/>
    </row>
    <row r="35" spans="1:31" hidden="1" x14ac:dyDescent="0.25">
      <c r="A35" s="6" t="s">
        <v>32</v>
      </c>
      <c r="B35" s="6" t="s">
        <v>6</v>
      </c>
      <c r="C35" s="6" t="s">
        <v>7</v>
      </c>
      <c r="D35" s="7">
        <v>1</v>
      </c>
      <c r="E35" s="7">
        <v>4</v>
      </c>
      <c r="F35" s="7">
        <v>16</v>
      </c>
      <c r="G35" s="7">
        <v>32</v>
      </c>
      <c r="H35" s="7">
        <v>64</v>
      </c>
      <c r="I35" s="7">
        <v>80</v>
      </c>
      <c r="J35" s="7">
        <v>1</v>
      </c>
      <c r="K35" s="7">
        <v>4</v>
      </c>
      <c r="L35" s="7">
        <v>16</v>
      </c>
      <c r="M35" s="7">
        <v>32</v>
      </c>
      <c r="N35" s="7">
        <v>64</v>
      </c>
      <c r="O35" s="7">
        <v>80</v>
      </c>
      <c r="Q35" s="6" t="s">
        <v>32</v>
      </c>
      <c r="R35" s="6" t="s">
        <v>6</v>
      </c>
      <c r="S35" s="6" t="s">
        <v>7</v>
      </c>
      <c r="T35" s="7">
        <v>1</v>
      </c>
      <c r="U35" s="7">
        <v>4</v>
      </c>
      <c r="V35" s="7">
        <v>16</v>
      </c>
      <c r="W35" s="7">
        <v>32</v>
      </c>
      <c r="X35" s="7">
        <v>64</v>
      </c>
      <c r="Y35" s="7">
        <v>80</v>
      </c>
      <c r="Z35" s="7">
        <v>1</v>
      </c>
      <c r="AA35" s="7">
        <v>4</v>
      </c>
      <c r="AB35" s="7">
        <v>16</v>
      </c>
      <c r="AC35" s="7">
        <v>32</v>
      </c>
      <c r="AD35" s="7">
        <v>64</v>
      </c>
      <c r="AE35" s="7">
        <v>80</v>
      </c>
    </row>
    <row r="36" spans="1:31" hidden="1" x14ac:dyDescent="0.25">
      <c r="A36" s="8" t="s">
        <v>8</v>
      </c>
      <c r="B36" s="9" t="s">
        <v>9</v>
      </c>
      <c r="C36" s="9" t="s">
        <v>10</v>
      </c>
      <c r="D36" s="10">
        <v>49932</v>
      </c>
      <c r="E36" s="10">
        <v>36058</v>
      </c>
      <c r="F36" s="10">
        <v>15922</v>
      </c>
      <c r="G36" s="10"/>
      <c r="H36" s="10"/>
      <c r="I36" s="10"/>
      <c r="J36" s="11">
        <f t="shared" ref="J36:J41" si="7">IF(D36="","",(1/D36)*1000000)</f>
        <v>20.027237042377632</v>
      </c>
      <c r="K36" s="11">
        <f t="shared" ref="K36:K41" si="8">IF(E36="","",(1/E36)*1000000)</f>
        <v>27.733096677575016</v>
      </c>
      <c r="L36" s="11">
        <f t="shared" ref="L36:L41" si="9">IF(F36="","",(1/F36)*1000000)</f>
        <v>62.806180128124609</v>
      </c>
      <c r="M36" s="11" t="str">
        <f t="shared" ref="M36:M41" si="10">IF(G36="","",(1/G36)*1000000)</f>
        <v/>
      </c>
      <c r="N36" s="11" t="str">
        <f t="shared" ref="N36:N41" si="11">IF(H36="","",(1/H36)*1000000)</f>
        <v/>
      </c>
      <c r="O36" s="11" t="str">
        <f t="shared" ref="O36:O41" si="12">IF(I36="","",(1/I36)*1000000)</f>
        <v/>
      </c>
      <c r="Q36" s="8" t="s">
        <v>8</v>
      </c>
      <c r="R36" s="9" t="s">
        <v>9</v>
      </c>
      <c r="S36" s="9" t="s">
        <v>10</v>
      </c>
      <c r="T36" s="10">
        <v>51861</v>
      </c>
      <c r="U36" s="10">
        <v>36604</v>
      </c>
      <c r="V36" s="10">
        <v>15842</v>
      </c>
      <c r="W36" s="10"/>
      <c r="X36" s="10"/>
      <c r="Y36" s="10"/>
      <c r="Z36" s="11">
        <f t="shared" ref="Z36:Z41" si="13">IF(T36="","",(1/T36)*1000000)</f>
        <v>19.282312334895199</v>
      </c>
      <c r="AA36" s="11">
        <f t="shared" ref="AA36:AA41" si="14">IF(U36="","",(1/U36)*1000000)</f>
        <v>27.319418642771282</v>
      </c>
      <c r="AB36" s="11">
        <f t="shared" ref="AB36:AB41" si="15">IF(V36="","",(1/V36)*1000000)</f>
        <v>63.123343012245925</v>
      </c>
      <c r="AC36" s="11" t="str">
        <f t="shared" ref="AC36:AC41" si="16">IF(W36="","",(1/W36)*1000000)</f>
        <v/>
      </c>
      <c r="AD36" s="11" t="str">
        <f t="shared" ref="AD36:AD41" si="17">IF(X36="","",(1/X36)*1000000)</f>
        <v/>
      </c>
      <c r="AE36" s="11" t="str">
        <f t="shared" ref="AE36:AE41" si="18">IF(Y36="","",(1/Y36)*1000000)</f>
        <v/>
      </c>
    </row>
    <row r="37" spans="1:31" hidden="1" x14ac:dyDescent="0.25">
      <c r="A37" s="8" t="s">
        <v>11</v>
      </c>
      <c r="B37" s="9" t="s">
        <v>9</v>
      </c>
      <c r="C37" s="9" t="s">
        <v>12</v>
      </c>
      <c r="D37" s="10">
        <v>9975</v>
      </c>
      <c r="E37" s="10">
        <v>9118</v>
      </c>
      <c r="F37" s="10">
        <v>6980</v>
      </c>
      <c r="G37" s="10"/>
      <c r="H37" s="10"/>
      <c r="I37" s="10"/>
      <c r="J37" s="11">
        <f t="shared" si="7"/>
        <v>100.25062656641605</v>
      </c>
      <c r="K37" s="11">
        <f t="shared" si="8"/>
        <v>109.67317394165387</v>
      </c>
      <c r="L37" s="11">
        <f t="shared" si="9"/>
        <v>143.26647564469914</v>
      </c>
      <c r="M37" s="11" t="str">
        <f t="shared" si="10"/>
        <v/>
      </c>
      <c r="N37" s="11" t="str">
        <f t="shared" si="11"/>
        <v/>
      </c>
      <c r="O37" s="11" t="str">
        <f t="shared" si="12"/>
        <v/>
      </c>
      <c r="Q37" s="8" t="s">
        <v>11</v>
      </c>
      <c r="R37" s="9" t="s">
        <v>9</v>
      </c>
      <c r="S37" s="9" t="s">
        <v>12</v>
      </c>
      <c r="T37" s="10">
        <v>10257</v>
      </c>
      <c r="U37" s="10">
        <v>9338</v>
      </c>
      <c r="V37" s="10">
        <v>7085</v>
      </c>
      <c r="W37" s="10"/>
      <c r="X37" s="10"/>
      <c r="Y37" s="10"/>
      <c r="Z37" s="11">
        <f t="shared" si="13"/>
        <v>97.494394072340839</v>
      </c>
      <c r="AA37" s="11">
        <f t="shared" si="14"/>
        <v>107.08931248661384</v>
      </c>
      <c r="AB37" s="11">
        <f t="shared" si="15"/>
        <v>141.14326040931547</v>
      </c>
      <c r="AC37" s="11" t="str">
        <f t="shared" si="16"/>
        <v/>
      </c>
      <c r="AD37" s="11" t="str">
        <f t="shared" si="17"/>
        <v/>
      </c>
      <c r="AE37" s="11" t="str">
        <f t="shared" si="18"/>
        <v/>
      </c>
    </row>
    <row r="38" spans="1:31" hidden="1" x14ac:dyDescent="0.25">
      <c r="A38" s="9" t="s">
        <v>13</v>
      </c>
      <c r="B38" s="9" t="s">
        <v>14</v>
      </c>
      <c r="C38" s="9" t="s">
        <v>10</v>
      </c>
      <c r="D38" s="10">
        <v>44933</v>
      </c>
      <c r="E38" s="10">
        <v>19931</v>
      </c>
      <c r="F38" s="10">
        <v>11669</v>
      </c>
      <c r="G38" s="10"/>
      <c r="H38" s="10"/>
      <c r="I38" s="10"/>
      <c r="J38" s="11">
        <f t="shared" si="7"/>
        <v>22.255357977433064</v>
      </c>
      <c r="K38" s="11">
        <f t="shared" si="8"/>
        <v>50.173097185289251</v>
      </c>
      <c r="L38" s="11">
        <f t="shared" si="9"/>
        <v>85.697146285028708</v>
      </c>
      <c r="M38" s="11" t="str">
        <f t="shared" si="10"/>
        <v/>
      </c>
      <c r="N38" s="11" t="str">
        <f t="shared" si="11"/>
        <v/>
      </c>
      <c r="O38" s="11" t="str">
        <f t="shared" si="12"/>
        <v/>
      </c>
      <c r="Q38" s="9" t="s">
        <v>13</v>
      </c>
      <c r="R38" s="9" t="s">
        <v>14</v>
      </c>
      <c r="S38" s="9" t="s">
        <v>10</v>
      </c>
      <c r="T38" s="10">
        <v>46391</v>
      </c>
      <c r="U38" s="10">
        <v>25261</v>
      </c>
      <c r="V38" s="10">
        <v>11826</v>
      </c>
      <c r="W38" s="10"/>
      <c r="X38" s="10"/>
      <c r="Y38" s="10"/>
      <c r="Z38" s="11">
        <f t="shared" si="13"/>
        <v>21.555905240240566</v>
      </c>
      <c r="AA38" s="11">
        <f t="shared" si="14"/>
        <v>39.586714698547169</v>
      </c>
      <c r="AB38" s="11">
        <f t="shared" si="15"/>
        <v>84.559445290038894</v>
      </c>
      <c r="AC38" s="11" t="str">
        <f t="shared" si="16"/>
        <v/>
      </c>
      <c r="AD38" s="11" t="str">
        <f t="shared" si="17"/>
        <v/>
      </c>
      <c r="AE38" s="11" t="str">
        <f t="shared" si="18"/>
        <v/>
      </c>
    </row>
    <row r="39" spans="1:31" hidden="1" x14ac:dyDescent="0.25">
      <c r="A39" s="9" t="s">
        <v>15</v>
      </c>
      <c r="B39" s="9" t="s">
        <v>14</v>
      </c>
      <c r="C39" s="9" t="s">
        <v>12</v>
      </c>
      <c r="D39" s="10">
        <v>9757</v>
      </c>
      <c r="E39" s="10">
        <v>8283</v>
      </c>
      <c r="F39" s="10">
        <v>5975</v>
      </c>
      <c r="G39" s="10"/>
      <c r="H39" s="10"/>
      <c r="I39" s="10"/>
      <c r="J39" s="11">
        <f t="shared" si="7"/>
        <v>102.49051962693451</v>
      </c>
      <c r="K39" s="11">
        <f t="shared" si="8"/>
        <v>120.72920439454305</v>
      </c>
      <c r="L39" s="11">
        <f t="shared" si="9"/>
        <v>167.36401673640168</v>
      </c>
      <c r="M39" s="11" t="str">
        <f t="shared" si="10"/>
        <v/>
      </c>
      <c r="N39" s="11" t="str">
        <f t="shared" si="11"/>
        <v/>
      </c>
      <c r="O39" s="11" t="str">
        <f t="shared" si="12"/>
        <v/>
      </c>
      <c r="Q39" s="9" t="s">
        <v>15</v>
      </c>
      <c r="R39" s="9" t="s">
        <v>14</v>
      </c>
      <c r="S39" s="9" t="s">
        <v>12</v>
      </c>
      <c r="T39" s="10">
        <v>9910</v>
      </c>
      <c r="U39" s="10">
        <v>8847</v>
      </c>
      <c r="V39" s="10">
        <v>6223</v>
      </c>
      <c r="W39" s="10"/>
      <c r="X39" s="10"/>
      <c r="Y39" s="10"/>
      <c r="Z39" s="11">
        <f t="shared" si="13"/>
        <v>100.90817356205852</v>
      </c>
      <c r="AA39" s="11">
        <f t="shared" si="14"/>
        <v>113.03266644060133</v>
      </c>
      <c r="AB39" s="11">
        <f t="shared" si="15"/>
        <v>160.6941989394183</v>
      </c>
      <c r="AC39" s="11" t="str">
        <f t="shared" si="16"/>
        <v/>
      </c>
      <c r="AD39" s="11" t="str">
        <f t="shared" si="17"/>
        <v/>
      </c>
      <c r="AE39" s="11" t="str">
        <f t="shared" si="18"/>
        <v/>
      </c>
    </row>
    <row r="40" spans="1:31" hidden="1" x14ac:dyDescent="0.25">
      <c r="A40" s="9" t="s">
        <v>16</v>
      </c>
      <c r="B40" s="9" t="s">
        <v>17</v>
      </c>
      <c r="C40" s="9" t="s">
        <v>12</v>
      </c>
      <c r="D40" s="10">
        <v>4341</v>
      </c>
      <c r="E40" s="10">
        <v>7315</v>
      </c>
      <c r="F40" s="10">
        <v>5368</v>
      </c>
      <c r="G40" s="10"/>
      <c r="H40" s="10"/>
      <c r="I40" s="10"/>
      <c r="J40" s="11">
        <f t="shared" si="7"/>
        <v>230.36166781847498</v>
      </c>
      <c r="K40" s="11">
        <f t="shared" si="8"/>
        <v>136.70539986329459</v>
      </c>
      <c r="L40" s="11">
        <f t="shared" si="9"/>
        <v>186.28912071535024</v>
      </c>
      <c r="M40" s="11" t="str">
        <f t="shared" si="10"/>
        <v/>
      </c>
      <c r="N40" s="11" t="str">
        <f t="shared" si="11"/>
        <v/>
      </c>
      <c r="O40" s="11" t="str">
        <f t="shared" si="12"/>
        <v/>
      </c>
      <c r="Q40" s="9" t="s">
        <v>16</v>
      </c>
      <c r="R40" s="9" t="s">
        <v>17</v>
      </c>
      <c r="S40" s="9" t="s">
        <v>12</v>
      </c>
      <c r="T40" s="10">
        <v>4508</v>
      </c>
      <c r="U40" s="10">
        <v>7315</v>
      </c>
      <c r="V40" s="10">
        <v>5371</v>
      </c>
      <c r="W40" s="10"/>
      <c r="X40" s="10"/>
      <c r="Y40" s="10"/>
      <c r="Z40" s="11">
        <f t="shared" si="13"/>
        <v>221.82786157941439</v>
      </c>
      <c r="AA40" s="11">
        <f t="shared" si="14"/>
        <v>136.70539986329459</v>
      </c>
      <c r="AB40" s="11">
        <f t="shared" si="15"/>
        <v>186.18506795754982</v>
      </c>
      <c r="AC40" s="11" t="str">
        <f t="shared" si="16"/>
        <v/>
      </c>
      <c r="AD40" s="11" t="str">
        <f t="shared" si="17"/>
        <v/>
      </c>
      <c r="AE40" s="11" t="str">
        <f t="shared" si="18"/>
        <v/>
      </c>
    </row>
    <row r="41" spans="1:31" hidden="1" x14ac:dyDescent="0.25">
      <c r="A41" s="9" t="s">
        <v>18</v>
      </c>
      <c r="B41" s="8" t="s">
        <v>19</v>
      </c>
      <c r="C41" s="9" t="s">
        <v>12</v>
      </c>
      <c r="D41" s="10">
        <v>4306</v>
      </c>
      <c r="E41" s="10">
        <v>7170</v>
      </c>
      <c r="F41" s="10">
        <v>5447</v>
      </c>
      <c r="G41" s="10"/>
      <c r="H41" s="10"/>
      <c r="I41" s="10"/>
      <c r="J41" s="11">
        <f t="shared" si="7"/>
        <v>232.23409196470041</v>
      </c>
      <c r="K41" s="11">
        <f t="shared" si="8"/>
        <v>139.47001394700141</v>
      </c>
      <c r="L41" s="11">
        <f t="shared" si="9"/>
        <v>183.58729575913347</v>
      </c>
      <c r="M41" s="11" t="str">
        <f t="shared" si="10"/>
        <v/>
      </c>
      <c r="N41" s="11" t="str">
        <f t="shared" si="11"/>
        <v/>
      </c>
      <c r="O41" s="11" t="str">
        <f t="shared" si="12"/>
        <v/>
      </c>
      <c r="Q41" s="9" t="s">
        <v>18</v>
      </c>
      <c r="R41" s="8" t="s">
        <v>19</v>
      </c>
      <c r="S41" s="9" t="s">
        <v>12</v>
      </c>
      <c r="T41" s="10">
        <v>4419</v>
      </c>
      <c r="U41" s="10">
        <v>7315</v>
      </c>
      <c r="V41" s="10">
        <v>6187</v>
      </c>
      <c r="W41" s="10"/>
      <c r="X41" s="10"/>
      <c r="Y41" s="10"/>
      <c r="Z41" s="11">
        <f t="shared" si="13"/>
        <v>226.29554197782304</v>
      </c>
      <c r="AA41" s="11">
        <f t="shared" si="14"/>
        <v>136.70539986329459</v>
      </c>
      <c r="AB41" s="11">
        <f t="shared" si="15"/>
        <v>161.62922256343947</v>
      </c>
      <c r="AC41" s="11" t="str">
        <f t="shared" si="16"/>
        <v/>
      </c>
      <c r="AD41" s="11" t="str">
        <f t="shared" si="17"/>
        <v/>
      </c>
      <c r="AE41" s="11" t="str">
        <f t="shared" si="18"/>
        <v/>
      </c>
    </row>
    <row r="42" spans="1:31" hidden="1" x14ac:dyDescent="0.25">
      <c r="D42" t="s">
        <v>31</v>
      </c>
    </row>
    <row r="43" spans="1:31" ht="18.75" hidden="1" x14ac:dyDescent="0.3">
      <c r="A43" s="103" t="s">
        <v>29</v>
      </c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16"/>
      <c r="Q43" s="127" t="s">
        <v>21</v>
      </c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  <c r="AC43" s="128"/>
      <c r="AD43" s="128"/>
      <c r="AE43" s="129"/>
    </row>
    <row r="44" spans="1:31" hidden="1" x14ac:dyDescent="0.25">
      <c r="A44" s="105" t="s">
        <v>2</v>
      </c>
      <c r="B44" s="105"/>
      <c r="C44" s="105"/>
      <c r="D44" s="106" t="s">
        <v>20</v>
      </c>
      <c r="E44" s="106"/>
      <c r="F44" s="106"/>
      <c r="G44" s="106"/>
      <c r="H44" s="106"/>
      <c r="I44" s="106"/>
      <c r="J44" s="106" t="s">
        <v>23</v>
      </c>
      <c r="K44" s="106"/>
      <c r="L44" s="106"/>
      <c r="M44" s="106"/>
      <c r="N44" s="106"/>
      <c r="O44" s="106"/>
      <c r="Q44" s="105" t="s">
        <v>2</v>
      </c>
      <c r="R44" s="105"/>
      <c r="S44" s="105"/>
      <c r="T44" s="106" t="s">
        <v>20</v>
      </c>
      <c r="U44" s="106"/>
      <c r="V44" s="106"/>
      <c r="W44" s="106"/>
      <c r="X44" s="106"/>
      <c r="Y44" s="106"/>
      <c r="Z44" s="106" t="s">
        <v>23</v>
      </c>
      <c r="AA44" s="106"/>
      <c r="AB44" s="106"/>
      <c r="AC44" s="106"/>
      <c r="AD44" s="106"/>
      <c r="AE44" s="106"/>
    </row>
    <row r="45" spans="1:31" hidden="1" x14ac:dyDescent="0.25">
      <c r="A45" s="6" t="s">
        <v>32</v>
      </c>
      <c r="B45" s="6" t="s">
        <v>6</v>
      </c>
      <c r="C45" s="6" t="s">
        <v>7</v>
      </c>
      <c r="D45" s="7">
        <v>1</v>
      </c>
      <c r="E45" s="7">
        <v>4</v>
      </c>
      <c r="F45" s="7">
        <v>16</v>
      </c>
      <c r="G45" s="7">
        <v>32</v>
      </c>
      <c r="H45" s="7">
        <v>64</v>
      </c>
      <c r="I45" s="7">
        <v>80</v>
      </c>
      <c r="J45" s="7">
        <v>1</v>
      </c>
      <c r="K45" s="7">
        <v>4</v>
      </c>
      <c r="L45" s="7">
        <v>16</v>
      </c>
      <c r="M45" s="7">
        <v>32</v>
      </c>
      <c r="N45" s="7">
        <v>64</v>
      </c>
      <c r="O45" s="7">
        <v>80</v>
      </c>
      <c r="Q45" s="6" t="s">
        <v>32</v>
      </c>
      <c r="R45" s="6" t="s">
        <v>6</v>
      </c>
      <c r="S45" s="6" t="s">
        <v>7</v>
      </c>
      <c r="T45" s="7">
        <v>1</v>
      </c>
      <c r="U45" s="7">
        <v>4</v>
      </c>
      <c r="V45" s="7">
        <v>16</v>
      </c>
      <c r="W45" s="7">
        <v>32</v>
      </c>
      <c r="X45" s="7">
        <v>64</v>
      </c>
      <c r="Y45" s="7">
        <v>80</v>
      </c>
      <c r="Z45" s="7">
        <v>1</v>
      </c>
      <c r="AA45" s="7">
        <v>4</v>
      </c>
      <c r="AB45" s="7">
        <v>16</v>
      </c>
      <c r="AC45" s="7">
        <v>32</v>
      </c>
      <c r="AD45" s="7">
        <v>64</v>
      </c>
      <c r="AE45" s="7">
        <v>80</v>
      </c>
    </row>
    <row r="46" spans="1:31" hidden="1" x14ac:dyDescent="0.25">
      <c r="A46" s="8" t="s">
        <v>8</v>
      </c>
      <c r="B46" s="9" t="s">
        <v>9</v>
      </c>
      <c r="C46" s="9" t="s">
        <v>10</v>
      </c>
      <c r="D46" s="12">
        <f t="shared" ref="D46:F51" si="19">IF(D36="","",(D36-D5)/D5)</f>
        <v>0.29263746505125815</v>
      </c>
      <c r="E46" s="12">
        <f t="shared" si="19"/>
        <v>0.66549653579676671</v>
      </c>
      <c r="F46" s="12">
        <f t="shared" si="19"/>
        <v>1.4476556495003843</v>
      </c>
      <c r="G46" s="12" t="str">
        <f>IF(G36="","",(G36-'cRIO-9024 Benchmark'!G36)/'cRIO-9024 Benchmark'!G36)</f>
        <v/>
      </c>
      <c r="H46" s="12" t="str">
        <f>IF(H36="","",(H36-'cRIO-9024 Benchmark'!H36)/'cRIO-9024 Benchmark'!H36)</f>
        <v/>
      </c>
      <c r="I46" s="12" t="str">
        <f>IF(I36="","",(I36-'cRIO-9024 Benchmark'!I36)/'cRIO-9024 Benchmark'!I36)</f>
        <v/>
      </c>
      <c r="J46" s="11">
        <f t="shared" ref="J46:L51" si="20">IF(D46="","",J36-((1/D5)*1000000))</f>
        <v>-5.8607198800620495</v>
      </c>
      <c r="K46" s="11">
        <f t="shared" si="20"/>
        <v>-18.456279765843004</v>
      </c>
      <c r="L46" s="11">
        <f t="shared" si="20"/>
        <v>-90.92172148601837</v>
      </c>
      <c r="M46" s="11" t="str">
        <f>IF(G46="","",M36-((1/'cRIO-9024 Benchmark'!G36)*1000000))</f>
        <v/>
      </c>
      <c r="N46" s="11" t="str">
        <f>IF(H46="","",N36-((1/'cRIO-9024 Benchmark'!H36)*1000000))</f>
        <v/>
      </c>
      <c r="O46" s="11" t="str">
        <f>IF(I46="","",O36-((1/'cRIO-9024 Benchmark'!I36)*1000000))</f>
        <v/>
      </c>
      <c r="Q46" s="8" t="s">
        <v>8</v>
      </c>
      <c r="R46" s="9" t="s">
        <v>9</v>
      </c>
      <c r="S46" s="9" t="s">
        <v>10</v>
      </c>
      <c r="T46" s="12">
        <f>IF(D36="","",(D36-'cRIO-9024 Benchmark'!D5)/'cRIO-9024 Benchmark'!D5)</f>
        <v>-0.32273553427556084</v>
      </c>
      <c r="U46" s="12">
        <f>IF(E36="","",(E36-'cRIO-9024 Benchmark'!E5)/'cRIO-9024 Benchmark'!E5)</f>
        <v>0.37936574729352357</v>
      </c>
      <c r="V46" s="12">
        <f>IF(F36="","",(F36-'cRIO-9024 Benchmark'!F5)/'cRIO-9024 Benchmark'!F5)</f>
        <v>1.2919245717575931</v>
      </c>
      <c r="W46" s="12" t="str">
        <f>IF(W36="","",(W36-'cRIO-9024 Benchmark'!W36)/'cRIO-9024 Benchmark'!W36)</f>
        <v/>
      </c>
      <c r="X46" s="12" t="str">
        <f>IF(X36="","",(X36-'cRIO-9024 Benchmark'!X36)/'cRIO-9024 Benchmark'!X36)</f>
        <v/>
      </c>
      <c r="Y46" s="12" t="str">
        <f>IF(Y36="","",(Y36-'cRIO-9024 Benchmark'!Y36)/'cRIO-9024 Benchmark'!Y36)</f>
        <v/>
      </c>
      <c r="Z46" s="11">
        <f>IF(D36="","",J36-((1/'cRIO-9024 Benchmark'!D5)*1000000))</f>
        <v>6.4635010469350469</v>
      </c>
      <c r="AA46" s="11">
        <f>IF(E36="","",K36-((1/'cRIO-9024 Benchmark'!E5)*1000000))</f>
        <v>-10.520986945851785</v>
      </c>
      <c r="AB46" s="11">
        <f>IF(F36="","",L36-((1/'cRIO-9024 Benchmark'!F5)*1000000))</f>
        <v>-81.140847365757665</v>
      </c>
      <c r="AC46" s="11" t="str">
        <f>IF(W46="","",AC36-((1/'cRIO-9024 Benchmark'!W36)*1000000))</f>
        <v/>
      </c>
      <c r="AD46" s="11" t="str">
        <f>IF(X46="","",AD36-((1/'cRIO-9024 Benchmark'!X36)*1000000))</f>
        <v/>
      </c>
      <c r="AE46" s="11" t="str">
        <f>IF(Y46="","",AE36-((1/'cRIO-9024 Benchmark'!Y36)*1000000))</f>
        <v/>
      </c>
    </row>
    <row r="47" spans="1:31" hidden="1" x14ac:dyDescent="0.25">
      <c r="A47" s="8" t="s">
        <v>11</v>
      </c>
      <c r="B47" s="9" t="s">
        <v>9</v>
      </c>
      <c r="C47" s="9" t="s">
        <v>12</v>
      </c>
      <c r="D47" s="12">
        <f t="shared" si="19"/>
        <v>1.7071701144808194E-3</v>
      </c>
      <c r="E47" s="12">
        <f t="shared" si="19"/>
        <v>0.15520081084505258</v>
      </c>
      <c r="F47" s="12">
        <f t="shared" si="19"/>
        <v>0.67707832772705434</v>
      </c>
      <c r="G47" s="12" t="str">
        <f>IF(G37="","",(G37-'cRIO-9024 Benchmark'!G37)/'cRIO-9024 Benchmark'!G37)</f>
        <v/>
      </c>
      <c r="H47" s="12" t="str">
        <f>IF(H37="","",(H37-'cRIO-9024 Benchmark'!H37)/'cRIO-9024 Benchmark'!H37)</f>
        <v/>
      </c>
      <c r="I47" s="12" t="str">
        <f>IF(I37="","",(I37-'cRIO-9024 Benchmark'!I37)/'cRIO-9024 Benchmark'!I37)</f>
        <v/>
      </c>
      <c r="J47" s="11">
        <f t="shared" si="20"/>
        <v>-0.17114487363215858</v>
      </c>
      <c r="K47" s="11">
        <f t="shared" si="20"/>
        <v>-17.021365523695181</v>
      </c>
      <c r="L47" s="11">
        <f t="shared" si="20"/>
        <v>-97.002625748861647</v>
      </c>
      <c r="M47" s="11" t="str">
        <f>IF(G47="","",M37-((1/'cRIO-9024 Benchmark'!G37)*1000000))</f>
        <v/>
      </c>
      <c r="N47" s="11" t="str">
        <f>IF(H47="","",N37-((1/'cRIO-9024 Benchmark'!H37)*1000000))</f>
        <v/>
      </c>
      <c r="O47" s="11" t="str">
        <f>IF(I47="","",O37-((1/'cRIO-9024 Benchmark'!I37)*1000000))</f>
        <v/>
      </c>
      <c r="Q47" s="8" t="s">
        <v>11</v>
      </c>
      <c r="R47" s="9" t="s">
        <v>9</v>
      </c>
      <c r="S47" s="9" t="s">
        <v>12</v>
      </c>
      <c r="T47" s="12">
        <f>IF(D37="","",(D37-'cRIO-9024 Benchmark'!D6)/'cRIO-9024 Benchmark'!D6)</f>
        <v>-0.6483094171984628</v>
      </c>
      <c r="U47" s="12">
        <f>IF(E37="","",(E37-'cRIO-9024 Benchmark'!E6)/'cRIO-9024 Benchmark'!E6)</f>
        <v>-0.42349519473950431</v>
      </c>
      <c r="V47" s="12">
        <f>IF(F37="","",(F37-'cRIO-9024 Benchmark'!F6)/'cRIO-9024 Benchmark'!F6)</f>
        <v>0.31598793363499245</v>
      </c>
      <c r="W47" s="12" t="str">
        <f>IF(W37="","",(W37-'cRIO-9024 Benchmark'!W37)/'cRIO-9024 Benchmark'!W37)</f>
        <v/>
      </c>
      <c r="X47" s="12" t="str">
        <f>IF(X37="","",(X37-'cRIO-9024 Benchmark'!X37)/'cRIO-9024 Benchmark'!X37)</f>
        <v/>
      </c>
      <c r="Y47" s="12" t="str">
        <f>IF(Y37="","",(Y37-'cRIO-9024 Benchmark'!Y37)/'cRIO-9024 Benchmark'!Y37)</f>
        <v/>
      </c>
      <c r="Z47" s="11">
        <f>IF(D37="","",J37-((1/'cRIO-9024 Benchmark'!D6)*1000000))</f>
        <v>64.993425283053909</v>
      </c>
      <c r="AA47" s="11">
        <f>IF(E37="","",K37-((1/'cRIO-9024 Benchmark'!E6)*1000000))</f>
        <v>46.446062156120234</v>
      </c>
      <c r="AB47" s="11">
        <f>IF(F37="","",L37-((1/'cRIO-9024 Benchmark'!F6)*1000000))</f>
        <v>-45.270477598136466</v>
      </c>
      <c r="AC47" s="11" t="str">
        <f>IF(W47="","",AC37-((1/'cRIO-9024 Benchmark'!W37)*1000000))</f>
        <v/>
      </c>
      <c r="AD47" s="11" t="str">
        <f>IF(X47="","",AD37-((1/'cRIO-9024 Benchmark'!X37)*1000000))</f>
        <v/>
      </c>
      <c r="AE47" s="11" t="str">
        <f>IF(Y47="","",AE37-((1/'cRIO-9024 Benchmark'!Y37)*1000000))</f>
        <v/>
      </c>
    </row>
    <row r="48" spans="1:31" hidden="1" x14ac:dyDescent="0.25">
      <c r="A48" s="9" t="s">
        <v>13</v>
      </c>
      <c r="B48" s="9" t="s">
        <v>14</v>
      </c>
      <c r="C48" s="9" t="s">
        <v>10</v>
      </c>
      <c r="D48" s="12">
        <f t="shared" si="19"/>
        <v>5.5037685787409897E-2</v>
      </c>
      <c r="E48" s="12">
        <f t="shared" si="19"/>
        <v>0.56444270015698583</v>
      </c>
      <c r="F48" s="12">
        <f t="shared" si="19"/>
        <v>1.4049876339653751</v>
      </c>
      <c r="G48" s="12" t="str">
        <f>IF(G38="","",(G38-'cRIO-9024 Benchmark'!G38)/'cRIO-9024 Benchmark'!G38)</f>
        <v/>
      </c>
      <c r="H48" s="12" t="str">
        <f>IF(H38="","",(H38-'cRIO-9024 Benchmark'!H38)/'cRIO-9024 Benchmark'!H38)</f>
        <v/>
      </c>
      <c r="I48" s="12" t="str">
        <f>IF(I38="","",(I38-'cRIO-9024 Benchmark'!I38)/'cRIO-9024 Benchmark'!I38)</f>
        <v/>
      </c>
      <c r="J48" s="11">
        <f t="shared" si="20"/>
        <v>-1.2248833994482915</v>
      </c>
      <c r="K48" s="11">
        <f t="shared" si="20"/>
        <v>-28.319838450503525</v>
      </c>
      <c r="L48" s="11">
        <f t="shared" si="20"/>
        <v>-120.40343079658712</v>
      </c>
      <c r="M48" s="11" t="str">
        <f>IF(G48="","",M38-((1/'cRIO-9024 Benchmark'!G38)*1000000))</f>
        <v/>
      </c>
      <c r="N48" s="11" t="str">
        <f>IF(H48="","",N38-((1/'cRIO-9024 Benchmark'!H38)*1000000))</f>
        <v/>
      </c>
      <c r="O48" s="11" t="str">
        <f>IF(I48="","",O38-((1/'cRIO-9024 Benchmark'!I38)*1000000))</f>
        <v/>
      </c>
      <c r="Q48" s="9" t="s">
        <v>13</v>
      </c>
      <c r="R48" s="9" t="s">
        <v>14</v>
      </c>
      <c r="S48" s="9" t="s">
        <v>10</v>
      </c>
      <c r="T48" s="12">
        <f>IF(D38="","",(D38-'cRIO-9024 Benchmark'!D7)/'cRIO-9024 Benchmark'!D7)</f>
        <v>-0.34041366352039693</v>
      </c>
      <c r="U48" s="12">
        <f>IF(E38="","",(E38-'cRIO-9024 Benchmark'!E7)/'cRIO-9024 Benchmark'!E7)</f>
        <v>-0.1061931028297233</v>
      </c>
      <c r="V48" s="12">
        <f>IF(F38="","",(F38-'cRIO-9024 Benchmark'!F7)/'cRIO-9024 Benchmark'!F7)</f>
        <v>0.8578251870721223</v>
      </c>
      <c r="W48" s="12" t="str">
        <f>IF(W38="","",(W38-'cRIO-9024 Benchmark'!W38)/'cRIO-9024 Benchmark'!W38)</f>
        <v/>
      </c>
      <c r="X48" s="12" t="str">
        <f>IF(X38="","",(X38-'cRIO-9024 Benchmark'!X38)/'cRIO-9024 Benchmark'!X38)</f>
        <v/>
      </c>
      <c r="Y48" s="12" t="str">
        <f>IF(Y38="","",(Y38-'cRIO-9024 Benchmark'!Y38)/'cRIO-9024 Benchmark'!Y38)</f>
        <v/>
      </c>
      <c r="Z48" s="11">
        <f>IF(D38="","",J38-((1/'cRIO-9024 Benchmark'!D7)*1000000))</f>
        <v>7.5760279420558785</v>
      </c>
      <c r="AA48" s="11">
        <f>IF(E38="","",K38-((1/'cRIO-9024 Benchmark'!E7)*1000000))</f>
        <v>5.328036868683121</v>
      </c>
      <c r="AB48" s="11">
        <f>IF(F38="","",L38-((1/'cRIO-9024 Benchmark'!F7)*1000000))</f>
        <v>-73.513170543501786</v>
      </c>
      <c r="AC48" s="11" t="str">
        <f>IF(W48="","",AC38-((1/'cRIO-9024 Benchmark'!W38)*1000000))</f>
        <v/>
      </c>
      <c r="AD48" s="11" t="str">
        <f>IF(X48="","",AD38-((1/'cRIO-9024 Benchmark'!X38)*1000000))</f>
        <v/>
      </c>
      <c r="AE48" s="11" t="str">
        <f>IF(Y48="","",AE38-((1/'cRIO-9024 Benchmark'!Y38)*1000000))</f>
        <v/>
      </c>
    </row>
    <row r="49" spans="1:31" hidden="1" x14ac:dyDescent="0.25">
      <c r="A49" s="9" t="s">
        <v>15</v>
      </c>
      <c r="B49" s="9" t="s">
        <v>14</v>
      </c>
      <c r="C49" s="9" t="s">
        <v>12</v>
      </c>
      <c r="D49" s="12">
        <f t="shared" si="19"/>
        <v>5.5267142548128922E-2</v>
      </c>
      <c r="E49" s="12">
        <f t="shared" si="19"/>
        <v>0.21844660194174756</v>
      </c>
      <c r="F49" s="12">
        <f t="shared" si="19"/>
        <v>0.73138220805563603</v>
      </c>
      <c r="G49" s="12" t="str">
        <f>IF(G39="","",(G39-'cRIO-9024 Benchmark'!G39)/'cRIO-9024 Benchmark'!G39)</f>
        <v/>
      </c>
      <c r="H49" s="12" t="str">
        <f>IF(H39="","",(H39-'cRIO-9024 Benchmark'!H39)/'cRIO-9024 Benchmark'!H39)</f>
        <v/>
      </c>
      <c r="I49" s="12" t="str">
        <f>IF(I39="","",(I39-'cRIO-9024 Benchmark'!I39)/'cRIO-9024 Benchmark'!I39)</f>
        <v/>
      </c>
      <c r="J49" s="11">
        <f t="shared" si="20"/>
        <v>-5.6643581580536022</v>
      </c>
      <c r="K49" s="11">
        <f t="shared" si="20"/>
        <v>-26.372884455118594</v>
      </c>
      <c r="L49" s="11">
        <f t="shared" si="20"/>
        <v>-122.40706410972987</v>
      </c>
      <c r="M49" s="11" t="str">
        <f>IF(G49="","",M39-((1/'cRIO-9024 Benchmark'!G39)*1000000))</f>
        <v/>
      </c>
      <c r="N49" s="11" t="str">
        <f>IF(H49="","",N39-((1/'cRIO-9024 Benchmark'!H39)*1000000))</f>
        <v/>
      </c>
      <c r="O49" s="11" t="str">
        <f>IF(I49="","",O39-((1/'cRIO-9024 Benchmark'!I39)*1000000))</f>
        <v/>
      </c>
      <c r="Q49" s="9" t="s">
        <v>15</v>
      </c>
      <c r="R49" s="9" t="s">
        <v>14</v>
      </c>
      <c r="S49" s="9" t="s">
        <v>12</v>
      </c>
      <c r="T49" s="12">
        <f>IF(D39="","",(D39-'cRIO-9024 Benchmark'!D8)/'cRIO-9024 Benchmark'!D8)</f>
        <v>-0.52640520337831276</v>
      </c>
      <c r="U49" s="12">
        <f>IF(E39="","",(E39-'cRIO-9024 Benchmark'!E8)/'cRIO-9024 Benchmark'!E8)</f>
        <v>-0.26919004764425625</v>
      </c>
      <c r="V49" s="12">
        <f>IF(F39="","",(F39-'cRIO-9024 Benchmark'!F8)/'cRIO-9024 Benchmark'!F8)</f>
        <v>0.33549396513187302</v>
      </c>
      <c r="W49" s="12" t="str">
        <f>IF(W39="","",(W39-'cRIO-9024 Benchmark'!W39)/'cRIO-9024 Benchmark'!W39)</f>
        <v/>
      </c>
      <c r="X49" s="12" t="str">
        <f>IF(X39="","",(X39-'cRIO-9024 Benchmark'!X39)/'cRIO-9024 Benchmark'!X39)</f>
        <v/>
      </c>
      <c r="Y49" s="12" t="str">
        <f>IF(Y39="","",(Y39-'cRIO-9024 Benchmark'!Y39)/'cRIO-9024 Benchmark'!Y39)</f>
        <v/>
      </c>
      <c r="Z49" s="11">
        <f>IF(D39="","",J39-((1/'cRIO-9024 Benchmark'!D8)*1000000))</f>
        <v>53.951542828565422</v>
      </c>
      <c r="AA49" s="11">
        <f>IF(E39="","",K39-((1/'cRIO-9024 Benchmark'!E8)*1000000))</f>
        <v>32.499100283020184</v>
      </c>
      <c r="AB49" s="11">
        <f>IF(F39="","",L39-((1/'cRIO-9024 Benchmark'!F8)*1000000))</f>
        <v>-56.149617595292568</v>
      </c>
      <c r="AC49" s="11" t="str">
        <f>IF(W49="","",AC39-((1/'cRIO-9024 Benchmark'!W39)*1000000))</f>
        <v/>
      </c>
      <c r="AD49" s="11" t="str">
        <f>IF(X49="","",AD39-((1/'cRIO-9024 Benchmark'!X39)*1000000))</f>
        <v/>
      </c>
      <c r="AE49" s="11" t="str">
        <f>IF(Y49="","",AE39-((1/'cRIO-9024 Benchmark'!Y39)*1000000))</f>
        <v/>
      </c>
    </row>
    <row r="50" spans="1:31" hidden="1" x14ac:dyDescent="0.25">
      <c r="A50" s="9" t="s">
        <v>16</v>
      </c>
      <c r="B50" s="9" t="s">
        <v>17</v>
      </c>
      <c r="C50" s="9" t="s">
        <v>12</v>
      </c>
      <c r="D50" s="12">
        <f t="shared" si="19"/>
        <v>-2.3397075365579303E-2</v>
      </c>
      <c r="E50" s="12">
        <f t="shared" si="19"/>
        <v>0.87804878048780488</v>
      </c>
      <c r="F50" s="12">
        <f t="shared" si="19"/>
        <v>0.5714285714285714</v>
      </c>
      <c r="G50" s="12" t="str">
        <f>IF(G40="","",(G40-'cRIO-9024 Benchmark'!G40)/'cRIO-9024 Benchmark'!G40)</f>
        <v/>
      </c>
      <c r="H50" s="12" t="str">
        <f>IF(H40="","",(H40-'cRIO-9024 Benchmark'!H40)/'cRIO-9024 Benchmark'!H40)</f>
        <v/>
      </c>
      <c r="I50" s="12" t="str">
        <f>IF(I40="","",(I40-'cRIO-9024 Benchmark'!I40)/'cRIO-9024 Benchmark'!I40)</f>
        <v/>
      </c>
      <c r="J50" s="11">
        <f t="shared" si="20"/>
        <v>5.3897893032894046</v>
      </c>
      <c r="K50" s="11">
        <f t="shared" si="20"/>
        <v>-120.03400963606356</v>
      </c>
      <c r="L50" s="11">
        <f t="shared" si="20"/>
        <v>-106.45092612305723</v>
      </c>
      <c r="M50" s="11" t="str">
        <f>IF(G50="","",M40-((1/'cRIO-9024 Benchmark'!G40)*1000000))</f>
        <v/>
      </c>
      <c r="N50" s="11" t="str">
        <f>IF(H50="","",N40-((1/'cRIO-9024 Benchmark'!H40)*1000000))</f>
        <v/>
      </c>
      <c r="O50" s="11" t="str">
        <f>IF(I50="","",O40-((1/'cRIO-9024 Benchmark'!I40)*1000000))</f>
        <v/>
      </c>
      <c r="Q50" s="9" t="s">
        <v>16</v>
      </c>
      <c r="R50" s="9" t="s">
        <v>17</v>
      </c>
      <c r="S50" s="9" t="s">
        <v>12</v>
      </c>
      <c r="T50" s="12">
        <f>IF(D40="","",(D40-'cRIO-9024 Benchmark'!D9)/'cRIO-9024 Benchmark'!D9)</f>
        <v>-0.75123209169054439</v>
      </c>
      <c r="U50" s="12">
        <f>IF(E40="","",(E40-'cRIO-9024 Benchmark'!E9)/'cRIO-9024 Benchmark'!E9)</f>
        <v>-0.27538385339276872</v>
      </c>
      <c r="V50" s="12">
        <f>IF(F40="","",(F40-'cRIO-9024 Benchmark'!F9)/'cRIO-9024 Benchmark'!F9)</f>
        <v>0.29850024189646829</v>
      </c>
      <c r="W50" s="12" t="str">
        <f>IF(W40="","",(W40-'cRIO-9024 Benchmark'!W40)/'cRIO-9024 Benchmark'!W40)</f>
        <v/>
      </c>
      <c r="X50" s="12" t="str">
        <f>IF(X40="","",(X40-'cRIO-9024 Benchmark'!X40)/'cRIO-9024 Benchmark'!X40)</f>
        <v/>
      </c>
      <c r="Y50" s="12" t="str">
        <f>IF(Y40="","",(Y40-'cRIO-9024 Benchmark'!Y40)/'cRIO-9024 Benchmark'!Y40)</f>
        <v/>
      </c>
      <c r="Z50" s="11">
        <f>IF(D40="","",J40-((1/'cRIO-9024 Benchmark'!D9)*1000000))</f>
        <v>173.05507756059532</v>
      </c>
      <c r="AA50" s="11">
        <f>IF(E40="","",K40-((1/'cRIO-9024 Benchmark'!E9)*1000000))</f>
        <v>37.646459793953326</v>
      </c>
      <c r="AB50" s="11">
        <f>IF(F40="","",L40-((1/'cRIO-9024 Benchmark'!F9)*1000000))</f>
        <v>-55.607347596212406</v>
      </c>
      <c r="AC50" s="11" t="str">
        <f>IF(W50="","",AC40-((1/'cRIO-9024 Benchmark'!W40)*1000000))</f>
        <v/>
      </c>
      <c r="AD50" s="11" t="str">
        <f>IF(X50="","",AD40-((1/'cRIO-9024 Benchmark'!X40)*1000000))</f>
        <v/>
      </c>
      <c r="AE50" s="11" t="str">
        <f>IF(Y50="","",AE40-((1/'cRIO-9024 Benchmark'!Y40)*1000000))</f>
        <v/>
      </c>
    </row>
    <row r="51" spans="1:31" hidden="1" x14ac:dyDescent="0.25">
      <c r="A51" s="9" t="s">
        <v>18</v>
      </c>
      <c r="B51" s="8" t="s">
        <v>19</v>
      </c>
      <c r="C51" s="9" t="s">
        <v>12</v>
      </c>
      <c r="D51" s="12">
        <f t="shared" si="19"/>
        <v>-3.3879291002916763E-2</v>
      </c>
      <c r="E51" s="12">
        <f t="shared" si="19"/>
        <v>0.78624813153961137</v>
      </c>
      <c r="F51" s="12">
        <f t="shared" si="19"/>
        <v>0.64214651793789568</v>
      </c>
      <c r="G51" s="12" t="str">
        <f>IF(G41="","",(G41-'cRIO-9024 Benchmark'!G41)/'cRIO-9024 Benchmark'!G41)</f>
        <v/>
      </c>
      <c r="H51" s="12" t="str">
        <f>IF(H41="","",(H41-'cRIO-9024 Benchmark'!H41)/'cRIO-9024 Benchmark'!H41)</f>
        <v/>
      </c>
      <c r="I51" s="12" t="str">
        <f>IF(I41="","",(I41-'cRIO-9024 Benchmark'!I41)/'cRIO-9024 Benchmark'!I41)</f>
        <v/>
      </c>
      <c r="J51" s="11">
        <f t="shared" si="20"/>
        <v>7.8679263824702161</v>
      </c>
      <c r="K51" s="11">
        <f t="shared" si="20"/>
        <v>-109.65803787163335</v>
      </c>
      <c r="L51" s="11">
        <f t="shared" si="20"/>
        <v>-117.88994270936215</v>
      </c>
      <c r="M51" s="11" t="str">
        <f>IF(G51="","",M41-((1/'cRIO-9024 Benchmark'!G41)*1000000))</f>
        <v/>
      </c>
      <c r="N51" s="11" t="str">
        <f>IF(H51="","",N41-((1/'cRIO-9024 Benchmark'!H41)*1000000))</f>
        <v/>
      </c>
      <c r="O51" s="11" t="str">
        <f>IF(I51="","",O41-((1/'cRIO-9024 Benchmark'!I41)*1000000))</f>
        <v/>
      </c>
      <c r="Q51" s="9" t="s">
        <v>18</v>
      </c>
      <c r="R51" s="8" t="s">
        <v>19</v>
      </c>
      <c r="S51" s="9" t="s">
        <v>12</v>
      </c>
      <c r="T51" s="12">
        <f>IF(D41="","",(D41-'cRIO-9024 Benchmark'!D10)/'cRIO-9024 Benchmark'!D10)</f>
        <v>-0.72308681672025721</v>
      </c>
      <c r="U51" s="12">
        <f>IF(E41="","",(E41-'cRIO-9024 Benchmark'!E10)/'cRIO-9024 Benchmark'!E10)</f>
        <v>-0.25498753117206985</v>
      </c>
      <c r="V51" s="12">
        <f>IF(F41="","",(F41-'cRIO-9024 Benchmark'!F10)/'cRIO-9024 Benchmark'!F10)</f>
        <v>0.27953958186516326</v>
      </c>
      <c r="W51" s="12" t="str">
        <f>IF(W41="","",(W41-'cRIO-9024 Benchmark'!W41)/'cRIO-9024 Benchmark'!W41)</f>
        <v/>
      </c>
      <c r="X51" s="12" t="str">
        <f>IF(X41="","",(X41-'cRIO-9024 Benchmark'!X41)/'cRIO-9024 Benchmark'!X41)</f>
        <v/>
      </c>
      <c r="Y51" s="12" t="str">
        <f>IF(Y41="","",(Y41-'cRIO-9024 Benchmark'!Y41)/'cRIO-9024 Benchmark'!Y41)</f>
        <v/>
      </c>
      <c r="Z51" s="11">
        <f>IF(D41="","",J41-((1/'cRIO-9024 Benchmark'!D10)*1000000))</f>
        <v>167.92541029267471</v>
      </c>
      <c r="AA51" s="11">
        <f>IF(E41="","",K41-((1/'cRIO-9024 Benchmark'!E10)*1000000))</f>
        <v>35.563114528880035</v>
      </c>
      <c r="AB51" s="11">
        <f>IF(F41="","",L41-((1/'cRIO-9024 Benchmark'!F10)*1000000))</f>
        <v>-51.319915892264248</v>
      </c>
      <c r="AC51" s="11" t="str">
        <f>IF(W51="","",AC41-((1/'cRIO-9024 Benchmark'!W41)*1000000))</f>
        <v/>
      </c>
      <c r="AD51" s="11" t="str">
        <f>IF(X51="","",AD41-((1/'cRIO-9024 Benchmark'!X41)*1000000))</f>
        <v/>
      </c>
      <c r="AE51" s="11" t="str">
        <f>IF(Y51="","",AE41-((1/'cRIO-9024 Benchmark'!Y41)*1000000))</f>
        <v/>
      </c>
    </row>
    <row r="52" spans="1:31" hidden="1" x14ac:dyDescent="0.25">
      <c r="A52" s="15" t="s">
        <v>30</v>
      </c>
      <c r="D52" s="15" t="s">
        <v>35</v>
      </c>
    </row>
    <row r="54" spans="1:31" ht="18.75" x14ac:dyDescent="0.25">
      <c r="A54" s="107" t="s">
        <v>0</v>
      </c>
      <c r="B54" s="108"/>
      <c r="C54" s="108"/>
      <c r="D54" s="108"/>
      <c r="E54" s="108"/>
      <c r="F54" s="108"/>
      <c r="G54" s="108"/>
      <c r="H54" s="108"/>
      <c r="I54" s="108"/>
      <c r="J54" s="17"/>
      <c r="K54" s="17"/>
      <c r="L54" s="17"/>
      <c r="M54" s="17"/>
      <c r="N54" s="17"/>
      <c r="O54" s="18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</row>
    <row r="55" spans="1:31" ht="18.75" x14ac:dyDescent="0.25">
      <c r="A55" s="109" t="s">
        <v>36</v>
      </c>
      <c r="B55" s="110"/>
      <c r="C55" s="110"/>
      <c r="D55" s="110"/>
      <c r="E55" s="110"/>
      <c r="F55" s="110"/>
      <c r="G55" s="110"/>
      <c r="H55" s="110"/>
      <c r="I55" s="110"/>
      <c r="J55" s="19"/>
      <c r="K55" s="19"/>
      <c r="L55" s="19"/>
      <c r="M55" s="19"/>
      <c r="N55" s="19"/>
      <c r="O55" s="20"/>
      <c r="Q55" s="117" t="s">
        <v>22</v>
      </c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</row>
    <row r="56" spans="1:31" x14ac:dyDescent="0.25">
      <c r="A56" s="105" t="s">
        <v>2</v>
      </c>
      <c r="B56" s="105"/>
      <c r="C56" s="105"/>
      <c r="D56" s="106" t="s">
        <v>3</v>
      </c>
      <c r="E56" s="106"/>
      <c r="F56" s="106"/>
      <c r="G56" s="106"/>
      <c r="H56" s="106"/>
      <c r="I56" s="106"/>
      <c r="J56" s="106" t="s">
        <v>4</v>
      </c>
      <c r="K56" s="106"/>
      <c r="L56" s="106"/>
      <c r="M56" s="106"/>
      <c r="N56" s="106"/>
      <c r="O56" s="106"/>
      <c r="Q56" s="113" t="s">
        <v>2</v>
      </c>
      <c r="R56" s="114"/>
      <c r="S56" s="115"/>
      <c r="T56" s="111" t="s">
        <v>3</v>
      </c>
      <c r="U56" s="112"/>
      <c r="V56" s="112"/>
      <c r="W56" s="112"/>
      <c r="X56" s="112"/>
      <c r="Y56" s="112"/>
      <c r="Z56" s="111" t="s">
        <v>4</v>
      </c>
      <c r="AA56" s="112"/>
      <c r="AB56" s="112"/>
      <c r="AC56" s="112"/>
      <c r="AD56" s="112"/>
      <c r="AE56" s="112"/>
    </row>
    <row r="57" spans="1:31" x14ac:dyDescent="0.25">
      <c r="A57" s="6" t="s">
        <v>32</v>
      </c>
      <c r="B57" s="6" t="s">
        <v>6</v>
      </c>
      <c r="C57" s="6" t="s">
        <v>7</v>
      </c>
      <c r="D57" s="7">
        <v>1</v>
      </c>
      <c r="E57" s="7">
        <v>4</v>
      </c>
      <c r="F57" s="7">
        <v>16</v>
      </c>
      <c r="G57" s="7">
        <v>32</v>
      </c>
      <c r="H57" s="7">
        <v>64</v>
      </c>
      <c r="I57" s="7">
        <v>80</v>
      </c>
      <c r="J57" s="7">
        <v>1</v>
      </c>
      <c r="K57" s="7">
        <v>4</v>
      </c>
      <c r="L57" s="7">
        <v>16</v>
      </c>
      <c r="M57" s="7">
        <v>32</v>
      </c>
      <c r="N57" s="7">
        <v>64</v>
      </c>
      <c r="O57" s="7">
        <v>80</v>
      </c>
      <c r="Q57" s="6" t="s">
        <v>32</v>
      </c>
      <c r="R57" s="6" t="s">
        <v>6</v>
      </c>
      <c r="S57" s="6" t="s">
        <v>7</v>
      </c>
      <c r="T57" s="7">
        <v>1</v>
      </c>
      <c r="U57" s="7">
        <v>4</v>
      </c>
      <c r="V57" s="7">
        <v>16</v>
      </c>
      <c r="W57" s="7">
        <v>32</v>
      </c>
      <c r="X57" s="7">
        <v>64</v>
      </c>
      <c r="Y57" s="7">
        <v>80</v>
      </c>
      <c r="Z57" s="7">
        <v>1</v>
      </c>
      <c r="AA57" s="7">
        <v>4</v>
      </c>
      <c r="AB57" s="7">
        <v>16</v>
      </c>
      <c r="AC57" s="7">
        <v>32</v>
      </c>
      <c r="AD57" s="7">
        <v>64</v>
      </c>
      <c r="AE57" s="7">
        <v>80</v>
      </c>
    </row>
    <row r="58" spans="1:31" x14ac:dyDescent="0.25">
      <c r="A58" s="8" t="s">
        <v>8</v>
      </c>
      <c r="B58" s="9" t="s">
        <v>9</v>
      </c>
      <c r="C58" s="9" t="s">
        <v>10</v>
      </c>
      <c r="D58" s="10">
        <v>46662</v>
      </c>
      <c r="E58" s="10">
        <v>20867</v>
      </c>
      <c r="F58" s="10">
        <v>6003</v>
      </c>
      <c r="G58" s="10"/>
      <c r="H58" s="10"/>
      <c r="I58" s="10"/>
      <c r="J58" s="11">
        <f t="shared" ref="J58:J63" si="21">IF(D58="","",(1/D58)*1000000)</f>
        <v>21.430714500021431</v>
      </c>
      <c r="K58" s="11">
        <f t="shared" ref="K58:K63" si="22">IF(E58="","",(1/E58)*1000000)</f>
        <v>47.9225571476494</v>
      </c>
      <c r="L58" s="11">
        <f t="shared" ref="L58:L63" si="23">IF(F58="","",(1/F58)*1000000)</f>
        <v>166.58337497917708</v>
      </c>
      <c r="M58" s="11" t="str">
        <f t="shared" ref="M58:M63" si="24">IF(G58="","",(1/G58)*1000000)</f>
        <v/>
      </c>
      <c r="N58" s="11" t="str">
        <f t="shared" ref="N58:N63" si="25">IF(H58="","",(1/H58)*1000000)</f>
        <v/>
      </c>
      <c r="O58" s="11" t="str">
        <f t="shared" ref="O58:O63" si="26">IF(I58="","",(1/I58)*1000000)</f>
        <v/>
      </c>
      <c r="Q58" s="8" t="s">
        <v>8</v>
      </c>
      <c r="R58" s="9" t="s">
        <v>9</v>
      </c>
      <c r="S58" s="9" t="s">
        <v>10</v>
      </c>
      <c r="T58" s="10"/>
      <c r="U58" s="10"/>
      <c r="V58" s="10"/>
      <c r="W58" s="10"/>
      <c r="X58" s="10"/>
      <c r="Y58" s="10"/>
      <c r="Z58" s="11" t="str">
        <f t="shared" ref="Z58:Z63" si="27">IF(T58="","",(1/T58)*1000000)</f>
        <v/>
      </c>
      <c r="AA58" s="11" t="str">
        <f t="shared" ref="AA58:AA63" si="28">IF(U58="","",(1/U58)*1000000)</f>
        <v/>
      </c>
      <c r="AB58" s="11" t="str">
        <f t="shared" ref="AB58:AB63" si="29">IF(V58="","",(1/V58)*1000000)</f>
        <v/>
      </c>
      <c r="AC58" s="11" t="str">
        <f t="shared" ref="AC58:AC63" si="30">IF(W58="","",(1/W58)*1000000)</f>
        <v/>
      </c>
      <c r="AD58" s="11" t="str">
        <f t="shared" ref="AD58:AD63" si="31">IF(X58="","",(1/X58)*1000000)</f>
        <v/>
      </c>
      <c r="AE58" s="11" t="str">
        <f t="shared" ref="AE58:AE63" si="32">IF(Y58="","",(1/Y58)*1000000)</f>
        <v/>
      </c>
    </row>
    <row r="59" spans="1:31" x14ac:dyDescent="0.25">
      <c r="A59" s="8" t="s">
        <v>11</v>
      </c>
      <c r="B59" s="9" t="s">
        <v>9</v>
      </c>
      <c r="C59" s="9" t="s">
        <v>12</v>
      </c>
      <c r="D59" s="10">
        <v>10917</v>
      </c>
      <c r="E59" s="10">
        <v>8443</v>
      </c>
      <c r="F59" s="10">
        <v>4375</v>
      </c>
      <c r="G59" s="10"/>
      <c r="H59" s="10"/>
      <c r="I59" s="10"/>
      <c r="J59" s="11">
        <f t="shared" si="21"/>
        <v>91.600256480718144</v>
      </c>
      <c r="K59" s="11">
        <f t="shared" si="22"/>
        <v>118.44131232974061</v>
      </c>
      <c r="L59" s="11">
        <f t="shared" si="23"/>
        <v>228.57142857142856</v>
      </c>
      <c r="M59" s="11" t="str">
        <f t="shared" si="24"/>
        <v/>
      </c>
      <c r="N59" s="11" t="str">
        <f t="shared" si="25"/>
        <v/>
      </c>
      <c r="O59" s="11" t="str">
        <f t="shared" si="26"/>
        <v/>
      </c>
      <c r="Q59" s="8" t="s">
        <v>11</v>
      </c>
      <c r="R59" s="9" t="s">
        <v>9</v>
      </c>
      <c r="S59" s="9" t="s">
        <v>12</v>
      </c>
      <c r="T59" s="10"/>
      <c r="U59" s="10"/>
      <c r="V59" s="10"/>
      <c r="W59" s="10"/>
      <c r="X59" s="10"/>
      <c r="Y59" s="10"/>
      <c r="Z59" s="11" t="str">
        <f t="shared" si="27"/>
        <v/>
      </c>
      <c r="AA59" s="11" t="str">
        <f t="shared" si="28"/>
        <v/>
      </c>
      <c r="AB59" s="11" t="str">
        <f t="shared" si="29"/>
        <v/>
      </c>
      <c r="AC59" s="11" t="str">
        <f t="shared" si="30"/>
        <v/>
      </c>
      <c r="AD59" s="11" t="str">
        <f t="shared" si="31"/>
        <v/>
      </c>
      <c r="AE59" s="11" t="str">
        <f t="shared" si="32"/>
        <v/>
      </c>
    </row>
    <row r="60" spans="1:31" x14ac:dyDescent="0.25">
      <c r="A60" s="9" t="s">
        <v>13</v>
      </c>
      <c r="B60" s="9" t="s">
        <v>14</v>
      </c>
      <c r="C60" s="9" t="s">
        <v>10</v>
      </c>
      <c r="D60" s="10">
        <v>39956</v>
      </c>
      <c r="E60" s="10">
        <v>16440</v>
      </c>
      <c r="F60" s="10">
        <v>5637</v>
      </c>
      <c r="G60" s="10"/>
      <c r="H60" s="10"/>
      <c r="I60" s="10"/>
      <c r="J60" s="11">
        <f t="shared" si="21"/>
        <v>25.027530283311641</v>
      </c>
      <c r="K60" s="11">
        <f t="shared" si="22"/>
        <v>60.827250608272507</v>
      </c>
      <c r="L60" s="11">
        <f t="shared" si="23"/>
        <v>177.39932588256164</v>
      </c>
      <c r="M60" s="11" t="str">
        <f t="shared" si="24"/>
        <v/>
      </c>
      <c r="N60" s="11" t="str">
        <f t="shared" si="25"/>
        <v/>
      </c>
      <c r="O60" s="11" t="str">
        <f t="shared" si="26"/>
        <v/>
      </c>
      <c r="Q60" s="9" t="s">
        <v>13</v>
      </c>
      <c r="R60" s="9" t="s">
        <v>14</v>
      </c>
      <c r="S60" s="9" t="s">
        <v>10</v>
      </c>
      <c r="T60" s="10"/>
      <c r="U60" s="10"/>
      <c r="V60" s="10"/>
      <c r="W60" s="10"/>
      <c r="X60" s="10"/>
      <c r="Y60" s="10"/>
      <c r="Z60" s="11" t="str">
        <f t="shared" si="27"/>
        <v/>
      </c>
      <c r="AA60" s="11" t="str">
        <f t="shared" si="28"/>
        <v/>
      </c>
      <c r="AB60" s="11" t="str">
        <f t="shared" si="29"/>
        <v/>
      </c>
      <c r="AC60" s="11" t="str">
        <f t="shared" si="30"/>
        <v/>
      </c>
      <c r="AD60" s="11" t="str">
        <f t="shared" si="31"/>
        <v/>
      </c>
      <c r="AE60" s="11" t="str">
        <f t="shared" si="32"/>
        <v/>
      </c>
    </row>
    <row r="61" spans="1:31" x14ac:dyDescent="0.25">
      <c r="A61" s="9" t="s">
        <v>15</v>
      </c>
      <c r="B61" s="9" t="s">
        <v>14</v>
      </c>
      <c r="C61" s="9" t="s">
        <v>12</v>
      </c>
      <c r="D61" s="10">
        <v>9234</v>
      </c>
      <c r="E61" s="10">
        <v>7537</v>
      </c>
      <c r="F61" s="10">
        <v>3895</v>
      </c>
      <c r="G61" s="10"/>
      <c r="H61" s="10"/>
      <c r="I61" s="10"/>
      <c r="J61" s="11">
        <f t="shared" si="21"/>
        <v>108.29542993285683</v>
      </c>
      <c r="K61" s="11">
        <f t="shared" si="22"/>
        <v>132.67878466233248</v>
      </c>
      <c r="L61" s="11">
        <f t="shared" si="23"/>
        <v>256.73940949935815</v>
      </c>
      <c r="M61" s="11" t="str">
        <f t="shared" si="24"/>
        <v/>
      </c>
      <c r="N61" s="11" t="str">
        <f t="shared" si="25"/>
        <v/>
      </c>
      <c r="O61" s="11" t="str">
        <f t="shared" si="26"/>
        <v/>
      </c>
      <c r="Q61" s="9" t="s">
        <v>15</v>
      </c>
      <c r="R61" s="9" t="s">
        <v>14</v>
      </c>
      <c r="S61" s="9" t="s">
        <v>12</v>
      </c>
      <c r="T61" s="10"/>
      <c r="U61" s="10"/>
      <c r="V61" s="10"/>
      <c r="W61" s="10"/>
      <c r="X61" s="10"/>
      <c r="Y61" s="10"/>
      <c r="Z61" s="11" t="str">
        <f t="shared" si="27"/>
        <v/>
      </c>
      <c r="AA61" s="11" t="str">
        <f t="shared" si="28"/>
        <v/>
      </c>
      <c r="AB61" s="11" t="str">
        <f t="shared" si="29"/>
        <v/>
      </c>
      <c r="AC61" s="11" t="str">
        <f t="shared" si="30"/>
        <v/>
      </c>
      <c r="AD61" s="11" t="str">
        <f t="shared" si="31"/>
        <v/>
      </c>
      <c r="AE61" s="11" t="str">
        <f t="shared" si="32"/>
        <v/>
      </c>
    </row>
    <row r="62" spans="1:31" x14ac:dyDescent="0.25">
      <c r="A62" s="9" t="s">
        <v>16</v>
      </c>
      <c r="B62" s="9" t="s">
        <v>17</v>
      </c>
      <c r="C62" s="9" t="s">
        <v>12</v>
      </c>
      <c r="D62" s="10">
        <v>4390</v>
      </c>
      <c r="E62" s="10">
        <v>6675</v>
      </c>
      <c r="F62" s="10">
        <v>3502</v>
      </c>
      <c r="G62" s="10"/>
      <c r="H62" s="10"/>
      <c r="I62" s="10"/>
      <c r="J62" s="11">
        <f t="shared" si="21"/>
        <v>227.79043280182233</v>
      </c>
      <c r="K62" s="11">
        <f t="shared" si="22"/>
        <v>149.81273408239701</v>
      </c>
      <c r="L62" s="11">
        <f t="shared" si="23"/>
        <v>285.55111364934322</v>
      </c>
      <c r="M62" s="11" t="str">
        <f t="shared" si="24"/>
        <v/>
      </c>
      <c r="N62" s="11" t="str">
        <f t="shared" si="25"/>
        <v/>
      </c>
      <c r="O62" s="11" t="str">
        <f t="shared" si="26"/>
        <v/>
      </c>
      <c r="Q62" s="9" t="s">
        <v>16</v>
      </c>
      <c r="R62" s="9" t="s">
        <v>17</v>
      </c>
      <c r="S62" s="9" t="s">
        <v>12</v>
      </c>
      <c r="T62" s="10"/>
      <c r="U62" s="10"/>
      <c r="V62" s="10"/>
      <c r="W62" s="10"/>
      <c r="X62" s="10"/>
      <c r="Y62" s="10"/>
      <c r="Z62" s="11" t="str">
        <f t="shared" si="27"/>
        <v/>
      </c>
      <c r="AA62" s="11" t="str">
        <f t="shared" si="28"/>
        <v/>
      </c>
      <c r="AB62" s="11" t="str">
        <f t="shared" si="29"/>
        <v/>
      </c>
      <c r="AC62" s="11" t="str">
        <f t="shared" si="30"/>
        <v/>
      </c>
      <c r="AD62" s="11" t="str">
        <f t="shared" si="31"/>
        <v/>
      </c>
      <c r="AE62" s="11" t="str">
        <f t="shared" si="32"/>
        <v/>
      </c>
    </row>
    <row r="63" spans="1:31" x14ac:dyDescent="0.25">
      <c r="A63" s="9" t="s">
        <v>18</v>
      </c>
      <c r="B63" s="8" t="s">
        <v>19</v>
      </c>
      <c r="C63" s="9" t="s">
        <v>12</v>
      </c>
      <c r="D63" s="10">
        <v>4427</v>
      </c>
      <c r="E63" s="10">
        <v>5740</v>
      </c>
      <c r="F63" s="10">
        <v>3635</v>
      </c>
      <c r="G63" s="10"/>
      <c r="H63" s="10"/>
      <c r="I63" s="10"/>
      <c r="J63" s="11">
        <f t="shared" si="21"/>
        <v>225.88660492432797</v>
      </c>
      <c r="K63" s="11">
        <f t="shared" si="22"/>
        <v>174.21602787456445</v>
      </c>
      <c r="L63" s="11">
        <f t="shared" si="23"/>
        <v>275.1031636863824</v>
      </c>
      <c r="M63" s="11" t="str">
        <f t="shared" si="24"/>
        <v/>
      </c>
      <c r="N63" s="11" t="str">
        <f t="shared" si="25"/>
        <v/>
      </c>
      <c r="O63" s="11" t="str">
        <f t="shared" si="26"/>
        <v/>
      </c>
      <c r="Q63" s="9" t="s">
        <v>18</v>
      </c>
      <c r="R63" s="8" t="s">
        <v>19</v>
      </c>
      <c r="S63" s="9" t="s">
        <v>12</v>
      </c>
      <c r="T63" s="10"/>
      <c r="U63" s="10"/>
      <c r="V63" s="10"/>
      <c r="W63" s="10"/>
      <c r="X63" s="10"/>
      <c r="Y63" s="10"/>
      <c r="Z63" s="11" t="str">
        <f t="shared" si="27"/>
        <v/>
      </c>
      <c r="AA63" s="11" t="str">
        <f t="shared" si="28"/>
        <v/>
      </c>
      <c r="AB63" s="11" t="str">
        <f t="shared" si="29"/>
        <v/>
      </c>
      <c r="AC63" s="11" t="str">
        <f t="shared" si="30"/>
        <v/>
      </c>
      <c r="AD63" s="11" t="str">
        <f t="shared" si="31"/>
        <v/>
      </c>
      <c r="AE63" s="11" t="str">
        <f t="shared" si="32"/>
        <v/>
      </c>
    </row>
    <row r="65" spans="1:16" ht="18.75" x14ac:dyDescent="0.25">
      <c r="A65" s="107" t="s">
        <v>0</v>
      </c>
      <c r="B65" s="108"/>
      <c r="C65" s="108"/>
      <c r="D65" s="108"/>
      <c r="E65" s="108"/>
      <c r="F65" s="108"/>
      <c r="G65" s="108"/>
      <c r="H65" s="108"/>
      <c r="I65" s="108"/>
      <c r="J65" s="17"/>
      <c r="K65" s="17"/>
      <c r="L65" s="17"/>
      <c r="M65" s="17"/>
      <c r="N65" s="17"/>
      <c r="O65" s="18"/>
    </row>
    <row r="66" spans="1:16" ht="15.75" x14ac:dyDescent="0.25">
      <c r="A66" s="109" t="s">
        <v>37</v>
      </c>
      <c r="B66" s="110"/>
      <c r="C66" s="110"/>
      <c r="D66" s="110"/>
      <c r="E66" s="110"/>
      <c r="F66" s="110"/>
      <c r="G66" s="110"/>
      <c r="H66" s="110"/>
      <c r="I66" s="110"/>
      <c r="J66" s="19"/>
      <c r="K66" s="19"/>
      <c r="L66" s="19"/>
      <c r="M66" s="19"/>
      <c r="N66" s="19"/>
      <c r="O66" s="20"/>
    </row>
    <row r="67" spans="1:16" x14ac:dyDescent="0.25">
      <c r="A67" s="105" t="s">
        <v>2</v>
      </c>
      <c r="B67" s="105"/>
      <c r="C67" s="105"/>
      <c r="D67" s="106" t="s">
        <v>3</v>
      </c>
      <c r="E67" s="106"/>
      <c r="F67" s="106"/>
      <c r="G67" s="106"/>
      <c r="H67" s="106"/>
      <c r="I67" s="106"/>
      <c r="J67" s="106" t="s">
        <v>4</v>
      </c>
      <c r="K67" s="106"/>
      <c r="L67" s="106"/>
      <c r="M67" s="106"/>
      <c r="N67" s="106"/>
      <c r="O67" s="106"/>
    </row>
    <row r="68" spans="1:16" x14ac:dyDescent="0.25">
      <c r="A68" s="6" t="s">
        <v>32</v>
      </c>
      <c r="B68" s="6" t="s">
        <v>6</v>
      </c>
      <c r="C68" s="6" t="s">
        <v>7</v>
      </c>
      <c r="D68" s="7">
        <v>1</v>
      </c>
      <c r="E68" s="7">
        <v>4</v>
      </c>
      <c r="F68" s="7">
        <v>16</v>
      </c>
      <c r="G68" s="7">
        <v>32</v>
      </c>
      <c r="H68" s="7">
        <v>64</v>
      </c>
      <c r="I68" s="7">
        <v>80</v>
      </c>
      <c r="J68" s="7">
        <v>1</v>
      </c>
      <c r="K68" s="7">
        <v>4</v>
      </c>
      <c r="L68" s="7">
        <v>16</v>
      </c>
      <c r="M68" s="7">
        <v>32</v>
      </c>
      <c r="N68" s="7">
        <v>64</v>
      </c>
      <c r="O68" s="7">
        <v>80</v>
      </c>
    </row>
    <row r="69" spans="1:16" x14ac:dyDescent="0.25">
      <c r="A69" s="8" t="s">
        <v>8</v>
      </c>
      <c r="B69" s="9" t="s">
        <v>9</v>
      </c>
      <c r="C69" s="9" t="s">
        <v>10</v>
      </c>
      <c r="D69">
        <v>44589</v>
      </c>
      <c r="E69" s="10">
        <v>18777</v>
      </c>
      <c r="F69" s="10">
        <v>6473</v>
      </c>
      <c r="G69" s="10"/>
      <c r="H69" s="10"/>
      <c r="I69" s="10"/>
      <c r="J69" s="11">
        <f t="shared" ref="J69:J74" si="33">IF(D69="","",(1/D69)*1000000)</f>
        <v>22.427056000358835</v>
      </c>
      <c r="K69" s="11">
        <f t="shared" ref="K69:K74" si="34">IF(E69="","",(1/E69)*1000000)</f>
        <v>53.256643766309843</v>
      </c>
      <c r="L69" s="11">
        <f t="shared" ref="L69:L74" si="35">IF(F69="","",(1/F69)*1000000)</f>
        <v>154.4878727019929</v>
      </c>
      <c r="M69" s="11" t="str">
        <f t="shared" ref="M69:M74" si="36">IF(G69="","",(1/G69)*1000000)</f>
        <v/>
      </c>
      <c r="N69" s="11" t="str">
        <f t="shared" ref="N69:N74" si="37">IF(H69="","",(1/H69)*1000000)</f>
        <v/>
      </c>
      <c r="O69" s="11" t="str">
        <f t="shared" ref="O69:O74" si="38">IF(I69="","",(1/I69)*1000000)</f>
        <v/>
      </c>
    </row>
    <row r="70" spans="1:16" x14ac:dyDescent="0.25">
      <c r="A70" s="8" t="s">
        <v>11</v>
      </c>
      <c r="B70" s="9" t="s">
        <v>9</v>
      </c>
      <c r="C70" s="9" t="s">
        <v>12</v>
      </c>
      <c r="D70" s="10">
        <v>10658</v>
      </c>
      <c r="E70" s="10">
        <v>8214</v>
      </c>
      <c r="F70" s="10">
        <v>4275</v>
      </c>
      <c r="G70" s="10"/>
      <c r="H70" s="10"/>
      <c r="I70" s="10"/>
      <c r="J70" s="11">
        <f t="shared" si="33"/>
        <v>93.826233814974671</v>
      </c>
      <c r="K70" s="11">
        <f t="shared" si="34"/>
        <v>121.74336498660823</v>
      </c>
      <c r="L70" s="11">
        <f t="shared" si="35"/>
        <v>233.91812865497076</v>
      </c>
      <c r="M70" s="11" t="str">
        <f t="shared" si="36"/>
        <v/>
      </c>
      <c r="N70" s="11" t="str">
        <f t="shared" si="37"/>
        <v/>
      </c>
      <c r="O70" s="11" t="str">
        <f t="shared" si="38"/>
        <v/>
      </c>
    </row>
    <row r="71" spans="1:16" x14ac:dyDescent="0.25">
      <c r="A71" s="9" t="s">
        <v>13</v>
      </c>
      <c r="B71" s="9" t="s">
        <v>14</v>
      </c>
      <c r="C71" s="9" t="s">
        <v>10</v>
      </c>
      <c r="D71" s="10">
        <v>26417</v>
      </c>
      <c r="E71" s="10">
        <v>16486</v>
      </c>
      <c r="F71" s="10">
        <v>5656</v>
      </c>
      <c r="G71" s="10"/>
      <c r="H71" s="10"/>
      <c r="I71" s="10"/>
      <c r="J71" s="11">
        <f t="shared" si="33"/>
        <v>37.854411931710636</v>
      </c>
      <c r="K71" s="11">
        <f t="shared" si="34"/>
        <v>60.657527599175054</v>
      </c>
      <c r="L71" s="11">
        <f t="shared" si="35"/>
        <v>176.80339462517682</v>
      </c>
      <c r="M71" s="11" t="str">
        <f t="shared" si="36"/>
        <v/>
      </c>
      <c r="N71" s="11" t="str">
        <f t="shared" si="37"/>
        <v/>
      </c>
      <c r="O71" s="11" t="str">
        <f t="shared" si="38"/>
        <v/>
      </c>
      <c r="P71" t="s">
        <v>38</v>
      </c>
    </row>
    <row r="72" spans="1:16" x14ac:dyDescent="0.25">
      <c r="A72" s="9" t="s">
        <v>15</v>
      </c>
      <c r="B72" s="9" t="s">
        <v>14</v>
      </c>
      <c r="C72" s="9" t="s">
        <v>12</v>
      </c>
      <c r="D72" s="10">
        <v>9860</v>
      </c>
      <c r="E72" s="10">
        <v>7468</v>
      </c>
      <c r="F72" s="10">
        <v>3691</v>
      </c>
      <c r="G72" s="10"/>
      <c r="H72" s="10"/>
      <c r="I72" s="10"/>
      <c r="J72" s="11">
        <f t="shared" si="33"/>
        <v>101.41987829614604</v>
      </c>
      <c r="K72" s="11">
        <f t="shared" si="34"/>
        <v>133.90465988216388</v>
      </c>
      <c r="L72" s="11">
        <f t="shared" si="35"/>
        <v>270.92928745597402</v>
      </c>
      <c r="M72" s="11" t="str">
        <f t="shared" si="36"/>
        <v/>
      </c>
      <c r="N72" s="11" t="str">
        <f t="shared" si="37"/>
        <v/>
      </c>
      <c r="O72" s="11" t="str">
        <f t="shared" si="38"/>
        <v/>
      </c>
    </row>
    <row r="73" spans="1:16" x14ac:dyDescent="0.25">
      <c r="A73" s="9" t="s">
        <v>16</v>
      </c>
      <c r="B73" s="9" t="s">
        <v>17</v>
      </c>
      <c r="C73" s="9" t="s">
        <v>12</v>
      </c>
      <c r="D73" s="10"/>
      <c r="E73" s="10"/>
      <c r="F73" s="10"/>
      <c r="G73" s="10"/>
      <c r="H73" s="10"/>
      <c r="I73" s="10"/>
      <c r="J73" s="11" t="str">
        <f t="shared" si="33"/>
        <v/>
      </c>
      <c r="K73" s="11" t="str">
        <f t="shared" si="34"/>
        <v/>
      </c>
      <c r="L73" s="11" t="str">
        <f t="shared" si="35"/>
        <v/>
      </c>
      <c r="M73" s="11" t="str">
        <f t="shared" si="36"/>
        <v/>
      </c>
      <c r="N73" s="11" t="str">
        <f t="shared" si="37"/>
        <v/>
      </c>
      <c r="O73" s="11" t="str">
        <f t="shared" si="38"/>
        <v/>
      </c>
    </row>
    <row r="74" spans="1:16" x14ac:dyDescent="0.25">
      <c r="A74" s="9" t="s">
        <v>18</v>
      </c>
      <c r="B74" s="8" t="s">
        <v>19</v>
      </c>
      <c r="C74" s="9" t="s">
        <v>12</v>
      </c>
      <c r="D74" s="10"/>
      <c r="E74" s="10"/>
      <c r="F74" s="10"/>
      <c r="G74" s="10"/>
      <c r="H74" s="10"/>
      <c r="I74" s="10"/>
      <c r="J74" s="11" t="str">
        <f t="shared" si="33"/>
        <v/>
      </c>
      <c r="K74" s="11" t="str">
        <f t="shared" si="34"/>
        <v/>
      </c>
      <c r="L74" s="11" t="str">
        <f t="shared" si="35"/>
        <v/>
      </c>
      <c r="M74" s="11" t="str">
        <f t="shared" si="36"/>
        <v/>
      </c>
      <c r="N74" s="11" t="str">
        <f t="shared" si="37"/>
        <v/>
      </c>
      <c r="O74" s="11" t="str">
        <f t="shared" si="38"/>
        <v/>
      </c>
    </row>
    <row r="75" spans="1:16" x14ac:dyDescent="0.25">
      <c r="A75" s="21" t="s">
        <v>39</v>
      </c>
    </row>
  </sheetData>
  <mergeCells count="45">
    <mergeCell ref="A44:C44"/>
    <mergeCell ref="D44:I44"/>
    <mergeCell ref="J44:O44"/>
    <mergeCell ref="A55:I55"/>
    <mergeCell ref="Q43:AE43"/>
    <mergeCell ref="Q44:S44"/>
    <mergeCell ref="T44:Y44"/>
    <mergeCell ref="Z44:AE44"/>
    <mergeCell ref="A54:I54"/>
    <mergeCell ref="A1:O1"/>
    <mergeCell ref="Q1:AE2"/>
    <mergeCell ref="A3:C3"/>
    <mergeCell ref="D3:I3"/>
    <mergeCell ref="J3:O3"/>
    <mergeCell ref="Q3:S3"/>
    <mergeCell ref="T3:Y3"/>
    <mergeCell ref="Z3:AE3"/>
    <mergeCell ref="A2:O2"/>
    <mergeCell ref="J13:O13"/>
    <mergeCell ref="A12:O12"/>
    <mergeCell ref="Q55:AE55"/>
    <mergeCell ref="Q34:S34"/>
    <mergeCell ref="T34:Y34"/>
    <mergeCell ref="Z34:AE34"/>
    <mergeCell ref="Q33:AE33"/>
    <mergeCell ref="A23:C23"/>
    <mergeCell ref="A13:C13"/>
    <mergeCell ref="D13:I13"/>
    <mergeCell ref="A32:O32"/>
    <mergeCell ref="A33:O33"/>
    <mergeCell ref="A34:C34"/>
    <mergeCell ref="D34:I34"/>
    <mergeCell ref="J34:O34"/>
    <mergeCell ref="A43:O43"/>
    <mergeCell ref="Z56:AE56"/>
    <mergeCell ref="A56:C56"/>
    <mergeCell ref="D56:I56"/>
    <mergeCell ref="J56:O56"/>
    <mergeCell ref="Q56:S56"/>
    <mergeCell ref="T56:Y56"/>
    <mergeCell ref="A65:I65"/>
    <mergeCell ref="A66:I66"/>
    <mergeCell ref="A67:C67"/>
    <mergeCell ref="D67:I67"/>
    <mergeCell ref="J67:O67"/>
  </mergeCells>
  <conditionalFormatting sqref="D15:I20">
    <cfRule type="colorScale" priority="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5:D30 D29:E30">
    <cfRule type="colorScale" priority="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6:I51">
    <cfRule type="colorScale" priority="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T46:Y51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hyperlinks>
    <hyperlink ref="A75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3"/>
  <sheetViews>
    <sheetView workbookViewId="0">
      <selection activeCell="D50" sqref="D50"/>
    </sheetView>
  </sheetViews>
  <sheetFormatPr defaultRowHeight="15" x14ac:dyDescent="0.25"/>
  <sheetData>
    <row r="1" spans="1:15" ht="18.75" x14ac:dyDescent="0.25">
      <c r="A1" s="107" t="s">
        <v>40</v>
      </c>
      <c r="B1" s="108"/>
      <c r="C1" s="108"/>
      <c r="D1" s="108"/>
      <c r="E1" s="108"/>
      <c r="F1" s="108"/>
      <c r="G1" s="108"/>
      <c r="H1" s="108"/>
      <c r="I1" s="108"/>
      <c r="J1" s="17"/>
      <c r="K1" s="17"/>
      <c r="L1" s="17"/>
      <c r="M1" s="17"/>
      <c r="N1" s="17"/>
      <c r="O1" s="18"/>
    </row>
    <row r="2" spans="1:15" ht="15.75" x14ac:dyDescent="0.25">
      <c r="A2" s="109" t="s">
        <v>41</v>
      </c>
      <c r="B2" s="110"/>
      <c r="C2" s="110"/>
      <c r="D2" s="110"/>
      <c r="E2" s="110"/>
      <c r="F2" s="110"/>
      <c r="G2" s="110"/>
      <c r="H2" s="110"/>
      <c r="I2" s="110"/>
      <c r="J2" s="19"/>
      <c r="K2" s="19"/>
      <c r="L2" s="19"/>
      <c r="M2" s="19"/>
      <c r="N2" s="19"/>
      <c r="O2" s="20"/>
    </row>
    <row r="3" spans="1:15" x14ac:dyDescent="0.25">
      <c r="A3" s="105" t="s">
        <v>2</v>
      </c>
      <c r="B3" s="105"/>
      <c r="C3" s="105"/>
      <c r="D3" s="106" t="s">
        <v>3</v>
      </c>
      <c r="E3" s="106"/>
      <c r="F3" s="106"/>
      <c r="G3" s="106"/>
      <c r="H3" s="106"/>
      <c r="I3" s="106"/>
      <c r="J3" s="106" t="s">
        <v>4</v>
      </c>
      <c r="K3" s="106"/>
      <c r="L3" s="106"/>
      <c r="M3" s="106"/>
      <c r="N3" s="106"/>
      <c r="O3" s="106"/>
    </row>
    <row r="4" spans="1:15" x14ac:dyDescent="0.25">
      <c r="A4" s="6" t="s">
        <v>5</v>
      </c>
      <c r="B4" s="6" t="s">
        <v>6</v>
      </c>
      <c r="C4" s="6" t="s">
        <v>7</v>
      </c>
      <c r="D4" s="7">
        <v>1</v>
      </c>
      <c r="E4" s="7">
        <v>4</v>
      </c>
      <c r="F4" s="7">
        <v>16</v>
      </c>
      <c r="G4" s="7">
        <v>32</v>
      </c>
      <c r="H4" s="7">
        <v>64</v>
      </c>
      <c r="I4" s="7">
        <v>80</v>
      </c>
      <c r="J4" s="7">
        <v>1</v>
      </c>
      <c r="K4" s="7">
        <v>4</v>
      </c>
      <c r="L4" s="7">
        <v>16</v>
      </c>
      <c r="M4" s="7">
        <v>32</v>
      </c>
      <c r="N4" s="7">
        <v>64</v>
      </c>
      <c r="O4" s="7">
        <v>80</v>
      </c>
    </row>
    <row r="5" spans="1:15" x14ac:dyDescent="0.25">
      <c r="A5" s="8" t="s">
        <v>8</v>
      </c>
      <c r="B5" s="9" t="s">
        <v>9</v>
      </c>
      <c r="C5" s="9" t="s">
        <v>10</v>
      </c>
      <c r="D5" s="10">
        <v>46575</v>
      </c>
      <c r="E5" s="10">
        <v>20232</v>
      </c>
      <c r="F5" s="10">
        <v>6431</v>
      </c>
      <c r="G5" s="10"/>
      <c r="H5" s="10"/>
      <c r="I5" s="10"/>
      <c r="J5" s="11">
        <f t="shared" ref="J5:O10" si="0">IF(D5="","",(1/D5)*1000000)</f>
        <v>21.470746108427267</v>
      </c>
      <c r="K5" s="11">
        <f t="shared" si="0"/>
        <v>49.426650850138394</v>
      </c>
      <c r="L5" s="11">
        <f t="shared" si="0"/>
        <v>155.49681231534754</v>
      </c>
      <c r="M5" s="11" t="str">
        <f t="shared" si="0"/>
        <v/>
      </c>
      <c r="N5" s="11" t="str">
        <f t="shared" si="0"/>
        <v/>
      </c>
      <c r="O5" s="11" t="str">
        <f t="shared" si="0"/>
        <v/>
      </c>
    </row>
    <row r="6" spans="1:15" x14ac:dyDescent="0.25">
      <c r="A6" s="8" t="s">
        <v>11</v>
      </c>
      <c r="B6" s="9" t="s">
        <v>9</v>
      </c>
      <c r="C6" s="9" t="s">
        <v>12</v>
      </c>
      <c r="D6" s="10">
        <v>10553</v>
      </c>
      <c r="E6" s="10">
        <v>8241</v>
      </c>
      <c r="F6" s="10">
        <v>4245</v>
      </c>
      <c r="G6" s="10"/>
      <c r="H6" s="10"/>
      <c r="I6" s="10"/>
      <c r="J6" s="11">
        <f t="shared" si="0"/>
        <v>94.759783947692597</v>
      </c>
      <c r="K6" s="11">
        <f t="shared" si="0"/>
        <v>121.34449702705982</v>
      </c>
      <c r="L6" s="11">
        <f t="shared" si="0"/>
        <v>235.57126030624264</v>
      </c>
      <c r="M6" s="11" t="str">
        <f t="shared" si="0"/>
        <v/>
      </c>
      <c r="N6" s="11" t="str">
        <f t="shared" si="0"/>
        <v/>
      </c>
      <c r="O6" s="11" t="str">
        <f t="shared" si="0"/>
        <v/>
      </c>
    </row>
    <row r="7" spans="1:15" x14ac:dyDescent="0.25">
      <c r="A7" s="9" t="s">
        <v>13</v>
      </c>
      <c r="B7" s="9" t="s">
        <v>14</v>
      </c>
      <c r="C7" s="9" t="s">
        <v>10</v>
      </c>
      <c r="D7" s="10">
        <v>41595</v>
      </c>
      <c r="E7" s="10">
        <v>17542</v>
      </c>
      <c r="F7" s="10">
        <v>5618</v>
      </c>
      <c r="G7" s="10"/>
      <c r="H7" s="10"/>
      <c r="I7" s="10"/>
      <c r="J7" s="11">
        <f t="shared" si="0"/>
        <v>24.041351123933165</v>
      </c>
      <c r="K7" s="11">
        <f t="shared" si="0"/>
        <v>57.006042640519894</v>
      </c>
      <c r="L7" s="11">
        <f t="shared" si="0"/>
        <v>177.999288002848</v>
      </c>
      <c r="M7" s="11" t="str">
        <f t="shared" si="0"/>
        <v/>
      </c>
      <c r="N7" s="11" t="str">
        <f t="shared" si="0"/>
        <v/>
      </c>
      <c r="O7" s="11" t="str">
        <f t="shared" si="0"/>
        <v/>
      </c>
    </row>
    <row r="8" spans="1:15" x14ac:dyDescent="0.25">
      <c r="A8" s="9" t="s">
        <v>15</v>
      </c>
      <c r="B8" s="9" t="s">
        <v>14</v>
      </c>
      <c r="C8" s="9" t="s">
        <v>12</v>
      </c>
      <c r="D8" s="10">
        <v>10234</v>
      </c>
      <c r="E8" s="10">
        <v>7675</v>
      </c>
      <c r="F8" s="10">
        <v>3981</v>
      </c>
      <c r="G8" s="10"/>
      <c r="H8" s="10"/>
      <c r="I8" s="10"/>
      <c r="J8" s="11">
        <f t="shared" si="0"/>
        <v>97.713504006253658</v>
      </c>
      <c r="K8" s="11">
        <f t="shared" si="0"/>
        <v>130.29315960912052</v>
      </c>
      <c r="L8" s="11">
        <f t="shared" si="0"/>
        <v>251.19316754584273</v>
      </c>
      <c r="M8" s="11" t="str">
        <f t="shared" si="0"/>
        <v/>
      </c>
      <c r="N8" s="11" t="str">
        <f t="shared" si="0"/>
        <v/>
      </c>
      <c r="O8" s="11" t="str">
        <f t="shared" si="0"/>
        <v/>
      </c>
    </row>
    <row r="9" spans="1:15" x14ac:dyDescent="0.25">
      <c r="A9" s="9" t="s">
        <v>16</v>
      </c>
      <c r="B9" s="9" t="s">
        <v>17</v>
      </c>
      <c r="C9" s="9" t="s">
        <v>12</v>
      </c>
      <c r="D9" s="10">
        <v>4413</v>
      </c>
      <c r="E9" s="10">
        <v>7911</v>
      </c>
      <c r="F9" s="10">
        <v>4267</v>
      </c>
      <c r="G9" s="10"/>
      <c r="H9" s="10"/>
      <c r="I9" s="10"/>
      <c r="J9" s="11">
        <f t="shared" si="0"/>
        <v>226.60321776569228</v>
      </c>
      <c r="K9" s="11">
        <f t="shared" si="0"/>
        <v>126.40626975097966</v>
      </c>
      <c r="L9" s="11">
        <f t="shared" si="0"/>
        <v>234.35669088352472</v>
      </c>
      <c r="M9" s="11" t="str">
        <f t="shared" si="0"/>
        <v/>
      </c>
      <c r="N9" s="11" t="str">
        <f t="shared" si="0"/>
        <v/>
      </c>
      <c r="O9" s="11" t="str">
        <f t="shared" si="0"/>
        <v/>
      </c>
    </row>
    <row r="10" spans="1:15" x14ac:dyDescent="0.25">
      <c r="A10" s="9" t="s">
        <v>18</v>
      </c>
      <c r="B10" s="8" t="s">
        <v>19</v>
      </c>
      <c r="C10" s="9" t="s">
        <v>12</v>
      </c>
      <c r="D10" s="10">
        <v>4469</v>
      </c>
      <c r="E10" s="10">
        <v>7299</v>
      </c>
      <c r="F10" s="10">
        <v>4200</v>
      </c>
      <c r="G10" s="10"/>
      <c r="H10" s="10"/>
      <c r="I10" s="10"/>
      <c r="J10" s="11">
        <f t="shared" si="0"/>
        <v>223.76370552696352</v>
      </c>
      <c r="K10" s="11">
        <f t="shared" si="0"/>
        <v>137.00506918755994</v>
      </c>
      <c r="L10" s="11">
        <f t="shared" si="0"/>
        <v>238.0952380952381</v>
      </c>
      <c r="M10" s="11" t="str">
        <f t="shared" si="0"/>
        <v/>
      </c>
      <c r="N10" s="11" t="str">
        <f t="shared" si="0"/>
        <v/>
      </c>
      <c r="O10" s="11" t="str">
        <f t="shared" si="0"/>
        <v/>
      </c>
    </row>
    <row r="11" spans="1:15" x14ac:dyDescent="0.25">
      <c r="A11" t="s">
        <v>43</v>
      </c>
    </row>
    <row r="12" spans="1:15" ht="18.75" x14ac:dyDescent="0.3">
      <c r="A12" s="103" t="s">
        <v>42</v>
      </c>
      <c r="B12" s="104"/>
      <c r="C12" s="104"/>
      <c r="D12" s="104"/>
      <c r="E12" s="104"/>
      <c r="F12" s="104"/>
      <c r="G12" s="104"/>
      <c r="H12" s="104"/>
      <c r="I12" s="104"/>
      <c r="J12" s="1"/>
      <c r="K12" s="1"/>
      <c r="L12" s="1"/>
      <c r="M12" s="1"/>
      <c r="N12" s="1"/>
      <c r="O12" s="2"/>
    </row>
    <row r="13" spans="1:15" x14ac:dyDescent="0.25">
      <c r="A13" s="105" t="s">
        <v>2</v>
      </c>
      <c r="B13" s="105"/>
      <c r="C13" s="105"/>
      <c r="D13" s="106" t="s">
        <v>20</v>
      </c>
      <c r="E13" s="106"/>
      <c r="F13" s="106"/>
      <c r="G13" s="106"/>
      <c r="H13" s="106"/>
      <c r="I13" s="106"/>
      <c r="J13" s="106" t="s">
        <v>23</v>
      </c>
      <c r="K13" s="106"/>
      <c r="L13" s="106"/>
      <c r="M13" s="106"/>
      <c r="N13" s="106"/>
      <c r="O13" s="106"/>
    </row>
    <row r="14" spans="1:15" x14ac:dyDescent="0.25">
      <c r="A14" s="6" t="s">
        <v>5</v>
      </c>
      <c r="B14" s="6" t="s">
        <v>6</v>
      </c>
      <c r="C14" s="6" t="s">
        <v>7</v>
      </c>
      <c r="D14" s="7">
        <v>1</v>
      </c>
      <c r="E14" s="7">
        <v>4</v>
      </c>
      <c r="F14" s="7">
        <v>16</v>
      </c>
      <c r="G14" s="7">
        <v>32</v>
      </c>
      <c r="H14" s="7">
        <v>64</v>
      </c>
      <c r="I14" s="7">
        <v>80</v>
      </c>
      <c r="J14" s="7">
        <v>1</v>
      </c>
      <c r="K14" s="7">
        <v>4</v>
      </c>
      <c r="L14" s="7">
        <v>16</v>
      </c>
      <c r="M14" s="7">
        <v>32</v>
      </c>
      <c r="N14" s="7">
        <v>64</v>
      </c>
      <c r="O14" s="7">
        <v>80</v>
      </c>
    </row>
    <row r="15" spans="1:15" x14ac:dyDescent="0.25">
      <c r="A15" s="8" t="s">
        <v>8</v>
      </c>
      <c r="B15" s="9" t="s">
        <v>9</v>
      </c>
      <c r="C15" s="9" t="s">
        <v>10</v>
      </c>
      <c r="D15" s="12">
        <f>IF(D5="","",(D5-'Proto 2013'!D58)/'Proto 2013'!D58)</f>
        <v>-1.8644721615018644E-3</v>
      </c>
      <c r="E15" s="12">
        <f>IF(E5="","",(E5-'Proto 2013'!E58)/'Proto 2013'!E58)</f>
        <v>-3.0430823788757368E-2</v>
      </c>
      <c r="F15" s="12">
        <f>IF(F5="","",(F5-'Proto 2013'!F58)/'Proto 2013'!F58)</f>
        <v>7.1297684491087795E-2</v>
      </c>
      <c r="G15" s="12" t="str">
        <f>IF(G5="","",(G5-'Proto 2013'!G58)/'Proto 2013'!G58)</f>
        <v/>
      </c>
      <c r="H15" s="12" t="str">
        <f>IF(H5="","",(H5-'Proto 2013'!H58)/'Proto 2013'!H58)</f>
        <v/>
      </c>
      <c r="I15" s="12" t="str">
        <f>IF(I5="","",(I5-'Proto 2013'!I58)/'Proto 2013'!I58)</f>
        <v/>
      </c>
      <c r="J15" s="11">
        <f>IF(D15="","",J5-((1/'Proto 2013'!D58)*1000000))</f>
        <v>4.0031608405836749E-2</v>
      </c>
      <c r="K15" s="11">
        <f>IF(E15="","",K5-((1/'Proto 2013'!E58)*1000000))</f>
        <v>1.5040937024889942</v>
      </c>
      <c r="L15" s="11">
        <f>IF(F15="","",L5-((1/'Proto 2013'!F58)*1000000))</f>
        <v>-11.08656266382954</v>
      </c>
      <c r="M15" s="11" t="str">
        <f>IF(G15="","",M5-((1/'Proto 2013'!G58)*1000000))</f>
        <v/>
      </c>
      <c r="N15" s="11" t="str">
        <f>IF(H15="","",N5-((1/'Proto 2013'!H58)*1000000))</f>
        <v/>
      </c>
      <c r="O15" s="11" t="str">
        <f>IF(I15="","",O5-((1/'Proto 2013'!I58)*1000000))</f>
        <v/>
      </c>
    </row>
    <row r="16" spans="1:15" x14ac:dyDescent="0.25">
      <c r="A16" s="8" t="s">
        <v>11</v>
      </c>
      <c r="B16" s="9" t="s">
        <v>9</v>
      </c>
      <c r="C16" s="9" t="s">
        <v>12</v>
      </c>
      <c r="D16" s="12">
        <f>IF(D6="","",(D6-'Proto 2013'!D59)/'Proto 2013'!D59)</f>
        <v>-3.3342493358981408E-2</v>
      </c>
      <c r="E16" s="12">
        <f>IF(E6="","",(E6-'Proto 2013'!E59)/'Proto 2013'!E59)</f>
        <v>-2.3925145090607603E-2</v>
      </c>
      <c r="F16" s="12">
        <f>IF(F6="","",(F6-'Proto 2013'!F59)/'Proto 2013'!F59)</f>
        <v>-2.9714285714285714E-2</v>
      </c>
      <c r="G16" s="12" t="str">
        <f>IF(G6="","",(G6-'Proto 2013'!G59)/'Proto 2013'!G59)</f>
        <v/>
      </c>
      <c r="H16" s="12" t="str">
        <f>IF(H6="","",(H6-'Proto 2013'!H59)/'Proto 2013'!H59)</f>
        <v/>
      </c>
      <c r="I16" s="12" t="str">
        <f>IF(I6="","",(I6-'Proto 2013'!I59)/'Proto 2013'!I59)</f>
        <v/>
      </c>
      <c r="J16" s="11">
        <f>IF(D16="","",J6-((1/'Proto 2013'!D59)*1000000))</f>
        <v>3.1595274669744526</v>
      </c>
      <c r="K16" s="11">
        <f>IF(E16="","",K6-((1/'Proto 2013'!E59)*1000000))</f>
        <v>2.9031846973192046</v>
      </c>
      <c r="L16" s="11">
        <f>IF(F16="","",L6-((1/'Proto 2013'!F59)*1000000))</f>
        <v>6.9998317348140802</v>
      </c>
      <c r="M16" s="11" t="str">
        <f>IF(G16="","",M6-((1/'Proto 2013'!G59)*1000000))</f>
        <v/>
      </c>
      <c r="N16" s="11" t="str">
        <f>IF(H16="","",N6-((1/'Proto 2013'!H59)*1000000))</f>
        <v/>
      </c>
      <c r="O16" s="11" t="str">
        <f>IF(I16="","",O6-((1/'Proto 2013'!I59)*1000000))</f>
        <v/>
      </c>
    </row>
    <row r="17" spans="1:16" x14ac:dyDescent="0.25">
      <c r="A17" s="9" t="s">
        <v>13</v>
      </c>
      <c r="B17" s="9" t="s">
        <v>14</v>
      </c>
      <c r="C17" s="9" t="s">
        <v>10</v>
      </c>
      <c r="D17" s="12">
        <f>IF(D7="","",(D7-'Proto 2013'!D60)/'Proto 2013'!D60)</f>
        <v>4.1020122134347782E-2</v>
      </c>
      <c r="E17" s="12">
        <f>IF(E7="","",(E7-'Proto 2013'!E60)/'Proto 2013'!E60)</f>
        <v>6.7031630170316298E-2</v>
      </c>
      <c r="F17" s="12">
        <f>IF(F7="","",(F7-'Proto 2013'!F60)/'Proto 2013'!F60)</f>
        <v>-3.3705871917686712E-3</v>
      </c>
      <c r="G17" s="12" t="str">
        <f>IF(G7="","",(G7-'Proto 2013'!G60)/'Proto 2013'!G60)</f>
        <v/>
      </c>
      <c r="H17" s="12" t="str">
        <f>IF(H7="","",(H7-'Proto 2013'!H60)/'Proto 2013'!H60)</f>
        <v/>
      </c>
      <c r="I17" s="12" t="str">
        <f>IF(I7="","",(I7-'Proto 2013'!I60)/'Proto 2013'!I60)</f>
        <v/>
      </c>
      <c r="J17" s="11">
        <f>IF(D17="","",J7-((1/'Proto 2013'!D60)*1000000))</f>
        <v>-0.98617915937847656</v>
      </c>
      <c r="K17" s="11">
        <f>IF(E17="","",K7-((1/'Proto 2013'!E60)*1000000))</f>
        <v>-3.8212079677526134</v>
      </c>
      <c r="L17" s="11">
        <f>IF(F17="","",L7-((1/'Proto 2013'!F60)*1000000))</f>
        <v>0.59996212028636364</v>
      </c>
      <c r="M17" s="11" t="str">
        <f>IF(G17="","",M7-((1/'Proto 2013'!G60)*1000000))</f>
        <v/>
      </c>
      <c r="N17" s="11" t="str">
        <f>IF(H17="","",N7-((1/'Proto 2013'!H60)*1000000))</f>
        <v/>
      </c>
      <c r="O17" s="11" t="str">
        <f>IF(I17="","",O7-((1/'Proto 2013'!I60)*1000000))</f>
        <v/>
      </c>
    </row>
    <row r="18" spans="1:16" x14ac:dyDescent="0.25">
      <c r="A18" s="9" t="s">
        <v>15</v>
      </c>
      <c r="B18" s="9" t="s">
        <v>14</v>
      </c>
      <c r="C18" s="9" t="s">
        <v>12</v>
      </c>
      <c r="D18" s="12">
        <f>IF(D8="","",(D8-'Proto 2013'!D61)/'Proto 2013'!D61)</f>
        <v>0.10829542993285683</v>
      </c>
      <c r="E18" s="12">
        <f>IF(E8="","",(E8-'Proto 2013'!E61)/'Proto 2013'!E61)</f>
        <v>1.8309672283401884E-2</v>
      </c>
      <c r="F18" s="12">
        <f>IF(F8="","",(F8-'Proto 2013'!F61)/'Proto 2013'!F61)</f>
        <v>2.2079589216944803E-2</v>
      </c>
      <c r="G18" s="12" t="str">
        <f>IF(G8="","",(G8-'Proto 2013'!G61)/'Proto 2013'!G61)</f>
        <v/>
      </c>
      <c r="H18" s="12" t="str">
        <f>IF(H8="","",(H8-'Proto 2013'!H61)/'Proto 2013'!H61)</f>
        <v/>
      </c>
      <c r="I18" s="12" t="str">
        <f>IF(I8="","",(I8-'Proto 2013'!I61)/'Proto 2013'!I61)</f>
        <v/>
      </c>
      <c r="J18" s="11">
        <f>IF(D18="","",J8-((1/'Proto 2013'!D61)*1000000))</f>
        <v>-10.581925926603176</v>
      </c>
      <c r="K18" s="11">
        <f>IF(E18="","",K8-((1/'Proto 2013'!E61)*1000000))</f>
        <v>-2.3856250532119532</v>
      </c>
      <c r="L18" s="11">
        <f>IF(F18="","",L8-((1/'Proto 2013'!F61)*1000000))</f>
        <v>-5.5462419535154197</v>
      </c>
      <c r="M18" s="11" t="str">
        <f>IF(G18="","",M8-((1/'Proto 2013'!G61)*1000000))</f>
        <v/>
      </c>
      <c r="N18" s="11" t="str">
        <f>IF(H18="","",N8-((1/'Proto 2013'!H61)*1000000))</f>
        <v/>
      </c>
      <c r="O18" s="11" t="str">
        <f>IF(I18="","",O8-((1/'Proto 2013'!I61)*1000000))</f>
        <v/>
      </c>
    </row>
    <row r="19" spans="1:16" x14ac:dyDescent="0.25">
      <c r="A19" s="9" t="s">
        <v>16</v>
      </c>
      <c r="B19" s="9" t="s">
        <v>17</v>
      </c>
      <c r="C19" s="9" t="s">
        <v>12</v>
      </c>
      <c r="D19" s="12">
        <f>IF(D9="","",(D9-'Proto 2013'!D62)/'Proto 2013'!D62)</f>
        <v>5.2391799544419136E-3</v>
      </c>
      <c r="E19" s="12">
        <f>IF(E9="","",(E9-'Proto 2013'!E62)/'Proto 2013'!E62)</f>
        <v>0.18516853932584271</v>
      </c>
      <c r="F19" s="12">
        <f>IF(F9="","",(F9-'Proto 2013'!F62)/'Proto 2013'!F62)</f>
        <v>0.21844660194174756</v>
      </c>
      <c r="G19" s="12" t="str">
        <f>IF(G9="","",(G9-'Proto 2013'!G62)/'Proto 2013'!G62)</f>
        <v/>
      </c>
      <c r="H19" s="12" t="str">
        <f>IF(H9="","",(H9-'Proto 2013'!H62)/'Proto 2013'!H62)</f>
        <v/>
      </c>
      <c r="I19" s="12" t="str">
        <f>IF(I9="","",(I9-'Proto 2013'!I62)/'Proto 2013'!I62)</f>
        <v/>
      </c>
      <c r="J19" s="11">
        <f>IF(D19="","",J9-((1/'Proto 2013'!D62)*1000000))</f>
        <v>-1.1872150361300555</v>
      </c>
      <c r="K19" s="11">
        <f>IF(E19="","",K9-((1/'Proto 2013'!E62)*1000000))</f>
        <v>-23.406464331417354</v>
      </c>
      <c r="L19" s="11">
        <f>IF(F19="","",L9-((1/'Proto 2013'!F62)*1000000))</f>
        <v>-51.194422765818501</v>
      </c>
      <c r="M19" s="11" t="str">
        <f>IF(G19="","",M9-((1/'Proto 2013'!G62)*1000000))</f>
        <v/>
      </c>
      <c r="N19" s="11" t="str">
        <f>IF(H19="","",N9-((1/'Proto 2013'!H62)*1000000))</f>
        <v/>
      </c>
      <c r="O19" s="11" t="str">
        <f>IF(I19="","",O9-((1/'Proto 2013'!I62)*1000000))</f>
        <v/>
      </c>
    </row>
    <row r="20" spans="1:16" x14ac:dyDescent="0.25">
      <c r="A20" s="9" t="s">
        <v>18</v>
      </c>
      <c r="B20" s="8" t="s">
        <v>19</v>
      </c>
      <c r="C20" s="9" t="s">
        <v>12</v>
      </c>
      <c r="D20" s="12">
        <f>IF(D10="","",(D10-'Proto 2013'!D63)/'Proto 2013'!D63)</f>
        <v>9.487237406821775E-3</v>
      </c>
      <c r="E20" s="12">
        <f>IF(E10="","",(E10-'Proto 2013'!E63)/'Proto 2013'!E63)</f>
        <v>0.271602787456446</v>
      </c>
      <c r="F20" s="12">
        <f>IF(F10="","",(F10-'Proto 2013'!F63)/'Proto 2013'!F63)</f>
        <v>0.15543328748280605</v>
      </c>
      <c r="G20" s="12" t="str">
        <f>IF(G10="","",(G10-'Proto 2013'!G63)/'Proto 2013'!G63)</f>
        <v/>
      </c>
      <c r="H20" s="12" t="str">
        <f>IF(H10="","",(H10-'Proto 2013'!H63)/'Proto 2013'!H63)</f>
        <v/>
      </c>
      <c r="I20" s="12" t="str">
        <f>IF(I10="","",(I10-'Proto 2013'!I63)/'Proto 2013'!I63)</f>
        <v/>
      </c>
      <c r="J20" s="11">
        <f>IF(D20="","",J10-((1/'Proto 2013'!D63)*1000000))</f>
        <v>-2.1228993973644492</v>
      </c>
      <c r="K20" s="11">
        <f>IF(E20="","",K10-((1/'Proto 2013'!E63)*1000000))</f>
        <v>-37.210958687004506</v>
      </c>
      <c r="L20" s="11">
        <f>IF(F20="","",L10-((1/'Proto 2013'!F63)*1000000))</f>
        <v>-37.0079255911443</v>
      </c>
      <c r="M20" s="11" t="str">
        <f>IF(G20="","",M10-((1/'Proto 2013'!G63)*1000000))</f>
        <v/>
      </c>
      <c r="N20" s="11" t="str">
        <f>IF(H20="","",N10-((1/'Proto 2013'!H63)*1000000))</f>
        <v/>
      </c>
      <c r="O20" s="11" t="str">
        <f>IF(I20="","",O10-((1/'Proto 2013'!I63)*1000000))</f>
        <v/>
      </c>
    </row>
    <row r="23" spans="1:16" ht="18.75" x14ac:dyDescent="0.25">
      <c r="A23" s="107" t="s">
        <v>40</v>
      </c>
      <c r="B23" s="108"/>
      <c r="C23" s="108"/>
      <c r="D23" s="108"/>
      <c r="E23" s="108"/>
      <c r="F23" s="108"/>
      <c r="G23" s="108"/>
      <c r="H23" s="108"/>
      <c r="I23" s="108"/>
      <c r="J23" s="17"/>
      <c r="K23" s="17"/>
      <c r="L23" s="17"/>
      <c r="M23" s="17"/>
      <c r="N23" s="17"/>
      <c r="O23" s="18"/>
    </row>
    <row r="24" spans="1:16" ht="15.75" x14ac:dyDescent="0.25">
      <c r="A24" s="109" t="s">
        <v>45</v>
      </c>
      <c r="B24" s="110"/>
      <c r="C24" s="110"/>
      <c r="D24" s="110"/>
      <c r="E24" s="110"/>
      <c r="F24" s="110"/>
      <c r="G24" s="110"/>
      <c r="H24" s="110"/>
      <c r="I24" s="110"/>
      <c r="J24" s="19"/>
      <c r="K24" s="19"/>
      <c r="L24" s="19"/>
      <c r="M24" s="19"/>
      <c r="N24" s="19"/>
      <c r="O24" s="20"/>
    </row>
    <row r="25" spans="1:16" x14ac:dyDescent="0.25">
      <c r="A25" s="105" t="s">
        <v>2</v>
      </c>
      <c r="B25" s="105"/>
      <c r="C25" s="105"/>
      <c r="D25" s="106" t="s">
        <v>3</v>
      </c>
      <c r="E25" s="106"/>
      <c r="F25" s="106"/>
      <c r="G25" s="106"/>
      <c r="H25" s="106"/>
      <c r="I25" s="106"/>
      <c r="J25" s="106" t="s">
        <v>4</v>
      </c>
      <c r="K25" s="106"/>
      <c r="L25" s="106"/>
      <c r="M25" s="106"/>
      <c r="N25" s="106"/>
      <c r="O25" s="106"/>
    </row>
    <row r="26" spans="1:16" x14ac:dyDescent="0.25">
      <c r="A26" s="6" t="s">
        <v>5</v>
      </c>
      <c r="B26" s="6" t="s">
        <v>6</v>
      </c>
      <c r="C26" s="6" t="s">
        <v>7</v>
      </c>
      <c r="D26" s="7">
        <v>1</v>
      </c>
      <c r="E26" s="7">
        <v>4</v>
      </c>
      <c r="F26" s="7">
        <v>16</v>
      </c>
      <c r="G26" s="7">
        <v>32</v>
      </c>
      <c r="H26" s="7">
        <v>64</v>
      </c>
      <c r="I26" s="7">
        <v>80</v>
      </c>
      <c r="J26" s="7">
        <v>1</v>
      </c>
      <c r="K26" s="7">
        <v>4</v>
      </c>
      <c r="L26" s="7">
        <v>16</v>
      </c>
      <c r="M26" s="7">
        <v>32</v>
      </c>
      <c r="N26" s="7">
        <v>64</v>
      </c>
      <c r="O26" s="7">
        <v>80</v>
      </c>
    </row>
    <row r="27" spans="1:16" x14ac:dyDescent="0.25">
      <c r="A27" s="8" t="s">
        <v>8</v>
      </c>
      <c r="B27" s="9" t="s">
        <v>9</v>
      </c>
      <c r="C27" s="9" t="s">
        <v>10</v>
      </c>
      <c r="D27" s="10">
        <v>38628</v>
      </c>
      <c r="E27" s="10">
        <v>20232</v>
      </c>
      <c r="F27" s="10">
        <v>6399</v>
      </c>
      <c r="G27" s="10"/>
      <c r="H27" s="10"/>
      <c r="I27" s="10"/>
      <c r="J27" s="11">
        <f t="shared" ref="J27:J32" si="1">IF(D27="","",(1/D27)*1000000)</f>
        <v>25.887956922439681</v>
      </c>
      <c r="K27" s="11">
        <f t="shared" ref="K27:K32" si="2">IF(E27="","",(1/E27)*1000000)</f>
        <v>49.426650850138394</v>
      </c>
      <c r="L27" s="11">
        <f t="shared" ref="L27:L32" si="3">IF(F27="","",(1/F27)*1000000)</f>
        <v>156.27441787779341</v>
      </c>
      <c r="M27" s="11" t="str">
        <f t="shared" ref="M27:M32" si="4">IF(G27="","",(1/G27)*1000000)</f>
        <v/>
      </c>
      <c r="N27" s="11" t="str">
        <f t="shared" ref="N27:N32" si="5">IF(H27="","",(1/H27)*1000000)</f>
        <v/>
      </c>
      <c r="O27" s="11" t="str">
        <f t="shared" ref="O27:O32" si="6">IF(I27="","",(1/I27)*1000000)</f>
        <v/>
      </c>
      <c r="P27" t="s">
        <v>46</v>
      </c>
    </row>
    <row r="28" spans="1:16" x14ac:dyDescent="0.25">
      <c r="A28" s="8" t="s">
        <v>11</v>
      </c>
      <c r="B28" s="9" t="s">
        <v>9</v>
      </c>
      <c r="C28" s="9" t="s">
        <v>12</v>
      </c>
      <c r="D28" s="10">
        <v>10563</v>
      </c>
      <c r="E28" s="10">
        <v>8295</v>
      </c>
      <c r="F28" s="10">
        <v>4404</v>
      </c>
      <c r="G28" s="10"/>
      <c r="H28" s="10"/>
      <c r="I28" s="10"/>
      <c r="J28" s="11">
        <f t="shared" si="1"/>
        <v>94.670074789359091</v>
      </c>
      <c r="K28" s="11">
        <f t="shared" si="2"/>
        <v>120.55455093429778</v>
      </c>
      <c r="L28" s="11">
        <f t="shared" si="3"/>
        <v>227.06630336058129</v>
      </c>
      <c r="M28" s="11" t="str">
        <f t="shared" si="4"/>
        <v/>
      </c>
      <c r="N28" s="11" t="str">
        <f t="shared" si="5"/>
        <v/>
      </c>
      <c r="O28" s="11" t="str">
        <f t="shared" si="6"/>
        <v/>
      </c>
    </row>
    <row r="29" spans="1:16" x14ac:dyDescent="0.25">
      <c r="A29" s="9" t="s">
        <v>13</v>
      </c>
      <c r="B29" s="9" t="s">
        <v>14</v>
      </c>
      <c r="C29" s="9" t="s">
        <v>10</v>
      </c>
      <c r="D29" s="10">
        <v>39959</v>
      </c>
      <c r="E29" s="10">
        <v>17685</v>
      </c>
      <c r="F29" s="10">
        <v>5776</v>
      </c>
      <c r="G29" s="10"/>
      <c r="H29" s="10"/>
      <c r="I29" s="10"/>
      <c r="J29" s="11">
        <f t="shared" si="1"/>
        <v>25.025651292574889</v>
      </c>
      <c r="K29" s="11">
        <f t="shared" si="2"/>
        <v>56.545094713033642</v>
      </c>
      <c r="L29" s="11">
        <f t="shared" si="3"/>
        <v>173.13019390581718</v>
      </c>
      <c r="M29" s="11" t="str">
        <f t="shared" si="4"/>
        <v/>
      </c>
      <c r="N29" s="11" t="str">
        <f t="shared" si="5"/>
        <v/>
      </c>
      <c r="O29" s="11" t="str">
        <f t="shared" si="6"/>
        <v/>
      </c>
    </row>
    <row r="30" spans="1:16" x14ac:dyDescent="0.25">
      <c r="A30" s="9" t="s">
        <v>15</v>
      </c>
      <c r="B30" s="9" t="s">
        <v>14</v>
      </c>
      <c r="C30" s="9" t="s">
        <v>12</v>
      </c>
      <c r="D30" s="10">
        <v>10541</v>
      </c>
      <c r="E30" s="10">
        <v>7468</v>
      </c>
      <c r="F30" s="10">
        <v>3995</v>
      </c>
      <c r="G30" s="10"/>
      <c r="H30" s="10"/>
      <c r="I30" s="10"/>
      <c r="J30" s="11">
        <f t="shared" si="1"/>
        <v>94.867659614837308</v>
      </c>
      <c r="K30" s="11">
        <f t="shared" si="2"/>
        <v>133.90465988216388</v>
      </c>
      <c r="L30" s="11">
        <f t="shared" si="3"/>
        <v>250.31289111389236</v>
      </c>
      <c r="M30" s="11" t="str">
        <f t="shared" si="4"/>
        <v/>
      </c>
      <c r="N30" s="11" t="str">
        <f t="shared" si="5"/>
        <v/>
      </c>
      <c r="O30" s="11" t="str">
        <f t="shared" si="6"/>
        <v/>
      </c>
    </row>
    <row r="31" spans="1:16" x14ac:dyDescent="0.25">
      <c r="A31" s="9" t="s">
        <v>16</v>
      </c>
      <c r="B31" s="9" t="s">
        <v>17</v>
      </c>
      <c r="C31" s="9" t="s">
        <v>12</v>
      </c>
      <c r="D31" s="10">
        <v>4463</v>
      </c>
      <c r="E31" s="10">
        <v>7667</v>
      </c>
      <c r="F31" s="10">
        <v>4162</v>
      </c>
      <c r="G31" s="10"/>
      <c r="H31" s="10"/>
      <c r="I31" s="10"/>
      <c r="J31" s="11">
        <f t="shared" si="1"/>
        <v>224.06453058480844</v>
      </c>
      <c r="K31" s="11">
        <f t="shared" si="2"/>
        <v>130.42911177774877</v>
      </c>
      <c r="L31" s="11">
        <f t="shared" si="3"/>
        <v>240.26910139356079</v>
      </c>
      <c r="M31" s="11" t="str">
        <f t="shared" si="4"/>
        <v/>
      </c>
      <c r="N31" s="11" t="str">
        <f t="shared" si="5"/>
        <v/>
      </c>
      <c r="O31" s="11" t="str">
        <f t="shared" si="6"/>
        <v/>
      </c>
    </row>
    <row r="32" spans="1:16" x14ac:dyDescent="0.25">
      <c r="A32" s="9" t="s">
        <v>18</v>
      </c>
      <c r="B32" s="8" t="s">
        <v>19</v>
      </c>
      <c r="C32" s="9" t="s">
        <v>12</v>
      </c>
      <c r="D32" s="10">
        <v>4468</v>
      </c>
      <c r="E32" s="10">
        <v>5932</v>
      </c>
      <c r="F32" s="10">
        <v>4162</v>
      </c>
      <c r="G32" s="10"/>
      <c r="H32" s="10"/>
      <c r="I32" s="10"/>
      <c r="J32" s="11">
        <f t="shared" si="1"/>
        <v>223.81378692927484</v>
      </c>
      <c r="K32" s="11">
        <f t="shared" si="2"/>
        <v>168.57720836142954</v>
      </c>
      <c r="L32" s="11">
        <f t="shared" si="3"/>
        <v>240.26910139356079</v>
      </c>
      <c r="M32" s="11" t="str">
        <f t="shared" si="4"/>
        <v/>
      </c>
      <c r="N32" s="11" t="str">
        <f t="shared" si="5"/>
        <v/>
      </c>
      <c r="O32" s="11" t="str">
        <f t="shared" si="6"/>
        <v/>
      </c>
    </row>
    <row r="33" spans="1:15" x14ac:dyDescent="0.25">
      <c r="A33" s="21" t="s">
        <v>44</v>
      </c>
    </row>
    <row r="34" spans="1:15" ht="18.75" x14ac:dyDescent="0.3">
      <c r="A34" s="103" t="s">
        <v>42</v>
      </c>
      <c r="B34" s="104"/>
      <c r="C34" s="104"/>
      <c r="D34" s="104"/>
      <c r="E34" s="104"/>
      <c r="F34" s="104"/>
      <c r="G34" s="104"/>
      <c r="H34" s="104"/>
      <c r="I34" s="104"/>
      <c r="J34" s="1"/>
      <c r="K34" s="1"/>
      <c r="L34" s="1"/>
      <c r="M34" s="1"/>
      <c r="N34" s="1"/>
      <c r="O34" s="2"/>
    </row>
    <row r="35" spans="1:15" x14ac:dyDescent="0.25">
      <c r="A35" s="105" t="s">
        <v>2</v>
      </c>
      <c r="B35" s="105"/>
      <c r="C35" s="105"/>
      <c r="D35" s="106" t="s">
        <v>20</v>
      </c>
      <c r="E35" s="106"/>
      <c r="F35" s="106"/>
      <c r="G35" s="106"/>
      <c r="H35" s="106"/>
      <c r="I35" s="106"/>
      <c r="J35" s="106" t="s">
        <v>23</v>
      </c>
      <c r="K35" s="106"/>
      <c r="L35" s="106"/>
      <c r="M35" s="106"/>
      <c r="N35" s="106"/>
      <c r="O35" s="106"/>
    </row>
    <row r="36" spans="1:15" x14ac:dyDescent="0.25">
      <c r="A36" s="6" t="s">
        <v>5</v>
      </c>
      <c r="B36" s="6" t="s">
        <v>6</v>
      </c>
      <c r="C36" s="6" t="s">
        <v>7</v>
      </c>
      <c r="D36" s="7">
        <v>1</v>
      </c>
      <c r="E36" s="7">
        <v>4</v>
      </c>
      <c r="F36" s="7">
        <v>16</v>
      </c>
      <c r="G36" s="7">
        <v>32</v>
      </c>
      <c r="H36" s="7">
        <v>64</v>
      </c>
      <c r="I36" s="7">
        <v>80</v>
      </c>
      <c r="J36" s="7">
        <v>1</v>
      </c>
      <c r="K36" s="7">
        <v>4</v>
      </c>
      <c r="L36" s="7">
        <v>16</v>
      </c>
      <c r="M36" s="7">
        <v>32</v>
      </c>
      <c r="N36" s="7">
        <v>64</v>
      </c>
      <c r="O36" s="7">
        <v>80</v>
      </c>
    </row>
    <row r="37" spans="1:15" x14ac:dyDescent="0.25">
      <c r="A37" s="8" t="s">
        <v>8</v>
      </c>
      <c r="B37" s="9" t="s">
        <v>9</v>
      </c>
      <c r="C37" s="9" t="s">
        <v>10</v>
      </c>
      <c r="D37" s="12">
        <f>IF(D27="","",(D27-'Proto 2013'!D58)/'Proto 2013'!D58)</f>
        <v>-0.17217436029317218</v>
      </c>
      <c r="E37" s="12">
        <f>IF(E27="","",(E27-'Proto 2013'!E58)/'Proto 2013'!E58)</f>
        <v>-3.0430823788757368E-2</v>
      </c>
      <c r="F37" s="12">
        <f>IF(F27="","",(F27-'Proto 2013'!F58)/'Proto 2013'!F58)</f>
        <v>6.5967016491754127E-2</v>
      </c>
      <c r="G37" s="12" t="str">
        <f>IF(G27="","",(G27-'Proto 2013'!G58)/'Proto 2013'!G58)</f>
        <v/>
      </c>
      <c r="H37" s="12" t="str">
        <f>IF(H27="","",(H27-'Proto 2013'!H58)/'Proto 2013'!H58)</f>
        <v/>
      </c>
      <c r="I37" s="12" t="str">
        <f>IF(I27="","",(I27-'Proto 2013'!I58)/'Proto 2013'!I58)</f>
        <v/>
      </c>
      <c r="J37" s="11">
        <f>IF(D37="","",J27-((1/'Proto 2013'!D58)*1000000))</f>
        <v>4.4572424224182505</v>
      </c>
      <c r="K37" s="11">
        <f>IF(E37="","",K27-((1/'Proto 2013'!E58)*1000000))</f>
        <v>1.5040937024889942</v>
      </c>
      <c r="L37" s="11">
        <f>IF(F37="","",L27-((1/'Proto 2013'!F58)*1000000))</f>
        <v>-10.308957101383669</v>
      </c>
      <c r="M37" s="11" t="str">
        <f>IF(G37="","",M27-((1/'Proto 2013'!G58)*1000000))</f>
        <v/>
      </c>
      <c r="N37" s="11" t="str">
        <f>IF(H37="","",N27-((1/'Proto 2013'!H58)*1000000))</f>
        <v/>
      </c>
      <c r="O37" s="11" t="str">
        <f>IF(I37="","",O27-((1/'Proto 2013'!I58)*1000000))</f>
        <v/>
      </c>
    </row>
    <row r="38" spans="1:15" x14ac:dyDescent="0.25">
      <c r="A38" s="8" t="s">
        <v>11</v>
      </c>
      <c r="B38" s="9" t="s">
        <v>9</v>
      </c>
      <c r="C38" s="9" t="s">
        <v>12</v>
      </c>
      <c r="D38" s="12">
        <f>IF(D28="","",(D28-'Proto 2013'!D59)/'Proto 2013'!D59)</f>
        <v>-3.2426490794174222E-2</v>
      </c>
      <c r="E38" s="12">
        <f>IF(E28="","",(E28-'Proto 2013'!E59)/'Proto 2013'!E59)</f>
        <v>-1.7529314224801612E-2</v>
      </c>
      <c r="F38" s="12">
        <f>IF(F28="","",(F28-'Proto 2013'!F59)/'Proto 2013'!F59)</f>
        <v>6.628571428571429E-3</v>
      </c>
      <c r="G38" s="12" t="str">
        <f>IF(G28="","",(G28-'Proto 2013'!G59)/'Proto 2013'!G59)</f>
        <v/>
      </c>
      <c r="H38" s="12" t="str">
        <f>IF(H28="","",(H28-'Proto 2013'!H59)/'Proto 2013'!H59)</f>
        <v/>
      </c>
      <c r="I38" s="12" t="str">
        <f>IF(I28="","",(I28-'Proto 2013'!I59)/'Proto 2013'!I59)</f>
        <v/>
      </c>
      <c r="J38" s="11">
        <f>IF(D38="","",J28-((1/'Proto 2013'!D59)*1000000))</f>
        <v>3.0698183086409472</v>
      </c>
      <c r="K38" s="11">
        <f>IF(E38="","",K28-((1/'Proto 2013'!E59)*1000000))</f>
        <v>2.1132386045571678</v>
      </c>
      <c r="L38" s="11">
        <f>IF(F38="","",L28-((1/'Proto 2013'!F59)*1000000))</f>
        <v>-1.5051252108472681</v>
      </c>
      <c r="M38" s="11" t="str">
        <f>IF(G38="","",M28-((1/'Proto 2013'!G59)*1000000))</f>
        <v/>
      </c>
      <c r="N38" s="11" t="str">
        <f>IF(H38="","",N28-((1/'Proto 2013'!H59)*1000000))</f>
        <v/>
      </c>
      <c r="O38" s="11" t="str">
        <f>IF(I38="","",O28-((1/'Proto 2013'!I59)*1000000))</f>
        <v/>
      </c>
    </row>
    <row r="39" spans="1:15" x14ac:dyDescent="0.25">
      <c r="A39" s="9" t="s">
        <v>13</v>
      </c>
      <c r="B39" s="9" t="s">
        <v>14</v>
      </c>
      <c r="C39" s="9" t="s">
        <v>10</v>
      </c>
      <c r="D39" s="12">
        <f>IF(D29="","",(D29-'Proto 2013'!D60)/'Proto 2013'!D60)</f>
        <v>7.5082590849934934E-5</v>
      </c>
      <c r="E39" s="12">
        <f>IF(E29="","",(E29-'Proto 2013'!E60)/'Proto 2013'!E60)</f>
        <v>7.5729927007299275E-2</v>
      </c>
      <c r="F39" s="12">
        <f>IF(F29="","",(F29-'Proto 2013'!F60)/'Proto 2013'!F60)</f>
        <v>2.4658506297676068E-2</v>
      </c>
      <c r="G39" s="12" t="str">
        <f>IF(G29="","",(G29-'Proto 2013'!G60)/'Proto 2013'!G60)</f>
        <v/>
      </c>
      <c r="H39" s="12" t="str">
        <f>IF(H29="","",(H29-'Proto 2013'!H60)/'Proto 2013'!H60)</f>
        <v/>
      </c>
      <c r="I39" s="12" t="str">
        <f>IF(I29="","",(I29-'Proto 2013'!I60)/'Proto 2013'!I60)</f>
        <v/>
      </c>
      <c r="J39" s="11">
        <f>IF(D39="","",J29-((1/'Proto 2013'!D60)*1000000))</f>
        <v>-1.8789907367526837E-3</v>
      </c>
      <c r="K39" s="11">
        <f>IF(E39="","",K29-((1/'Proto 2013'!E60)*1000000))</f>
        <v>-4.2821558952388656</v>
      </c>
      <c r="L39" s="11">
        <f>IF(F39="","",L29-((1/'Proto 2013'!F60)*1000000))</f>
        <v>-4.2691319767444611</v>
      </c>
      <c r="M39" s="11" t="str">
        <f>IF(G39="","",M29-((1/'Proto 2013'!G60)*1000000))</f>
        <v/>
      </c>
      <c r="N39" s="11" t="str">
        <f>IF(H39="","",N29-((1/'Proto 2013'!H60)*1000000))</f>
        <v/>
      </c>
      <c r="O39" s="11" t="str">
        <f>IF(I39="","",O29-((1/'Proto 2013'!I60)*1000000))</f>
        <v/>
      </c>
    </row>
    <row r="40" spans="1:15" x14ac:dyDescent="0.25">
      <c r="A40" s="9" t="s">
        <v>15</v>
      </c>
      <c r="B40" s="9" t="s">
        <v>14</v>
      </c>
      <c r="C40" s="9" t="s">
        <v>12</v>
      </c>
      <c r="D40" s="12">
        <f>IF(D30="","",(D30-'Proto 2013'!D61)/'Proto 2013'!D61)</f>
        <v>0.14154212692224388</v>
      </c>
      <c r="E40" s="12">
        <f>IF(E30="","",(E30-'Proto 2013'!E61)/'Proto 2013'!E61)</f>
        <v>-9.1548361417009422E-3</v>
      </c>
      <c r="F40" s="12">
        <f>IF(F30="","",(F30-'Proto 2013'!F61)/'Proto 2013'!F61)</f>
        <v>2.5673940949935817E-2</v>
      </c>
      <c r="G40" s="12" t="str">
        <f>IF(G30="","",(G30-'Proto 2013'!G61)/'Proto 2013'!G61)</f>
        <v/>
      </c>
      <c r="H40" s="12" t="str">
        <f>IF(H30="","",(H30-'Proto 2013'!H61)/'Proto 2013'!H61)</f>
        <v/>
      </c>
      <c r="I40" s="12" t="str">
        <f>IF(I30="","",(I30-'Proto 2013'!I61)/'Proto 2013'!I61)</f>
        <v/>
      </c>
      <c r="J40" s="11">
        <f>IF(D40="","",J30-((1/'Proto 2013'!D61)*1000000))</f>
        <v>-13.427770318019526</v>
      </c>
      <c r="K40" s="11">
        <f>IF(E40="","",K30-((1/'Proto 2013'!E61)*1000000))</f>
        <v>1.2258752198314085</v>
      </c>
      <c r="L40" s="11">
        <f>IF(F40="","",L30-((1/'Proto 2013'!F61)*1000000))</f>
        <v>-6.4265183854657835</v>
      </c>
      <c r="M40" s="11" t="str">
        <f>IF(G40="","",M30-((1/'Proto 2013'!G61)*1000000))</f>
        <v/>
      </c>
      <c r="N40" s="11" t="str">
        <f>IF(H40="","",N30-((1/'Proto 2013'!H61)*1000000))</f>
        <v/>
      </c>
      <c r="O40" s="11" t="str">
        <f>IF(I40="","",O30-((1/'Proto 2013'!I61)*1000000))</f>
        <v/>
      </c>
    </row>
    <row r="41" spans="1:15" x14ac:dyDescent="0.25">
      <c r="A41" s="9" t="s">
        <v>16</v>
      </c>
      <c r="B41" s="9" t="s">
        <v>17</v>
      </c>
      <c r="C41" s="9" t="s">
        <v>12</v>
      </c>
      <c r="D41" s="12">
        <f>IF(D31="","",(D31-'Proto 2013'!D62)/'Proto 2013'!D62)</f>
        <v>1.662870159453303E-2</v>
      </c>
      <c r="E41" s="12">
        <f>IF(E31="","",(E31-'Proto 2013'!E62)/'Proto 2013'!E62)</f>
        <v>0.14861423220973782</v>
      </c>
      <c r="F41" s="12">
        <f>IF(F31="","",(F31-'Proto 2013'!F62)/'Proto 2013'!F62)</f>
        <v>0.18846373500856653</v>
      </c>
      <c r="G41" s="12" t="str">
        <f>IF(G31="","",(G31-'Proto 2013'!G62)/'Proto 2013'!G62)</f>
        <v/>
      </c>
      <c r="H41" s="12" t="str">
        <f>IF(H31="","",(H31-'Proto 2013'!H62)/'Proto 2013'!H62)</f>
        <v/>
      </c>
      <c r="I41" s="12" t="str">
        <f>IF(I31="","",(I31-'Proto 2013'!I62)/'Proto 2013'!I62)</f>
        <v/>
      </c>
      <c r="J41" s="11">
        <f>IF(D41="","",J31-((1/'Proto 2013'!D62)*1000000))</f>
        <v>-3.7259022170138962</v>
      </c>
      <c r="K41" s="11">
        <f>IF(E41="","",K31-((1/'Proto 2013'!E62)*1000000))</f>
        <v>-19.383622304648242</v>
      </c>
      <c r="L41" s="11">
        <f>IF(F41="","",L31-((1/'Proto 2013'!F62)*1000000))</f>
        <v>-45.282012255782433</v>
      </c>
      <c r="M41" s="11" t="str">
        <f>IF(G41="","",M31-((1/'Proto 2013'!G62)*1000000))</f>
        <v/>
      </c>
      <c r="N41" s="11" t="str">
        <f>IF(H41="","",N31-((1/'Proto 2013'!H62)*1000000))</f>
        <v/>
      </c>
      <c r="O41" s="11" t="str">
        <f>IF(I41="","",O31-((1/'Proto 2013'!I62)*1000000))</f>
        <v/>
      </c>
    </row>
    <row r="42" spans="1:15" x14ac:dyDescent="0.25">
      <c r="A42" s="9" t="s">
        <v>18</v>
      </c>
      <c r="B42" s="8" t="s">
        <v>19</v>
      </c>
      <c r="C42" s="9" t="s">
        <v>12</v>
      </c>
      <c r="D42" s="12">
        <f>IF(D32="","",(D32-'Proto 2013'!D63)/'Proto 2013'!D63)</f>
        <v>9.2613508018974475E-3</v>
      </c>
      <c r="E42" s="12">
        <f>IF(E32="","",(E32-'Proto 2013'!E63)/'Proto 2013'!E63)</f>
        <v>3.3449477351916376E-2</v>
      </c>
      <c r="F42" s="12">
        <f>IF(F32="","",(F32-'Proto 2013'!F63)/'Proto 2013'!F63)</f>
        <v>0.14497936726272351</v>
      </c>
      <c r="G42" s="12" t="str">
        <f>IF(G32="","",(G32-'Proto 2013'!G63)/'Proto 2013'!G63)</f>
        <v/>
      </c>
      <c r="H42" s="12" t="str">
        <f>IF(H32="","",(H32-'Proto 2013'!H63)/'Proto 2013'!H63)</f>
        <v/>
      </c>
      <c r="I42" s="12" t="str">
        <f>IF(I32="","",(I32-'Proto 2013'!I63)/'Proto 2013'!I63)</f>
        <v/>
      </c>
      <c r="J42" s="11">
        <f>IF(D42="","",J32-((1/'Proto 2013'!D63)*1000000))</f>
        <v>-2.0728179950531285</v>
      </c>
      <c r="K42" s="11">
        <f>IF(E42="","",K32-((1/'Proto 2013'!E63)*1000000))</f>
        <v>-5.638819513134905</v>
      </c>
      <c r="L42" s="11">
        <f>IF(F42="","",L32-((1/'Proto 2013'!F63)*1000000))</f>
        <v>-34.834062292821613</v>
      </c>
      <c r="M42" s="11" t="str">
        <f>IF(G42="","",M32-((1/'Proto 2013'!G63)*1000000))</f>
        <v/>
      </c>
      <c r="N42" s="11" t="str">
        <f>IF(H42="","",N32-((1/'Proto 2013'!H63)*1000000))</f>
        <v/>
      </c>
      <c r="O42" s="11" t="str">
        <f>IF(I42="","",O32-((1/'Proto 2013'!I63)*1000000))</f>
        <v/>
      </c>
    </row>
    <row r="44" spans="1:15" ht="18.75" x14ac:dyDescent="0.25">
      <c r="A44" s="107" t="s">
        <v>49</v>
      </c>
      <c r="B44" s="108"/>
      <c r="C44" s="108"/>
      <c r="D44" s="108"/>
      <c r="E44" s="108"/>
      <c r="F44" s="108"/>
      <c r="G44" s="108"/>
      <c r="H44" s="108"/>
      <c r="I44" s="108"/>
      <c r="J44" s="17"/>
      <c r="K44" s="17"/>
      <c r="L44" s="17"/>
      <c r="M44" s="17"/>
      <c r="N44" s="17"/>
      <c r="O44" s="18"/>
    </row>
    <row r="45" spans="1:15" ht="15.75" x14ac:dyDescent="0.25">
      <c r="A45" s="109" t="s">
        <v>50</v>
      </c>
      <c r="B45" s="110"/>
      <c r="C45" s="110"/>
      <c r="D45" s="110"/>
      <c r="E45" s="110"/>
      <c r="F45" s="110"/>
      <c r="G45" s="110"/>
      <c r="H45" s="110"/>
      <c r="I45" s="110"/>
      <c r="J45" s="19"/>
      <c r="K45" s="19"/>
      <c r="L45" s="19"/>
      <c r="M45" s="19"/>
      <c r="N45" s="19"/>
      <c r="O45" s="20"/>
    </row>
    <row r="46" spans="1:15" x14ac:dyDescent="0.25">
      <c r="A46" s="105" t="s">
        <v>2</v>
      </c>
      <c r="B46" s="105"/>
      <c r="C46" s="105"/>
      <c r="D46" s="106" t="s">
        <v>3</v>
      </c>
      <c r="E46" s="106"/>
      <c r="F46" s="106"/>
      <c r="G46" s="106"/>
      <c r="H46" s="106"/>
      <c r="I46" s="106"/>
      <c r="J46" s="106" t="s">
        <v>4</v>
      </c>
      <c r="K46" s="106"/>
      <c r="L46" s="106"/>
      <c r="M46" s="106"/>
      <c r="N46" s="106"/>
      <c r="O46" s="106"/>
    </row>
    <row r="47" spans="1:15" x14ac:dyDescent="0.25">
      <c r="A47" s="6" t="s">
        <v>5</v>
      </c>
      <c r="B47" s="6" t="s">
        <v>6</v>
      </c>
      <c r="C47" s="6" t="s">
        <v>7</v>
      </c>
      <c r="D47" s="24">
        <v>1</v>
      </c>
      <c r="E47" s="24">
        <v>4</v>
      </c>
      <c r="F47" s="24">
        <v>16</v>
      </c>
      <c r="G47" s="7">
        <v>32</v>
      </c>
      <c r="H47" s="7">
        <v>64</v>
      </c>
      <c r="I47" s="7">
        <v>80</v>
      </c>
      <c r="J47" s="7">
        <v>1</v>
      </c>
      <c r="K47" s="7">
        <v>4</v>
      </c>
      <c r="L47" s="7">
        <v>16</v>
      </c>
      <c r="M47" s="7">
        <v>32</v>
      </c>
      <c r="N47" s="7">
        <v>64</v>
      </c>
      <c r="O47" s="7">
        <v>80</v>
      </c>
    </row>
    <row r="48" spans="1:15" ht="15.75" x14ac:dyDescent="0.25">
      <c r="A48" s="8" t="s">
        <v>8</v>
      </c>
      <c r="B48" s="9" t="s">
        <v>9</v>
      </c>
      <c r="C48" s="22" t="s">
        <v>10</v>
      </c>
      <c r="D48" s="25">
        <v>44744</v>
      </c>
      <c r="E48" s="25">
        <v>21162</v>
      </c>
      <c r="F48" s="25">
        <v>6460</v>
      </c>
      <c r="G48" s="23"/>
      <c r="H48" s="10"/>
      <c r="I48" s="10"/>
      <c r="J48" s="11">
        <f t="shared" ref="J48:J53" si="7">IF(D48="","",(1/D48)*1000000)</f>
        <v>22.349365278026106</v>
      </c>
      <c r="K48" s="11">
        <f t="shared" ref="K48:K53" si="8">IF(E48="","",(1/E48)*1000000)</f>
        <v>47.254512805972972</v>
      </c>
      <c r="L48" s="11">
        <f t="shared" ref="L48:L53" si="9">IF(F48="","",(1/F48)*1000000)</f>
        <v>154.79876160990713</v>
      </c>
      <c r="M48" s="11" t="str">
        <f t="shared" ref="M48:M53" si="10">IF(G48="","",(1/G48)*1000000)</f>
        <v/>
      </c>
      <c r="N48" s="11" t="str">
        <f t="shared" ref="N48:N53" si="11">IF(H48="","",(1/H48)*1000000)</f>
        <v/>
      </c>
      <c r="O48" s="11" t="str">
        <f t="shared" ref="O48:O53" si="12">IF(I48="","",(1/I48)*1000000)</f>
        <v/>
      </c>
    </row>
    <row r="49" spans="1:15" ht="15.75" x14ac:dyDescent="0.25">
      <c r="A49" s="8" t="s">
        <v>11</v>
      </c>
      <c r="B49" s="9" t="s">
        <v>9</v>
      </c>
      <c r="C49" s="22" t="s">
        <v>12</v>
      </c>
      <c r="D49" s="25">
        <v>10458</v>
      </c>
      <c r="E49" s="25">
        <v>8375</v>
      </c>
      <c r="F49" s="25">
        <v>4338</v>
      </c>
      <c r="G49" s="23"/>
      <c r="H49" s="10"/>
      <c r="I49" s="10"/>
      <c r="J49" s="11">
        <f t="shared" si="7"/>
        <v>95.620577548288395</v>
      </c>
      <c r="K49" s="11">
        <f t="shared" si="8"/>
        <v>119.40298507462687</v>
      </c>
      <c r="L49" s="11">
        <f t="shared" si="9"/>
        <v>230.52097740894422</v>
      </c>
      <c r="M49" s="11" t="str">
        <f t="shared" si="10"/>
        <v/>
      </c>
      <c r="N49" s="11" t="str">
        <f t="shared" si="11"/>
        <v/>
      </c>
      <c r="O49" s="11" t="str">
        <f t="shared" si="12"/>
        <v/>
      </c>
    </row>
    <row r="50" spans="1:15" ht="15.75" x14ac:dyDescent="0.25">
      <c r="A50" s="9" t="s">
        <v>13</v>
      </c>
      <c r="B50" s="9" t="s">
        <v>14</v>
      </c>
      <c r="C50" s="22" t="s">
        <v>10</v>
      </c>
      <c r="D50" s="25">
        <v>39956</v>
      </c>
      <c r="E50" s="25">
        <v>17226</v>
      </c>
      <c r="F50" s="25">
        <v>5616</v>
      </c>
      <c r="G50" s="23"/>
      <c r="H50" s="10"/>
      <c r="I50" s="10"/>
      <c r="J50" s="11">
        <f t="shared" si="7"/>
        <v>25.027530283311641</v>
      </c>
      <c r="K50" s="11">
        <f t="shared" si="8"/>
        <v>58.051782189713222</v>
      </c>
      <c r="L50" s="11">
        <f t="shared" si="9"/>
        <v>178.06267806267806</v>
      </c>
      <c r="M50" s="11" t="str">
        <f t="shared" si="10"/>
        <v/>
      </c>
      <c r="N50" s="11" t="str">
        <f t="shared" si="11"/>
        <v/>
      </c>
      <c r="O50" s="11" t="str">
        <f t="shared" si="12"/>
        <v/>
      </c>
    </row>
    <row r="51" spans="1:15" ht="15.75" x14ac:dyDescent="0.25">
      <c r="A51" s="9" t="s">
        <v>15</v>
      </c>
      <c r="B51" s="9" t="s">
        <v>14</v>
      </c>
      <c r="C51" s="22" t="s">
        <v>12</v>
      </c>
      <c r="D51" s="25">
        <v>10279</v>
      </c>
      <c r="E51" s="25">
        <v>7468</v>
      </c>
      <c r="F51" s="25">
        <v>3983</v>
      </c>
      <c r="G51" s="23"/>
      <c r="H51" s="10"/>
      <c r="I51" s="10"/>
      <c r="J51" s="11">
        <f t="shared" si="7"/>
        <v>97.285728183675459</v>
      </c>
      <c r="K51" s="11">
        <f t="shared" si="8"/>
        <v>133.90465988216388</v>
      </c>
      <c r="L51" s="11">
        <f t="shared" si="9"/>
        <v>251.06703489831784</v>
      </c>
      <c r="M51" s="11" t="str">
        <f t="shared" si="10"/>
        <v/>
      </c>
      <c r="N51" s="11" t="str">
        <f t="shared" si="11"/>
        <v/>
      </c>
      <c r="O51" s="11" t="str">
        <f t="shared" si="12"/>
        <v/>
      </c>
    </row>
    <row r="52" spans="1:15" ht="15.75" x14ac:dyDescent="0.25">
      <c r="A52" s="9" t="s">
        <v>16</v>
      </c>
      <c r="B52" s="9" t="s">
        <v>17</v>
      </c>
      <c r="C52" s="22" t="s">
        <v>12</v>
      </c>
      <c r="D52" s="25">
        <v>4429</v>
      </c>
      <c r="E52" s="25">
        <v>7695</v>
      </c>
      <c r="F52" s="25">
        <v>4141</v>
      </c>
      <c r="G52" s="23"/>
      <c r="H52" s="10"/>
      <c r="I52" s="10"/>
      <c r="J52" s="11">
        <f t="shared" si="7"/>
        <v>225.78460149017837</v>
      </c>
      <c r="K52" s="11">
        <f t="shared" si="8"/>
        <v>129.95451591942819</v>
      </c>
      <c r="L52" s="11">
        <f t="shared" si="9"/>
        <v>241.48756339048538</v>
      </c>
      <c r="M52" s="11" t="str">
        <f t="shared" si="10"/>
        <v/>
      </c>
      <c r="N52" s="11" t="str">
        <f t="shared" si="11"/>
        <v/>
      </c>
      <c r="O52" s="11" t="str">
        <f t="shared" si="12"/>
        <v/>
      </c>
    </row>
    <row r="53" spans="1:15" ht="15.75" x14ac:dyDescent="0.25">
      <c r="A53" s="9" t="s">
        <v>18</v>
      </c>
      <c r="B53" s="8" t="s">
        <v>19</v>
      </c>
      <c r="C53" s="22" t="s">
        <v>12</v>
      </c>
      <c r="D53" s="25">
        <v>4383</v>
      </c>
      <c r="E53" s="25">
        <v>5120</v>
      </c>
      <c r="F53" s="25">
        <v>4082</v>
      </c>
      <c r="G53" s="23"/>
      <c r="H53" s="10"/>
      <c r="I53" s="10"/>
      <c r="J53" s="11">
        <f t="shared" si="7"/>
        <v>228.15423226100845</v>
      </c>
      <c r="K53" s="11">
        <f t="shared" si="8"/>
        <v>195.3125</v>
      </c>
      <c r="L53" s="11">
        <f t="shared" si="9"/>
        <v>244.97795198432141</v>
      </c>
      <c r="M53" s="11" t="str">
        <f t="shared" si="10"/>
        <v/>
      </c>
      <c r="N53" s="11" t="str">
        <f t="shared" si="11"/>
        <v/>
      </c>
      <c r="O53" s="11" t="str">
        <f t="shared" si="12"/>
        <v/>
      </c>
    </row>
    <row r="54" spans="1:15" x14ac:dyDescent="0.25">
      <c r="A54" s="21" t="s">
        <v>48</v>
      </c>
    </row>
    <row r="55" spans="1:15" ht="18.75" x14ac:dyDescent="0.3">
      <c r="A55" s="103" t="s">
        <v>47</v>
      </c>
      <c r="B55" s="104"/>
      <c r="C55" s="104"/>
      <c r="D55" s="104"/>
      <c r="E55" s="104"/>
      <c r="F55" s="104"/>
      <c r="G55" s="104"/>
      <c r="H55" s="104"/>
      <c r="I55" s="104"/>
      <c r="J55" s="1"/>
      <c r="K55" s="1"/>
      <c r="L55" s="1"/>
      <c r="M55" s="1"/>
      <c r="N55" s="1"/>
      <c r="O55" s="2"/>
    </row>
    <row r="56" spans="1:15" x14ac:dyDescent="0.25">
      <c r="A56" s="105" t="s">
        <v>2</v>
      </c>
      <c r="B56" s="105"/>
      <c r="C56" s="105"/>
      <c r="D56" s="106" t="s">
        <v>20</v>
      </c>
      <c r="E56" s="106"/>
      <c r="F56" s="106"/>
      <c r="G56" s="106"/>
      <c r="H56" s="106"/>
      <c r="I56" s="106"/>
      <c r="J56" s="106" t="s">
        <v>23</v>
      </c>
      <c r="K56" s="106"/>
      <c r="L56" s="106"/>
      <c r="M56" s="106"/>
      <c r="N56" s="106"/>
      <c r="O56" s="106"/>
    </row>
    <row r="57" spans="1:15" x14ac:dyDescent="0.25">
      <c r="A57" s="6" t="s">
        <v>5</v>
      </c>
      <c r="B57" s="6" t="s">
        <v>6</v>
      </c>
      <c r="C57" s="6" t="s">
        <v>7</v>
      </c>
      <c r="D57" s="7">
        <v>1</v>
      </c>
      <c r="E57" s="7">
        <v>4</v>
      </c>
      <c r="F57" s="7">
        <v>16</v>
      </c>
      <c r="G57" s="7">
        <v>32</v>
      </c>
      <c r="H57" s="7">
        <v>64</v>
      </c>
      <c r="I57" s="7">
        <v>80</v>
      </c>
      <c r="J57" s="7">
        <v>1</v>
      </c>
      <c r="K57" s="7">
        <v>4</v>
      </c>
      <c r="L57" s="7">
        <v>16</v>
      </c>
      <c r="M57" s="7">
        <v>32</v>
      </c>
      <c r="N57" s="7">
        <v>64</v>
      </c>
      <c r="O57" s="7">
        <v>80</v>
      </c>
    </row>
    <row r="58" spans="1:15" x14ac:dyDescent="0.25">
      <c r="A58" s="8" t="s">
        <v>8</v>
      </c>
      <c r="B58" s="9" t="s">
        <v>9</v>
      </c>
      <c r="C58" s="9" t="s">
        <v>10</v>
      </c>
      <c r="D58" s="12">
        <f>IF(D48="","",(D48-D27)/D27)</f>
        <v>0.15833074453764109</v>
      </c>
      <c r="E58" s="12">
        <f t="shared" ref="E58:F58" si="13">IF(E48="","",(E48-E27)/E27)</f>
        <v>4.5966785290628705E-2</v>
      </c>
      <c r="F58" s="12">
        <f t="shared" si="13"/>
        <v>9.5327394905453978E-3</v>
      </c>
      <c r="G58" s="12" t="str">
        <f>IF(G48="","",(G48-'Proto 2013'!G79)/'Proto 2013'!G79)</f>
        <v/>
      </c>
      <c r="H58" s="12" t="str">
        <f>IF(H48="","",(H48-'Proto 2013'!H79)/'Proto 2013'!H79)</f>
        <v/>
      </c>
      <c r="I58" s="12" t="str">
        <f>IF(I48="","",(I48-'Proto 2013'!I79)/'Proto 2013'!I79)</f>
        <v/>
      </c>
      <c r="J58" s="11">
        <f>J48-J27</f>
        <v>-3.5385916444135752</v>
      </c>
      <c r="K58" s="11">
        <f t="shared" ref="K58:L58" si="14">K48-K27</f>
        <v>-2.1721380441654219</v>
      </c>
      <c r="L58" s="11">
        <f t="shared" si="14"/>
        <v>-1.4756562678862792</v>
      </c>
      <c r="M58" s="11" t="str">
        <f>IF(G58="","",M48-((1/'Proto 2013'!G79)*1000000))</f>
        <v/>
      </c>
      <c r="N58" s="11" t="str">
        <f>IF(H58="","",N48-((1/'Proto 2013'!H79)*1000000))</f>
        <v/>
      </c>
      <c r="O58" s="11" t="str">
        <f>IF(I58="","",O48-((1/'Proto 2013'!I79)*1000000))</f>
        <v/>
      </c>
    </row>
    <row r="59" spans="1:15" x14ac:dyDescent="0.25">
      <c r="A59" s="8" t="s">
        <v>11</v>
      </c>
      <c r="B59" s="9" t="s">
        <v>9</v>
      </c>
      <c r="C59" s="9" t="s">
        <v>12</v>
      </c>
      <c r="D59" s="12">
        <f t="shared" ref="D59:F59" si="15">IF(D49="","",(D49-D28)/D28)</f>
        <v>-9.9403578528827041E-3</v>
      </c>
      <c r="E59" s="12">
        <f t="shared" si="15"/>
        <v>9.6443640747438213E-3</v>
      </c>
      <c r="F59" s="12">
        <f t="shared" si="15"/>
        <v>-1.4986376021798364E-2</v>
      </c>
      <c r="G59" s="12" t="str">
        <f>IF(G49="","",(G49-'Proto 2013'!G80)/'Proto 2013'!G80)</f>
        <v/>
      </c>
      <c r="H59" s="12" t="str">
        <f>IF(H49="","",(H49-'Proto 2013'!H80)/'Proto 2013'!H80)</f>
        <v/>
      </c>
      <c r="I59" s="12" t="str">
        <f>IF(I49="","",(I49-'Proto 2013'!I80)/'Proto 2013'!I80)</f>
        <v/>
      </c>
      <c r="J59" s="11">
        <f t="shared" ref="J59:L59" si="16">J49-J28</f>
        <v>0.95050275892930358</v>
      </c>
      <c r="K59" s="11">
        <f t="shared" si="16"/>
        <v>-1.1515658596709102</v>
      </c>
      <c r="L59" s="11">
        <f t="shared" si="16"/>
        <v>3.4546740483629321</v>
      </c>
      <c r="M59" s="11" t="str">
        <f>IF(G59="","",M49-((1/'Proto 2013'!G80)*1000000))</f>
        <v/>
      </c>
      <c r="N59" s="11" t="str">
        <f>IF(H59="","",N49-((1/'Proto 2013'!H80)*1000000))</f>
        <v/>
      </c>
      <c r="O59" s="11" t="str">
        <f>IF(I59="","",O49-((1/'Proto 2013'!I80)*1000000))</f>
        <v/>
      </c>
    </row>
    <row r="60" spans="1:15" x14ac:dyDescent="0.25">
      <c r="A60" s="9" t="s">
        <v>13</v>
      </c>
      <c r="B60" s="9" t="s">
        <v>14</v>
      </c>
      <c r="C60" s="9" t="s">
        <v>10</v>
      </c>
      <c r="D60" s="12">
        <f t="shared" ref="D60:F60" si="17">IF(D50="","",(D50-D29)/D29)</f>
        <v>-7.5076953877724662E-5</v>
      </c>
      <c r="E60" s="12">
        <f t="shared" si="17"/>
        <v>-2.5954198473282442E-2</v>
      </c>
      <c r="F60" s="12">
        <f t="shared" si="17"/>
        <v>-2.7700831024930747E-2</v>
      </c>
      <c r="G60" s="12" t="str">
        <f>IF(G50="","",(G50-'Proto 2013'!G81)/'Proto 2013'!G81)</f>
        <v/>
      </c>
      <c r="H60" s="12" t="str">
        <f>IF(H50="","",(H50-'Proto 2013'!H81)/'Proto 2013'!H81)</f>
        <v/>
      </c>
      <c r="I60" s="12" t="str">
        <f>IF(I50="","",(I50-'Proto 2013'!I81)/'Proto 2013'!I81)</f>
        <v/>
      </c>
      <c r="J60" s="11">
        <f t="shared" ref="J60:L60" si="18">J50-J29</f>
        <v>1.8789907367526837E-3</v>
      </c>
      <c r="K60" s="11">
        <f t="shared" si="18"/>
        <v>1.5066874766795806</v>
      </c>
      <c r="L60" s="11">
        <f t="shared" si="18"/>
        <v>4.9324841568608804</v>
      </c>
      <c r="M60" s="11" t="str">
        <f>IF(G60="","",M50-((1/'Proto 2013'!G81)*1000000))</f>
        <v/>
      </c>
      <c r="N60" s="11" t="str">
        <f>IF(H60="","",N50-((1/'Proto 2013'!H81)*1000000))</f>
        <v/>
      </c>
      <c r="O60" s="11" t="str">
        <f>IF(I60="","",O50-((1/'Proto 2013'!I81)*1000000))</f>
        <v/>
      </c>
    </row>
    <row r="61" spans="1:15" x14ac:dyDescent="0.25">
      <c r="A61" s="9" t="s">
        <v>15</v>
      </c>
      <c r="B61" s="9" t="s">
        <v>14</v>
      </c>
      <c r="C61" s="9" t="s">
        <v>12</v>
      </c>
      <c r="D61" s="12">
        <f t="shared" ref="D61:F61" si="19">IF(D51="","",(D51-D30)/D30)</f>
        <v>-2.4855326819087375E-2</v>
      </c>
      <c r="E61" s="12">
        <f t="shared" si="19"/>
        <v>0</v>
      </c>
      <c r="F61" s="12">
        <f t="shared" si="19"/>
        <v>-3.0037546933667082E-3</v>
      </c>
      <c r="G61" s="12" t="str">
        <f>IF(G51="","",(G51-'Proto 2013'!G82)/'Proto 2013'!G82)</f>
        <v/>
      </c>
      <c r="H61" s="12" t="str">
        <f>IF(H51="","",(H51-'Proto 2013'!H82)/'Proto 2013'!H82)</f>
        <v/>
      </c>
      <c r="I61" s="12" t="str">
        <f>IF(I51="","",(I51-'Proto 2013'!I82)/'Proto 2013'!I82)</f>
        <v/>
      </c>
      <c r="J61" s="11">
        <f t="shared" ref="J61:L61" si="20">J51-J30</f>
        <v>2.4180685688381516</v>
      </c>
      <c r="K61" s="11">
        <f t="shared" si="20"/>
        <v>0</v>
      </c>
      <c r="L61" s="11">
        <f t="shared" si="20"/>
        <v>0.75414378442548013</v>
      </c>
      <c r="M61" s="11" t="str">
        <f>IF(G61="","",M51-((1/'Proto 2013'!G82)*1000000))</f>
        <v/>
      </c>
      <c r="N61" s="11" t="str">
        <f>IF(H61="","",N51-((1/'Proto 2013'!H82)*1000000))</f>
        <v/>
      </c>
      <c r="O61" s="11" t="str">
        <f>IF(I61="","",O51-((1/'Proto 2013'!I82)*1000000))</f>
        <v/>
      </c>
    </row>
    <row r="62" spans="1:15" x14ac:dyDescent="0.25">
      <c r="A62" s="9" t="s">
        <v>16</v>
      </c>
      <c r="B62" s="9" t="s">
        <v>17</v>
      </c>
      <c r="C62" s="9" t="s">
        <v>12</v>
      </c>
      <c r="D62" s="12">
        <f t="shared" ref="D62:F62" si="21">IF(D52="","",(D52-D31)/D31)</f>
        <v>-7.6181940398834863E-3</v>
      </c>
      <c r="E62" s="12">
        <f t="shared" si="21"/>
        <v>3.6520151297769663E-3</v>
      </c>
      <c r="F62" s="12">
        <f t="shared" si="21"/>
        <v>-5.0456511292647768E-3</v>
      </c>
      <c r="G62" s="12" t="str">
        <f>IF(G52="","",(G52-'Proto 2013'!G83)/'Proto 2013'!G83)</f>
        <v/>
      </c>
      <c r="H62" s="12" t="str">
        <f>IF(H52="","",(H52-'Proto 2013'!H83)/'Proto 2013'!H83)</f>
        <v/>
      </c>
      <c r="I62" s="12" t="str">
        <f>IF(I52="","",(I52-'Proto 2013'!I83)/'Proto 2013'!I83)</f>
        <v/>
      </c>
      <c r="J62" s="11">
        <f t="shared" ref="J62:L62" si="22">J52-J31</f>
        <v>1.720070905369937</v>
      </c>
      <c r="K62" s="11">
        <f t="shared" si="22"/>
        <v>-0.47459585832058337</v>
      </c>
      <c r="L62" s="11">
        <f t="shared" si="22"/>
        <v>1.2184619969245887</v>
      </c>
      <c r="M62" s="11" t="str">
        <f>IF(G62="","",M52-((1/'Proto 2013'!G83)*1000000))</f>
        <v/>
      </c>
      <c r="N62" s="11" t="str">
        <f>IF(H62="","",N52-((1/'Proto 2013'!H83)*1000000))</f>
        <v/>
      </c>
      <c r="O62" s="11" t="str">
        <f>IF(I62="","",O52-((1/'Proto 2013'!I83)*1000000))</f>
        <v/>
      </c>
    </row>
    <row r="63" spans="1:15" x14ac:dyDescent="0.25">
      <c r="A63" s="9" t="s">
        <v>18</v>
      </c>
      <c r="B63" s="8" t="s">
        <v>19</v>
      </c>
      <c r="C63" s="9" t="s">
        <v>12</v>
      </c>
      <c r="D63" s="12">
        <f t="shared" ref="D63:F63" si="23">IF(D53="","",(D53-D32)/D32)</f>
        <v>-1.9024171888988362E-2</v>
      </c>
      <c r="E63" s="12">
        <f t="shared" si="23"/>
        <v>-0.13688469318948079</v>
      </c>
      <c r="F63" s="12">
        <f t="shared" si="23"/>
        <v>-1.9221528111484865E-2</v>
      </c>
      <c r="G63" s="12" t="str">
        <f>IF(G53="","",(G53-'Proto 2013'!G84)/'Proto 2013'!G84)</f>
        <v/>
      </c>
      <c r="H63" s="12" t="str">
        <f>IF(H53="","",(H53-'Proto 2013'!H84)/'Proto 2013'!H84)</f>
        <v/>
      </c>
      <c r="I63" s="12" t="str">
        <f>IF(I53="","",(I53-'Proto 2013'!I84)/'Proto 2013'!I84)</f>
        <v/>
      </c>
      <c r="J63" s="11">
        <f t="shared" ref="J63:L63" si="24">J53-J32</f>
        <v>4.3404453317336049</v>
      </c>
      <c r="K63" s="11">
        <f t="shared" si="24"/>
        <v>26.735291638570459</v>
      </c>
      <c r="L63" s="11">
        <f t="shared" si="24"/>
        <v>4.7088505907606191</v>
      </c>
      <c r="M63" s="11" t="str">
        <f>IF(G63="","",M53-((1/'Proto 2013'!G84)*1000000))</f>
        <v/>
      </c>
      <c r="N63" s="11" t="str">
        <f>IF(H63="","",N53-((1/'Proto 2013'!H84)*1000000))</f>
        <v/>
      </c>
      <c r="O63" s="11" t="str">
        <f>IF(I63="","",O53-((1/'Proto 2013'!I84)*1000000))</f>
        <v/>
      </c>
    </row>
  </sheetData>
  <mergeCells count="27">
    <mergeCell ref="A34:I34"/>
    <mergeCell ref="A35:C35"/>
    <mergeCell ref="D35:I35"/>
    <mergeCell ref="J35:O35"/>
    <mergeCell ref="A23:I23"/>
    <mergeCell ref="A24:I24"/>
    <mergeCell ref="A25:C25"/>
    <mergeCell ref="D25:I25"/>
    <mergeCell ref="J25:O25"/>
    <mergeCell ref="A13:C13"/>
    <mergeCell ref="D13:I13"/>
    <mergeCell ref="J13:O13"/>
    <mergeCell ref="A2:I2"/>
    <mergeCell ref="A1:I1"/>
    <mergeCell ref="A12:I12"/>
    <mergeCell ref="A3:C3"/>
    <mergeCell ref="D3:I3"/>
    <mergeCell ref="J3:O3"/>
    <mergeCell ref="A56:C56"/>
    <mergeCell ref="D56:I56"/>
    <mergeCell ref="J56:O56"/>
    <mergeCell ref="A44:I44"/>
    <mergeCell ref="A45:I45"/>
    <mergeCell ref="A46:C46"/>
    <mergeCell ref="D46:I46"/>
    <mergeCell ref="J46:O46"/>
    <mergeCell ref="A55:I55"/>
  </mergeCells>
  <conditionalFormatting sqref="D15:I20">
    <cfRule type="colorScale" priority="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7:I42">
    <cfRule type="colorScale" priority="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8:I63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hyperlinks>
    <hyperlink ref="A33" r:id="rId1" xr:uid="{00000000-0004-0000-0200-000000000000}"/>
    <hyperlink ref="A54" r:id="rId2" xr:uid="{00000000-0004-0000-0200-000001000000}"/>
  </hyperlinks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51"/>
  <sheetViews>
    <sheetView topLeftCell="A4" workbookViewId="0">
      <selection activeCell="H19" sqref="H19"/>
    </sheetView>
  </sheetViews>
  <sheetFormatPr defaultRowHeight="15" x14ac:dyDescent="0.25"/>
  <cols>
    <col min="2" max="2" width="21.28515625" customWidth="1"/>
    <col min="3" max="3" width="11.7109375" customWidth="1"/>
    <col min="4" max="4" width="17.42578125" customWidth="1"/>
    <col min="5" max="5" width="10.42578125" customWidth="1"/>
    <col min="10" max="10" width="12.5703125" bestFit="1" customWidth="1"/>
  </cols>
  <sheetData>
    <row r="1" spans="1:15" ht="18.75" x14ac:dyDescent="0.25">
      <c r="A1" s="107" t="s">
        <v>51</v>
      </c>
      <c r="B1" s="108"/>
      <c r="C1" s="108"/>
      <c r="D1" s="108"/>
      <c r="E1" s="108"/>
      <c r="F1" s="108"/>
      <c r="G1" s="108"/>
      <c r="H1" s="108"/>
      <c r="I1" s="108"/>
      <c r="J1" s="17"/>
      <c r="K1" s="17"/>
      <c r="L1" s="17"/>
      <c r="M1" s="17"/>
      <c r="N1" s="17"/>
      <c r="O1" s="18"/>
    </row>
    <row r="2" spans="1:15" ht="15.75" x14ac:dyDescent="0.25">
      <c r="A2" s="109" t="s">
        <v>55</v>
      </c>
      <c r="B2" s="110"/>
      <c r="C2" s="110"/>
      <c r="D2" s="110"/>
      <c r="E2" s="110"/>
      <c r="F2" s="110"/>
      <c r="G2" s="110"/>
      <c r="H2" s="110"/>
      <c r="I2" s="110"/>
      <c r="J2" s="19"/>
      <c r="K2" s="19"/>
      <c r="L2" s="19"/>
      <c r="M2" s="19"/>
      <c r="N2" s="19"/>
      <c r="O2" s="20"/>
    </row>
    <row r="3" spans="1:15" x14ac:dyDescent="0.25">
      <c r="A3" s="105" t="s">
        <v>2</v>
      </c>
      <c r="B3" s="105"/>
      <c r="C3" s="105"/>
      <c r="D3" s="106" t="s">
        <v>3</v>
      </c>
      <c r="E3" s="106"/>
      <c r="F3" s="106"/>
      <c r="G3" s="106"/>
      <c r="H3" s="106"/>
      <c r="I3" s="106"/>
      <c r="J3" s="106" t="s">
        <v>4</v>
      </c>
      <c r="K3" s="106"/>
      <c r="L3" s="106"/>
      <c r="M3" s="106"/>
      <c r="N3" s="106"/>
      <c r="O3" s="106"/>
    </row>
    <row r="4" spans="1:15" x14ac:dyDescent="0.25">
      <c r="A4" s="6" t="s">
        <v>5</v>
      </c>
      <c r="B4" s="6" t="s">
        <v>6</v>
      </c>
      <c r="C4" s="6" t="s">
        <v>7</v>
      </c>
      <c r="D4" s="7">
        <v>1</v>
      </c>
      <c r="E4" s="7">
        <v>4</v>
      </c>
      <c r="F4" s="7">
        <v>16</v>
      </c>
      <c r="G4" s="7">
        <v>32</v>
      </c>
      <c r="H4" s="7">
        <v>64</v>
      </c>
      <c r="I4" s="7">
        <v>80</v>
      </c>
      <c r="J4" s="7">
        <v>1</v>
      </c>
      <c r="K4" s="7">
        <v>4</v>
      </c>
      <c r="L4" s="7">
        <v>16</v>
      </c>
      <c r="M4" s="7">
        <v>32</v>
      </c>
      <c r="N4" s="7">
        <v>64</v>
      </c>
      <c r="O4" s="7">
        <v>80</v>
      </c>
    </row>
    <row r="5" spans="1:15" x14ac:dyDescent="0.25">
      <c r="A5" s="8" t="s">
        <v>8</v>
      </c>
      <c r="B5" s="9" t="s">
        <v>9</v>
      </c>
      <c r="C5" s="9" t="s">
        <v>10</v>
      </c>
      <c r="D5" s="10">
        <v>35000</v>
      </c>
      <c r="E5" s="10">
        <v>18706</v>
      </c>
      <c r="F5" s="10">
        <v>6003</v>
      </c>
      <c r="G5" s="10"/>
      <c r="H5" s="10"/>
      <c r="I5" s="10"/>
      <c r="J5" s="11">
        <f t="shared" ref="J5:O10" si="0">IF(D5="","",(1/D5)*1000000)</f>
        <v>28.571428571428569</v>
      </c>
      <c r="K5" s="11">
        <f t="shared" ref="K5" si="1">IF(E5="","",(1/E5)*1000000)</f>
        <v>53.458783278092589</v>
      </c>
      <c r="L5" s="11">
        <f t="shared" ref="L5" si="2">IF(F5="","",(1/F5)*1000000)</f>
        <v>166.58337497917708</v>
      </c>
      <c r="M5" s="11" t="str">
        <f t="shared" si="0"/>
        <v/>
      </c>
      <c r="N5" s="11" t="str">
        <f t="shared" si="0"/>
        <v/>
      </c>
      <c r="O5" s="11" t="str">
        <f t="shared" si="0"/>
        <v/>
      </c>
    </row>
    <row r="6" spans="1:15" x14ac:dyDescent="0.25">
      <c r="A6" s="8" t="s">
        <v>11</v>
      </c>
      <c r="B6" s="9" t="s">
        <v>9</v>
      </c>
      <c r="C6" s="9" t="s">
        <v>12</v>
      </c>
      <c r="D6" s="10">
        <v>7744</v>
      </c>
      <c r="E6" s="10">
        <v>6453</v>
      </c>
      <c r="F6" s="10">
        <v>3856</v>
      </c>
      <c r="G6" s="10"/>
      <c r="H6" s="10"/>
      <c r="I6" s="10"/>
      <c r="J6" s="11">
        <f t="shared" ref="J6:J10" si="3">IF(D6="","",(1/D6)*1000000)</f>
        <v>129.13223140495867</v>
      </c>
      <c r="K6" s="11">
        <f t="shared" ref="K6:K10" si="4">IF(E6="","",(1/E6)*1000000)</f>
        <v>154.96668216333489</v>
      </c>
      <c r="L6" s="11">
        <f t="shared" ref="L6:L10" si="5">IF(F6="","",(1/F6)*1000000)</f>
        <v>259.33609958506224</v>
      </c>
      <c r="M6" s="11" t="str">
        <f t="shared" si="0"/>
        <v/>
      </c>
      <c r="N6" s="11" t="str">
        <f t="shared" si="0"/>
        <v/>
      </c>
      <c r="O6" s="11" t="str">
        <f t="shared" si="0"/>
        <v/>
      </c>
    </row>
    <row r="7" spans="1:15" x14ac:dyDescent="0.25">
      <c r="A7" s="9" t="s">
        <v>13</v>
      </c>
      <c r="B7" s="9" t="s">
        <v>14</v>
      </c>
      <c r="C7" s="9" t="s">
        <v>10</v>
      </c>
      <c r="D7" s="10">
        <v>30925</v>
      </c>
      <c r="E7" s="10">
        <v>15408</v>
      </c>
      <c r="F7" s="10">
        <v>5514</v>
      </c>
      <c r="G7" s="10"/>
      <c r="H7" s="10"/>
      <c r="I7" s="10"/>
      <c r="J7" s="11">
        <f t="shared" si="3"/>
        <v>32.336297493936947</v>
      </c>
      <c r="K7" s="11">
        <f t="shared" si="4"/>
        <v>64.901349948078916</v>
      </c>
      <c r="L7" s="11">
        <f t="shared" si="5"/>
        <v>181.35654697134567</v>
      </c>
      <c r="M7" s="11" t="str">
        <f t="shared" si="0"/>
        <v/>
      </c>
      <c r="N7" s="11" t="str">
        <f t="shared" si="0"/>
        <v/>
      </c>
      <c r="O7" s="11" t="str">
        <f t="shared" si="0"/>
        <v/>
      </c>
    </row>
    <row r="8" spans="1:15" x14ac:dyDescent="0.25">
      <c r="A8" s="9" t="s">
        <v>15</v>
      </c>
      <c r="B8" s="9" t="s">
        <v>14</v>
      </c>
      <c r="C8" s="9" t="s">
        <v>12</v>
      </c>
      <c r="D8" s="10">
        <v>7628</v>
      </c>
      <c r="E8" s="10">
        <v>5761</v>
      </c>
      <c r="F8" s="10">
        <v>3592</v>
      </c>
      <c r="G8" s="10"/>
      <c r="H8" s="10"/>
      <c r="I8" s="10"/>
      <c r="J8" s="11">
        <f t="shared" si="3"/>
        <v>131.09596224436288</v>
      </c>
      <c r="K8" s="11">
        <f t="shared" si="4"/>
        <v>173.58097552508247</v>
      </c>
      <c r="L8" s="11">
        <f t="shared" si="5"/>
        <v>278.39643652561244</v>
      </c>
      <c r="M8" s="11" t="str">
        <f t="shared" si="0"/>
        <v/>
      </c>
      <c r="N8" s="11" t="str">
        <f t="shared" si="0"/>
        <v/>
      </c>
      <c r="O8" s="11" t="str">
        <f t="shared" si="0"/>
        <v/>
      </c>
    </row>
    <row r="9" spans="1:15" x14ac:dyDescent="0.25">
      <c r="A9" s="9" t="s">
        <v>16</v>
      </c>
      <c r="B9" s="9" t="s">
        <v>17</v>
      </c>
      <c r="C9" s="9" t="s">
        <v>12</v>
      </c>
      <c r="D9" s="10">
        <v>5120</v>
      </c>
      <c r="E9" s="10">
        <v>5992</v>
      </c>
      <c r="F9" s="10">
        <v>3566</v>
      </c>
      <c r="G9" s="10"/>
      <c r="H9" s="10"/>
      <c r="I9" s="10"/>
      <c r="J9" s="11">
        <f t="shared" si="3"/>
        <v>195.3125</v>
      </c>
      <c r="K9" s="11">
        <f t="shared" si="4"/>
        <v>166.88918558077435</v>
      </c>
      <c r="L9" s="11">
        <f t="shared" si="5"/>
        <v>280.42624789680315</v>
      </c>
      <c r="M9" s="11" t="str">
        <f t="shared" si="0"/>
        <v/>
      </c>
      <c r="N9" s="11" t="str">
        <f t="shared" si="0"/>
        <v/>
      </c>
      <c r="O9" s="11" t="str">
        <f t="shared" si="0"/>
        <v/>
      </c>
    </row>
    <row r="10" spans="1:15" x14ac:dyDescent="0.25">
      <c r="A10" s="9" t="s">
        <v>18</v>
      </c>
      <c r="B10" s="8" t="s">
        <v>19</v>
      </c>
      <c r="C10" s="9" t="s">
        <v>12</v>
      </c>
      <c r="D10" s="10">
        <v>876</v>
      </c>
      <c r="E10" s="10">
        <v>4493</v>
      </c>
      <c r="F10" s="10">
        <v>3289</v>
      </c>
      <c r="G10" s="10"/>
      <c r="H10" s="10"/>
      <c r="I10" s="10"/>
      <c r="J10" s="11">
        <f t="shared" si="3"/>
        <v>1141.552511415525</v>
      </c>
      <c r="K10" s="11">
        <f t="shared" si="4"/>
        <v>222.56843979523703</v>
      </c>
      <c r="L10" s="11">
        <f t="shared" si="5"/>
        <v>304.04378230465187</v>
      </c>
      <c r="M10" s="11" t="str">
        <f t="shared" si="0"/>
        <v/>
      </c>
      <c r="N10" s="11" t="str">
        <f t="shared" si="0"/>
        <v/>
      </c>
      <c r="O10" s="11" t="str">
        <f t="shared" si="0"/>
        <v/>
      </c>
    </row>
    <row r="11" spans="1:15" x14ac:dyDescent="0.25">
      <c r="A11" s="21" t="s">
        <v>54</v>
      </c>
    </row>
    <row r="12" spans="1:15" ht="18.75" x14ac:dyDescent="0.3">
      <c r="A12" s="103" t="s">
        <v>56</v>
      </c>
      <c r="B12" s="104"/>
      <c r="C12" s="104"/>
      <c r="D12" s="104"/>
      <c r="E12" s="104"/>
      <c r="F12" s="104"/>
      <c r="G12" s="104"/>
      <c r="H12" s="104"/>
      <c r="I12" s="104"/>
      <c r="J12" s="1"/>
      <c r="K12" s="1"/>
      <c r="L12" s="1"/>
      <c r="M12" s="1"/>
      <c r="N12" s="1"/>
      <c r="O12" s="2"/>
    </row>
    <row r="13" spans="1:15" x14ac:dyDescent="0.25">
      <c r="A13" s="105" t="s">
        <v>2</v>
      </c>
      <c r="B13" s="105"/>
      <c r="C13" s="105"/>
      <c r="D13" s="106" t="s">
        <v>20</v>
      </c>
      <c r="E13" s="106"/>
      <c r="F13" s="106"/>
      <c r="G13" s="106"/>
      <c r="H13" s="106"/>
      <c r="I13" s="106"/>
      <c r="J13" s="106" t="s">
        <v>23</v>
      </c>
      <c r="K13" s="106"/>
      <c r="L13" s="106"/>
      <c r="M13" s="106"/>
      <c r="N13" s="106"/>
      <c r="O13" s="106"/>
    </row>
    <row r="14" spans="1:15" x14ac:dyDescent="0.25">
      <c r="A14" s="6" t="s">
        <v>5</v>
      </c>
      <c r="B14" s="6" t="s">
        <v>6</v>
      </c>
      <c r="C14" s="6" t="s">
        <v>7</v>
      </c>
      <c r="D14" s="7">
        <v>1</v>
      </c>
      <c r="E14" s="7">
        <v>4</v>
      </c>
      <c r="F14" s="7">
        <v>16</v>
      </c>
      <c r="G14" s="7">
        <v>32</v>
      </c>
      <c r="H14" s="7">
        <v>64</v>
      </c>
      <c r="I14" s="7">
        <v>80</v>
      </c>
      <c r="J14" s="7">
        <v>1</v>
      </c>
      <c r="K14" s="7">
        <v>4</v>
      </c>
      <c r="L14" s="7">
        <v>16</v>
      </c>
      <c r="M14" s="7">
        <v>32</v>
      </c>
      <c r="N14" s="7">
        <v>64</v>
      </c>
      <c r="O14" s="7">
        <v>80</v>
      </c>
    </row>
    <row r="15" spans="1:15" x14ac:dyDescent="0.25">
      <c r="A15" s="8" t="s">
        <v>8</v>
      </c>
      <c r="B15" s="9" t="s">
        <v>9</v>
      </c>
      <c r="C15" s="9" t="s">
        <v>10</v>
      </c>
      <c r="D15" s="12">
        <f>IF(D5="","",(D5-'2014'!D48)/'2014'!D48)</f>
        <v>-0.21777221526908636</v>
      </c>
      <c r="E15" s="12">
        <f>IF(E5="","",(E5-'2014'!E48)/'2014'!E48)</f>
        <v>-0.11605708345146962</v>
      </c>
      <c r="F15" s="12">
        <f>IF(F5="","",(F5-'2014'!F48)/'2014'!F48)</f>
        <v>-7.0743034055727558E-2</v>
      </c>
      <c r="G15" s="12" t="str">
        <f>IF(G5="","",(G5-'2014'!G48)/'2014'!G48)</f>
        <v/>
      </c>
      <c r="H15" s="12" t="str">
        <f>IF(H5="","",(H5-'2014'!H48)/'2014'!H48)</f>
        <v/>
      </c>
      <c r="I15" s="12" t="str">
        <f>IF(I5="","",(I5-'2014'!I48)/'2014'!I48)</f>
        <v/>
      </c>
      <c r="J15" s="11">
        <f>IF(D15="","",J5-'2014'!J48)</f>
        <v>6.2220632934024636</v>
      </c>
      <c r="K15" s="11">
        <f>IF(E15="","",K5-'2014'!K48)</f>
        <v>6.2042704721196174</v>
      </c>
      <c r="L15" s="11">
        <f>IF(F15="","",L5-'2014'!L48)</f>
        <v>11.784613369269948</v>
      </c>
      <c r="M15" s="11" t="str">
        <f>IF(G15="","",M5-((1/'2014'!G48)*1000000))</f>
        <v/>
      </c>
      <c r="N15" s="11" t="str">
        <f>IF(H15="","",N5-((1/'2014'!H48)*1000000))</f>
        <v/>
      </c>
      <c r="O15" s="11" t="str">
        <f>IF(I15="","",O5-((1/'2014'!I48)*1000000))</f>
        <v/>
      </c>
    </row>
    <row r="16" spans="1:15" x14ac:dyDescent="0.25">
      <c r="A16" s="8" t="s">
        <v>11</v>
      </c>
      <c r="B16" s="9" t="s">
        <v>9</v>
      </c>
      <c r="C16" s="9" t="s">
        <v>12</v>
      </c>
      <c r="D16" s="12">
        <f>IF(D6="","",(D6-'2014'!D49)/'2014'!D49)</f>
        <v>-0.25951424746605467</v>
      </c>
      <c r="E16" s="12">
        <f>IF(E6="","",(E6-'2014'!E49)/'2014'!E49)</f>
        <v>-0.22949253731343283</v>
      </c>
      <c r="F16" s="12">
        <f>IF(F6="","",(F6-'2014'!F49)/'2014'!F49)</f>
        <v>-0.1111111111111111</v>
      </c>
      <c r="G16" s="12" t="str">
        <f>IF(G6="","",(G6-'2014'!G49)/'2014'!G49)</f>
        <v/>
      </c>
      <c r="H16" s="12" t="str">
        <f>IF(H6="","",(H6-'2014'!H49)/'2014'!H49)</f>
        <v/>
      </c>
      <c r="I16" s="12" t="str">
        <f>IF(I6="","",(I6-'2014'!I49)/'2014'!I49)</f>
        <v/>
      </c>
      <c r="J16" s="11">
        <f>IF(D16="","",J6-'2014'!J49)</f>
        <v>33.511653856670279</v>
      </c>
      <c r="K16" s="11">
        <f>IF(E16="","",K6-'2014'!K49)</f>
        <v>35.563697088708025</v>
      </c>
      <c r="L16" s="11">
        <f>IF(F16="","",L6-'2014'!L49)</f>
        <v>28.815122176118024</v>
      </c>
      <c r="M16" s="11" t="str">
        <f>IF(G16="","",M6-((1/'2014'!G49)*1000000))</f>
        <v/>
      </c>
      <c r="N16" s="11" t="str">
        <f>IF(H16="","",N6-((1/'2014'!H49)*1000000))</f>
        <v/>
      </c>
      <c r="O16" s="11" t="str">
        <f>IF(I16="","",O6-((1/'2014'!I49)*1000000))</f>
        <v/>
      </c>
    </row>
    <row r="17" spans="1:16" x14ac:dyDescent="0.25">
      <c r="A17" s="9" t="s">
        <v>13</v>
      </c>
      <c r="B17" s="9" t="s">
        <v>14</v>
      </c>
      <c r="C17" s="9" t="s">
        <v>10</v>
      </c>
      <c r="D17" s="12">
        <f>IF(D7="","",(D7-'2014'!D50)/'2014'!D50)</f>
        <v>-0.22602362598858744</v>
      </c>
      <c r="E17" s="12">
        <f>IF(E7="","",(E7-'2014'!E50)/'2014'!E50)</f>
        <v>-0.10553814002089865</v>
      </c>
      <c r="F17" s="12">
        <f>IF(F7="","",(F7-'2014'!F50)/'2014'!F50)</f>
        <v>-1.8162393162393164E-2</v>
      </c>
      <c r="G17" s="12" t="str">
        <f>IF(G7="","",(G7-'2014'!G50)/'2014'!G50)</f>
        <v/>
      </c>
      <c r="H17" s="12" t="str">
        <f>IF(H7="","",(H7-'2014'!H50)/'2014'!H50)</f>
        <v/>
      </c>
      <c r="I17" s="12" t="str">
        <f>IF(I7="","",(I7-'2014'!I50)/'2014'!I50)</f>
        <v/>
      </c>
      <c r="J17" s="11">
        <f>IF(D17="","",J7-'2014'!J50)</f>
        <v>7.3087672106253052</v>
      </c>
      <c r="K17" s="11">
        <f>IF(E17="","",K7-'2014'!K50)</f>
        <v>6.8495677583656942</v>
      </c>
      <c r="L17" s="11">
        <f>IF(F17="","",L7-'2014'!L50)</f>
        <v>3.293868908667605</v>
      </c>
      <c r="M17" s="11" t="str">
        <f>IF(G17="","",M7-((1/'2014'!G50)*1000000))</f>
        <v/>
      </c>
      <c r="N17" s="11" t="str">
        <f>IF(H17="","",N7-((1/'2014'!H50)*1000000))</f>
        <v/>
      </c>
      <c r="O17" s="11" t="str">
        <f>IF(I17="","",O7-((1/'2014'!I50)*1000000))</f>
        <v/>
      </c>
    </row>
    <row r="18" spans="1:16" x14ac:dyDescent="0.25">
      <c r="A18" s="9" t="s">
        <v>15</v>
      </c>
      <c r="B18" s="9" t="s">
        <v>14</v>
      </c>
      <c r="C18" s="9" t="s">
        <v>12</v>
      </c>
      <c r="D18" s="12">
        <f>IF(D8="","",(D8-'2014'!D51)/'2014'!D51)</f>
        <v>-0.25790446541492362</v>
      </c>
      <c r="E18" s="12">
        <f>IF(E8="","",(E8-'2014'!E51)/'2014'!E51)</f>
        <v>-0.22857525441885376</v>
      </c>
      <c r="F18" s="12">
        <f>IF(F8="","",(F8-'2014'!F51)/'2014'!F51)</f>
        <v>-9.8167210645242281E-2</v>
      </c>
      <c r="G18" s="12" t="str">
        <f>IF(G8="","",(G8-'2014'!G51)/'2014'!G51)</f>
        <v/>
      </c>
      <c r="H18" s="12" t="str">
        <f>IF(H8="","",(H8-'2014'!H51)/'2014'!H51)</f>
        <v/>
      </c>
      <c r="I18" s="12" t="str">
        <f>IF(I8="","",(I8-'2014'!I51)/'2014'!I51)</f>
        <v/>
      </c>
      <c r="J18" s="11">
        <f>IF(D18="","",J8-'2014'!J51)</f>
        <v>33.810234060687421</v>
      </c>
      <c r="K18" s="11">
        <f>IF(E18="","",K8-'2014'!K51)</f>
        <v>39.676315642918581</v>
      </c>
      <c r="L18" s="11">
        <f>IF(F18="","",L8-'2014'!L51)</f>
        <v>27.329401627294601</v>
      </c>
      <c r="M18" s="11" t="str">
        <f>IF(G18="","",M8-((1/'2014'!G51)*1000000))</f>
        <v/>
      </c>
      <c r="N18" s="11" t="str">
        <f>IF(H18="","",N8-((1/'2014'!H51)*1000000))</f>
        <v/>
      </c>
      <c r="O18" s="11" t="str">
        <f>IF(I18="","",O8-((1/'2014'!I51)*1000000))</f>
        <v/>
      </c>
    </row>
    <row r="19" spans="1:16" x14ac:dyDescent="0.25">
      <c r="A19" s="9" t="s">
        <v>16</v>
      </c>
      <c r="B19" s="9" t="s">
        <v>17</v>
      </c>
      <c r="C19" s="9" t="s">
        <v>12</v>
      </c>
      <c r="D19" s="12">
        <f>IF(D9="","",(D9-'2014'!D52)/'2014'!D52)</f>
        <v>0.15601715962971324</v>
      </c>
      <c r="E19" s="12">
        <f>IF(E9="","",(E9-'2014'!E52)/'2014'!E52)</f>
        <v>-0.22131254061078623</v>
      </c>
      <c r="F19" s="12">
        <f>IF(F9="","",(F9-'2014'!F52)/'2014'!F52)</f>
        <v>-0.13885534894952911</v>
      </c>
      <c r="G19" s="12" t="str">
        <f>IF(G9="","",(G9-'2014'!G52)/'2014'!G52)</f>
        <v/>
      </c>
      <c r="H19" s="12" t="str">
        <f>IF(H9="","",(H9-'2014'!H52)/'2014'!H52)</f>
        <v/>
      </c>
      <c r="I19" s="12" t="str">
        <f>IF(I9="","",(I9-'2014'!I52)/'2014'!I52)</f>
        <v/>
      </c>
      <c r="J19" s="11">
        <f>IF(D19="","",J9-'2014'!J52)</f>
        <v>-30.472101490178375</v>
      </c>
      <c r="K19" s="11">
        <f>IF(E19="","",K9-'2014'!K52)</f>
        <v>36.934669661346163</v>
      </c>
      <c r="L19" s="11">
        <f>IF(F19="","",L9-'2014'!L52)</f>
        <v>38.93868450631777</v>
      </c>
      <c r="M19" s="11" t="str">
        <f>IF(G19="","",M9-((1/'2014'!G52)*1000000))</f>
        <v/>
      </c>
      <c r="N19" s="11" t="str">
        <f>IF(H19="","",N9-((1/'2014'!H52)*1000000))</f>
        <v/>
      </c>
      <c r="O19" s="11" t="str">
        <f>IF(I19="","",O9-((1/'2014'!I52)*1000000))</f>
        <v/>
      </c>
    </row>
    <row r="20" spans="1:16" x14ac:dyDescent="0.25">
      <c r="A20" s="9" t="s">
        <v>18</v>
      </c>
      <c r="B20" s="8" t="s">
        <v>19</v>
      </c>
      <c r="C20" s="9" t="s">
        <v>12</v>
      </c>
      <c r="D20" s="12">
        <f>IF(D10="","",(D10-'2014'!D53)/'2014'!D53)</f>
        <v>-0.8001368925393566</v>
      </c>
      <c r="E20" s="12">
        <f>IF(E10="","",(E10-'2014'!E53)/'2014'!E53)</f>
        <v>-0.12246093750000001</v>
      </c>
      <c r="F20" s="12">
        <f>IF(F10="","",(F10-'2014'!F53)/'2014'!F53)</f>
        <v>-0.19426751592356689</v>
      </c>
      <c r="G20" s="12" t="str">
        <f>IF(G10="","",(G10-'2014'!G53)/'2014'!G53)</f>
        <v/>
      </c>
      <c r="H20" s="12" t="str">
        <f>IF(H10="","",(H10-'2014'!H53)/'2014'!H53)</f>
        <v/>
      </c>
      <c r="I20" s="12" t="str">
        <f>IF(I10="","",(I10-'2014'!I53)/'2014'!I53)</f>
        <v/>
      </c>
      <c r="J20" s="11">
        <f>IF(D20="","",J10-'2014'!J53)</f>
        <v>913.39827915451656</v>
      </c>
      <c r="K20" s="11">
        <f>IF(E20="","",K10-'2014'!K53)</f>
        <v>27.255939795237026</v>
      </c>
      <c r="L20" s="11">
        <f>IF(F20="","",L10-'2014'!L53)</f>
        <v>59.065830320330463</v>
      </c>
      <c r="M20" s="11" t="str">
        <f>IF(G20="","",M10-((1/'2014'!G53)*1000000))</f>
        <v/>
      </c>
      <c r="N20" s="11" t="str">
        <f>IF(H20="","",N10-((1/'2014'!H53)*1000000))</f>
        <v/>
      </c>
      <c r="O20" s="11" t="str">
        <f>IF(I20="","",O10-((1/'2014'!I53)*1000000))</f>
        <v/>
      </c>
    </row>
    <row r="23" spans="1:16" ht="18.75" x14ac:dyDescent="0.25">
      <c r="A23" s="107" t="s">
        <v>51</v>
      </c>
      <c r="B23" s="108"/>
      <c r="C23" s="108"/>
      <c r="D23" s="108"/>
      <c r="E23" s="108"/>
      <c r="F23" s="108"/>
      <c r="G23" s="108"/>
      <c r="H23" s="108"/>
      <c r="I23" s="108"/>
      <c r="J23" s="17"/>
      <c r="K23" s="17"/>
      <c r="L23" s="17"/>
      <c r="M23" s="17"/>
      <c r="N23" s="17"/>
      <c r="O23" s="18"/>
    </row>
    <row r="24" spans="1:16" ht="15.75" x14ac:dyDescent="0.25">
      <c r="A24" s="109" t="s">
        <v>53</v>
      </c>
      <c r="B24" s="110"/>
      <c r="C24" s="110"/>
      <c r="D24" s="110"/>
      <c r="E24" s="110"/>
      <c r="F24" s="110"/>
      <c r="G24" s="110"/>
      <c r="H24" s="110"/>
      <c r="I24" s="110"/>
      <c r="J24" s="19"/>
      <c r="K24" s="19"/>
      <c r="L24" s="19"/>
      <c r="M24" s="19"/>
      <c r="N24" s="19"/>
      <c r="O24" s="20"/>
    </row>
    <row r="25" spans="1:16" x14ac:dyDescent="0.25">
      <c r="A25" s="105" t="s">
        <v>2</v>
      </c>
      <c r="B25" s="105"/>
      <c r="C25" s="105"/>
      <c r="D25" s="106" t="s">
        <v>3</v>
      </c>
      <c r="E25" s="106"/>
      <c r="F25" s="106"/>
      <c r="G25" s="106"/>
      <c r="H25" s="106"/>
      <c r="I25" s="106"/>
      <c r="J25" s="106" t="s">
        <v>4</v>
      </c>
      <c r="K25" s="106"/>
      <c r="L25" s="106"/>
      <c r="M25" s="106"/>
      <c r="N25" s="106"/>
      <c r="O25" s="106"/>
    </row>
    <row r="26" spans="1:16" x14ac:dyDescent="0.25">
      <c r="A26" s="6" t="s">
        <v>5</v>
      </c>
      <c r="B26" s="6" t="s">
        <v>6</v>
      </c>
      <c r="C26" s="6" t="s">
        <v>7</v>
      </c>
      <c r="D26" s="7">
        <v>1</v>
      </c>
      <c r="E26" s="7">
        <v>4</v>
      </c>
      <c r="F26" s="7">
        <v>16</v>
      </c>
      <c r="G26" s="7">
        <v>32</v>
      </c>
      <c r="H26" s="7">
        <v>64</v>
      </c>
      <c r="I26" s="7">
        <v>80</v>
      </c>
      <c r="J26" s="7">
        <v>1</v>
      </c>
      <c r="K26" s="7">
        <v>4</v>
      </c>
      <c r="L26" s="7">
        <v>16</v>
      </c>
      <c r="M26" s="7">
        <v>32</v>
      </c>
      <c r="N26" s="7">
        <v>64</v>
      </c>
      <c r="O26" s="7">
        <v>80</v>
      </c>
    </row>
    <row r="27" spans="1:16" x14ac:dyDescent="0.25">
      <c r="A27" s="8" t="s">
        <v>8</v>
      </c>
      <c r="B27" s="9" t="s">
        <v>9</v>
      </c>
      <c r="C27" s="9" t="s">
        <v>10</v>
      </c>
      <c r="D27" s="10">
        <v>47550</v>
      </c>
      <c r="E27" s="10">
        <v>20740</v>
      </c>
      <c r="F27" s="10">
        <v>6558</v>
      </c>
      <c r="G27" s="10"/>
      <c r="H27" s="10"/>
      <c r="I27" s="10"/>
      <c r="J27" s="11">
        <f>IF(D27="","",(1/D27)*1000000)</f>
        <v>21.030494216614091</v>
      </c>
      <c r="K27" s="11">
        <f t="shared" ref="K27:L27" si="6">IF(E27="","",(1/E27)*1000000)</f>
        <v>48.216007714561236</v>
      </c>
      <c r="L27" s="11">
        <f t="shared" si="6"/>
        <v>152.48551387618176</v>
      </c>
      <c r="M27" s="11" t="str">
        <f t="shared" ref="M27:O32" si="7">IF(G27="","",(1/G27)*1000000)</f>
        <v/>
      </c>
      <c r="N27" s="11" t="str">
        <f t="shared" si="7"/>
        <v/>
      </c>
      <c r="O27" s="11" t="str">
        <f t="shared" si="7"/>
        <v/>
      </c>
      <c r="P27" t="s">
        <v>46</v>
      </c>
    </row>
    <row r="28" spans="1:16" x14ac:dyDescent="0.25">
      <c r="A28" s="8" t="s">
        <v>11</v>
      </c>
      <c r="B28" s="9" t="s">
        <v>9</v>
      </c>
      <c r="C28" s="9" t="s">
        <v>12</v>
      </c>
      <c r="D28" s="10">
        <v>11095</v>
      </c>
      <c r="E28" s="10">
        <v>8499</v>
      </c>
      <c r="F28" s="10">
        <v>4432</v>
      </c>
      <c r="G28" s="10"/>
      <c r="H28" s="10"/>
      <c r="I28" s="10"/>
      <c r="J28" s="11">
        <f t="shared" ref="J28:J32" si="8">IF(D28="","",(1/D28)*1000000)</f>
        <v>90.130689499774675</v>
      </c>
      <c r="K28" s="11">
        <f t="shared" ref="K28:K32" si="9">IF(E28="","",(1/E28)*1000000)</f>
        <v>117.66090128250383</v>
      </c>
      <c r="L28" s="11">
        <f t="shared" ref="L28:L32" si="10">IF(F28="","",(1/F28)*1000000)</f>
        <v>225.63176895306859</v>
      </c>
      <c r="M28" s="11" t="str">
        <f t="shared" si="7"/>
        <v/>
      </c>
      <c r="N28" s="11" t="str">
        <f t="shared" si="7"/>
        <v/>
      </c>
      <c r="O28" s="11" t="str">
        <f t="shared" si="7"/>
        <v/>
      </c>
    </row>
    <row r="29" spans="1:16" x14ac:dyDescent="0.25">
      <c r="A29" s="9" t="s">
        <v>13</v>
      </c>
      <c r="B29" s="9" t="s">
        <v>14</v>
      </c>
      <c r="C29" s="9" t="s">
        <v>10</v>
      </c>
      <c r="D29" s="10">
        <v>45129</v>
      </c>
      <c r="E29" s="10">
        <v>18290</v>
      </c>
      <c r="F29" s="10">
        <v>5577</v>
      </c>
      <c r="G29" s="10"/>
      <c r="H29" s="10"/>
      <c r="I29" s="10"/>
      <c r="J29" s="11">
        <f t="shared" si="8"/>
        <v>22.158700613796007</v>
      </c>
      <c r="K29" s="11">
        <f t="shared" si="9"/>
        <v>54.674685620557682</v>
      </c>
      <c r="L29" s="11">
        <f t="shared" si="10"/>
        <v>179.30787161556393</v>
      </c>
      <c r="M29" s="11" t="str">
        <f t="shared" si="7"/>
        <v/>
      </c>
      <c r="N29" s="11" t="str">
        <f t="shared" si="7"/>
        <v/>
      </c>
      <c r="O29" s="11" t="str">
        <f t="shared" si="7"/>
        <v/>
      </c>
    </row>
    <row r="30" spans="1:16" x14ac:dyDescent="0.25">
      <c r="A30" s="9" t="s">
        <v>15</v>
      </c>
      <c r="B30" s="9" t="s">
        <v>14</v>
      </c>
      <c r="C30" s="9" t="s">
        <v>12</v>
      </c>
      <c r="D30" s="10">
        <v>10520</v>
      </c>
      <c r="E30" s="10">
        <v>7882</v>
      </c>
      <c r="F30" s="10">
        <v>4161</v>
      </c>
      <c r="G30" s="10"/>
      <c r="H30" s="10"/>
      <c r="I30" s="10"/>
      <c r="J30" s="11">
        <f t="shared" si="8"/>
        <v>95.057034220532316</v>
      </c>
      <c r="K30" s="11">
        <f t="shared" si="9"/>
        <v>126.87135244861712</v>
      </c>
      <c r="L30" s="11">
        <f t="shared" si="10"/>
        <v>240.32684450853159</v>
      </c>
      <c r="M30" s="11" t="str">
        <f t="shared" si="7"/>
        <v/>
      </c>
      <c r="N30" s="11" t="str">
        <f t="shared" si="7"/>
        <v/>
      </c>
      <c r="O30" s="11" t="str">
        <f t="shared" si="7"/>
        <v/>
      </c>
    </row>
    <row r="31" spans="1:16" x14ac:dyDescent="0.25">
      <c r="A31" s="9" t="s">
        <v>16</v>
      </c>
      <c r="B31" s="9" t="s">
        <v>17</v>
      </c>
      <c r="C31" s="9" t="s">
        <v>12</v>
      </c>
      <c r="D31" s="10">
        <v>9224</v>
      </c>
      <c r="E31" s="10">
        <v>8295</v>
      </c>
      <c r="F31" s="10">
        <v>4340</v>
      </c>
      <c r="G31" s="10"/>
      <c r="H31" s="10"/>
      <c r="I31" s="10"/>
      <c r="J31" s="11">
        <f t="shared" si="8"/>
        <v>108.41283607979184</v>
      </c>
      <c r="K31" s="11">
        <f t="shared" si="9"/>
        <v>120.55455093429778</v>
      </c>
      <c r="L31" s="11">
        <f t="shared" si="10"/>
        <v>230.41474654377879</v>
      </c>
      <c r="M31" s="11" t="str">
        <f t="shared" si="7"/>
        <v/>
      </c>
      <c r="N31" s="11" t="str">
        <f t="shared" si="7"/>
        <v/>
      </c>
      <c r="O31" s="11" t="str">
        <f t="shared" si="7"/>
        <v/>
      </c>
    </row>
    <row r="32" spans="1:16" x14ac:dyDescent="0.25">
      <c r="A32" s="9" t="s">
        <v>18</v>
      </c>
      <c r="B32" s="8" t="s">
        <v>19</v>
      </c>
      <c r="C32" s="9" t="s">
        <v>12</v>
      </c>
      <c r="D32" s="10">
        <v>8307</v>
      </c>
      <c r="E32" s="10">
        <v>6675</v>
      </c>
      <c r="F32" s="10">
        <v>4300</v>
      </c>
      <c r="G32" s="10"/>
      <c r="H32" s="10"/>
      <c r="I32" s="10"/>
      <c r="J32" s="11">
        <f t="shared" si="8"/>
        <v>120.38040207054291</v>
      </c>
      <c r="K32" s="11">
        <f t="shared" si="9"/>
        <v>149.81273408239701</v>
      </c>
      <c r="L32" s="11">
        <f t="shared" si="10"/>
        <v>232.55813953488374</v>
      </c>
      <c r="M32" s="11" t="str">
        <f t="shared" si="7"/>
        <v/>
      </c>
      <c r="N32" s="11" t="str">
        <f t="shared" si="7"/>
        <v/>
      </c>
      <c r="O32" s="11" t="str">
        <f t="shared" si="7"/>
        <v/>
      </c>
    </row>
    <row r="33" spans="1:15" x14ac:dyDescent="0.25">
      <c r="A33" s="21" t="s">
        <v>52</v>
      </c>
    </row>
    <row r="34" spans="1:15" ht="18.75" x14ac:dyDescent="0.3">
      <c r="A34" s="103" t="s">
        <v>56</v>
      </c>
      <c r="B34" s="104"/>
      <c r="C34" s="104"/>
      <c r="D34" s="104"/>
      <c r="E34" s="104"/>
      <c r="F34" s="104"/>
      <c r="G34" s="104"/>
      <c r="H34" s="104"/>
      <c r="I34" s="104"/>
      <c r="J34" s="1"/>
      <c r="K34" s="1"/>
      <c r="L34" s="1"/>
      <c r="M34" s="1"/>
      <c r="N34" s="1"/>
      <c r="O34" s="2"/>
    </row>
    <row r="35" spans="1:15" x14ac:dyDescent="0.25">
      <c r="A35" s="105" t="s">
        <v>2</v>
      </c>
      <c r="B35" s="105"/>
      <c r="C35" s="105"/>
      <c r="D35" s="106" t="s">
        <v>20</v>
      </c>
      <c r="E35" s="106"/>
      <c r="F35" s="106"/>
      <c r="G35" s="106"/>
      <c r="H35" s="106"/>
      <c r="I35" s="106"/>
      <c r="J35" s="106" t="s">
        <v>23</v>
      </c>
      <c r="K35" s="106"/>
      <c r="L35" s="106"/>
      <c r="M35" s="106"/>
      <c r="N35" s="106"/>
      <c r="O35" s="106"/>
    </row>
    <row r="36" spans="1:15" x14ac:dyDescent="0.25">
      <c r="A36" s="6" t="s">
        <v>5</v>
      </c>
      <c r="B36" s="6" t="s">
        <v>6</v>
      </c>
      <c r="C36" s="6" t="s">
        <v>7</v>
      </c>
      <c r="D36" s="7">
        <v>1</v>
      </c>
      <c r="E36" s="7">
        <v>4</v>
      </c>
      <c r="F36" s="7">
        <v>16</v>
      </c>
      <c r="G36" s="7">
        <v>32</v>
      </c>
      <c r="H36" s="7">
        <v>64</v>
      </c>
      <c r="I36" s="7">
        <v>80</v>
      </c>
      <c r="J36" s="7">
        <v>1</v>
      </c>
      <c r="K36" s="7">
        <v>4</v>
      </c>
      <c r="L36" s="7">
        <v>16</v>
      </c>
      <c r="M36" s="7">
        <v>32</v>
      </c>
      <c r="N36" s="7">
        <v>64</v>
      </c>
      <c r="O36" s="7">
        <v>80</v>
      </c>
    </row>
    <row r="37" spans="1:15" x14ac:dyDescent="0.25">
      <c r="A37" s="8" t="s">
        <v>8</v>
      </c>
      <c r="B37" s="9" t="s">
        <v>9</v>
      </c>
      <c r="C37" s="9" t="s">
        <v>10</v>
      </c>
      <c r="D37" s="12">
        <f>IF(D27="","",(D27-'2014'!D48)/'2014'!D48)</f>
        <v>6.2712318970141248E-2</v>
      </c>
      <c r="E37" s="12">
        <f>IF(E27="","",(E27-'2014'!E48)/'2014'!E48)</f>
        <v>-1.9941404404120594E-2</v>
      </c>
      <c r="F37" s="12">
        <f>IF(F27="","",(F27-'2014'!F48)/'2014'!F48)</f>
        <v>1.5170278637770897E-2</v>
      </c>
      <c r="G37" s="12" t="str">
        <f>IF(G27="","",(G27-'2014'!G48)/'2014'!G48)</f>
        <v/>
      </c>
      <c r="H37" s="12" t="str">
        <f>IF(H27="","",(H27-'2014'!H48)/'2014'!H48)</f>
        <v/>
      </c>
      <c r="I37" s="12" t="str">
        <f>IF(I27="","",(I27-'2014'!I48)/'2014'!I48)</f>
        <v/>
      </c>
      <c r="J37" s="11">
        <f>IF(D37="","",J27-'2014'!J48)</f>
        <v>-1.3188710614120147</v>
      </c>
      <c r="K37" s="11">
        <f>IF(E37="","",K27-'2014'!K48)</f>
        <v>0.96149490858826425</v>
      </c>
      <c r="L37" s="11">
        <f>IF(F37="","",L27-'2014'!L48)</f>
        <v>-2.3132477337253761</v>
      </c>
      <c r="M37" s="11" t="str">
        <f>IF(G37="","",M27-((1/'2014'!G48)*1000000))</f>
        <v/>
      </c>
      <c r="N37" s="11" t="str">
        <f>IF(H37="","",N27-((1/'2014'!H48)*1000000))</f>
        <v/>
      </c>
      <c r="O37" s="11" t="str">
        <f>IF(I37="","",O27-((1/'2014'!I48)*1000000))</f>
        <v/>
      </c>
    </row>
    <row r="38" spans="1:15" x14ac:dyDescent="0.25">
      <c r="A38" s="8" t="s">
        <v>11</v>
      </c>
      <c r="B38" s="9" t="s">
        <v>9</v>
      </c>
      <c r="C38" s="9" t="s">
        <v>12</v>
      </c>
      <c r="D38" s="12">
        <f>IF(D28="","",(D28-'2014'!D49)/'2014'!D49)</f>
        <v>6.0910307898259707E-2</v>
      </c>
      <c r="E38" s="12">
        <f>IF(E28="","",(E28-'2014'!E49)/'2014'!E49)</f>
        <v>1.4805970149253731E-2</v>
      </c>
      <c r="F38" s="12">
        <f>IF(F28="","",(F28-'2014'!F49)/'2014'!F49)</f>
        <v>2.1668971876440755E-2</v>
      </c>
      <c r="G38" s="12" t="str">
        <f>IF(G28="","",(G28-'2014'!G49)/'2014'!G49)</f>
        <v/>
      </c>
      <c r="H38" s="12" t="str">
        <f>IF(H28="","",(H28-'2014'!H49)/'2014'!H49)</f>
        <v/>
      </c>
      <c r="I38" s="12" t="str">
        <f>IF(I28="","",(I28-'2014'!I49)/'2014'!I49)</f>
        <v/>
      </c>
      <c r="J38" s="11">
        <f>IF(D38="","",J28-'2014'!J49)</f>
        <v>-5.4898880485137198</v>
      </c>
      <c r="K38" s="11">
        <f>IF(E38="","",K28-'2014'!K49)</f>
        <v>-1.7420837921230401</v>
      </c>
      <c r="L38" s="11">
        <f>IF(F38="","",L28-'2014'!L49)</f>
        <v>-4.8892084558756324</v>
      </c>
      <c r="M38" s="11" t="str">
        <f>IF(G38="","",M28-((1/'2014'!G49)*1000000))</f>
        <v/>
      </c>
      <c r="N38" s="11" t="str">
        <f>IF(H38="","",N28-((1/'2014'!H49)*1000000))</f>
        <v/>
      </c>
      <c r="O38" s="11" t="str">
        <f>IF(I38="","",O28-((1/'2014'!I49)*1000000))</f>
        <v/>
      </c>
    </row>
    <row r="39" spans="1:15" x14ac:dyDescent="0.25">
      <c r="A39" s="9" t="s">
        <v>13</v>
      </c>
      <c r="B39" s="9" t="s">
        <v>14</v>
      </c>
      <c r="C39" s="9" t="s">
        <v>10</v>
      </c>
      <c r="D39" s="12">
        <f>IF(D29="","",(D29-'2014'!D50)/'2014'!D50)</f>
        <v>0.12946741415557111</v>
      </c>
      <c r="E39" s="12">
        <f>IF(E29="","",(E29-'2014'!E50)/'2014'!E50)</f>
        <v>6.1767096249854873E-2</v>
      </c>
      <c r="F39" s="12">
        <f>IF(F29="","",(F29-'2014'!F50)/'2014'!F50)</f>
        <v>-6.9444444444444441E-3</v>
      </c>
      <c r="G39" s="12" t="str">
        <f>IF(G29="","",(G29-'2014'!G50)/'2014'!G50)</f>
        <v/>
      </c>
      <c r="H39" s="12" t="str">
        <f>IF(H29="","",(H29-'2014'!H50)/'2014'!H50)</f>
        <v/>
      </c>
      <c r="I39" s="12" t="str">
        <f>IF(I29="","",(I29-'2014'!I50)/'2014'!I50)</f>
        <v/>
      </c>
      <c r="J39" s="11">
        <f>IF(D39="","",J29-'2014'!J50)</f>
        <v>-2.8688296695156339</v>
      </c>
      <c r="K39" s="11">
        <f>IF(E39="","",K29-'2014'!K50)</f>
        <v>-3.3770965691555404</v>
      </c>
      <c r="L39" s="11">
        <f>IF(F39="","",L29-'2014'!L50)</f>
        <v>1.2451935528858655</v>
      </c>
      <c r="M39" s="11" t="str">
        <f>IF(G39="","",M29-((1/'2014'!G50)*1000000))</f>
        <v/>
      </c>
      <c r="N39" s="11" t="str">
        <f>IF(H39="","",N29-((1/'2014'!H50)*1000000))</f>
        <v/>
      </c>
      <c r="O39" s="11" t="str">
        <f>IF(I39="","",O29-((1/'2014'!I50)*1000000))</f>
        <v/>
      </c>
    </row>
    <row r="40" spans="1:15" x14ac:dyDescent="0.25">
      <c r="A40" s="9" t="s">
        <v>15</v>
      </c>
      <c r="B40" s="9" t="s">
        <v>14</v>
      </c>
      <c r="C40" s="9" t="s">
        <v>12</v>
      </c>
      <c r="D40" s="12">
        <f>IF(D30="","",(D30-'2014'!D51)/'2014'!D51)</f>
        <v>2.3445860492265786E-2</v>
      </c>
      <c r="E40" s="12">
        <f>IF(E30="","",(E30-'2014'!E51)/'2014'!E51)</f>
        <v>5.5436529191215854E-2</v>
      </c>
      <c r="F40" s="12">
        <f>IF(F30="","",(F30-'2014'!F51)/'2014'!F51)</f>
        <v>4.4689932211900575E-2</v>
      </c>
      <c r="G40" s="12" t="str">
        <f>IF(G30="","",(G30-'2014'!G51)/'2014'!G51)</f>
        <v/>
      </c>
      <c r="H40" s="12" t="str">
        <f>IF(H30="","",(H30-'2014'!H51)/'2014'!H51)</f>
        <v/>
      </c>
      <c r="I40" s="12" t="str">
        <f>IF(I30="","",(I30-'2014'!I51)/'2014'!I51)</f>
        <v/>
      </c>
      <c r="J40" s="11">
        <f>IF(D40="","",J30-'2014'!J51)</f>
        <v>-2.2286939631431437</v>
      </c>
      <c r="K40" s="11">
        <f>IF(E40="","",K30-'2014'!K51)</f>
        <v>-7.0333074335467671</v>
      </c>
      <c r="L40" s="11">
        <f>IF(F40="","",L30-'2014'!L51)</f>
        <v>-10.74019038978625</v>
      </c>
      <c r="M40" s="11" t="str">
        <f>IF(G40="","",M30-((1/'2014'!G51)*1000000))</f>
        <v/>
      </c>
      <c r="N40" s="11" t="str">
        <f>IF(H40="","",N30-((1/'2014'!H51)*1000000))</f>
        <v/>
      </c>
      <c r="O40" s="11" t="str">
        <f>IF(I40="","",O30-((1/'2014'!I51)*1000000))</f>
        <v/>
      </c>
    </row>
    <row r="41" spans="1:15" x14ac:dyDescent="0.25">
      <c r="A41" s="9" t="s">
        <v>16</v>
      </c>
      <c r="B41" s="9" t="s">
        <v>17</v>
      </c>
      <c r="C41" s="9" t="s">
        <v>12</v>
      </c>
      <c r="D41" s="12">
        <f>IF(D31="","",(D31-'2014'!D52)/'2014'!D52)</f>
        <v>1.0826371641454053</v>
      </c>
      <c r="E41" s="12">
        <f>IF(E31="","",(E31-'2014'!E52)/'2014'!E52)</f>
        <v>7.7972709551656916E-2</v>
      </c>
      <c r="F41" s="12">
        <f>IF(F31="","",(F31-'2014'!F52)/'2014'!F52)</f>
        <v>4.8056025114706594E-2</v>
      </c>
      <c r="G41" s="12" t="str">
        <f>IF(G31="","",(G31-'2014'!G52)/'2014'!G52)</f>
        <v/>
      </c>
      <c r="H41" s="12" t="str">
        <f>IF(H31="","",(H31-'2014'!H52)/'2014'!H52)</f>
        <v/>
      </c>
      <c r="I41" s="12" t="str">
        <f>IF(I31="","",(I31-'2014'!I52)/'2014'!I52)</f>
        <v/>
      </c>
      <c r="J41" s="11">
        <f>IF(D41="","",J31-'2014'!J52)</f>
        <v>-117.37176541038653</v>
      </c>
      <c r="K41" s="11">
        <f>IF(E41="","",K31-'2014'!K52)</f>
        <v>-9.3999649851304099</v>
      </c>
      <c r="L41" s="11">
        <f>IF(F41="","",L31-'2014'!L52)</f>
        <v>-11.072816846706587</v>
      </c>
      <c r="M41" s="11" t="str">
        <f>IF(G41="","",M31-((1/'2014'!G52)*1000000))</f>
        <v/>
      </c>
      <c r="N41" s="11" t="str">
        <f>IF(H41="","",N31-((1/'2014'!H52)*1000000))</f>
        <v/>
      </c>
      <c r="O41" s="11" t="str">
        <f>IF(I41="","",O31-((1/'2014'!I52)*1000000))</f>
        <v/>
      </c>
    </row>
    <row r="42" spans="1:15" x14ac:dyDescent="0.25">
      <c r="A42" s="9" t="s">
        <v>18</v>
      </c>
      <c r="B42" s="8" t="s">
        <v>19</v>
      </c>
      <c r="C42" s="9" t="s">
        <v>12</v>
      </c>
      <c r="D42" s="12">
        <f>IF(D32="","",(D32-'2014'!D53)/'2014'!D53)</f>
        <v>0.89527720739219707</v>
      </c>
      <c r="E42" s="12">
        <f>IF(E32="","",(E32-'2014'!E53)/'2014'!E53)</f>
        <v>0.3037109375</v>
      </c>
      <c r="F42" s="12">
        <f>IF(F32="","",(F32-'2014'!F53)/'2014'!F53)</f>
        <v>5.3405193532582065E-2</v>
      </c>
      <c r="G42" s="12" t="str">
        <f>IF(G32="","",(G32-'2014'!G53)/'2014'!G53)</f>
        <v/>
      </c>
      <c r="H42" s="12" t="str">
        <f>IF(H32="","",(H32-'2014'!H53)/'2014'!H53)</f>
        <v/>
      </c>
      <c r="I42" s="12" t="str">
        <f>IF(I32="","",(I32-'2014'!I53)/'2014'!I53)</f>
        <v/>
      </c>
      <c r="J42" s="11">
        <f>IF(D42="","",J32-'2014'!J53)</f>
        <v>-107.77383019046553</v>
      </c>
      <c r="K42" s="11">
        <f>IF(E42="","",K32-'2014'!K53)</f>
        <v>-45.499765917602986</v>
      </c>
      <c r="L42" s="11">
        <f>IF(F42="","",L32-'2014'!L53)</f>
        <v>-12.419812449437671</v>
      </c>
      <c r="M42" s="11" t="str">
        <f>IF(G42="","",M32-((1/'2014'!G53)*1000000))</f>
        <v/>
      </c>
      <c r="N42" s="11" t="str">
        <f>IF(H42="","",N32-((1/'2014'!H53)*1000000))</f>
        <v/>
      </c>
      <c r="O42" s="11" t="str">
        <f>IF(I42="","",O32-((1/'2014'!I53)*1000000))</f>
        <v/>
      </c>
    </row>
    <row r="44" spans="1:15" ht="18.75" x14ac:dyDescent="0.25">
      <c r="A44" s="107" t="s">
        <v>51</v>
      </c>
      <c r="B44" s="108"/>
      <c r="C44" s="108"/>
      <c r="D44" s="108"/>
      <c r="E44" s="108"/>
      <c r="F44" s="108"/>
      <c r="G44" s="108"/>
      <c r="H44" s="108"/>
      <c r="I44" s="108"/>
      <c r="J44" s="17"/>
      <c r="K44" s="17"/>
      <c r="L44" s="17"/>
      <c r="M44" s="17"/>
      <c r="N44" s="17"/>
      <c r="O44" s="18"/>
    </row>
    <row r="45" spans="1:15" ht="15.75" x14ac:dyDescent="0.25">
      <c r="A45" s="109" t="s">
        <v>58</v>
      </c>
      <c r="B45" s="110"/>
      <c r="C45" s="110"/>
      <c r="D45" s="110"/>
      <c r="E45" s="110"/>
      <c r="F45" s="110"/>
      <c r="G45" s="110"/>
      <c r="H45" s="110"/>
      <c r="I45" s="110"/>
      <c r="J45" s="19"/>
      <c r="K45" s="19"/>
      <c r="L45" s="19"/>
      <c r="M45" s="19"/>
      <c r="N45" s="19"/>
      <c r="O45" s="20"/>
    </row>
    <row r="46" spans="1:15" x14ac:dyDescent="0.25">
      <c r="A46" s="105" t="s">
        <v>2</v>
      </c>
      <c r="B46" s="105"/>
      <c r="C46" s="105"/>
      <c r="D46" s="106" t="s">
        <v>3</v>
      </c>
      <c r="E46" s="106"/>
      <c r="F46" s="106"/>
      <c r="G46" s="106"/>
      <c r="H46" s="106"/>
      <c r="I46" s="106"/>
      <c r="J46" s="106" t="s">
        <v>4</v>
      </c>
      <c r="K46" s="106"/>
      <c r="L46" s="106"/>
      <c r="M46" s="106"/>
      <c r="N46" s="106"/>
      <c r="O46" s="106"/>
    </row>
    <row r="47" spans="1:15" x14ac:dyDescent="0.25">
      <c r="A47" s="6" t="s">
        <v>5</v>
      </c>
      <c r="B47" s="6" t="s">
        <v>6</v>
      </c>
      <c r="C47" s="6" t="s">
        <v>7</v>
      </c>
      <c r="D47" s="24">
        <v>1</v>
      </c>
      <c r="E47" s="24">
        <v>4</v>
      </c>
      <c r="F47" s="24">
        <v>16</v>
      </c>
      <c r="G47" s="7">
        <v>32</v>
      </c>
      <c r="H47" s="7">
        <v>64</v>
      </c>
      <c r="I47" s="7">
        <v>80</v>
      </c>
      <c r="J47" s="7">
        <v>1</v>
      </c>
      <c r="K47" s="7">
        <v>4</v>
      </c>
      <c r="L47" s="7">
        <v>16</v>
      </c>
      <c r="M47" s="7">
        <v>32</v>
      </c>
      <c r="N47" s="7">
        <v>64</v>
      </c>
      <c r="O47" s="7">
        <v>80</v>
      </c>
    </row>
    <row r="48" spans="1:15" x14ac:dyDescent="0.25">
      <c r="A48" s="8" t="s">
        <v>8</v>
      </c>
      <c r="B48" s="9" t="s">
        <v>9</v>
      </c>
      <c r="C48" s="22" t="s">
        <v>10</v>
      </c>
      <c r="D48" s="10">
        <v>42666</v>
      </c>
      <c r="E48" s="10">
        <v>20740</v>
      </c>
      <c r="F48" s="10">
        <v>6473</v>
      </c>
      <c r="G48" s="23"/>
      <c r="H48" s="10"/>
      <c r="I48" s="10"/>
      <c r="J48" s="11">
        <f>IF(D48="","",(1/D48)*1000000)</f>
        <v>23.437866216659636</v>
      </c>
      <c r="K48" s="11">
        <f t="shared" ref="K48:O48" si="11">IF(E48="","",(1/E48)*1000000)</f>
        <v>48.216007714561236</v>
      </c>
      <c r="L48" s="11">
        <f t="shared" si="11"/>
        <v>154.4878727019929</v>
      </c>
      <c r="M48" s="11" t="str">
        <f t="shared" si="11"/>
        <v/>
      </c>
      <c r="N48" s="11" t="str">
        <f t="shared" si="11"/>
        <v/>
      </c>
      <c r="O48" s="11" t="str">
        <f t="shared" si="11"/>
        <v/>
      </c>
    </row>
    <row r="49" spans="1:15" x14ac:dyDescent="0.25">
      <c r="A49" s="8" t="s">
        <v>11</v>
      </c>
      <c r="B49" s="9" t="s">
        <v>9</v>
      </c>
      <c r="C49" s="22" t="s">
        <v>12</v>
      </c>
      <c r="D49" s="10">
        <v>11278</v>
      </c>
      <c r="E49" s="10">
        <v>8622</v>
      </c>
      <c r="F49" s="10">
        <v>4481</v>
      </c>
      <c r="G49" s="23"/>
      <c r="H49" s="10"/>
      <c r="I49" s="10"/>
      <c r="J49" s="11">
        <f t="shared" ref="J49:J53" si="12">IF(D49="","",(1/D49)*1000000)</f>
        <v>88.668203582195432</v>
      </c>
      <c r="K49" s="11">
        <f t="shared" ref="K49:K53" si="13">IF(E49="","",(1/E49)*1000000)</f>
        <v>115.9823706796567</v>
      </c>
      <c r="L49" s="11">
        <f t="shared" ref="L49:L53" si="14">IF(F49="","",(1/F49)*1000000)</f>
        <v>223.1644722160232</v>
      </c>
      <c r="M49" s="11" t="str">
        <f t="shared" ref="M49:M53" si="15">IF(G49="","",(1/G49)*1000000)</f>
        <v/>
      </c>
      <c r="N49" s="11" t="str">
        <f t="shared" ref="N49:N53" si="16">IF(H49="","",(1/H49)*1000000)</f>
        <v/>
      </c>
      <c r="O49" s="11" t="str">
        <f t="shared" ref="O49:O53" si="17">IF(I49="","",(1/I49)*1000000)</f>
        <v/>
      </c>
    </row>
    <row r="50" spans="1:15" x14ac:dyDescent="0.25">
      <c r="A50" s="9" t="s">
        <v>13</v>
      </c>
      <c r="B50" s="9" t="s">
        <v>14</v>
      </c>
      <c r="C50" s="22" t="s">
        <v>10</v>
      </c>
      <c r="D50" s="10">
        <v>47093</v>
      </c>
      <c r="E50" s="10">
        <v>17802</v>
      </c>
      <c r="F50" s="10">
        <v>5378</v>
      </c>
      <c r="G50" s="23"/>
      <c r="H50" s="10"/>
      <c r="I50" s="10"/>
      <c r="J50" s="11">
        <f t="shared" si="12"/>
        <v>21.234578387446117</v>
      </c>
      <c r="K50" s="11">
        <f t="shared" si="13"/>
        <v>56.173463655769019</v>
      </c>
      <c r="L50" s="11">
        <f t="shared" si="14"/>
        <v>185.94272963927111</v>
      </c>
      <c r="M50" s="11" t="str">
        <f t="shared" si="15"/>
        <v/>
      </c>
      <c r="N50" s="11" t="str">
        <f t="shared" si="16"/>
        <v/>
      </c>
      <c r="O50" s="11" t="str">
        <f t="shared" si="17"/>
        <v/>
      </c>
    </row>
    <row r="51" spans="1:15" x14ac:dyDescent="0.25">
      <c r="A51" s="9" t="s">
        <v>15</v>
      </c>
      <c r="B51" s="9" t="s">
        <v>14</v>
      </c>
      <c r="C51" s="22" t="s">
        <v>12</v>
      </c>
      <c r="D51" s="10">
        <v>10563</v>
      </c>
      <c r="E51" s="10">
        <v>8102</v>
      </c>
      <c r="F51" s="10">
        <v>4134</v>
      </c>
      <c r="G51" s="23"/>
      <c r="H51" s="10"/>
      <c r="I51" s="10"/>
      <c r="J51" s="11">
        <f t="shared" si="12"/>
        <v>94.670074789359091</v>
      </c>
      <c r="K51" s="11">
        <f t="shared" si="13"/>
        <v>123.42631449024933</v>
      </c>
      <c r="L51" s="11">
        <f t="shared" si="14"/>
        <v>241.89646831156264</v>
      </c>
      <c r="M51" s="11" t="str">
        <f t="shared" si="15"/>
        <v/>
      </c>
      <c r="N51" s="11" t="str">
        <f t="shared" si="16"/>
        <v/>
      </c>
      <c r="O51" s="11" t="str">
        <f t="shared" si="17"/>
        <v/>
      </c>
    </row>
    <row r="52" spans="1:15" x14ac:dyDescent="0.25">
      <c r="A52" s="9" t="s">
        <v>16</v>
      </c>
      <c r="B52" s="9" t="s">
        <v>17</v>
      </c>
      <c r="C52" s="22" t="s">
        <v>12</v>
      </c>
      <c r="D52" s="10">
        <v>9132</v>
      </c>
      <c r="E52" s="10">
        <v>8209</v>
      </c>
      <c r="F52" s="10">
        <v>4322</v>
      </c>
      <c r="G52" s="23"/>
      <c r="H52" s="10"/>
      <c r="I52" s="10"/>
      <c r="J52" s="11">
        <f t="shared" si="12"/>
        <v>109.50503723171266</v>
      </c>
      <c r="K52" s="11">
        <f t="shared" si="13"/>
        <v>121.81751735899623</v>
      </c>
      <c r="L52" s="11">
        <f t="shared" si="14"/>
        <v>231.37436372049979</v>
      </c>
      <c r="M52" s="11" t="str">
        <f t="shared" si="15"/>
        <v/>
      </c>
      <c r="N52" s="11" t="str">
        <f t="shared" si="16"/>
        <v/>
      </c>
      <c r="O52" s="11" t="str">
        <f t="shared" si="17"/>
        <v/>
      </c>
    </row>
    <row r="53" spans="1:15" x14ac:dyDescent="0.25">
      <c r="A53" s="9" t="s">
        <v>18</v>
      </c>
      <c r="B53" s="8" t="s">
        <v>19</v>
      </c>
      <c r="C53" s="22" t="s">
        <v>12</v>
      </c>
      <c r="D53" s="10">
        <v>8303</v>
      </c>
      <c r="E53" s="10">
        <v>7864</v>
      </c>
      <c r="F53" s="10">
        <v>4336</v>
      </c>
      <c r="G53" s="23"/>
      <c r="H53" s="10"/>
      <c r="I53" s="10"/>
      <c r="J53" s="11">
        <f t="shared" si="12"/>
        <v>120.43839576056847</v>
      </c>
      <c r="K53" s="11">
        <f t="shared" si="13"/>
        <v>127.1617497456765</v>
      </c>
      <c r="L53" s="11">
        <f t="shared" si="14"/>
        <v>230.62730627306271</v>
      </c>
      <c r="M53" s="11" t="str">
        <f t="shared" si="15"/>
        <v/>
      </c>
      <c r="N53" s="11" t="str">
        <f t="shared" si="16"/>
        <v/>
      </c>
      <c r="O53" s="11" t="str">
        <f t="shared" si="17"/>
        <v/>
      </c>
    </row>
    <row r="54" spans="1:15" x14ac:dyDescent="0.25">
      <c r="A54" s="21" t="s">
        <v>57</v>
      </c>
    </row>
    <row r="55" spans="1:15" ht="18.75" x14ac:dyDescent="0.3">
      <c r="A55" s="103" t="s">
        <v>56</v>
      </c>
      <c r="B55" s="104"/>
      <c r="C55" s="104"/>
      <c r="D55" s="104"/>
      <c r="E55" s="104"/>
      <c r="F55" s="104"/>
      <c r="G55" s="104"/>
      <c r="H55" s="104"/>
      <c r="I55" s="104"/>
      <c r="J55" s="1"/>
      <c r="K55" s="1"/>
      <c r="L55" s="1"/>
      <c r="M55" s="1"/>
      <c r="N55" s="1"/>
      <c r="O55" s="2"/>
    </row>
    <row r="56" spans="1:15" x14ac:dyDescent="0.25">
      <c r="A56" s="105" t="s">
        <v>2</v>
      </c>
      <c r="B56" s="105"/>
      <c r="C56" s="105"/>
      <c r="D56" s="106" t="s">
        <v>20</v>
      </c>
      <c r="E56" s="106"/>
      <c r="F56" s="106"/>
      <c r="G56" s="106"/>
      <c r="H56" s="106"/>
      <c r="I56" s="106"/>
      <c r="J56" s="106" t="s">
        <v>23</v>
      </c>
      <c r="K56" s="106"/>
      <c r="L56" s="106"/>
      <c r="M56" s="106"/>
      <c r="N56" s="106"/>
      <c r="O56" s="106"/>
    </row>
    <row r="57" spans="1:15" x14ac:dyDescent="0.25">
      <c r="A57" s="6" t="s">
        <v>5</v>
      </c>
      <c r="B57" s="6" t="s">
        <v>6</v>
      </c>
      <c r="C57" s="6" t="s">
        <v>7</v>
      </c>
      <c r="D57" s="7">
        <v>1</v>
      </c>
      <c r="E57" s="7">
        <v>4</v>
      </c>
      <c r="F57" s="7">
        <v>16</v>
      </c>
      <c r="G57" s="7">
        <v>32</v>
      </c>
      <c r="H57" s="7">
        <v>64</v>
      </c>
      <c r="I57" s="7">
        <v>80</v>
      </c>
      <c r="J57" s="7">
        <v>1</v>
      </c>
      <c r="K57" s="7">
        <v>4</v>
      </c>
      <c r="L57" s="7">
        <v>16</v>
      </c>
      <c r="M57" s="7">
        <v>32</v>
      </c>
      <c r="N57" s="7">
        <v>64</v>
      </c>
      <c r="O57" s="7">
        <v>80</v>
      </c>
    </row>
    <row r="58" spans="1:15" x14ac:dyDescent="0.25">
      <c r="A58" s="8" t="s">
        <v>8</v>
      </c>
      <c r="B58" s="9" t="s">
        <v>9</v>
      </c>
      <c r="C58" s="9" t="s">
        <v>10</v>
      </c>
      <c r="D58" s="12">
        <f>IF(D48="","",(D48-'2014'!D48)/'2014'!D48)</f>
        <v>-4.6441981047738244E-2</v>
      </c>
      <c r="E58" s="12">
        <f>IF(E48="","",(E48-'2014'!E48)/'2014'!E48)</f>
        <v>-1.9941404404120594E-2</v>
      </c>
      <c r="F58" s="12">
        <f>IF(F48="","",(F48-'2014'!F48)/'2014'!F48)</f>
        <v>2.0123839009287925E-3</v>
      </c>
      <c r="G58" s="12" t="str">
        <f>IF(G48="","",(G48-'2014'!G48)/'2014'!G48)</f>
        <v/>
      </c>
      <c r="H58" s="12" t="str">
        <f>IF(H48="","",(H48-'2014'!H48)/'2014'!H48)</f>
        <v/>
      </c>
      <c r="I58" s="12" t="str">
        <f>IF(I48="","",(I48-'2014'!I48)/'2014'!I48)</f>
        <v/>
      </c>
      <c r="J58" s="11">
        <f>J48 - '2014'!J48</f>
        <v>1.0885009386335298</v>
      </c>
      <c r="K58" s="11">
        <f>K48 - '2014'!K48</f>
        <v>0.96149490858826425</v>
      </c>
      <c r="L58" s="11">
        <f>L48 - '2014'!L48</f>
        <v>-0.31088890791423296</v>
      </c>
      <c r="M58" s="11" t="str">
        <f>IF(G58="","",M48-((1/'Proto 2013'!G79)*1000000))</f>
        <v/>
      </c>
      <c r="N58" s="11" t="str">
        <f>IF(H58="","",N48-((1/'Proto 2013'!H79)*1000000))</f>
        <v/>
      </c>
      <c r="O58" s="11" t="str">
        <f>IF(I58="","",O48-((1/'Proto 2013'!I79)*1000000))</f>
        <v/>
      </c>
    </row>
    <row r="59" spans="1:15" x14ac:dyDescent="0.25">
      <c r="A59" s="8" t="s">
        <v>11</v>
      </c>
      <c r="B59" s="9" t="s">
        <v>9</v>
      </c>
      <c r="C59" s="9" t="s">
        <v>12</v>
      </c>
      <c r="D59" s="12">
        <f>IF(D49="","",(D49-'2014'!D49)/'2014'!D49)</f>
        <v>7.8408873589596487E-2</v>
      </c>
      <c r="E59" s="12">
        <f>IF(E49="","",(E49-'2014'!E49)/'2014'!E49)</f>
        <v>2.9492537313432834E-2</v>
      </c>
      <c r="F59" s="12">
        <f>IF(F49="","",(F49-'2014'!F49)/'2014'!F49)</f>
        <v>3.2964499769479023E-2</v>
      </c>
      <c r="G59" s="12" t="str">
        <f>IF(G49="","",(G49-'2014'!G49)/'2014'!G49)</f>
        <v/>
      </c>
      <c r="H59" s="12" t="str">
        <f>IF(H49="","",(H49-'2014'!H49)/'2014'!H49)</f>
        <v/>
      </c>
      <c r="I59" s="12" t="str">
        <f>IF(I49="","",(I49-'2014'!I49)/'2014'!I49)</f>
        <v/>
      </c>
      <c r="J59" s="11">
        <f>J49 - '2014'!J49</f>
        <v>-6.9523739660929635</v>
      </c>
      <c r="K59" s="11">
        <f>K49 - '2014'!K49</f>
        <v>-3.4206143949701726</v>
      </c>
      <c r="L59" s="11">
        <f>L49 - '2014'!L49</f>
        <v>-7.3565051929210199</v>
      </c>
      <c r="M59" s="11" t="str">
        <f>IF(G59="","",M49-((1/'Proto 2013'!G80)*1000000))</f>
        <v/>
      </c>
      <c r="N59" s="11" t="str">
        <f>IF(H59="","",N49-((1/'Proto 2013'!H80)*1000000))</f>
        <v/>
      </c>
      <c r="O59" s="11" t="str">
        <f>IF(I59="","",O49-((1/'Proto 2013'!I80)*1000000))</f>
        <v/>
      </c>
    </row>
    <row r="60" spans="1:15" x14ac:dyDescent="0.25">
      <c r="A60" s="9" t="s">
        <v>13</v>
      </c>
      <c r="B60" s="9" t="s">
        <v>14</v>
      </c>
      <c r="C60" s="9" t="s">
        <v>10</v>
      </c>
      <c r="D60" s="12">
        <f>IF(D50="","",(D50-'2014'!D50)/'2014'!D50)</f>
        <v>0.1786214836319952</v>
      </c>
      <c r="E60" s="12">
        <f>IF(E50="","",(E50-'2014'!E50)/'2014'!E50)</f>
        <v>3.343782654127482E-2</v>
      </c>
      <c r="F60" s="12">
        <f>IF(F50="","",(F50-'2014'!F50)/'2014'!F50)</f>
        <v>-4.2378917378917379E-2</v>
      </c>
      <c r="G60" s="12" t="str">
        <f>IF(G50="","",(G50-'2014'!G50)/'2014'!G50)</f>
        <v/>
      </c>
      <c r="H60" s="12" t="str">
        <f>IF(H50="","",(H50-'2014'!H50)/'2014'!H50)</f>
        <v/>
      </c>
      <c r="I60" s="12" t="str">
        <f>IF(I50="","",(I50-'2014'!I50)/'2014'!I50)</f>
        <v/>
      </c>
      <c r="J60" s="11">
        <f>J50 - '2014'!J50</f>
        <v>-3.7929518958655244</v>
      </c>
      <c r="K60" s="11">
        <f>K50 - '2014'!K50</f>
        <v>-1.8783185339442028</v>
      </c>
      <c r="L60" s="11">
        <f>L50 - '2014'!L50</f>
        <v>7.880051576593047</v>
      </c>
      <c r="M60" s="11" t="str">
        <f>IF(G60="","",M50-((1/'Proto 2013'!G81)*1000000))</f>
        <v/>
      </c>
      <c r="N60" s="11" t="str">
        <f>IF(H60="","",N50-((1/'Proto 2013'!H81)*1000000))</f>
        <v/>
      </c>
      <c r="O60" s="11" t="str">
        <f>IF(I60="","",O50-((1/'Proto 2013'!I81)*1000000))</f>
        <v/>
      </c>
    </row>
    <row r="61" spans="1:15" x14ac:dyDescent="0.25">
      <c r="A61" s="9" t="s">
        <v>15</v>
      </c>
      <c r="B61" s="9" t="s">
        <v>14</v>
      </c>
      <c r="C61" s="9" t="s">
        <v>12</v>
      </c>
      <c r="D61" s="12">
        <f>IF(D51="","",(D51-'2014'!D51)/'2014'!D51)</f>
        <v>2.762914680416383E-2</v>
      </c>
      <c r="E61" s="12">
        <f>IF(E51="","",(E51-'2014'!E51)/'2014'!E51)</f>
        <v>8.4895554365291906E-2</v>
      </c>
      <c r="F61" s="12">
        <f>IF(F51="","",(F51-'2014'!F51)/'2014'!F51)</f>
        <v>3.7911122269645998E-2</v>
      </c>
      <c r="G61" s="12" t="str">
        <f>IF(G51="","",(G51-'2014'!G51)/'2014'!G51)</f>
        <v/>
      </c>
      <c r="H61" s="12" t="str">
        <f>IF(H51="","",(H51-'2014'!H51)/'2014'!H51)</f>
        <v/>
      </c>
      <c r="I61" s="12" t="str">
        <f>IF(I51="","",(I51-'2014'!I51)/'2014'!I51)</f>
        <v/>
      </c>
      <c r="J61" s="11">
        <f>J51 - '2014'!J51</f>
        <v>-2.615653394316368</v>
      </c>
      <c r="K61" s="11">
        <f>K51 - '2014'!K51</f>
        <v>-10.478345391914559</v>
      </c>
      <c r="L61" s="11">
        <f>L51 - '2014'!L51</f>
        <v>-9.1705665867552</v>
      </c>
      <c r="M61" s="11" t="str">
        <f>IF(G61="","",M51-((1/'Proto 2013'!G82)*1000000))</f>
        <v/>
      </c>
      <c r="N61" s="11" t="str">
        <f>IF(H61="","",N51-((1/'Proto 2013'!H82)*1000000))</f>
        <v/>
      </c>
      <c r="O61" s="11" t="str">
        <f>IF(I61="","",O51-((1/'Proto 2013'!I82)*1000000))</f>
        <v/>
      </c>
    </row>
    <row r="62" spans="1:15" x14ac:dyDescent="0.25">
      <c r="A62" s="9" t="s">
        <v>16</v>
      </c>
      <c r="B62" s="9" t="s">
        <v>17</v>
      </c>
      <c r="C62" s="9" t="s">
        <v>12</v>
      </c>
      <c r="D62" s="12">
        <f>IF(D52="","",(D52-'2014'!D52)/'2014'!D52)</f>
        <v>1.0618649808083089</v>
      </c>
      <c r="E62" s="12">
        <f>IF(E52="","",(E52-'2014'!E52)/'2014'!E52)</f>
        <v>6.6796621182586099E-2</v>
      </c>
      <c r="F62" s="12">
        <f>IF(F52="","",(F52-'2014'!F52)/'2014'!F52)</f>
        <v>4.3709248973677853E-2</v>
      </c>
      <c r="G62" s="12" t="str">
        <f>IF(G52="","",(G52-'2014'!G52)/'2014'!G52)</f>
        <v/>
      </c>
      <c r="H62" s="12" t="str">
        <f>IF(H52="","",(H52-'2014'!H52)/'2014'!H52)</f>
        <v/>
      </c>
      <c r="I62" s="12" t="str">
        <f>IF(I52="","",(I52-'2014'!I52)/'2014'!I52)</f>
        <v/>
      </c>
      <c r="J62" s="11">
        <f>J52 - '2014'!J52</f>
        <v>-116.27956425846571</v>
      </c>
      <c r="K62" s="11">
        <f>K52 - '2014'!K52</f>
        <v>-8.1369985604319623</v>
      </c>
      <c r="L62" s="11">
        <f>L52 - '2014'!L52</f>
        <v>-10.11319966998559</v>
      </c>
      <c r="M62" s="11" t="str">
        <f>IF(G62="","",M52-((1/'Proto 2013'!G83)*1000000))</f>
        <v/>
      </c>
      <c r="N62" s="11" t="str">
        <f>IF(H62="","",N52-((1/'Proto 2013'!H83)*1000000))</f>
        <v/>
      </c>
      <c r="O62" s="11" t="str">
        <f>IF(I62="","",O52-((1/'Proto 2013'!I83)*1000000))</f>
        <v/>
      </c>
    </row>
    <row r="63" spans="1:15" x14ac:dyDescent="0.25">
      <c r="A63" s="9" t="s">
        <v>18</v>
      </c>
      <c r="B63" s="8" t="s">
        <v>19</v>
      </c>
      <c r="C63" s="9" t="s">
        <v>12</v>
      </c>
      <c r="D63" s="12">
        <f>IF(D53="","",(D53-'2014'!D53)/'2014'!D53)</f>
        <v>0.89436459046315309</v>
      </c>
      <c r="E63" s="12">
        <f>IF(E53="","",(E53-'2014'!E53)/'2014'!E53)</f>
        <v>0.53593749999999996</v>
      </c>
      <c r="F63" s="12">
        <f>IF(F53="","",(F53-'2014'!F53)/'2014'!F53)</f>
        <v>6.2224399804017637E-2</v>
      </c>
      <c r="G63" s="12" t="str">
        <f>IF(G53="","",(G53-'2014'!G53)/'2014'!G53)</f>
        <v/>
      </c>
      <c r="H63" s="12" t="str">
        <f>IF(H53="","",(H53-'2014'!H53)/'2014'!H53)</f>
        <v/>
      </c>
      <c r="I63" s="12" t="str">
        <f>IF(I53="","",(I53-'2014'!I53)/'2014'!I53)</f>
        <v/>
      </c>
      <c r="J63" s="11">
        <f>J53 - '2014'!J53</f>
        <v>-107.71583650043998</v>
      </c>
      <c r="K63" s="11">
        <f>K53 - '2014'!K53</f>
        <v>-68.150750254323498</v>
      </c>
      <c r="L63" s="11">
        <f>L53 - '2014'!L53</f>
        <v>-14.350645711258693</v>
      </c>
      <c r="M63" s="11" t="str">
        <f>IF(G63="","",M53-((1/'Proto 2013'!G84)*1000000))</f>
        <v/>
      </c>
      <c r="N63" s="11" t="str">
        <f>IF(H63="","",N53-((1/'Proto 2013'!H84)*1000000))</f>
        <v/>
      </c>
      <c r="O63" s="11" t="str">
        <f>IF(I63="","",O53-((1/'Proto 2013'!I84)*1000000))</f>
        <v/>
      </c>
    </row>
    <row r="65" spans="1:15" ht="18.75" x14ac:dyDescent="0.25">
      <c r="A65" s="107" t="s">
        <v>51</v>
      </c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25"/>
    </row>
    <row r="66" spans="1:15" ht="15.75" x14ac:dyDescent="0.25">
      <c r="A66" s="109" t="s">
        <v>59</v>
      </c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26"/>
    </row>
    <row r="67" spans="1:15" x14ac:dyDescent="0.25">
      <c r="A67" s="105" t="s">
        <v>2</v>
      </c>
      <c r="B67" s="105"/>
      <c r="C67" s="105"/>
      <c r="D67" s="106" t="s">
        <v>3</v>
      </c>
      <c r="E67" s="106"/>
      <c r="F67" s="106"/>
      <c r="G67" s="106"/>
      <c r="H67" s="106"/>
      <c r="I67" s="106"/>
      <c r="J67" s="106" t="s">
        <v>4</v>
      </c>
      <c r="K67" s="106"/>
      <c r="L67" s="106"/>
      <c r="M67" s="106"/>
      <c r="N67" s="106"/>
      <c r="O67" s="106"/>
    </row>
    <row r="68" spans="1:15" x14ac:dyDescent="0.25">
      <c r="A68" s="6" t="s">
        <v>5</v>
      </c>
      <c r="B68" s="6" t="s">
        <v>6</v>
      </c>
      <c r="C68" s="6" t="s">
        <v>7</v>
      </c>
      <c r="D68" s="24">
        <v>1</v>
      </c>
      <c r="E68" s="24">
        <v>4</v>
      </c>
      <c r="F68" s="24">
        <v>16</v>
      </c>
      <c r="G68" s="7">
        <v>32</v>
      </c>
      <c r="H68" s="7">
        <v>64</v>
      </c>
      <c r="I68" s="7">
        <v>80</v>
      </c>
      <c r="J68" s="7">
        <v>1</v>
      </c>
      <c r="K68" s="7">
        <v>4</v>
      </c>
      <c r="L68" s="7">
        <v>16</v>
      </c>
      <c r="M68" s="7">
        <v>32</v>
      </c>
      <c r="N68" s="7">
        <v>64</v>
      </c>
      <c r="O68" s="7">
        <v>80</v>
      </c>
    </row>
    <row r="69" spans="1:15" x14ac:dyDescent="0.25">
      <c r="A69" s="8" t="s">
        <v>8</v>
      </c>
      <c r="B69" s="9" t="s">
        <v>9</v>
      </c>
      <c r="C69" s="22" t="s">
        <v>10</v>
      </c>
      <c r="D69" s="10">
        <v>46353</v>
      </c>
      <c r="E69" s="10">
        <v>22606</v>
      </c>
      <c r="F69" s="10">
        <v>6003</v>
      </c>
      <c r="G69" s="23"/>
      <c r="H69" s="10"/>
      <c r="I69" s="10"/>
      <c r="J69" s="11">
        <f>IF(D69="","",(1/D69)*1000000)</f>
        <v>21.573576683278322</v>
      </c>
      <c r="K69" s="11">
        <f t="shared" ref="K69:K74" si="18">IF(E69="","",(1/E69)*1000000)</f>
        <v>44.236043528266833</v>
      </c>
      <c r="L69" s="11">
        <f t="shared" ref="L69:L74" si="19">IF(F69="","",(1/F69)*1000000)</f>
        <v>166.58337497917708</v>
      </c>
      <c r="M69" s="11" t="str">
        <f t="shared" ref="M69:M74" si="20">IF(G69="","",(1/G69)*1000000)</f>
        <v/>
      </c>
      <c r="N69" s="11" t="str">
        <f t="shared" ref="N69:N74" si="21">IF(H69="","",(1/H69)*1000000)</f>
        <v/>
      </c>
      <c r="O69" s="11" t="str">
        <f t="shared" ref="O69:O74" si="22">IF(I69="","",(1/I69)*1000000)</f>
        <v/>
      </c>
    </row>
    <row r="70" spans="1:15" x14ac:dyDescent="0.25">
      <c r="A70" s="8" t="s">
        <v>11</v>
      </c>
      <c r="B70" s="9" t="s">
        <v>9</v>
      </c>
      <c r="C70" s="22" t="s">
        <v>12</v>
      </c>
      <c r="D70" s="10">
        <v>10996</v>
      </c>
      <c r="E70" s="10">
        <v>8585</v>
      </c>
      <c r="F70" s="10">
        <v>4436</v>
      </c>
      <c r="G70" s="23"/>
      <c r="H70" s="10"/>
      <c r="I70" s="10"/>
      <c r="J70" s="11">
        <f t="shared" ref="J70:J74" si="23">IF(D70="","",(1/D70)*1000000)</f>
        <v>90.942160785740271</v>
      </c>
      <c r="K70" s="11">
        <f t="shared" si="18"/>
        <v>116.48223645894001</v>
      </c>
      <c r="L70" s="11">
        <f t="shared" si="19"/>
        <v>225.42831379621279</v>
      </c>
      <c r="M70" s="11" t="str">
        <f t="shared" si="20"/>
        <v/>
      </c>
      <c r="N70" s="11" t="str">
        <f t="shared" si="21"/>
        <v/>
      </c>
      <c r="O70" s="11" t="str">
        <f t="shared" si="22"/>
        <v/>
      </c>
    </row>
    <row r="71" spans="1:15" x14ac:dyDescent="0.25">
      <c r="A71" s="9" t="s">
        <v>13</v>
      </c>
      <c r="B71" s="9" t="s">
        <v>14</v>
      </c>
      <c r="C71" s="22" t="s">
        <v>10</v>
      </c>
      <c r="D71" s="10">
        <v>44938</v>
      </c>
      <c r="E71" s="10">
        <v>17659</v>
      </c>
      <c r="F71" s="10">
        <v>5776</v>
      </c>
      <c r="G71" s="23"/>
      <c r="H71" s="10"/>
      <c r="I71" s="10"/>
      <c r="J71" s="11">
        <f t="shared" si="23"/>
        <v>22.25288174818639</v>
      </c>
      <c r="K71" s="11">
        <f t="shared" si="18"/>
        <v>56.628348151084431</v>
      </c>
      <c r="L71" s="11">
        <f t="shared" si="19"/>
        <v>173.13019390581718</v>
      </c>
      <c r="M71" s="11" t="str">
        <f t="shared" si="20"/>
        <v/>
      </c>
      <c r="N71" s="11" t="str">
        <f t="shared" si="21"/>
        <v/>
      </c>
      <c r="O71" s="11" t="str">
        <f t="shared" si="22"/>
        <v/>
      </c>
    </row>
    <row r="72" spans="1:15" x14ac:dyDescent="0.25">
      <c r="A72" s="9" t="s">
        <v>15</v>
      </c>
      <c r="B72" s="9" t="s">
        <v>14</v>
      </c>
      <c r="C72" s="22" t="s">
        <v>12</v>
      </c>
      <c r="D72" s="10">
        <v>10766</v>
      </c>
      <c r="E72" s="10">
        <v>7373</v>
      </c>
      <c r="F72" s="10">
        <v>4158</v>
      </c>
      <c r="G72" s="23"/>
      <c r="H72" s="10"/>
      <c r="I72" s="10"/>
      <c r="J72" s="11">
        <f t="shared" si="23"/>
        <v>92.885008359650755</v>
      </c>
      <c r="K72" s="11">
        <f t="shared" si="18"/>
        <v>135.6300013563</v>
      </c>
      <c r="L72" s="11">
        <f t="shared" si="19"/>
        <v>240.50024050024052</v>
      </c>
      <c r="M72" s="11" t="str">
        <f t="shared" si="20"/>
        <v/>
      </c>
      <c r="N72" s="11" t="str">
        <f t="shared" si="21"/>
        <v/>
      </c>
      <c r="O72" s="11" t="str">
        <f t="shared" si="22"/>
        <v/>
      </c>
    </row>
    <row r="73" spans="1:15" x14ac:dyDescent="0.25">
      <c r="A73" s="9" t="s">
        <v>16</v>
      </c>
      <c r="B73" s="9" t="s">
        <v>17</v>
      </c>
      <c r="C73" s="22" t="s">
        <v>12</v>
      </c>
      <c r="D73" s="10">
        <v>9178</v>
      </c>
      <c r="E73" s="10">
        <v>8359</v>
      </c>
      <c r="F73" s="10">
        <v>4327</v>
      </c>
      <c r="G73" s="23"/>
      <c r="H73" s="10"/>
      <c r="I73" s="10"/>
      <c r="J73" s="11">
        <f t="shared" si="23"/>
        <v>108.95619960775768</v>
      </c>
      <c r="K73" s="11">
        <f t="shared" si="18"/>
        <v>119.63153487259243</v>
      </c>
      <c r="L73" s="11">
        <f t="shared" si="19"/>
        <v>231.10700254217704</v>
      </c>
      <c r="M73" s="11" t="str">
        <f t="shared" si="20"/>
        <v/>
      </c>
      <c r="N73" s="11" t="str">
        <f t="shared" si="21"/>
        <v/>
      </c>
      <c r="O73" s="11" t="str">
        <f t="shared" si="22"/>
        <v/>
      </c>
    </row>
    <row r="74" spans="1:15" x14ac:dyDescent="0.25">
      <c r="A74" s="9" t="s">
        <v>18</v>
      </c>
      <c r="B74" s="8" t="s">
        <v>19</v>
      </c>
      <c r="C74" s="26" t="s">
        <v>12</v>
      </c>
      <c r="D74" s="10">
        <v>8847</v>
      </c>
      <c r="E74" s="10">
        <v>6343</v>
      </c>
      <c r="F74" s="10">
        <v>4121</v>
      </c>
      <c r="G74" s="23"/>
      <c r="H74" s="10"/>
      <c r="I74" s="10"/>
      <c r="J74" s="11">
        <f t="shared" si="23"/>
        <v>113.03266644060133</v>
      </c>
      <c r="K74" s="11">
        <f t="shared" si="18"/>
        <v>157.65410688948447</v>
      </c>
      <c r="L74" s="11">
        <f t="shared" si="19"/>
        <v>242.65954865323951</v>
      </c>
      <c r="M74" s="11" t="str">
        <f t="shared" si="20"/>
        <v/>
      </c>
      <c r="N74" s="11" t="str">
        <f t="shared" si="21"/>
        <v/>
      </c>
      <c r="O74" s="11" t="str">
        <f t="shared" si="22"/>
        <v/>
      </c>
    </row>
    <row r="75" spans="1:15" x14ac:dyDescent="0.25">
      <c r="A75" s="130" t="s">
        <v>60</v>
      </c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</row>
    <row r="76" spans="1:15" ht="18.75" x14ac:dyDescent="0.3">
      <c r="A76" s="103" t="s">
        <v>56</v>
      </c>
      <c r="B76" s="104"/>
      <c r="C76" s="104"/>
      <c r="D76" s="104"/>
      <c r="E76" s="104"/>
      <c r="F76" s="104"/>
      <c r="G76" s="104"/>
      <c r="H76" s="104"/>
      <c r="I76" s="104"/>
      <c r="J76" s="1"/>
      <c r="K76" s="1"/>
      <c r="L76" s="1"/>
      <c r="M76" s="1"/>
      <c r="N76" s="1"/>
      <c r="O76" s="2"/>
    </row>
    <row r="77" spans="1:15" x14ac:dyDescent="0.25">
      <c r="A77" s="105" t="s">
        <v>2</v>
      </c>
      <c r="B77" s="105"/>
      <c r="C77" s="105"/>
      <c r="D77" s="106" t="s">
        <v>20</v>
      </c>
      <c r="E77" s="106"/>
      <c r="F77" s="106"/>
      <c r="G77" s="106"/>
      <c r="H77" s="106"/>
      <c r="I77" s="106"/>
      <c r="J77" s="106" t="s">
        <v>23</v>
      </c>
      <c r="K77" s="106"/>
      <c r="L77" s="106"/>
      <c r="M77" s="106"/>
      <c r="N77" s="106"/>
      <c r="O77" s="106"/>
    </row>
    <row r="78" spans="1:15" x14ac:dyDescent="0.25">
      <c r="A78" s="6" t="s">
        <v>5</v>
      </c>
      <c r="B78" s="6" t="s">
        <v>6</v>
      </c>
      <c r="C78" s="6" t="s">
        <v>7</v>
      </c>
      <c r="D78" s="7">
        <v>1</v>
      </c>
      <c r="E78" s="7">
        <v>4</v>
      </c>
      <c r="F78" s="7">
        <v>16</v>
      </c>
      <c r="G78" s="7">
        <v>32</v>
      </c>
      <c r="H78" s="7">
        <v>64</v>
      </c>
      <c r="I78" s="7">
        <v>80</v>
      </c>
      <c r="J78" s="7">
        <v>1</v>
      </c>
      <c r="K78" s="7">
        <v>4</v>
      </c>
      <c r="L78" s="7">
        <v>16</v>
      </c>
      <c r="M78" s="7">
        <v>32</v>
      </c>
      <c r="N78" s="7">
        <v>64</v>
      </c>
      <c r="O78" s="7">
        <v>80</v>
      </c>
    </row>
    <row r="79" spans="1:15" x14ac:dyDescent="0.25">
      <c r="A79" s="8" t="s">
        <v>8</v>
      </c>
      <c r="B79" s="9" t="s">
        <v>9</v>
      </c>
      <c r="C79" s="9" t="s">
        <v>10</v>
      </c>
      <c r="D79" s="12">
        <f>IF(D69="","",(D69-'2014'!D48)/'2014'!D48)</f>
        <v>3.5960128732343999E-2</v>
      </c>
      <c r="E79" s="12">
        <f>IF(E69="","",(E69-'2014'!E48)/'2014'!E48)</f>
        <v>6.8235516491824966E-2</v>
      </c>
      <c r="F79" s="12">
        <f>IF(F69="","",(F69-'2014'!F48)/'2014'!F48)</f>
        <v>-7.0743034055727558E-2</v>
      </c>
      <c r="G79" s="12" t="str">
        <f>IF(G69="","",(G69-'2014'!G69)/'2014'!G69)</f>
        <v/>
      </c>
      <c r="H79" s="12" t="str">
        <f>IF(H69="","",(H69-'2014'!H69)/'2014'!H69)</f>
        <v/>
      </c>
      <c r="I79" s="12" t="str">
        <f>IF(I69="","",(I69-'2014'!I69)/'2014'!I69)</f>
        <v/>
      </c>
      <c r="J79" s="11">
        <f>J69 - '2014'!J69</f>
        <v>21.573576683278322</v>
      </c>
      <c r="K79" s="11">
        <f>K69 - '2014'!K69</f>
        <v>44.236043528266833</v>
      </c>
      <c r="L79" s="11">
        <f>L69 - '2014'!L69</f>
        <v>166.58337497917708</v>
      </c>
      <c r="M79" s="11" t="str">
        <f>IF(G79="","",M69-((1/'Proto 2013'!G100)*1000000))</f>
        <v/>
      </c>
      <c r="N79" s="11" t="str">
        <f>IF(H79="","",N69-((1/'Proto 2013'!H100)*1000000))</f>
        <v/>
      </c>
      <c r="O79" s="11" t="str">
        <f>IF(I79="","",O69-((1/'Proto 2013'!I100)*1000000))</f>
        <v/>
      </c>
    </row>
    <row r="80" spans="1:15" x14ac:dyDescent="0.25">
      <c r="A80" s="8" t="s">
        <v>11</v>
      </c>
      <c r="B80" s="9" t="s">
        <v>9</v>
      </c>
      <c r="C80" s="9" t="s">
        <v>12</v>
      </c>
      <c r="D80" s="12">
        <f>IF(D70="","",(D70-'2014'!D49)/'2014'!D49)</f>
        <v>5.1443870720979154E-2</v>
      </c>
      <c r="E80" s="12">
        <f>IF(E70="","",(E70-'2014'!E49)/'2014'!E49)</f>
        <v>2.5074626865671641E-2</v>
      </c>
      <c r="F80" s="12">
        <f>IF(F70="","",(F70-'2014'!F49)/'2014'!F49)</f>
        <v>2.2591055786076533E-2</v>
      </c>
      <c r="G80" s="12" t="str">
        <f>IF(G70="","",(G70-'2014'!G70)/'2014'!G70)</f>
        <v/>
      </c>
      <c r="H80" s="12" t="str">
        <f>IF(H70="","",(H70-'2014'!H70)/'2014'!H70)</f>
        <v/>
      </c>
      <c r="I80" s="12" t="str">
        <f>IF(I70="","",(I70-'2014'!I70)/'2014'!I70)</f>
        <v/>
      </c>
      <c r="J80" s="11">
        <f>J70 - '2014'!J70</f>
        <v>90.942160785740271</v>
      </c>
      <c r="K80" s="11">
        <f>K70 - '2014'!K70</f>
        <v>116.48223645894001</v>
      </c>
      <c r="L80" s="11">
        <f>L70 - '2014'!L70</f>
        <v>225.42831379621279</v>
      </c>
      <c r="M80" s="11" t="str">
        <f>IF(G80="","",M70-((1/'Proto 2013'!G101)*1000000))</f>
        <v/>
      </c>
      <c r="N80" s="11" t="str">
        <f>IF(H80="","",N70-((1/'Proto 2013'!H101)*1000000))</f>
        <v/>
      </c>
      <c r="O80" s="11" t="str">
        <f>IF(I80="","",O70-((1/'Proto 2013'!I101)*1000000))</f>
        <v/>
      </c>
    </row>
    <row r="81" spans="1:15" x14ac:dyDescent="0.25">
      <c r="A81" s="9" t="s">
        <v>13</v>
      </c>
      <c r="B81" s="9" t="s">
        <v>14</v>
      </c>
      <c r="C81" s="9" t="s">
        <v>10</v>
      </c>
      <c r="D81" s="12">
        <f>IF(D71="","",(D71-'2014'!D50)/'2014'!D50)</f>
        <v>0.12468715587145861</v>
      </c>
      <c r="E81" s="12">
        <f>IF(E71="","",(E71-'2014'!E50)/'2014'!E50)</f>
        <v>2.5136421688145828E-2</v>
      </c>
      <c r="F81" s="12">
        <f>IF(F71="","",(F71-'2014'!F50)/'2014'!F50)</f>
        <v>2.8490028490028491E-2</v>
      </c>
      <c r="G81" s="12" t="str">
        <f>IF(G71="","",(G71-'2014'!G71)/'2014'!G71)</f>
        <v/>
      </c>
      <c r="H81" s="12" t="str">
        <f>IF(H71="","",(H71-'2014'!H71)/'2014'!H71)</f>
        <v/>
      </c>
      <c r="I81" s="12" t="str">
        <f>IF(I71="","",(I71-'2014'!I71)/'2014'!I71)</f>
        <v/>
      </c>
      <c r="J81" s="11">
        <f>J71 - '2014'!J71</f>
        <v>22.25288174818639</v>
      </c>
      <c r="K81" s="11">
        <f>K71 - '2014'!K71</f>
        <v>56.628348151084431</v>
      </c>
      <c r="L81" s="11">
        <f>L71 - '2014'!L71</f>
        <v>173.13019390581718</v>
      </c>
      <c r="M81" s="11" t="str">
        <f>IF(G81="","",M71-((1/'Proto 2013'!G102)*1000000))</f>
        <v/>
      </c>
      <c r="N81" s="11" t="str">
        <f>IF(H81="","",N71-((1/'Proto 2013'!H102)*1000000))</f>
        <v/>
      </c>
      <c r="O81" s="11" t="str">
        <f>IF(I81="","",O71-((1/'Proto 2013'!I102)*1000000))</f>
        <v/>
      </c>
    </row>
    <row r="82" spans="1:15" x14ac:dyDescent="0.25">
      <c r="A82" s="9" t="s">
        <v>15</v>
      </c>
      <c r="B82" s="9" t="s">
        <v>14</v>
      </c>
      <c r="C82" s="9" t="s">
        <v>12</v>
      </c>
      <c r="D82" s="12">
        <f>IF(D72="","",(D72-'2014'!D51)/'2014'!D51)</f>
        <v>4.7378149625449943E-2</v>
      </c>
      <c r="E82" s="12">
        <f>IF(E72="","",(E72-'2014'!E51)/'2014'!E51)</f>
        <v>-1.2720942688805571E-2</v>
      </c>
      <c r="F82" s="12">
        <f>IF(F72="","",(F72-'2014'!F51)/'2014'!F51)</f>
        <v>4.3936731107205626E-2</v>
      </c>
      <c r="G82" s="12" t="str">
        <f>IF(G72="","",(G72-'2014'!G72)/'2014'!G72)</f>
        <v/>
      </c>
      <c r="H82" s="12" t="str">
        <f>IF(H72="","",(H72-'2014'!H72)/'2014'!H72)</f>
        <v/>
      </c>
      <c r="I82" s="12" t="str">
        <f>IF(I72="","",(I72-'2014'!I72)/'2014'!I72)</f>
        <v/>
      </c>
      <c r="J82" s="11">
        <f>J72 - '2014'!J72</f>
        <v>92.885008359650755</v>
      </c>
      <c r="K82" s="11">
        <f>K72 - '2014'!K72</f>
        <v>135.6300013563</v>
      </c>
      <c r="L82" s="11">
        <f>L72 - '2014'!L72</f>
        <v>240.50024050024052</v>
      </c>
      <c r="M82" s="11" t="str">
        <f>IF(G82="","",M72-((1/'Proto 2013'!G103)*1000000))</f>
        <v/>
      </c>
      <c r="N82" s="11" t="str">
        <f>IF(H82="","",N72-((1/'Proto 2013'!H103)*1000000))</f>
        <v/>
      </c>
      <c r="O82" s="11" t="str">
        <f>IF(I82="","",O72-((1/'Proto 2013'!I103)*1000000))</f>
        <v/>
      </c>
    </row>
    <row r="83" spans="1:15" x14ac:dyDescent="0.25">
      <c r="A83" s="9" t="s">
        <v>16</v>
      </c>
      <c r="B83" s="9" t="s">
        <v>17</v>
      </c>
      <c r="C83" s="9" t="s">
        <v>12</v>
      </c>
      <c r="D83" s="12">
        <f>IF(D73="","",(D73-'2014'!D52)/'2014'!D52)</f>
        <v>1.072251072476857</v>
      </c>
      <c r="E83" s="12">
        <f>IF(E73="","",(E73-'2014'!E52)/'2014'!E52)</f>
        <v>8.6289798570500328E-2</v>
      </c>
      <c r="F83" s="12">
        <f>IF(F73="","",(F73-'2014'!F52)/'2014'!F52)</f>
        <v>4.4916686790630281E-2</v>
      </c>
      <c r="G83" s="12" t="str">
        <f>IF(G73="","",(G73-'2014'!G73)/'2014'!G73)</f>
        <v/>
      </c>
      <c r="H83" s="12" t="str">
        <f>IF(H73="","",(H73-'2014'!H73)/'2014'!H73)</f>
        <v/>
      </c>
      <c r="I83" s="12" t="str">
        <f>IF(I73="","",(I73-'2014'!I73)/'2014'!I73)</f>
        <v/>
      </c>
      <c r="J83" s="11">
        <f>J73 - '2014'!J73</f>
        <v>108.95619960775768</v>
      </c>
      <c r="K83" s="11">
        <f>K73 - '2014'!K73</f>
        <v>119.63153487259243</v>
      </c>
      <c r="L83" s="11">
        <f>L73 - '2014'!L73</f>
        <v>231.10700254217704</v>
      </c>
      <c r="M83" s="11" t="str">
        <f>IF(G83="","",M73-((1/'Proto 2013'!G104)*1000000))</f>
        <v/>
      </c>
      <c r="N83" s="11" t="str">
        <f>IF(H83="","",N73-((1/'Proto 2013'!H104)*1000000))</f>
        <v/>
      </c>
      <c r="O83" s="11" t="str">
        <f>IF(I83="","",O73-((1/'Proto 2013'!I104)*1000000))</f>
        <v/>
      </c>
    </row>
    <row r="84" spans="1:15" x14ac:dyDescent="0.25">
      <c r="A84" s="9" t="s">
        <v>18</v>
      </c>
      <c r="B84" s="8" t="s">
        <v>19</v>
      </c>
      <c r="C84" s="9" t="s">
        <v>12</v>
      </c>
      <c r="D84" s="12">
        <f>IF(D74="","",(D74-'2014'!D53)/'2014'!D53)</f>
        <v>1.0184804928131417</v>
      </c>
      <c r="E84" s="12">
        <f>IF(E74="","",(E74-'2014'!E53)/'2014'!E53)</f>
        <v>0.23886718749999999</v>
      </c>
      <c r="F84" s="12">
        <f>IF(F74="","",(F74-'2014'!F53)/'2014'!F53)</f>
        <v>9.5541401273885346E-3</v>
      </c>
      <c r="G84" s="12" t="str">
        <f>IF(G74="","",(G74-'2014'!G74)/'2014'!G74)</f>
        <v/>
      </c>
      <c r="H84" s="12" t="str">
        <f>IF(H74="","",(H74-'2014'!H74)/'2014'!H74)</f>
        <v/>
      </c>
      <c r="I84" s="12" t="str">
        <f>IF(I74="","",(I74-'2014'!I74)/'2014'!I74)</f>
        <v/>
      </c>
      <c r="J84" s="11">
        <f>J74 - '2014'!J74</f>
        <v>113.03266644060133</v>
      </c>
      <c r="K84" s="11">
        <f>K74 - '2014'!K74</f>
        <v>157.65410688948447</v>
      </c>
      <c r="L84" s="11">
        <f>L74 - '2014'!L74</f>
        <v>242.65954865323951</v>
      </c>
      <c r="M84" s="11" t="str">
        <f>IF(G84="","",M74-((1/'Proto 2013'!G105)*1000000))</f>
        <v/>
      </c>
      <c r="N84" s="11" t="str">
        <f>IF(H84="","",N74-((1/'Proto 2013'!H105)*1000000))</f>
        <v/>
      </c>
      <c r="O84" s="11" t="str">
        <f>IF(I84="","",O74-((1/'Proto 2013'!I105)*1000000))</f>
        <v/>
      </c>
    </row>
    <row r="85" spans="1:15" x14ac:dyDescent="0.25">
      <c r="A85" s="27" t="s">
        <v>63</v>
      </c>
    </row>
    <row r="86" spans="1:15" x14ac:dyDescent="0.25">
      <c r="A86" s="27"/>
    </row>
    <row r="88" spans="1:15" ht="18.75" x14ac:dyDescent="0.25">
      <c r="A88" s="107" t="s">
        <v>51</v>
      </c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25"/>
    </row>
    <row r="89" spans="1:15" ht="15.75" x14ac:dyDescent="0.25">
      <c r="A89" s="109" t="s">
        <v>61</v>
      </c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26"/>
    </row>
    <row r="90" spans="1:15" x14ac:dyDescent="0.25">
      <c r="A90" s="105" t="s">
        <v>2</v>
      </c>
      <c r="B90" s="105"/>
      <c r="C90" s="105"/>
      <c r="D90" s="106" t="s">
        <v>3</v>
      </c>
      <c r="E90" s="106"/>
      <c r="F90" s="106"/>
      <c r="G90" s="106"/>
      <c r="H90" s="106"/>
      <c r="I90" s="106"/>
      <c r="J90" s="106" t="s">
        <v>4</v>
      </c>
      <c r="K90" s="106"/>
      <c r="L90" s="106"/>
      <c r="M90" s="106"/>
      <c r="N90" s="106"/>
      <c r="O90" s="106"/>
    </row>
    <row r="91" spans="1:15" x14ac:dyDescent="0.25">
      <c r="A91" s="6" t="s">
        <v>5</v>
      </c>
      <c r="B91" s="6" t="s">
        <v>6</v>
      </c>
      <c r="C91" s="6" t="s">
        <v>7</v>
      </c>
      <c r="D91" s="24">
        <v>1</v>
      </c>
      <c r="E91" s="24">
        <v>4</v>
      </c>
      <c r="F91" s="24">
        <v>16</v>
      </c>
      <c r="G91" s="7">
        <v>32</v>
      </c>
      <c r="H91" s="7">
        <v>64</v>
      </c>
      <c r="I91" s="7">
        <v>80</v>
      </c>
      <c r="J91" s="7">
        <v>1</v>
      </c>
      <c r="K91" s="7">
        <v>4</v>
      </c>
      <c r="L91" s="7">
        <v>16</v>
      </c>
      <c r="M91" s="7">
        <v>32</v>
      </c>
      <c r="N91" s="7">
        <v>64</v>
      </c>
      <c r="O91" s="7">
        <v>80</v>
      </c>
    </row>
    <row r="92" spans="1:15" x14ac:dyDescent="0.25">
      <c r="A92" s="8" t="s">
        <v>8</v>
      </c>
      <c r="B92" s="9" t="s">
        <v>9</v>
      </c>
      <c r="C92" s="22" t="s">
        <v>10</v>
      </c>
      <c r="D92" s="10">
        <v>46353</v>
      </c>
      <c r="E92" s="10">
        <v>21784</v>
      </c>
      <c r="F92" s="10">
        <v>6538</v>
      </c>
      <c r="G92" s="23"/>
      <c r="H92" s="10"/>
      <c r="I92" s="10"/>
      <c r="J92" s="11">
        <f>IF(D92="","",(1/D92)*1000000)</f>
        <v>21.573576683278322</v>
      </c>
      <c r="K92" s="11">
        <f t="shared" ref="K92:K97" si="24">IF(E92="","",(1/E92)*1000000)</f>
        <v>45.905251560778552</v>
      </c>
      <c r="L92" s="11">
        <f t="shared" ref="L92:L97" si="25">IF(F92="","",(1/F92)*1000000)</f>
        <v>152.95197308045275</v>
      </c>
      <c r="M92" s="11" t="str">
        <f t="shared" ref="M92:M97" si="26">IF(G92="","",(1/G92)*1000000)</f>
        <v/>
      </c>
      <c r="N92" s="11" t="str">
        <f t="shared" ref="N92:N97" si="27">IF(H92="","",(1/H92)*1000000)</f>
        <v/>
      </c>
      <c r="O92" s="11" t="str">
        <f t="shared" ref="O92:O97" si="28">IF(I92="","",(1/I92)*1000000)</f>
        <v/>
      </c>
    </row>
    <row r="93" spans="1:15" x14ac:dyDescent="0.25">
      <c r="A93" s="8" t="s">
        <v>11</v>
      </c>
      <c r="B93" s="9" t="s">
        <v>9</v>
      </c>
      <c r="C93" s="22" t="s">
        <v>12</v>
      </c>
      <c r="D93" s="10">
        <v>10754</v>
      </c>
      <c r="E93" s="10">
        <v>8380</v>
      </c>
      <c r="F93" s="10">
        <v>4442</v>
      </c>
      <c r="G93" s="23"/>
      <c r="H93" s="10"/>
      <c r="I93" s="10"/>
      <c r="J93" s="11">
        <f t="shared" ref="J93:J97" si="29">IF(D93="","",(1/D93)*1000000)</f>
        <v>92.988655384043156</v>
      </c>
      <c r="K93" s="11">
        <f t="shared" si="24"/>
        <v>119.33174224343675</v>
      </c>
      <c r="L93" s="11">
        <f t="shared" si="25"/>
        <v>225.12381809995497</v>
      </c>
      <c r="M93" s="11" t="str">
        <f t="shared" si="26"/>
        <v/>
      </c>
      <c r="N93" s="11" t="str">
        <f t="shared" si="27"/>
        <v/>
      </c>
      <c r="O93" s="11" t="str">
        <f t="shared" si="28"/>
        <v/>
      </c>
    </row>
    <row r="94" spans="1:15" x14ac:dyDescent="0.25">
      <c r="A94" s="9" t="s">
        <v>13</v>
      </c>
      <c r="B94" s="9" t="s">
        <v>14</v>
      </c>
      <c r="C94" s="22" t="s">
        <v>10</v>
      </c>
      <c r="D94" s="10">
        <v>41329</v>
      </c>
      <c r="E94" s="10">
        <v>18032</v>
      </c>
      <c r="F94" s="10">
        <v>5378</v>
      </c>
      <c r="G94" s="23"/>
      <c r="H94" s="10"/>
      <c r="I94" s="10"/>
      <c r="J94" s="11">
        <f t="shared" si="29"/>
        <v>24.196085073435121</v>
      </c>
      <c r="K94" s="11">
        <f t="shared" si="24"/>
        <v>55.456965394853597</v>
      </c>
      <c r="L94" s="11">
        <f t="shared" si="25"/>
        <v>185.94272963927111</v>
      </c>
      <c r="M94" s="11" t="str">
        <f t="shared" si="26"/>
        <v/>
      </c>
      <c r="N94" s="11" t="str">
        <f t="shared" si="27"/>
        <v/>
      </c>
      <c r="O94" s="11" t="str">
        <f t="shared" si="28"/>
        <v/>
      </c>
    </row>
    <row r="95" spans="1:15" x14ac:dyDescent="0.25">
      <c r="A95" s="9" t="s">
        <v>15</v>
      </c>
      <c r="B95" s="9" t="s">
        <v>14</v>
      </c>
      <c r="C95" s="22" t="s">
        <v>12</v>
      </c>
      <c r="D95" s="10">
        <v>10383</v>
      </c>
      <c r="E95" s="10">
        <v>7934</v>
      </c>
      <c r="F95" s="10">
        <v>4137</v>
      </c>
      <c r="G95" s="23"/>
      <c r="H95" s="10"/>
      <c r="I95" s="10"/>
      <c r="J95" s="11">
        <f t="shared" si="29"/>
        <v>96.311278050659737</v>
      </c>
      <c r="K95" s="11">
        <f t="shared" si="24"/>
        <v>126.03982858583313</v>
      </c>
      <c r="L95" s="11">
        <f t="shared" si="25"/>
        <v>241.72105390379502</v>
      </c>
      <c r="M95" s="11" t="str">
        <f t="shared" si="26"/>
        <v/>
      </c>
      <c r="N95" s="11" t="str">
        <f t="shared" si="27"/>
        <v/>
      </c>
      <c r="O95" s="11" t="str">
        <f t="shared" si="28"/>
        <v/>
      </c>
    </row>
    <row r="96" spans="1:15" x14ac:dyDescent="0.25">
      <c r="A96" s="9" t="s">
        <v>16</v>
      </c>
      <c r="B96" s="9" t="s">
        <v>17</v>
      </c>
      <c r="C96" s="22" t="s">
        <v>12</v>
      </c>
      <c r="D96" s="10">
        <v>8010</v>
      </c>
      <c r="E96" s="10">
        <v>7705</v>
      </c>
      <c r="F96" s="10">
        <v>4134</v>
      </c>
      <c r="G96" s="23"/>
      <c r="H96" s="10"/>
      <c r="I96" s="10"/>
      <c r="J96" s="11">
        <f t="shared" si="29"/>
        <v>124.84394506866417</v>
      </c>
      <c r="K96" s="11">
        <f t="shared" si="24"/>
        <v>129.78585334198573</v>
      </c>
      <c r="L96" s="11">
        <f t="shared" si="25"/>
        <v>241.89646831156264</v>
      </c>
      <c r="M96" s="11" t="str">
        <f t="shared" si="26"/>
        <v/>
      </c>
      <c r="N96" s="11" t="str">
        <f t="shared" si="27"/>
        <v/>
      </c>
      <c r="O96" s="11" t="str">
        <f t="shared" si="28"/>
        <v/>
      </c>
    </row>
    <row r="97" spans="1:15" x14ac:dyDescent="0.25">
      <c r="A97" s="9" t="s">
        <v>18</v>
      </c>
      <c r="B97" s="8" t="s">
        <v>19</v>
      </c>
      <c r="C97" s="26" t="s">
        <v>12</v>
      </c>
      <c r="D97" s="10">
        <v>8010</v>
      </c>
      <c r="E97" s="10">
        <v>7336</v>
      </c>
      <c r="F97" s="10">
        <v>4125</v>
      </c>
      <c r="G97" s="23"/>
      <c r="H97" s="10"/>
      <c r="I97" s="10"/>
      <c r="J97" s="11">
        <f t="shared" si="29"/>
        <v>124.84394506866417</v>
      </c>
      <c r="K97" s="11">
        <f t="shared" si="24"/>
        <v>136.31406761177755</v>
      </c>
      <c r="L97" s="11">
        <f t="shared" si="25"/>
        <v>242.42424242424241</v>
      </c>
      <c r="M97" s="11" t="str">
        <f t="shared" si="26"/>
        <v/>
      </c>
      <c r="N97" s="11" t="str">
        <f t="shared" si="27"/>
        <v/>
      </c>
      <c r="O97" s="11" t="str">
        <f t="shared" si="28"/>
        <v/>
      </c>
    </row>
    <row r="98" spans="1:15" x14ac:dyDescent="0.25">
      <c r="A98" s="130" t="s">
        <v>64</v>
      </c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</row>
    <row r="99" spans="1:15" ht="18.75" x14ac:dyDescent="0.3">
      <c r="A99" s="103" t="s">
        <v>56</v>
      </c>
      <c r="B99" s="104"/>
      <c r="C99" s="104"/>
      <c r="D99" s="104"/>
      <c r="E99" s="104"/>
      <c r="F99" s="104"/>
      <c r="G99" s="104"/>
      <c r="H99" s="104"/>
      <c r="I99" s="104"/>
      <c r="J99" s="1"/>
      <c r="K99" s="1"/>
      <c r="L99" s="1"/>
      <c r="M99" s="1"/>
      <c r="N99" s="1"/>
      <c r="O99" s="2"/>
    </row>
    <row r="100" spans="1:15" x14ac:dyDescent="0.25">
      <c r="A100" s="105" t="s">
        <v>2</v>
      </c>
      <c r="B100" s="105"/>
      <c r="C100" s="105"/>
      <c r="D100" s="106" t="s">
        <v>20</v>
      </c>
      <c r="E100" s="106"/>
      <c r="F100" s="106"/>
      <c r="G100" s="106"/>
      <c r="H100" s="106"/>
      <c r="I100" s="106"/>
      <c r="J100" s="106" t="s">
        <v>23</v>
      </c>
      <c r="K100" s="106"/>
      <c r="L100" s="106"/>
      <c r="M100" s="106"/>
      <c r="N100" s="106"/>
      <c r="O100" s="106"/>
    </row>
    <row r="101" spans="1:15" x14ac:dyDescent="0.25">
      <c r="A101" s="6" t="s">
        <v>5</v>
      </c>
      <c r="B101" s="6" t="s">
        <v>6</v>
      </c>
      <c r="C101" s="6" t="s">
        <v>7</v>
      </c>
      <c r="D101" s="7">
        <v>1</v>
      </c>
      <c r="E101" s="7">
        <v>4</v>
      </c>
      <c r="F101" s="7">
        <v>16</v>
      </c>
      <c r="G101" s="7">
        <v>32</v>
      </c>
      <c r="H101" s="7">
        <v>64</v>
      </c>
      <c r="I101" s="7">
        <v>80</v>
      </c>
      <c r="J101" s="7">
        <v>1</v>
      </c>
      <c r="K101" s="7">
        <v>4</v>
      </c>
      <c r="L101" s="7">
        <v>16</v>
      </c>
      <c r="M101" s="7">
        <v>32</v>
      </c>
      <c r="N101" s="7">
        <v>64</v>
      </c>
      <c r="O101" s="7">
        <v>80</v>
      </c>
    </row>
    <row r="102" spans="1:15" x14ac:dyDescent="0.25">
      <c r="A102" s="8" t="s">
        <v>8</v>
      </c>
      <c r="B102" s="9" t="s">
        <v>9</v>
      </c>
      <c r="C102" s="9" t="s">
        <v>10</v>
      </c>
      <c r="D102" s="12">
        <f>IF(D92="","",(D92-'2014'!D48)/'2014'!D48)</f>
        <v>3.5960128732343999E-2</v>
      </c>
      <c r="E102" s="12">
        <f>IF(E92="","",(E92-'2014'!E48)/'2014'!E48)</f>
        <v>2.9392306965315189E-2</v>
      </c>
      <c r="F102" s="12">
        <f>IF(F92="","",(F92-'2014'!F48)/'2014'!F48)</f>
        <v>1.2074303405572756E-2</v>
      </c>
      <c r="G102" s="12" t="str">
        <f>IF(G92="","",(G92-'2014'!G92)/'2014'!G92)</f>
        <v/>
      </c>
      <c r="H102" s="12" t="str">
        <f>IF(H92="","",(H92-'2014'!H92)/'2014'!H92)</f>
        <v/>
      </c>
      <c r="I102" s="12" t="str">
        <f>IF(I92="","",(I92-'2014'!I92)/'2014'!I92)</f>
        <v/>
      </c>
      <c r="J102" s="11">
        <f>J92 - '2014'!J92</f>
        <v>21.573576683278322</v>
      </c>
      <c r="K102" s="11">
        <f>K92 - '2014'!K92</f>
        <v>45.905251560778552</v>
      </c>
      <c r="L102" s="11">
        <f>L92 - '2014'!L92</f>
        <v>152.95197308045275</v>
      </c>
      <c r="M102" s="11" t="str">
        <f>IF(G102="","",M92-((1/'Proto 2013'!G123)*1000000))</f>
        <v/>
      </c>
      <c r="N102" s="11" t="str">
        <f>IF(H102="","",N92-((1/'Proto 2013'!H123)*1000000))</f>
        <v/>
      </c>
      <c r="O102" s="11" t="str">
        <f>IF(I102="","",O92-((1/'Proto 2013'!I123)*1000000))</f>
        <v/>
      </c>
    </row>
    <row r="103" spans="1:15" x14ac:dyDescent="0.25">
      <c r="A103" s="8" t="s">
        <v>11</v>
      </c>
      <c r="B103" s="9" t="s">
        <v>9</v>
      </c>
      <c r="C103" s="9" t="s">
        <v>12</v>
      </c>
      <c r="D103" s="12">
        <f>IF(D93="","",(D93-'2014'!D49)/'2014'!D49)</f>
        <v>2.8303690954293362E-2</v>
      </c>
      <c r="E103" s="12">
        <f>IF(E93="","",(E93-'2014'!E49)/'2014'!E49)</f>
        <v>5.9701492537313433E-4</v>
      </c>
      <c r="F103" s="12">
        <f>IF(F93="","",(F93-'2014'!F49)/'2014'!F49)</f>
        <v>2.39741816505302E-2</v>
      </c>
      <c r="G103" s="12" t="str">
        <f>IF(G93="","",(G93-'2014'!G93)/'2014'!G93)</f>
        <v/>
      </c>
      <c r="H103" s="12" t="str">
        <f>IF(H93="","",(H93-'2014'!H93)/'2014'!H93)</f>
        <v/>
      </c>
      <c r="I103" s="12" t="str">
        <f>IF(I93="","",(I93-'2014'!I93)/'2014'!I93)</f>
        <v/>
      </c>
      <c r="J103" s="11">
        <f>J93 - '2014'!J93</f>
        <v>92.988655384043156</v>
      </c>
      <c r="K103" s="11">
        <f>K93 - '2014'!K93</f>
        <v>119.33174224343675</v>
      </c>
      <c r="L103" s="11">
        <f>L93 - '2014'!L93</f>
        <v>225.12381809995497</v>
      </c>
      <c r="M103" s="11" t="str">
        <f>IF(G103="","",M93-((1/'Proto 2013'!G124)*1000000))</f>
        <v/>
      </c>
      <c r="N103" s="11" t="str">
        <f>IF(H103="","",N93-((1/'Proto 2013'!H124)*1000000))</f>
        <v/>
      </c>
      <c r="O103" s="11" t="str">
        <f>IF(I103="","",O93-((1/'Proto 2013'!I124)*1000000))</f>
        <v/>
      </c>
    </row>
    <row r="104" spans="1:15" x14ac:dyDescent="0.25">
      <c r="A104" s="9" t="s">
        <v>13</v>
      </c>
      <c r="B104" s="9" t="s">
        <v>14</v>
      </c>
      <c r="C104" s="9" t="s">
        <v>10</v>
      </c>
      <c r="D104" s="12">
        <f>IF(D94="","",(D94-'2014'!D50)/'2014'!D50)</f>
        <v>3.4362799078986886E-2</v>
      </c>
      <c r="E104" s="12">
        <f>IF(E94="","",(E94-'2014'!E50)/'2014'!E50)</f>
        <v>4.6789736444908858E-2</v>
      </c>
      <c r="F104" s="12">
        <f>IF(F94="","",(F94-'2014'!F50)/'2014'!F50)</f>
        <v>-4.2378917378917379E-2</v>
      </c>
      <c r="G104" s="12" t="str">
        <f>IF(G94="","",(G94-'2014'!G94)/'2014'!G94)</f>
        <v/>
      </c>
      <c r="H104" s="12" t="str">
        <f>IF(H94="","",(H94-'2014'!H94)/'2014'!H94)</f>
        <v/>
      </c>
      <c r="I104" s="12" t="str">
        <f>IF(I94="","",(I94-'2014'!I94)/'2014'!I94)</f>
        <v/>
      </c>
      <c r="J104" s="11">
        <f>J94 - '2014'!J94</f>
        <v>24.196085073435121</v>
      </c>
      <c r="K104" s="11">
        <f>K94 - '2014'!K94</f>
        <v>55.456965394853597</v>
      </c>
      <c r="L104" s="11">
        <f>L94 - '2014'!L94</f>
        <v>185.94272963927111</v>
      </c>
      <c r="M104" s="11" t="str">
        <f>IF(G104="","",M94-((1/'Proto 2013'!G125)*1000000))</f>
        <v/>
      </c>
      <c r="N104" s="11" t="str">
        <f>IF(H104="","",N94-((1/'Proto 2013'!H125)*1000000))</f>
        <v/>
      </c>
      <c r="O104" s="11" t="str">
        <f>IF(I104="","",O94-((1/'Proto 2013'!I125)*1000000))</f>
        <v/>
      </c>
    </row>
    <row r="105" spans="1:15" x14ac:dyDescent="0.25">
      <c r="A105" s="9" t="s">
        <v>15</v>
      </c>
      <c r="B105" s="9" t="s">
        <v>14</v>
      </c>
      <c r="C105" s="9" t="s">
        <v>12</v>
      </c>
      <c r="D105" s="12">
        <f>IF(D95="","",(D95-'2014'!D51)/'2014'!D51)</f>
        <v>1.0117715731102248E-2</v>
      </c>
      <c r="E105" s="12">
        <f>IF(E95="","",(E95-'2014'!E51)/'2014'!E51)</f>
        <v>6.2399571505088375E-2</v>
      </c>
      <c r="F105" s="12">
        <f>IF(F95="","",(F95-'2014'!F51)/'2014'!F51)</f>
        <v>3.8664323374340948E-2</v>
      </c>
      <c r="G105" s="12" t="str">
        <f>IF(G95="","",(G95-'2014'!G95)/'2014'!G95)</f>
        <v/>
      </c>
      <c r="H105" s="12" t="str">
        <f>IF(H95="","",(H95-'2014'!H95)/'2014'!H95)</f>
        <v/>
      </c>
      <c r="I105" s="12" t="str">
        <f>IF(I95="","",(I95-'2014'!I95)/'2014'!I95)</f>
        <v/>
      </c>
      <c r="J105" s="11">
        <f>J95 - '2014'!J95</f>
        <v>96.311278050659737</v>
      </c>
      <c r="K105" s="11">
        <f>K95 - '2014'!K95</f>
        <v>126.03982858583313</v>
      </c>
      <c r="L105" s="11">
        <f>L95 - '2014'!L95</f>
        <v>241.72105390379502</v>
      </c>
      <c r="M105" s="11" t="str">
        <f>IF(G105="","",M95-((1/'Proto 2013'!G126)*1000000))</f>
        <v/>
      </c>
      <c r="N105" s="11" t="str">
        <f>IF(H105="","",N95-((1/'Proto 2013'!H126)*1000000))</f>
        <v/>
      </c>
      <c r="O105" s="11" t="str">
        <f>IF(I105="","",O95-((1/'Proto 2013'!I126)*1000000))</f>
        <v/>
      </c>
    </row>
    <row r="106" spans="1:15" x14ac:dyDescent="0.25">
      <c r="A106" s="9" t="s">
        <v>16</v>
      </c>
      <c r="B106" s="9" t="s">
        <v>17</v>
      </c>
      <c r="C106" s="9" t="s">
        <v>12</v>
      </c>
      <c r="D106" s="12">
        <f>IF(D96="","",(D96-'2014'!D52)/'2014'!D52)</f>
        <v>0.80853465793632873</v>
      </c>
      <c r="E106" s="12">
        <f>IF(E96="","",(E96-'2014'!E52)/'2014'!E52)</f>
        <v>1.2995451591942819E-3</v>
      </c>
      <c r="F106" s="12">
        <f>IF(F96="","",(F96-'2014'!F52)/'2014'!F52)</f>
        <v>-1.6904129437333977E-3</v>
      </c>
      <c r="G106" s="12" t="str">
        <f>IF(G96="","",(G96-'2014'!G96)/'2014'!G96)</f>
        <v/>
      </c>
      <c r="H106" s="12" t="str">
        <f>IF(H96="","",(H96-'2014'!H96)/'2014'!H96)</f>
        <v/>
      </c>
      <c r="I106" s="12" t="str">
        <f>IF(I96="","",(I96-'2014'!I96)/'2014'!I96)</f>
        <v/>
      </c>
      <c r="J106" s="11">
        <f>J96 - '2014'!J96</f>
        <v>124.84394506866417</v>
      </c>
      <c r="K106" s="11">
        <f>K96 - '2014'!K96</f>
        <v>129.78585334198573</v>
      </c>
      <c r="L106" s="11">
        <f>L96 - '2014'!L96</f>
        <v>241.89646831156264</v>
      </c>
      <c r="M106" s="11" t="str">
        <f>IF(G106="","",M96-((1/'Proto 2013'!G127)*1000000))</f>
        <v/>
      </c>
      <c r="N106" s="11" t="str">
        <f>IF(H106="","",N96-((1/'Proto 2013'!H127)*1000000))</f>
        <v/>
      </c>
      <c r="O106" s="11" t="str">
        <f>IF(I106="","",O96-((1/'Proto 2013'!I127)*1000000))</f>
        <v/>
      </c>
    </row>
    <row r="107" spans="1:15" x14ac:dyDescent="0.25">
      <c r="A107" s="9" t="s">
        <v>18</v>
      </c>
      <c r="B107" s="8" t="s">
        <v>19</v>
      </c>
      <c r="C107" s="9" t="s">
        <v>12</v>
      </c>
      <c r="D107" s="12">
        <f>IF(D97="","",(D97-'2014'!D53)/'2014'!D53)</f>
        <v>0.82751540041067762</v>
      </c>
      <c r="E107" s="12">
        <f>IF(E97="","",(E97-'2014'!E53)/'2014'!E53)</f>
        <v>0.43281249999999999</v>
      </c>
      <c r="F107" s="12">
        <f>IF(F97="","",(F97-'2014'!F53)/'2014'!F53)</f>
        <v>1.0534051935325821E-2</v>
      </c>
      <c r="G107" s="12" t="str">
        <f>IF(G97="","",(G97-'2014'!G97)/'2014'!G97)</f>
        <v/>
      </c>
      <c r="H107" s="12" t="str">
        <f>IF(H97="","",(H97-'2014'!H97)/'2014'!H97)</f>
        <v/>
      </c>
      <c r="I107" s="12" t="str">
        <f>IF(I97="","",(I97-'2014'!I97)/'2014'!I97)</f>
        <v/>
      </c>
      <c r="J107" s="11">
        <f>J97 - '2014'!J97</f>
        <v>124.84394506866417</v>
      </c>
      <c r="K107" s="11">
        <f>K97 - '2014'!K97</f>
        <v>136.31406761177755</v>
      </c>
      <c r="L107" s="11">
        <f>L97 - '2014'!L97</f>
        <v>242.42424242424241</v>
      </c>
      <c r="M107" s="11" t="str">
        <f>IF(G107="","",M97-((1/'Proto 2013'!G128)*1000000))</f>
        <v/>
      </c>
      <c r="N107" s="11" t="str">
        <f>IF(H107="","",N97-((1/'Proto 2013'!H128)*1000000))</f>
        <v/>
      </c>
      <c r="O107" s="11" t="str">
        <f>IF(I107="","",O97-((1/'Proto 2013'!I128)*1000000))</f>
        <v/>
      </c>
    </row>
    <row r="108" spans="1:15" x14ac:dyDescent="0.25">
      <c r="A108" s="27" t="s">
        <v>62</v>
      </c>
    </row>
    <row r="109" spans="1:15" x14ac:dyDescent="0.25">
      <c r="A109" s="27"/>
    </row>
    <row r="111" spans="1:15" ht="18.75" x14ac:dyDescent="0.25">
      <c r="A111" s="107" t="s">
        <v>51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25"/>
    </row>
    <row r="112" spans="1:15" ht="15.75" x14ac:dyDescent="0.25">
      <c r="A112" s="109" t="s">
        <v>67</v>
      </c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26"/>
    </row>
    <row r="113" spans="1:15" x14ac:dyDescent="0.25">
      <c r="A113" s="105" t="s">
        <v>2</v>
      </c>
      <c r="B113" s="105"/>
      <c r="C113" s="105"/>
      <c r="D113" s="106" t="s">
        <v>3</v>
      </c>
      <c r="E113" s="106"/>
      <c r="F113" s="106"/>
      <c r="G113" s="106"/>
      <c r="H113" s="106"/>
      <c r="I113" s="106"/>
      <c r="J113" s="106" t="s">
        <v>4</v>
      </c>
      <c r="K113" s="106"/>
      <c r="L113" s="106"/>
      <c r="M113" s="106"/>
      <c r="N113" s="106"/>
      <c r="O113" s="106"/>
    </row>
    <row r="114" spans="1:15" x14ac:dyDescent="0.25">
      <c r="A114" s="6" t="s">
        <v>5</v>
      </c>
      <c r="B114" s="6" t="s">
        <v>6</v>
      </c>
      <c r="C114" s="6" t="s">
        <v>7</v>
      </c>
      <c r="D114" s="24">
        <v>1</v>
      </c>
      <c r="E114" s="24">
        <v>4</v>
      </c>
      <c r="F114" s="24">
        <v>16</v>
      </c>
      <c r="G114" s="7">
        <v>32</v>
      </c>
      <c r="H114" s="7">
        <v>64</v>
      </c>
      <c r="I114" s="7">
        <v>80</v>
      </c>
      <c r="J114" s="7">
        <v>1</v>
      </c>
      <c r="K114" s="7">
        <v>4</v>
      </c>
      <c r="L114" s="7">
        <v>16</v>
      </c>
      <c r="M114" s="7">
        <v>32</v>
      </c>
      <c r="N114" s="7">
        <v>64</v>
      </c>
      <c r="O114" s="7">
        <v>80</v>
      </c>
    </row>
    <row r="115" spans="1:15" x14ac:dyDescent="0.25">
      <c r="A115" s="8" t="s">
        <v>8</v>
      </c>
      <c r="B115" s="9" t="s">
        <v>9</v>
      </c>
      <c r="C115" s="22" t="s">
        <v>10</v>
      </c>
      <c r="D115" s="10">
        <v>30413</v>
      </c>
      <c r="E115" s="10">
        <v>24037</v>
      </c>
      <c r="F115" s="10">
        <v>12573</v>
      </c>
      <c r="G115" s="23"/>
      <c r="H115" s="10"/>
      <c r="I115" s="10"/>
      <c r="J115" s="11">
        <f>IF(D115="","",(1/D115)*1000000)</f>
        <v>32.880676026699106</v>
      </c>
      <c r="K115" s="11">
        <f t="shared" ref="K115:K120" si="30">IF(E115="","",(1/E115)*1000000)</f>
        <v>41.60252943378957</v>
      </c>
      <c r="L115" s="11">
        <f t="shared" ref="L115:L120" si="31">IF(F115="","",(1/F115)*1000000)</f>
        <v>79.535512606378745</v>
      </c>
      <c r="M115" s="11" t="str">
        <f t="shared" ref="M115:M120" si="32">IF(G115="","",(1/G115)*1000000)</f>
        <v/>
      </c>
      <c r="N115" s="11" t="str">
        <f t="shared" ref="N115:N120" si="33">IF(H115="","",(1/H115)*1000000)</f>
        <v/>
      </c>
      <c r="O115" s="11" t="str">
        <f t="shared" ref="O115:O120" si="34">IF(I115="","",(1/I115)*1000000)</f>
        <v/>
      </c>
    </row>
    <row r="116" spans="1:15" x14ac:dyDescent="0.25">
      <c r="A116" s="8" t="s">
        <v>11</v>
      </c>
      <c r="B116" s="9" t="s">
        <v>9</v>
      </c>
      <c r="C116" s="22" t="s">
        <v>12</v>
      </c>
      <c r="D116" s="10">
        <v>8705</v>
      </c>
      <c r="E116" s="10">
        <v>7930</v>
      </c>
      <c r="F116" s="10">
        <v>6221</v>
      </c>
      <c r="G116" s="23"/>
      <c r="H116" s="10"/>
      <c r="I116" s="10"/>
      <c r="J116" s="11">
        <f t="shared" ref="J116:J120" si="35">IF(D116="","",(1/D116)*1000000)</f>
        <v>114.87650775416428</v>
      </c>
      <c r="K116" s="11">
        <f t="shared" si="30"/>
        <v>126.10340479192938</v>
      </c>
      <c r="L116" s="11">
        <f t="shared" si="31"/>
        <v>160.74586079408456</v>
      </c>
      <c r="M116" s="11" t="str">
        <f t="shared" si="32"/>
        <v/>
      </c>
      <c r="N116" s="11" t="str">
        <f t="shared" si="33"/>
        <v/>
      </c>
      <c r="O116" s="11" t="str">
        <f t="shared" si="34"/>
        <v/>
      </c>
    </row>
    <row r="117" spans="1:15" x14ac:dyDescent="0.25">
      <c r="A117" s="9" t="s">
        <v>13</v>
      </c>
      <c r="B117" s="9" t="s">
        <v>14</v>
      </c>
      <c r="C117" s="22" t="s">
        <v>10</v>
      </c>
      <c r="D117" s="10">
        <v>26154</v>
      </c>
      <c r="E117" s="10">
        <v>18214</v>
      </c>
      <c r="F117" s="10">
        <v>9919</v>
      </c>
      <c r="G117" s="23"/>
      <c r="H117" s="10"/>
      <c r="I117" s="10"/>
      <c r="J117" s="11">
        <f t="shared" si="35"/>
        <v>38.235069205475263</v>
      </c>
      <c r="K117" s="11">
        <f t="shared" si="30"/>
        <v>54.902822005051057</v>
      </c>
      <c r="L117" s="11">
        <f t="shared" si="31"/>
        <v>100.81661457808246</v>
      </c>
      <c r="M117" s="11" t="str">
        <f t="shared" si="32"/>
        <v/>
      </c>
      <c r="N117" s="11" t="str">
        <f t="shared" si="33"/>
        <v/>
      </c>
      <c r="O117" s="11" t="str">
        <f t="shared" si="34"/>
        <v/>
      </c>
    </row>
    <row r="118" spans="1:15" x14ac:dyDescent="0.25">
      <c r="A118" s="9" t="s">
        <v>15</v>
      </c>
      <c r="B118" s="9" t="s">
        <v>14</v>
      </c>
      <c r="C118" s="22" t="s">
        <v>12</v>
      </c>
      <c r="D118" s="10">
        <v>8459</v>
      </c>
      <c r="E118" s="10">
        <v>7402</v>
      </c>
      <c r="F118" s="10">
        <v>5103</v>
      </c>
      <c r="G118" s="23"/>
      <c r="H118" s="10"/>
      <c r="I118" s="10"/>
      <c r="J118" s="11">
        <f t="shared" si="35"/>
        <v>118.21728336682824</v>
      </c>
      <c r="K118" s="11">
        <f t="shared" si="30"/>
        <v>135.09862199405566</v>
      </c>
      <c r="L118" s="11">
        <f t="shared" si="31"/>
        <v>195.96315892612188</v>
      </c>
      <c r="M118" s="11" t="str">
        <f t="shared" si="32"/>
        <v/>
      </c>
      <c r="N118" s="11" t="str">
        <f t="shared" si="33"/>
        <v/>
      </c>
      <c r="O118" s="11" t="str">
        <f t="shared" si="34"/>
        <v/>
      </c>
    </row>
    <row r="119" spans="1:15" x14ac:dyDescent="0.25">
      <c r="A119" s="9" t="s">
        <v>16</v>
      </c>
      <c r="B119" s="9" t="s">
        <v>17</v>
      </c>
      <c r="C119" s="22" t="s">
        <v>12</v>
      </c>
      <c r="D119" s="10">
        <v>9258</v>
      </c>
      <c r="E119" s="10">
        <v>8759</v>
      </c>
      <c r="F119" s="10">
        <v>6396</v>
      </c>
      <c r="G119" s="23"/>
      <c r="H119" s="10"/>
      <c r="I119" s="10"/>
      <c r="J119" s="11">
        <f t="shared" si="35"/>
        <v>108.01468999783971</v>
      </c>
      <c r="K119" s="11">
        <f t="shared" si="30"/>
        <v>114.16828405069072</v>
      </c>
      <c r="L119" s="11">
        <f t="shared" si="31"/>
        <v>156.34771732332709</v>
      </c>
      <c r="M119" s="11" t="str">
        <f t="shared" si="32"/>
        <v/>
      </c>
      <c r="N119" s="11" t="str">
        <f t="shared" si="33"/>
        <v/>
      </c>
      <c r="O119" s="11" t="str">
        <f t="shared" si="34"/>
        <v/>
      </c>
    </row>
    <row r="120" spans="1:15" x14ac:dyDescent="0.25">
      <c r="A120" s="9" t="s">
        <v>18</v>
      </c>
      <c r="B120" s="8" t="s">
        <v>19</v>
      </c>
      <c r="C120" s="26" t="s">
        <v>12</v>
      </c>
      <c r="D120" s="10">
        <v>8991</v>
      </c>
      <c r="E120" s="10">
        <v>7373</v>
      </c>
      <c r="F120" s="10">
        <v>6113</v>
      </c>
      <c r="G120" s="23"/>
      <c r="H120" s="10"/>
      <c r="I120" s="10"/>
      <c r="J120" s="11">
        <f t="shared" si="35"/>
        <v>111.22233344455567</v>
      </c>
      <c r="K120" s="11">
        <f t="shared" si="30"/>
        <v>135.6300013563</v>
      </c>
      <c r="L120" s="11">
        <f t="shared" si="31"/>
        <v>163.58580075249469</v>
      </c>
      <c r="M120" s="11" t="str">
        <f t="shared" si="32"/>
        <v/>
      </c>
      <c r="N120" s="11" t="str">
        <f t="shared" si="33"/>
        <v/>
      </c>
      <c r="O120" s="11" t="str">
        <f t="shared" si="34"/>
        <v/>
      </c>
    </row>
    <row r="121" spans="1:15" x14ac:dyDescent="0.25">
      <c r="A121" s="130" t="s">
        <v>66</v>
      </c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</row>
    <row r="122" spans="1:15" ht="18.75" x14ac:dyDescent="0.3">
      <c r="A122" s="103" t="s">
        <v>65</v>
      </c>
      <c r="B122" s="104"/>
      <c r="C122" s="104"/>
      <c r="D122" s="104"/>
      <c r="E122" s="104"/>
      <c r="F122" s="104"/>
      <c r="G122" s="104"/>
      <c r="H122" s="104"/>
      <c r="I122" s="104"/>
      <c r="J122" s="1"/>
      <c r="K122" s="1"/>
      <c r="L122" s="1"/>
      <c r="M122" s="1"/>
      <c r="N122" s="1"/>
      <c r="O122" s="2"/>
    </row>
    <row r="123" spans="1:15" x14ac:dyDescent="0.25">
      <c r="A123" s="105" t="s">
        <v>2</v>
      </c>
      <c r="B123" s="105"/>
      <c r="C123" s="105"/>
      <c r="D123" s="106" t="s">
        <v>20</v>
      </c>
      <c r="E123" s="106"/>
      <c r="F123" s="106"/>
      <c r="G123" s="106"/>
      <c r="H123" s="106"/>
      <c r="I123" s="106"/>
      <c r="J123" s="106" t="s">
        <v>23</v>
      </c>
      <c r="K123" s="106"/>
      <c r="L123" s="106"/>
      <c r="M123" s="106"/>
      <c r="N123" s="106"/>
      <c r="O123" s="106"/>
    </row>
    <row r="124" spans="1:15" x14ac:dyDescent="0.25">
      <c r="A124" s="6" t="s">
        <v>5</v>
      </c>
      <c r="B124" s="6" t="s">
        <v>6</v>
      </c>
      <c r="C124" s="6" t="s">
        <v>7</v>
      </c>
      <c r="D124" s="7">
        <v>1</v>
      </c>
      <c r="E124" s="7">
        <v>4</v>
      </c>
      <c r="F124" s="7">
        <v>16</v>
      </c>
      <c r="G124" s="7">
        <v>32</v>
      </c>
      <c r="H124" s="7">
        <v>64</v>
      </c>
      <c r="I124" s="7">
        <v>80</v>
      </c>
      <c r="J124" s="7">
        <v>1</v>
      </c>
      <c r="K124" s="7">
        <v>4</v>
      </c>
      <c r="L124" s="7">
        <v>16</v>
      </c>
      <c r="M124" s="7">
        <v>32</v>
      </c>
      <c r="N124" s="7">
        <v>64</v>
      </c>
      <c r="O124" s="7">
        <v>80</v>
      </c>
    </row>
    <row r="125" spans="1:15" x14ac:dyDescent="0.25">
      <c r="A125" s="8" t="s">
        <v>8</v>
      </c>
      <c r="B125" s="9" t="s">
        <v>9</v>
      </c>
      <c r="C125" s="9" t="s">
        <v>10</v>
      </c>
      <c r="D125" s="12">
        <f>IF(D115="","",(D115-'2015'!D92)/'2015'!D92)</f>
        <v>-0.34388281233145646</v>
      </c>
      <c r="E125" s="12">
        <f>IF(E115="","",(E115-'2015'!E92)/'2015'!E92)</f>
        <v>0.10342453176643408</v>
      </c>
      <c r="F125" s="12">
        <f>IF(F115="","",(F115-'2015'!F92)/'2015'!F92)</f>
        <v>0.92306515754053231</v>
      </c>
      <c r="G125" s="12" t="str">
        <f>IF(G115="","",(G115-'2014'!G115)/'2014'!G115)</f>
        <v/>
      </c>
      <c r="H125" s="12" t="str">
        <f>IF(H115="","",(H115-'2014'!H115)/'2014'!H115)</f>
        <v/>
      </c>
      <c r="I125" s="12" t="str">
        <f>IF(I115="","",(I115-'2014'!I115)/'2014'!I115)</f>
        <v/>
      </c>
      <c r="J125" s="11">
        <f>J115 - '2015'!J92</f>
        <v>11.307099343420784</v>
      </c>
      <c r="K125" s="11">
        <f>K115 - '2015'!K92</f>
        <v>-4.3027221269889822</v>
      </c>
      <c r="L125" s="11">
        <f>L115 - '2015'!L92</f>
        <v>-73.416460474074</v>
      </c>
      <c r="M125" s="11" t="str">
        <f>IF(G125="","",M115-((1/'Proto 2013'!G146)*1000000))</f>
        <v/>
      </c>
      <c r="N125" s="11" t="str">
        <f>IF(H125="","",N115-((1/'Proto 2013'!H146)*1000000))</f>
        <v/>
      </c>
      <c r="O125" s="11" t="str">
        <f>IF(I125="","",O115-((1/'Proto 2013'!I146)*1000000))</f>
        <v/>
      </c>
    </row>
    <row r="126" spans="1:15" x14ac:dyDescent="0.25">
      <c r="A126" s="8" t="s">
        <v>11</v>
      </c>
      <c r="B126" s="9" t="s">
        <v>9</v>
      </c>
      <c r="C126" s="9" t="s">
        <v>12</v>
      </c>
      <c r="D126" s="12">
        <f>IF(D116="","",(D116-'2015'!D93)/'2015'!D93)</f>
        <v>-0.19053375488190441</v>
      </c>
      <c r="E126" s="12">
        <f>IF(E116="","",(E116-'2015'!E93)/'2015'!E93)</f>
        <v>-5.3699284009546537E-2</v>
      </c>
      <c r="F126" s="12">
        <f>IF(F116="","",(F116-'2015'!F93)/'2015'!F93)</f>
        <v>0.40049527239981991</v>
      </c>
      <c r="G126" s="12" t="str">
        <f>IF(G116="","",(G116-'2014'!G116)/'2014'!G116)</f>
        <v/>
      </c>
      <c r="H126" s="12" t="str">
        <f>IF(H116="","",(H116-'2014'!H116)/'2014'!H116)</f>
        <v/>
      </c>
      <c r="I126" s="12" t="str">
        <f>IF(I116="","",(I116-'2014'!I116)/'2014'!I116)</f>
        <v/>
      </c>
      <c r="J126" s="11">
        <f>J116 - '2015'!J93</f>
        <v>21.887852370121124</v>
      </c>
      <c r="K126" s="11">
        <f>K116 - '2015'!K93</f>
        <v>6.7716625484926283</v>
      </c>
      <c r="L126" s="11">
        <f>L116 - '2015'!L93</f>
        <v>-64.37795730587041</v>
      </c>
      <c r="M126" s="11" t="str">
        <f>IF(G126="","",M116-((1/'Proto 2013'!G147)*1000000))</f>
        <v/>
      </c>
      <c r="N126" s="11" t="str">
        <f>IF(H126="","",N116-((1/'Proto 2013'!H147)*1000000))</f>
        <v/>
      </c>
      <c r="O126" s="11" t="str">
        <f>IF(I126="","",O116-((1/'Proto 2013'!I147)*1000000))</f>
        <v/>
      </c>
    </row>
    <row r="127" spans="1:15" x14ac:dyDescent="0.25">
      <c r="A127" s="9" t="s">
        <v>13</v>
      </c>
      <c r="B127" s="9" t="s">
        <v>14</v>
      </c>
      <c r="C127" s="9" t="s">
        <v>10</v>
      </c>
      <c r="D127" s="12">
        <f>IF(D117="","",(D117-'2015'!D94)/'2015'!D94)</f>
        <v>-0.36717559098937791</v>
      </c>
      <c r="E127" s="12">
        <f>IF(E117="","",(E117-'2015'!E94)/'2015'!E94)</f>
        <v>1.0093167701863354E-2</v>
      </c>
      <c r="F127" s="12">
        <f>IF(F117="","",(F117-'2015'!F94)/'2015'!F94)</f>
        <v>0.84436593529193005</v>
      </c>
      <c r="G127" s="12" t="str">
        <f>IF(G117="","",(G117-'2014'!G117)/'2014'!G117)</f>
        <v/>
      </c>
      <c r="H127" s="12" t="str">
        <f>IF(H117="","",(H117-'2014'!H117)/'2014'!H117)</f>
        <v/>
      </c>
      <c r="I127" s="12" t="str">
        <f>IF(I117="","",(I117-'2014'!I117)/'2014'!I117)</f>
        <v/>
      </c>
      <c r="J127" s="11">
        <f>J117 - '2015'!J94</f>
        <v>14.038984132040142</v>
      </c>
      <c r="K127" s="11">
        <f>K117 - '2015'!K94</f>
        <v>-0.5541433898025403</v>
      </c>
      <c r="L127" s="11">
        <f>L117 - '2015'!L94</f>
        <v>-85.126115061188642</v>
      </c>
      <c r="M127" s="11" t="str">
        <f>IF(G127="","",M117-((1/'Proto 2013'!G148)*1000000))</f>
        <v/>
      </c>
      <c r="N127" s="11" t="str">
        <f>IF(H127="","",N117-((1/'Proto 2013'!H148)*1000000))</f>
        <v/>
      </c>
      <c r="O127" s="11" t="str">
        <f>IF(I127="","",O117-((1/'Proto 2013'!I148)*1000000))</f>
        <v/>
      </c>
    </row>
    <row r="128" spans="1:15" x14ac:dyDescent="0.25">
      <c r="A128" s="9" t="s">
        <v>15</v>
      </c>
      <c r="B128" s="9" t="s">
        <v>14</v>
      </c>
      <c r="C128" s="9" t="s">
        <v>12</v>
      </c>
      <c r="D128" s="12">
        <f>IF(D118="","",(D118-'2015'!D95)/'2015'!D95)</f>
        <v>-0.18530289896946933</v>
      </c>
      <c r="E128" s="12">
        <f>IF(E118="","",(E118-'2015'!E95)/'2015'!E95)</f>
        <v>-6.7053188807663228E-2</v>
      </c>
      <c r="F128" s="12">
        <f>IF(F118="","",(F118-'2015'!F95)/'2015'!F95)</f>
        <v>0.233502538071066</v>
      </c>
      <c r="G128" s="12" t="str">
        <f>IF(G118="","",(G118-'2014'!G118)/'2014'!G118)</f>
        <v/>
      </c>
      <c r="H128" s="12" t="str">
        <f>IF(H118="","",(H118-'2014'!H118)/'2014'!H118)</f>
        <v/>
      </c>
      <c r="I128" s="12" t="str">
        <f>IF(I118="","",(I118-'2014'!I118)/'2014'!I118)</f>
        <v/>
      </c>
      <c r="J128" s="11">
        <f>J118 - '2015'!J95</f>
        <v>21.906005316168503</v>
      </c>
      <c r="K128" s="11">
        <f>K118 - '2015'!K95</f>
        <v>9.0587934082225274</v>
      </c>
      <c r="L128" s="11">
        <f>L118 - '2015'!L95</f>
        <v>-45.757894977673146</v>
      </c>
      <c r="M128" s="11" t="str">
        <f>IF(G128="","",M118-((1/'Proto 2013'!G149)*1000000))</f>
        <v/>
      </c>
      <c r="N128" s="11" t="str">
        <f>IF(H128="","",N118-((1/'Proto 2013'!H149)*1000000))</f>
        <v/>
      </c>
      <c r="O128" s="11" t="str">
        <f>IF(I128="","",O118-((1/'Proto 2013'!I149)*1000000))</f>
        <v/>
      </c>
    </row>
    <row r="129" spans="1:15" x14ac:dyDescent="0.25">
      <c r="A129" s="9" t="s">
        <v>16</v>
      </c>
      <c r="B129" s="9" t="s">
        <v>17</v>
      </c>
      <c r="C129" s="9" t="s">
        <v>12</v>
      </c>
      <c r="D129" s="12">
        <f>IF(D119="","",(D119-'2015'!D96)/'2015'!D96)</f>
        <v>0.15580524344569288</v>
      </c>
      <c r="E129" s="12">
        <f>IF(E119="","",(E119-'2015'!E96)/'2015'!E96)</f>
        <v>0.13679428942245295</v>
      </c>
      <c r="F129" s="12">
        <f>IF(F119="","",(F119-'2015'!F96)/'2015'!F96)</f>
        <v>0.54716981132075471</v>
      </c>
      <c r="G129" s="12" t="str">
        <f>IF(G119="","",(G119-'2014'!G119)/'2014'!G119)</f>
        <v/>
      </c>
      <c r="H129" s="12" t="str">
        <f>IF(H119="","",(H119-'2014'!H119)/'2014'!H119)</f>
        <v/>
      </c>
      <c r="I129" s="12" t="str">
        <f>IF(I119="","",(I119-'2014'!I119)/'2014'!I119)</f>
        <v/>
      </c>
      <c r="J129" s="11">
        <f>J119 - '2015'!J96</f>
        <v>-16.829255070824459</v>
      </c>
      <c r="K129" s="11">
        <f>K119 - '2015'!K96</f>
        <v>-15.617569291295013</v>
      </c>
      <c r="L129" s="11">
        <f>L119 - '2015'!L96</f>
        <v>-85.548750988235554</v>
      </c>
      <c r="M129" s="11" t="str">
        <f>IF(G129="","",M119-((1/'Proto 2013'!G150)*1000000))</f>
        <v/>
      </c>
      <c r="N129" s="11" t="str">
        <f>IF(H129="","",N119-((1/'Proto 2013'!H150)*1000000))</f>
        <v/>
      </c>
      <c r="O129" s="11" t="str">
        <f>IF(I129="","",O119-((1/'Proto 2013'!I150)*1000000))</f>
        <v/>
      </c>
    </row>
    <row r="130" spans="1:15" x14ac:dyDescent="0.25">
      <c r="A130" s="9" t="s">
        <v>18</v>
      </c>
      <c r="B130" s="8" t="s">
        <v>19</v>
      </c>
      <c r="C130" s="9" t="s">
        <v>12</v>
      </c>
      <c r="D130" s="12">
        <f>IF(D120="","",(D120-'2015'!D97)/'2015'!D97)</f>
        <v>0.12247191011235956</v>
      </c>
      <c r="E130" s="12">
        <f>IF(E120="","",(E120-'2015'!E97)/'2015'!E97)</f>
        <v>5.0436205016357689E-3</v>
      </c>
      <c r="F130" s="12">
        <f>IF(F120="","",(F120-'2015'!F97)/'2015'!F97)</f>
        <v>0.48193939393939395</v>
      </c>
      <c r="G130" s="12" t="str">
        <f>IF(G120="","",(G120-'2014'!G120)/'2014'!G120)</f>
        <v/>
      </c>
      <c r="H130" s="12" t="str">
        <f>IF(H120="","",(H120-'2014'!H120)/'2014'!H120)</f>
        <v/>
      </c>
      <c r="I130" s="12" t="str">
        <f>IF(I120="","",(I120-'2014'!I120)/'2014'!I120)</f>
        <v/>
      </c>
      <c r="J130" s="11">
        <f>J120 - '2015'!J97</f>
        <v>-13.621611624108496</v>
      </c>
      <c r="K130" s="11">
        <f>K120 - '2015'!K97</f>
        <v>-0.68406625547754629</v>
      </c>
      <c r="L130" s="11">
        <f>L120 - '2015'!L97</f>
        <v>-78.838441671747717</v>
      </c>
      <c r="M130" s="11" t="str">
        <f>IF(G130="","",M120-((1/'Proto 2013'!G151)*1000000))</f>
        <v/>
      </c>
      <c r="N130" s="11" t="str">
        <f>IF(H130="","",N120-((1/'Proto 2013'!H151)*1000000))</f>
        <v/>
      </c>
      <c r="O130" s="11" t="str">
        <f>IF(I130="","",O120-((1/'Proto 2013'!I151)*1000000))</f>
        <v/>
      </c>
    </row>
    <row r="132" spans="1:15" ht="18.75" x14ac:dyDescent="0.25">
      <c r="A132" s="107" t="s">
        <v>51</v>
      </c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25"/>
    </row>
    <row r="133" spans="1:15" ht="15.75" x14ac:dyDescent="0.25">
      <c r="A133" s="109" t="s">
        <v>87</v>
      </c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26"/>
    </row>
    <row r="134" spans="1:15" x14ac:dyDescent="0.25">
      <c r="A134" s="105" t="s">
        <v>2</v>
      </c>
      <c r="B134" s="105"/>
      <c r="C134" s="105"/>
      <c r="D134" s="106" t="s">
        <v>3</v>
      </c>
      <c r="E134" s="106"/>
      <c r="F134" s="106"/>
      <c r="G134" s="106"/>
      <c r="H134" s="106"/>
      <c r="I134" s="106"/>
      <c r="J134" s="106" t="s">
        <v>4</v>
      </c>
      <c r="K134" s="106"/>
      <c r="L134" s="106"/>
      <c r="M134" s="106"/>
      <c r="N134" s="106"/>
      <c r="O134" s="106"/>
    </row>
    <row r="135" spans="1:15" x14ac:dyDescent="0.25">
      <c r="A135" s="6" t="s">
        <v>5</v>
      </c>
      <c r="B135" s="6" t="s">
        <v>6</v>
      </c>
      <c r="C135" s="6" t="s">
        <v>7</v>
      </c>
      <c r="D135" s="24">
        <v>1</v>
      </c>
      <c r="E135" s="24">
        <v>4</v>
      </c>
      <c r="F135" s="24">
        <v>16</v>
      </c>
      <c r="G135" s="7">
        <v>32</v>
      </c>
      <c r="H135" s="7">
        <v>64</v>
      </c>
      <c r="I135" s="7">
        <v>80</v>
      </c>
      <c r="J135" s="7">
        <v>1</v>
      </c>
      <c r="K135" s="7">
        <v>4</v>
      </c>
      <c r="L135" s="7">
        <v>16</v>
      </c>
      <c r="M135" s="7">
        <v>32</v>
      </c>
      <c r="N135" s="7">
        <v>64</v>
      </c>
      <c r="O135" s="7">
        <v>80</v>
      </c>
    </row>
    <row r="136" spans="1:15" x14ac:dyDescent="0.25">
      <c r="A136" s="8" t="s">
        <v>8</v>
      </c>
      <c r="B136" s="9" t="s">
        <v>9</v>
      </c>
      <c r="C136" s="22" t="s">
        <v>10</v>
      </c>
      <c r="D136" s="10">
        <v>51199</v>
      </c>
      <c r="E136" s="10">
        <v>22448</v>
      </c>
      <c r="F136" s="10">
        <v>6558</v>
      </c>
      <c r="G136" s="23"/>
      <c r="H136" s="10"/>
      <c r="I136" s="10"/>
      <c r="J136" s="11">
        <f>IF(D136="","",(1/D136)*1000000)</f>
        <v>19.531631477177289</v>
      </c>
      <c r="K136" s="11">
        <f t="shared" ref="K136:K141" si="36">IF(E136="","",(1/E136)*1000000)</f>
        <v>44.547398431931576</v>
      </c>
      <c r="L136" s="11">
        <f t="shared" ref="L136:L141" si="37">IF(F136="","",(1/F136)*1000000)</f>
        <v>152.48551387618176</v>
      </c>
      <c r="M136" s="11" t="str">
        <f t="shared" ref="M136:M141" si="38">IF(G136="","",(1/G136)*1000000)</f>
        <v/>
      </c>
      <c r="N136" s="11" t="str">
        <f t="shared" ref="N136:N141" si="39">IF(H136="","",(1/H136)*1000000)</f>
        <v/>
      </c>
      <c r="O136" s="11" t="str">
        <f t="shared" ref="O136:O141" si="40">IF(I136="","",(1/I136)*1000000)</f>
        <v/>
      </c>
    </row>
    <row r="137" spans="1:15" x14ac:dyDescent="0.25">
      <c r="A137" s="8" t="s">
        <v>11</v>
      </c>
      <c r="B137" s="9" t="s">
        <v>9</v>
      </c>
      <c r="C137" s="22" t="s">
        <v>12</v>
      </c>
      <c r="D137" s="10">
        <v>10534</v>
      </c>
      <c r="E137" s="10">
        <v>8554</v>
      </c>
      <c r="F137" s="10">
        <v>4441</v>
      </c>
      <c r="G137" s="23"/>
      <c r="H137" s="10"/>
      <c r="I137" s="10"/>
      <c r="J137" s="11">
        <f t="shared" ref="J137:J141" si="41">IF(D137="","",(1/D137)*1000000)</f>
        <v>94.930700588570346</v>
      </c>
      <c r="K137" s="11">
        <f t="shared" si="36"/>
        <v>116.90437222352116</v>
      </c>
      <c r="L137" s="11">
        <f t="shared" si="37"/>
        <v>225.17451024544022</v>
      </c>
      <c r="M137" s="11" t="str">
        <f t="shared" si="38"/>
        <v/>
      </c>
      <c r="N137" s="11" t="str">
        <f t="shared" si="39"/>
        <v/>
      </c>
      <c r="O137" s="11" t="str">
        <f t="shared" si="40"/>
        <v/>
      </c>
    </row>
    <row r="138" spans="1:15" x14ac:dyDescent="0.25">
      <c r="A138" s="9" t="s">
        <v>13</v>
      </c>
      <c r="B138" s="9" t="s">
        <v>14</v>
      </c>
      <c r="C138" s="22" t="s">
        <v>10</v>
      </c>
      <c r="D138" s="10">
        <v>41329</v>
      </c>
      <c r="E138" s="10">
        <v>16609</v>
      </c>
      <c r="F138" s="10">
        <v>5776</v>
      </c>
      <c r="G138" s="23"/>
      <c r="H138" s="10"/>
      <c r="I138" s="10"/>
      <c r="J138" s="11">
        <f t="shared" si="41"/>
        <v>24.196085073435121</v>
      </c>
      <c r="K138" s="11">
        <f t="shared" si="36"/>
        <v>60.208320789933168</v>
      </c>
      <c r="L138" s="11">
        <f t="shared" si="37"/>
        <v>173.13019390581718</v>
      </c>
      <c r="M138" s="11" t="str">
        <f t="shared" si="38"/>
        <v/>
      </c>
      <c r="N138" s="11" t="str">
        <f t="shared" si="39"/>
        <v/>
      </c>
      <c r="O138" s="11" t="str">
        <f t="shared" si="40"/>
        <v/>
      </c>
    </row>
    <row r="139" spans="1:15" x14ac:dyDescent="0.25">
      <c r="A139" s="9" t="s">
        <v>15</v>
      </c>
      <c r="B139" s="9" t="s">
        <v>14</v>
      </c>
      <c r="C139" s="22" t="s">
        <v>12</v>
      </c>
      <c r="D139" s="10">
        <v>10431</v>
      </c>
      <c r="E139" s="10">
        <v>7744</v>
      </c>
      <c r="F139" s="10">
        <v>4093</v>
      </c>
      <c r="G139" s="23"/>
      <c r="H139" s="10"/>
      <c r="I139" s="10"/>
      <c r="J139" s="11">
        <f t="shared" si="41"/>
        <v>95.868085514332279</v>
      </c>
      <c r="K139" s="11">
        <f t="shared" si="36"/>
        <v>129.13223140495867</v>
      </c>
      <c r="L139" s="11">
        <f t="shared" si="37"/>
        <v>244.31956999755681</v>
      </c>
      <c r="M139" s="11" t="str">
        <f t="shared" si="38"/>
        <v/>
      </c>
      <c r="N139" s="11" t="str">
        <f t="shared" si="39"/>
        <v/>
      </c>
      <c r="O139" s="11" t="str">
        <f t="shared" si="40"/>
        <v/>
      </c>
    </row>
    <row r="140" spans="1:15" x14ac:dyDescent="0.25">
      <c r="A140" s="9" t="s">
        <v>16</v>
      </c>
      <c r="B140" s="9" t="s">
        <v>17</v>
      </c>
      <c r="C140" s="22" t="s">
        <v>12</v>
      </c>
      <c r="D140" s="10">
        <v>9293</v>
      </c>
      <c r="E140" s="10">
        <v>7968</v>
      </c>
      <c r="F140" s="10">
        <v>4134</v>
      </c>
      <c r="G140" s="23"/>
      <c r="H140" s="10"/>
      <c r="I140" s="10"/>
      <c r="J140" s="11">
        <f t="shared" si="41"/>
        <v>107.60787689658883</v>
      </c>
      <c r="K140" s="11">
        <f t="shared" si="36"/>
        <v>125.5020080321285</v>
      </c>
      <c r="L140" s="11">
        <f t="shared" si="37"/>
        <v>241.89646831156264</v>
      </c>
      <c r="M140" s="11" t="str">
        <f t="shared" si="38"/>
        <v/>
      </c>
      <c r="N140" s="11" t="str">
        <f t="shared" si="39"/>
        <v/>
      </c>
      <c r="O140" s="11" t="str">
        <f t="shared" si="40"/>
        <v/>
      </c>
    </row>
    <row r="141" spans="1:15" x14ac:dyDescent="0.25">
      <c r="A141" s="9" t="s">
        <v>18</v>
      </c>
      <c r="B141" s="8" t="s">
        <v>19</v>
      </c>
      <c r="C141" s="26" t="s">
        <v>12</v>
      </c>
      <c r="D141" s="10">
        <v>8544</v>
      </c>
      <c r="E141" s="10">
        <v>7373</v>
      </c>
      <c r="F141" s="10">
        <v>4186</v>
      </c>
      <c r="G141" s="23"/>
      <c r="H141" s="10"/>
      <c r="I141" s="10"/>
      <c r="J141" s="11">
        <f t="shared" si="41"/>
        <v>117.04119850187266</v>
      </c>
      <c r="K141" s="11">
        <f t="shared" si="36"/>
        <v>135.6300013563</v>
      </c>
      <c r="L141" s="11">
        <f t="shared" si="37"/>
        <v>238.89154323936933</v>
      </c>
      <c r="M141" s="11" t="str">
        <f t="shared" si="38"/>
        <v/>
      </c>
      <c r="N141" s="11" t="str">
        <f t="shared" si="39"/>
        <v/>
      </c>
      <c r="O141" s="11" t="str">
        <f t="shared" si="40"/>
        <v/>
      </c>
    </row>
    <row r="142" spans="1:15" x14ac:dyDescent="0.25">
      <c r="A142" s="130" t="s">
        <v>88</v>
      </c>
      <c r="B142" s="130"/>
      <c r="C142" s="130"/>
      <c r="D142" s="130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</row>
    <row r="143" spans="1:15" ht="18.75" x14ac:dyDescent="0.3">
      <c r="A143" s="103" t="s">
        <v>65</v>
      </c>
      <c r="B143" s="104"/>
      <c r="C143" s="104"/>
      <c r="D143" s="104"/>
      <c r="E143" s="104"/>
      <c r="F143" s="104"/>
      <c r="G143" s="104"/>
      <c r="H143" s="104"/>
      <c r="I143" s="104"/>
      <c r="J143" s="1"/>
      <c r="K143" s="1"/>
      <c r="L143" s="1"/>
      <c r="M143" s="1"/>
      <c r="N143" s="1"/>
      <c r="O143" s="2"/>
    </row>
    <row r="144" spans="1:15" x14ac:dyDescent="0.25">
      <c r="A144" s="105" t="s">
        <v>2</v>
      </c>
      <c r="B144" s="105"/>
      <c r="C144" s="105"/>
      <c r="D144" s="106" t="s">
        <v>20</v>
      </c>
      <c r="E144" s="106"/>
      <c r="F144" s="106"/>
      <c r="G144" s="106"/>
      <c r="H144" s="106"/>
      <c r="I144" s="106"/>
      <c r="J144" s="106" t="s">
        <v>23</v>
      </c>
      <c r="K144" s="106"/>
      <c r="L144" s="106"/>
      <c r="M144" s="106"/>
      <c r="N144" s="106"/>
      <c r="O144" s="106"/>
    </row>
    <row r="145" spans="1:15" x14ac:dyDescent="0.25">
      <c r="A145" s="6" t="s">
        <v>5</v>
      </c>
      <c r="B145" s="6" t="s">
        <v>6</v>
      </c>
      <c r="C145" s="6" t="s">
        <v>7</v>
      </c>
      <c r="D145" s="7">
        <v>1</v>
      </c>
      <c r="E145" s="7">
        <v>4</v>
      </c>
      <c r="F145" s="7">
        <v>16</v>
      </c>
      <c r="G145" s="7">
        <v>32</v>
      </c>
      <c r="H145" s="7">
        <v>64</v>
      </c>
      <c r="I145" s="7">
        <v>80</v>
      </c>
      <c r="J145" s="7">
        <v>1</v>
      </c>
      <c r="K145" s="7">
        <v>4</v>
      </c>
      <c r="L145" s="7">
        <v>16</v>
      </c>
      <c r="M145" s="7">
        <v>32</v>
      </c>
      <c r="N145" s="7">
        <v>64</v>
      </c>
      <c r="O145" s="7">
        <v>80</v>
      </c>
    </row>
    <row r="146" spans="1:15" x14ac:dyDescent="0.25">
      <c r="A146" s="8" t="s">
        <v>8</v>
      </c>
      <c r="B146" s="9" t="s">
        <v>9</v>
      </c>
      <c r="C146" s="9" t="s">
        <v>10</v>
      </c>
      <c r="D146" s="12">
        <f>IF(D136="","",(D136-'2015'!D92)/'2015'!D92)</f>
        <v>0.10454555260716675</v>
      </c>
      <c r="E146" s="12">
        <f>IF(E136="","",(E136-'2015'!E92)/'2015'!E92)</f>
        <v>3.048108703635696E-2</v>
      </c>
      <c r="F146" s="12">
        <f>IF(F136="","",(F136-'2015'!F92)/'2015'!F92)</f>
        <v>3.0590394616090547E-3</v>
      </c>
      <c r="G146" s="12" t="str">
        <f>IF(G136="","",(G136-'2014'!G136)/'2014'!G136)</f>
        <v/>
      </c>
      <c r="H146" s="12" t="str">
        <f>IF(H136="","",(H136-'2014'!H136)/'2014'!H136)</f>
        <v/>
      </c>
      <c r="I146" s="12" t="str">
        <f>IF(I136="","",(I136-'2014'!I136)/'2014'!I136)</f>
        <v/>
      </c>
      <c r="J146" s="11">
        <f>J136 - '2015'!J92</f>
        <v>-2.0419452061010332</v>
      </c>
      <c r="K146" s="11">
        <f>K136 - '2015'!K92</f>
        <v>-1.3578531288469762</v>
      </c>
      <c r="L146" s="11">
        <f>L136 - '2015'!L92</f>
        <v>-0.46645920427098986</v>
      </c>
      <c r="M146" s="11" t="str">
        <f>IF(G146="","",M136-((1/'Proto 2013'!G167)*1000000))</f>
        <v/>
      </c>
      <c r="N146" s="11" t="str">
        <f>IF(H146="","",N136-((1/'Proto 2013'!H167)*1000000))</f>
        <v/>
      </c>
      <c r="O146" s="11" t="str">
        <f>IF(I146="","",O136-((1/'Proto 2013'!I167)*1000000))</f>
        <v/>
      </c>
    </row>
    <row r="147" spans="1:15" x14ac:dyDescent="0.25">
      <c r="A147" s="8" t="s">
        <v>11</v>
      </c>
      <c r="B147" s="9" t="s">
        <v>9</v>
      </c>
      <c r="C147" s="9" t="s">
        <v>12</v>
      </c>
      <c r="D147" s="12">
        <f>IF(D137="","",(D137-'2015'!D93)/'2015'!D93)</f>
        <v>-2.0457504184489491E-2</v>
      </c>
      <c r="E147" s="12">
        <f>IF(E137="","",(E137-'2015'!E93)/'2015'!E93)</f>
        <v>2.0763723150357995E-2</v>
      </c>
      <c r="F147" s="12">
        <f>IF(F137="","",(F137-'2015'!F93)/'2015'!F93)</f>
        <v>-2.2512381809995497E-4</v>
      </c>
      <c r="G147" s="12" t="str">
        <f>IF(G137="","",(G137-'2014'!G137)/'2014'!G137)</f>
        <v/>
      </c>
      <c r="H147" s="12" t="str">
        <f>IF(H137="","",(H137-'2014'!H137)/'2014'!H137)</f>
        <v/>
      </c>
      <c r="I147" s="12" t="str">
        <f>IF(I137="","",(I137-'2014'!I137)/'2014'!I137)</f>
        <v/>
      </c>
      <c r="J147" s="11">
        <f>J137 - '2015'!J93</f>
        <v>1.9420452045271901</v>
      </c>
      <c r="K147" s="11">
        <f>K137 - '2015'!K93</f>
        <v>-2.4273700199155854</v>
      </c>
      <c r="L147" s="11">
        <f>L137 - '2015'!L93</f>
        <v>5.0692145485243145E-2</v>
      </c>
      <c r="M147" s="11" t="str">
        <f>IF(G147="","",M137-((1/'Proto 2013'!G168)*1000000))</f>
        <v/>
      </c>
      <c r="N147" s="11" t="str">
        <f>IF(H147="","",N137-((1/'Proto 2013'!H168)*1000000))</f>
        <v/>
      </c>
      <c r="O147" s="11" t="str">
        <f>IF(I147="","",O137-((1/'Proto 2013'!I168)*1000000))</f>
        <v/>
      </c>
    </row>
    <row r="148" spans="1:15" x14ac:dyDescent="0.25">
      <c r="A148" s="9" t="s">
        <v>13</v>
      </c>
      <c r="B148" s="9" t="s">
        <v>14</v>
      </c>
      <c r="C148" s="9" t="s">
        <v>10</v>
      </c>
      <c r="D148" s="12">
        <f>IF(D138="","",(D138-'2015'!D94)/'2015'!D94)</f>
        <v>0</v>
      </c>
      <c r="E148" s="12">
        <f>IF(E138="","",(E138-'2015'!E94)/'2015'!E94)</f>
        <v>-7.8915261756876659E-2</v>
      </c>
      <c r="F148" s="12">
        <f>IF(F138="","",(F138-'2015'!F94)/'2015'!F94)</f>
        <v>7.4005206396429893E-2</v>
      </c>
      <c r="G148" s="12" t="str">
        <f>IF(G138="","",(G138-'2014'!G138)/'2014'!G138)</f>
        <v/>
      </c>
      <c r="H148" s="12" t="str">
        <f>IF(H138="","",(H138-'2014'!H138)/'2014'!H138)</f>
        <v/>
      </c>
      <c r="I148" s="12" t="str">
        <f>IF(I138="","",(I138-'2014'!I138)/'2014'!I138)</f>
        <v/>
      </c>
      <c r="J148" s="11">
        <f>J138 - '2015'!J94</f>
        <v>0</v>
      </c>
      <c r="K148" s="11">
        <f>K138 - '2015'!K94</f>
        <v>4.7513553950795711</v>
      </c>
      <c r="L148" s="11">
        <f>L138 - '2015'!L94</f>
        <v>-12.812535733453927</v>
      </c>
      <c r="M148" s="11" t="str">
        <f>IF(G148="","",M138-((1/'Proto 2013'!G169)*1000000))</f>
        <v/>
      </c>
      <c r="N148" s="11" t="str">
        <f>IF(H148="","",N138-((1/'Proto 2013'!H169)*1000000))</f>
        <v/>
      </c>
      <c r="O148" s="11" t="str">
        <f>IF(I148="","",O138-((1/'Proto 2013'!I169)*1000000))</f>
        <v/>
      </c>
    </row>
    <row r="149" spans="1:15" x14ac:dyDescent="0.25">
      <c r="A149" s="9" t="s">
        <v>15</v>
      </c>
      <c r="B149" s="9" t="s">
        <v>14</v>
      </c>
      <c r="C149" s="9" t="s">
        <v>12</v>
      </c>
      <c r="D149" s="12">
        <f>IF(D139="","",(D139-'2015'!D95)/'2015'!D95)</f>
        <v>4.6229413464316674E-3</v>
      </c>
      <c r="E149" s="12">
        <f>IF(E139="","",(E139-'2015'!E95)/'2015'!E95)</f>
        <v>-2.3947567431308294E-2</v>
      </c>
      <c r="F149" s="12">
        <f>IF(F139="","",(F139-'2015'!F95)/'2015'!F95)</f>
        <v>-1.0635726371766982E-2</v>
      </c>
      <c r="G149" s="12" t="str">
        <f>IF(G139="","",(G139-'2014'!G139)/'2014'!G139)</f>
        <v/>
      </c>
      <c r="H149" s="12" t="str">
        <f>IF(H139="","",(H139-'2014'!H139)/'2014'!H139)</f>
        <v/>
      </c>
      <c r="I149" s="12" t="str">
        <f>IF(I139="","",(I139-'2014'!I139)/'2014'!I139)</f>
        <v/>
      </c>
      <c r="J149" s="11">
        <f>J139 - '2015'!J95</f>
        <v>-0.4431925363274587</v>
      </c>
      <c r="K149" s="11">
        <f>K139 - '2015'!K95</f>
        <v>3.0924028191255388</v>
      </c>
      <c r="L149" s="11">
        <f>L139 - '2015'!L95</f>
        <v>2.5985160937617877</v>
      </c>
      <c r="M149" s="11" t="str">
        <f>IF(G149="","",M139-((1/'Proto 2013'!G170)*1000000))</f>
        <v/>
      </c>
      <c r="N149" s="11" t="str">
        <f>IF(H149="","",N139-((1/'Proto 2013'!H170)*1000000))</f>
        <v/>
      </c>
      <c r="O149" s="11" t="str">
        <f>IF(I149="","",O139-((1/'Proto 2013'!I170)*1000000))</f>
        <v/>
      </c>
    </row>
    <row r="150" spans="1:15" x14ac:dyDescent="0.25">
      <c r="A150" s="9" t="s">
        <v>16</v>
      </c>
      <c r="B150" s="9" t="s">
        <v>17</v>
      </c>
      <c r="C150" s="9" t="s">
        <v>12</v>
      </c>
      <c r="D150" s="12">
        <f>IF(D140="","",(D140-'2015'!D96)/'2015'!D96)</f>
        <v>0.16017478152309614</v>
      </c>
      <c r="E150" s="12">
        <f>IF(E140="","",(E140-'2015'!E96)/'2015'!E96)</f>
        <v>3.4133679428942243E-2</v>
      </c>
      <c r="F150" s="12">
        <f>IF(F140="","",(F140-'2015'!F96)/'2015'!F96)</f>
        <v>0</v>
      </c>
      <c r="G150" s="12" t="str">
        <f>IF(G140="","",(G140-'2014'!G140)/'2014'!G140)</f>
        <v/>
      </c>
      <c r="H150" s="12" t="str">
        <f>IF(H140="","",(H140-'2014'!H140)/'2014'!H140)</f>
        <v/>
      </c>
      <c r="I150" s="12" t="str">
        <f>IF(I140="","",(I140-'2014'!I140)/'2014'!I140)</f>
        <v/>
      </c>
      <c r="J150" s="11">
        <f>J140 - '2015'!J96</f>
        <v>-17.236068172075335</v>
      </c>
      <c r="K150" s="11">
        <f>K140 - '2015'!K96</f>
        <v>-4.2838453098572273</v>
      </c>
      <c r="L150" s="11">
        <f>L140 - '2015'!L96</f>
        <v>0</v>
      </c>
      <c r="M150" s="11" t="str">
        <f>IF(G150="","",M140-((1/'Proto 2013'!G171)*1000000))</f>
        <v/>
      </c>
      <c r="N150" s="11" t="str">
        <f>IF(H150="","",N140-((1/'Proto 2013'!H171)*1000000))</f>
        <v/>
      </c>
      <c r="O150" s="11" t="str">
        <f>IF(I150="","",O140-((1/'Proto 2013'!I171)*1000000))</f>
        <v/>
      </c>
    </row>
    <row r="151" spans="1:15" x14ac:dyDescent="0.25">
      <c r="A151" s="9" t="s">
        <v>18</v>
      </c>
      <c r="B151" s="8" t="s">
        <v>19</v>
      </c>
      <c r="C151" s="9" t="s">
        <v>12</v>
      </c>
      <c r="D151" s="12">
        <f>IF(D141="","",(D141-'2015'!D97)/'2015'!D97)</f>
        <v>6.6666666666666666E-2</v>
      </c>
      <c r="E151" s="12">
        <f>IF(E141="","",(E141-'2015'!E97)/'2015'!E97)</f>
        <v>5.0436205016357689E-3</v>
      </c>
      <c r="F151" s="12">
        <f>IF(F141="","",(F141-'2015'!F97)/'2015'!F97)</f>
        <v>1.4787878787878787E-2</v>
      </c>
      <c r="G151" s="12" t="str">
        <f>IF(G141="","",(G141-'2014'!G141)/'2014'!G141)</f>
        <v/>
      </c>
      <c r="H151" s="12" t="str">
        <f>IF(H141="","",(H141-'2014'!H141)/'2014'!H141)</f>
        <v/>
      </c>
      <c r="I151" s="12" t="str">
        <f>IF(I141="","",(I141-'2014'!I141)/'2014'!I141)</f>
        <v/>
      </c>
      <c r="J151" s="11">
        <f>J141 - '2015'!J97</f>
        <v>-7.8027465667915124</v>
      </c>
      <c r="K151" s="11">
        <f>K141 - '2015'!K97</f>
        <v>-0.68406625547754629</v>
      </c>
      <c r="L151" s="11">
        <f>L141 - '2015'!L97</f>
        <v>-3.5326991848730813</v>
      </c>
      <c r="M151" s="11" t="str">
        <f>IF(G151="","",M141-((1/'Proto 2013'!G172)*1000000))</f>
        <v/>
      </c>
      <c r="N151" s="11" t="str">
        <f>IF(H151="","",N141-((1/'Proto 2013'!H172)*1000000))</f>
        <v/>
      </c>
      <c r="O151" s="11" t="str">
        <f>IF(I151="","",O141-((1/'Proto 2013'!I172)*1000000))</f>
        <v/>
      </c>
    </row>
  </sheetData>
  <mergeCells count="67">
    <mergeCell ref="A142:O142"/>
    <mergeCell ref="A143:I143"/>
    <mergeCell ref="A144:C144"/>
    <mergeCell ref="D144:I144"/>
    <mergeCell ref="J144:O144"/>
    <mergeCell ref="A132:O132"/>
    <mergeCell ref="A133:O133"/>
    <mergeCell ref="A134:C134"/>
    <mergeCell ref="D134:I134"/>
    <mergeCell ref="J134:O134"/>
    <mergeCell ref="A98:O98"/>
    <mergeCell ref="A99:I99"/>
    <mergeCell ref="A100:C100"/>
    <mergeCell ref="D100:I100"/>
    <mergeCell ref="J100:O100"/>
    <mergeCell ref="A88:O88"/>
    <mergeCell ref="A89:O89"/>
    <mergeCell ref="A90:C90"/>
    <mergeCell ref="D90:I90"/>
    <mergeCell ref="J90:O90"/>
    <mergeCell ref="A44:I44"/>
    <mergeCell ref="A34:I34"/>
    <mergeCell ref="A35:C35"/>
    <mergeCell ref="D35:I35"/>
    <mergeCell ref="J35:O35"/>
    <mergeCell ref="A77:C77"/>
    <mergeCell ref="D77:I77"/>
    <mergeCell ref="J77:O77"/>
    <mergeCell ref="A65:O65"/>
    <mergeCell ref="A66:O66"/>
    <mergeCell ref="A75:O75"/>
    <mergeCell ref="A67:C67"/>
    <mergeCell ref="D67:I67"/>
    <mergeCell ref="J67:O67"/>
    <mergeCell ref="A76:I76"/>
    <mergeCell ref="A1:I1"/>
    <mergeCell ref="A2:I2"/>
    <mergeCell ref="A3:C3"/>
    <mergeCell ref="D3:I3"/>
    <mergeCell ref="J25:O25"/>
    <mergeCell ref="J3:O3"/>
    <mergeCell ref="A56:C56"/>
    <mergeCell ref="D56:I56"/>
    <mergeCell ref="J56:O56"/>
    <mergeCell ref="A12:I12"/>
    <mergeCell ref="A46:C46"/>
    <mergeCell ref="D46:I46"/>
    <mergeCell ref="J46:O46"/>
    <mergeCell ref="A55:I55"/>
    <mergeCell ref="A45:I45"/>
    <mergeCell ref="A13:C13"/>
    <mergeCell ref="D13:I13"/>
    <mergeCell ref="J13:O13"/>
    <mergeCell ref="A23:I23"/>
    <mergeCell ref="A24:I24"/>
    <mergeCell ref="A25:C25"/>
    <mergeCell ref="D25:I25"/>
    <mergeCell ref="A111:O111"/>
    <mergeCell ref="A112:O112"/>
    <mergeCell ref="A113:C113"/>
    <mergeCell ref="D113:I113"/>
    <mergeCell ref="J113:O113"/>
    <mergeCell ref="A121:O121"/>
    <mergeCell ref="A122:I122"/>
    <mergeCell ref="A123:C123"/>
    <mergeCell ref="D123:I123"/>
    <mergeCell ref="J123:O123"/>
  </mergeCells>
  <conditionalFormatting sqref="D15:I20">
    <cfRule type="colorScale" priority="1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7:I42">
    <cfRule type="colorScale" priority="1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8:I63">
    <cfRule type="colorScale" priority="1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8:I63">
    <cfRule type="colorScale" priority="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79:I84">
    <cfRule type="colorScale" priority="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79:I84">
    <cfRule type="colorScale" priority="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02:I107">
    <cfRule type="colorScale" priority="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02:I107">
    <cfRule type="colorScale" priority="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25:I130">
    <cfRule type="colorScale" priority="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25:I130">
    <cfRule type="colorScale" priority="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46:I151">
    <cfRule type="colorScale" priority="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46:I151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hyperlinks>
    <hyperlink ref="A11" r:id="rId1" location="Test_cRIO-Benchmark.lvproj%5CRT%20Target%5CAI-AO-FILE%5CTest_cRIO_AI-AO-FILE_01_INT." xr:uid="{00000000-0004-0000-0300-000000000000}"/>
    <hyperlink ref="A54" r:id="rId2" location="Test_cRIO-Benchmark.lvproj%5CRT%20Target%5CAI-AO%5CTest_cRIO_AI-AO_01_INT.vi" xr:uid="{00000000-0004-0000-0300-000001000000}"/>
    <hyperlink ref="A75:O75" r:id="rId3" display="Link to report : 9068_sp_online_poll_15.0rc1" xr:uid="{00000000-0004-0000-0300-000002000000}"/>
    <hyperlink ref="A98:O98" r:id="rId4" display="Link to report : 9068_sp_online_poll_15.0rc16" xr:uid="{00000000-0004-0000-0300-000003000000}"/>
    <hyperlink ref="A121:O121" r:id="rId5" display="Link to report : 9068_sp_online_poll_15.0.1a1" xr:uid="{00000000-0004-0000-0300-000004000000}"/>
    <hyperlink ref="A142:O142" r:id="rId6" display="Link to report : 9068_sp_online_poll_15.0.1rc0" xr:uid="{00000000-0004-0000-0300-000005000000}"/>
  </hyperlinks>
  <pageMargins left="0.7" right="0.7" top="0.75" bottom="0.75" header="0.3" footer="0.3"/>
  <pageSetup orientation="portrait"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44"/>
  <sheetViews>
    <sheetView workbookViewId="0">
      <selection activeCell="D34" sqref="D34:I34"/>
    </sheetView>
  </sheetViews>
  <sheetFormatPr defaultRowHeight="15" x14ac:dyDescent="0.25"/>
  <cols>
    <col min="10" max="10" width="9.85546875" bestFit="1" customWidth="1"/>
  </cols>
  <sheetData>
    <row r="1" spans="1:15" ht="18.75" x14ac:dyDescent="0.25">
      <c r="A1" s="107" t="s">
        <v>68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25"/>
    </row>
    <row r="2" spans="1:15" ht="15.75" x14ac:dyDescent="0.25">
      <c r="A2" s="109" t="s">
        <v>75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26"/>
    </row>
    <row r="3" spans="1:15" x14ac:dyDescent="0.25">
      <c r="A3" s="105" t="s">
        <v>2</v>
      </c>
      <c r="B3" s="105"/>
      <c r="C3" s="105"/>
      <c r="D3" s="106" t="s">
        <v>3</v>
      </c>
      <c r="E3" s="106"/>
      <c r="F3" s="106"/>
      <c r="G3" s="106"/>
      <c r="H3" s="106"/>
      <c r="I3" s="106"/>
      <c r="J3" s="106" t="s">
        <v>4</v>
      </c>
      <c r="K3" s="106"/>
      <c r="L3" s="106"/>
      <c r="M3" s="106"/>
      <c r="N3" s="106"/>
      <c r="O3" s="106"/>
    </row>
    <row r="4" spans="1:15" x14ac:dyDescent="0.25">
      <c r="A4" s="6" t="s">
        <v>5</v>
      </c>
      <c r="B4" s="6" t="s">
        <v>6</v>
      </c>
      <c r="C4" s="6" t="s">
        <v>7</v>
      </c>
      <c r="D4" s="24">
        <v>1</v>
      </c>
      <c r="E4" s="24">
        <v>4</v>
      </c>
      <c r="F4" s="24">
        <v>16</v>
      </c>
      <c r="G4" s="7">
        <v>32</v>
      </c>
      <c r="H4" s="7">
        <v>64</v>
      </c>
      <c r="I4" s="7">
        <v>80</v>
      </c>
      <c r="J4" s="7">
        <v>1</v>
      </c>
      <c r="K4" s="7">
        <v>4</v>
      </c>
      <c r="L4" s="7">
        <v>16</v>
      </c>
      <c r="M4" s="7">
        <v>32</v>
      </c>
      <c r="N4" s="7">
        <v>64</v>
      </c>
      <c r="O4" s="7">
        <v>80</v>
      </c>
    </row>
    <row r="5" spans="1:15" x14ac:dyDescent="0.25">
      <c r="A5" s="8" t="s">
        <v>8</v>
      </c>
      <c r="B5" s="9" t="s">
        <v>9</v>
      </c>
      <c r="C5" s="22" t="s">
        <v>10</v>
      </c>
      <c r="D5" s="10">
        <v>20576</v>
      </c>
      <c r="E5" s="10">
        <v>15648</v>
      </c>
      <c r="F5" s="10">
        <v>5943</v>
      </c>
      <c r="G5" s="23"/>
      <c r="H5" s="10"/>
      <c r="I5" s="10"/>
      <c r="J5" s="11">
        <f>IF(D5="","",(1/D5)*1000000)</f>
        <v>48.600311041990672</v>
      </c>
      <c r="K5" s="11">
        <f t="shared" ref="K5:K10" si="0">IF(E5="","",(1/E5)*1000000)</f>
        <v>63.905930470347656</v>
      </c>
      <c r="L5" s="11">
        <f t="shared" ref="L5:L10" si="1">IF(F5="","",(1/F5)*1000000)</f>
        <v>168.26518593303047</v>
      </c>
      <c r="M5" s="11" t="str">
        <f t="shared" ref="M5:M10" si="2">IF(G5="","",(1/G5)*1000000)</f>
        <v/>
      </c>
      <c r="N5" s="11" t="str">
        <f t="shared" ref="N5:N10" si="3">IF(H5="","",(1/H5)*1000000)</f>
        <v/>
      </c>
      <c r="O5" s="11" t="str">
        <f t="shared" ref="O5:O10" si="4">IF(I5="","",(1/I5)*1000000)</f>
        <v/>
      </c>
    </row>
    <row r="6" spans="1:15" x14ac:dyDescent="0.25">
      <c r="A6" s="8" t="s">
        <v>11</v>
      </c>
      <c r="B6" s="9" t="s">
        <v>9</v>
      </c>
      <c r="C6" s="22" t="s">
        <v>12</v>
      </c>
      <c r="D6" s="10">
        <v>1191</v>
      </c>
      <c r="E6" s="10">
        <v>6592</v>
      </c>
      <c r="F6" s="10">
        <v>3857</v>
      </c>
      <c r="G6" s="23"/>
      <c r="H6" s="10"/>
      <c r="I6" s="10"/>
      <c r="J6" s="11">
        <f t="shared" ref="J6:J10" si="5">IF(D6="","",(1/D6)*1000000)</f>
        <v>839.63056255247693</v>
      </c>
      <c r="K6" s="11">
        <f t="shared" si="0"/>
        <v>151.69902912621359</v>
      </c>
      <c r="L6" s="11">
        <f t="shared" si="1"/>
        <v>259.2688618096966</v>
      </c>
      <c r="M6" s="11" t="str">
        <f t="shared" si="2"/>
        <v/>
      </c>
      <c r="N6" s="11" t="str">
        <f t="shared" si="3"/>
        <v/>
      </c>
      <c r="O6" s="11" t="str">
        <f t="shared" si="4"/>
        <v/>
      </c>
    </row>
    <row r="7" spans="1:15" x14ac:dyDescent="0.25">
      <c r="A7" s="9" t="s">
        <v>13</v>
      </c>
      <c r="B7" s="9" t="s">
        <v>14</v>
      </c>
      <c r="C7" s="22" t="s">
        <v>10</v>
      </c>
      <c r="D7" s="10">
        <v>26417</v>
      </c>
      <c r="E7" s="10">
        <v>14409</v>
      </c>
      <c r="F7" s="10">
        <v>5331</v>
      </c>
      <c r="G7" s="23"/>
      <c r="H7" s="10"/>
      <c r="I7" s="10"/>
      <c r="J7" s="11">
        <f t="shared" si="5"/>
        <v>37.854411931710636</v>
      </c>
      <c r="K7" s="11">
        <f t="shared" si="0"/>
        <v>69.401068776459155</v>
      </c>
      <c r="L7" s="11">
        <f t="shared" si="1"/>
        <v>187.58206715438004</v>
      </c>
      <c r="M7" s="11" t="str">
        <f t="shared" si="2"/>
        <v/>
      </c>
      <c r="N7" s="11" t="str">
        <f t="shared" si="3"/>
        <v/>
      </c>
      <c r="O7" s="11" t="str">
        <f t="shared" si="4"/>
        <v/>
      </c>
    </row>
    <row r="8" spans="1:15" x14ac:dyDescent="0.25">
      <c r="A8" s="9" t="s">
        <v>15</v>
      </c>
      <c r="B8" s="9" t="s">
        <v>14</v>
      </c>
      <c r="C8" s="22" t="s">
        <v>12</v>
      </c>
      <c r="D8" s="10">
        <v>7927</v>
      </c>
      <c r="E8" s="10">
        <v>6275</v>
      </c>
      <c r="F8" s="10">
        <v>3633</v>
      </c>
      <c r="G8" s="23"/>
      <c r="H8" s="10"/>
      <c r="I8" s="10"/>
      <c r="J8" s="11">
        <f t="shared" si="5"/>
        <v>126.15112905260501</v>
      </c>
      <c r="K8" s="11">
        <f t="shared" si="0"/>
        <v>159.36254980079681</v>
      </c>
      <c r="L8" s="11">
        <f t="shared" si="1"/>
        <v>275.25461051472615</v>
      </c>
      <c r="M8" s="11" t="str">
        <f t="shared" si="2"/>
        <v/>
      </c>
      <c r="N8" s="11" t="str">
        <f t="shared" si="3"/>
        <v/>
      </c>
      <c r="O8" s="11" t="str">
        <f t="shared" si="4"/>
        <v/>
      </c>
    </row>
    <row r="9" spans="1:15" x14ac:dyDescent="0.25">
      <c r="A9" s="9" t="s">
        <v>16</v>
      </c>
      <c r="B9" s="9" t="s">
        <v>17</v>
      </c>
      <c r="C9" s="22" t="s">
        <v>12</v>
      </c>
      <c r="D9" s="10">
        <v>8172</v>
      </c>
      <c r="E9" s="10">
        <v>6421</v>
      </c>
      <c r="F9" s="10">
        <v>3683</v>
      </c>
      <c r="G9" s="23"/>
      <c r="H9" s="10"/>
      <c r="I9" s="10"/>
      <c r="J9" s="11">
        <f t="shared" si="5"/>
        <v>122.36906510034264</v>
      </c>
      <c r="K9" s="11">
        <f t="shared" si="0"/>
        <v>155.73898146706119</v>
      </c>
      <c r="L9" s="11">
        <f t="shared" si="1"/>
        <v>271.51778441487915</v>
      </c>
      <c r="M9" s="11" t="str">
        <f t="shared" si="2"/>
        <v/>
      </c>
      <c r="N9" s="11" t="str">
        <f t="shared" si="3"/>
        <v/>
      </c>
      <c r="O9" s="11" t="str">
        <f t="shared" si="4"/>
        <v/>
      </c>
    </row>
    <row r="10" spans="1:15" x14ac:dyDescent="0.25">
      <c r="A10" s="9" t="s">
        <v>18</v>
      </c>
      <c r="B10" s="8" t="s">
        <v>19</v>
      </c>
      <c r="C10" s="26" t="s">
        <v>12</v>
      </c>
      <c r="D10" s="10">
        <v>8094</v>
      </c>
      <c r="E10" s="10">
        <v>6453</v>
      </c>
      <c r="F10" s="10">
        <v>3673</v>
      </c>
      <c r="G10" s="23"/>
      <c r="H10" s="10"/>
      <c r="I10" s="10"/>
      <c r="J10" s="11">
        <f t="shared" si="5"/>
        <v>123.54830738818879</v>
      </c>
      <c r="K10" s="11">
        <f t="shared" si="0"/>
        <v>154.96668216333489</v>
      </c>
      <c r="L10" s="11">
        <f t="shared" si="1"/>
        <v>272.2570106180234</v>
      </c>
      <c r="M10" s="11" t="str">
        <f t="shared" si="2"/>
        <v/>
      </c>
      <c r="N10" s="11" t="str">
        <f t="shared" si="3"/>
        <v/>
      </c>
      <c r="O10" s="11" t="str">
        <f t="shared" si="4"/>
        <v/>
      </c>
    </row>
    <row r="11" spans="1:15" x14ac:dyDescent="0.25">
      <c r="A11" s="130" t="s">
        <v>79</v>
      </c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</row>
    <row r="12" spans="1:15" ht="18.75" x14ac:dyDescent="0.3">
      <c r="A12" s="103" t="s">
        <v>65</v>
      </c>
      <c r="B12" s="104"/>
      <c r="C12" s="104"/>
      <c r="D12" s="104"/>
      <c r="E12" s="104"/>
      <c r="F12" s="104"/>
      <c r="G12" s="104"/>
      <c r="H12" s="104"/>
      <c r="I12" s="104"/>
      <c r="J12" s="1"/>
      <c r="K12" s="1"/>
      <c r="L12" s="1"/>
      <c r="M12" s="1"/>
      <c r="N12" s="1"/>
      <c r="O12" s="2"/>
    </row>
    <row r="13" spans="1:15" x14ac:dyDescent="0.25">
      <c r="A13" s="105" t="s">
        <v>2</v>
      </c>
      <c r="B13" s="105"/>
      <c r="C13" s="105"/>
      <c r="D13" s="106" t="s">
        <v>20</v>
      </c>
      <c r="E13" s="106"/>
      <c r="F13" s="106"/>
      <c r="G13" s="106"/>
      <c r="H13" s="106"/>
      <c r="I13" s="106"/>
      <c r="J13" s="106" t="s">
        <v>23</v>
      </c>
      <c r="K13" s="106"/>
      <c r="L13" s="106"/>
      <c r="M13" s="106"/>
      <c r="N13" s="106"/>
      <c r="O13" s="106"/>
    </row>
    <row r="14" spans="1:15" x14ac:dyDescent="0.25">
      <c r="A14" s="6" t="s">
        <v>5</v>
      </c>
      <c r="B14" s="6" t="s">
        <v>6</v>
      </c>
      <c r="C14" s="6" t="s">
        <v>7</v>
      </c>
      <c r="D14" s="7">
        <v>1</v>
      </c>
      <c r="E14" s="7">
        <v>4</v>
      </c>
      <c r="F14" s="7">
        <v>16</v>
      </c>
      <c r="G14" s="7">
        <v>32</v>
      </c>
      <c r="H14" s="7">
        <v>64</v>
      </c>
      <c r="I14" s="7">
        <v>80</v>
      </c>
      <c r="J14" s="7">
        <v>1</v>
      </c>
      <c r="K14" s="7">
        <v>4</v>
      </c>
      <c r="L14" s="7">
        <v>16</v>
      </c>
      <c r="M14" s="7">
        <v>32</v>
      </c>
      <c r="N14" s="7">
        <v>64</v>
      </c>
      <c r="O14" s="7">
        <v>80</v>
      </c>
    </row>
    <row r="15" spans="1:15" x14ac:dyDescent="0.25">
      <c r="A15" s="8" t="s">
        <v>8</v>
      </c>
      <c r="B15" s="9" t="s">
        <v>9</v>
      </c>
      <c r="C15" s="9" t="s">
        <v>10</v>
      </c>
      <c r="D15" s="12">
        <f>IF(D5="","",(D5-'2015'!D92)/'2015'!D92)</f>
        <v>-0.55610208616486523</v>
      </c>
      <c r="E15" s="12">
        <f>IF(E5="","",(E5-'2015'!E92)/'2015'!E92)</f>
        <v>-0.28167462357693718</v>
      </c>
      <c r="F15" s="12">
        <f>IF(F5="","",(F5-'2015'!F92)/'2015'!F92)</f>
        <v>-9.1006423982869372E-2</v>
      </c>
      <c r="G15" s="12" t="str">
        <f>IF(G5="","",(G5-'2014'!#REF!)/'2014'!#REF!)</f>
        <v/>
      </c>
      <c r="H15" s="12" t="str">
        <f>IF(H5="","",(H5-'2014'!#REF!)/'2014'!#REF!)</f>
        <v/>
      </c>
      <c r="I15" s="12" t="str">
        <f>IF(I5="","",(I5-'2014'!#REF!)/'2014'!#REF!)</f>
        <v/>
      </c>
      <c r="J15" s="11">
        <f>J5 - '2015'!J92</f>
        <v>27.02673435871235</v>
      </c>
      <c r="K15" s="11">
        <f>K5 - '2015'!K92</f>
        <v>18.000678909569103</v>
      </c>
      <c r="L15" s="11">
        <f>L5 - '2015'!L92</f>
        <v>15.31321285257772</v>
      </c>
      <c r="M15" s="11" t="str">
        <f>IF(G15="","",M5-((1/'Proto 2013'!G15)*1000000))</f>
        <v/>
      </c>
      <c r="N15" s="11" t="str">
        <f>IF(H15="","",N5-((1/'Proto 2013'!H15)*1000000))</f>
        <v/>
      </c>
      <c r="O15" s="11" t="str">
        <f>IF(I15="","",O5-((1/'Proto 2013'!I15)*1000000))</f>
        <v/>
      </c>
    </row>
    <row r="16" spans="1:15" x14ac:dyDescent="0.25">
      <c r="A16" s="8" t="s">
        <v>11</v>
      </c>
      <c r="B16" s="9" t="s">
        <v>9</v>
      </c>
      <c r="C16" s="9" t="s">
        <v>12</v>
      </c>
      <c r="D16" s="12">
        <f>IF(D6="","",(D6-'2015'!D93)/'2015'!D93)</f>
        <v>-0.88925051143760458</v>
      </c>
      <c r="E16" s="12">
        <f>IF(E6="","",(E6-'2015'!E93)/'2015'!E93)</f>
        <v>-0.21336515513126492</v>
      </c>
      <c r="F16" s="12">
        <f>IF(F6="","",(F6-'2015'!F93)/'2015'!F93)</f>
        <v>-0.13169743358847366</v>
      </c>
      <c r="G16" s="12" t="str">
        <f>IF(G6="","",(G6-'2014'!#REF!)/'2014'!#REF!)</f>
        <v/>
      </c>
      <c r="H16" s="12" t="str">
        <f>IF(H6="","",(H6-'2014'!#REF!)/'2014'!#REF!)</f>
        <v/>
      </c>
      <c r="I16" s="12" t="str">
        <f>IF(I6="","",(I6-'2014'!#REF!)/'2014'!#REF!)</f>
        <v/>
      </c>
      <c r="J16" s="11">
        <f>J6 - '2015'!J93</f>
        <v>746.64190716843382</v>
      </c>
      <c r="K16" s="11">
        <f>K6 - '2015'!K93</f>
        <v>32.367286882776838</v>
      </c>
      <c r="L16" s="11">
        <f>L6 - '2015'!L93</f>
        <v>34.145043709741628</v>
      </c>
      <c r="M16" s="11" t="str">
        <f>IF(G16="","",M6-((1/'Proto 2013'!G16)*1000000))</f>
        <v/>
      </c>
      <c r="N16" s="11" t="str">
        <f>IF(H16="","",N6-((1/'Proto 2013'!H16)*1000000))</f>
        <v/>
      </c>
      <c r="O16" s="11" t="str">
        <f>IF(I16="","",O6-((1/'Proto 2013'!I16)*1000000))</f>
        <v/>
      </c>
    </row>
    <row r="17" spans="1:15" x14ac:dyDescent="0.25">
      <c r="A17" s="9" t="s">
        <v>13</v>
      </c>
      <c r="B17" s="9" t="s">
        <v>14</v>
      </c>
      <c r="C17" s="9" t="s">
        <v>10</v>
      </c>
      <c r="D17" s="12">
        <f>IF(D7="","",(D7-'2015'!D94)/'2015'!D94)</f>
        <v>-0.36081202061506445</v>
      </c>
      <c r="E17" s="12">
        <f>IF(E7="","",(E7-'2015'!E94)/'2015'!E94)</f>
        <v>-0.20092058562555457</v>
      </c>
      <c r="F17" s="12">
        <f>IF(F7="","",(F7-'2015'!F94)/'2015'!F94)</f>
        <v>-8.7393082930457416E-3</v>
      </c>
      <c r="G17" s="12" t="str">
        <f>IF(G7="","",(G7-'2014'!#REF!)/'2014'!#REF!)</f>
        <v/>
      </c>
      <c r="H17" s="12" t="str">
        <f>IF(H7="","",(H7-'2014'!#REF!)/'2014'!#REF!)</f>
        <v/>
      </c>
      <c r="I17" s="12" t="str">
        <f>IF(I7="","",(I7-'2014'!#REF!)/'2014'!#REF!)</f>
        <v/>
      </c>
      <c r="J17" s="11">
        <f>J7 - '2015'!J94</f>
        <v>13.658326858275515</v>
      </c>
      <c r="K17" s="11">
        <f>K7 - '2015'!K94</f>
        <v>13.944103381605558</v>
      </c>
      <c r="L17" s="11">
        <f>L7 - '2015'!L94</f>
        <v>1.6393375151089344</v>
      </c>
      <c r="M17" s="11" t="str">
        <f>IF(G17="","",M7-((1/'Proto 2013'!G17)*1000000))</f>
        <v/>
      </c>
      <c r="N17" s="11" t="str">
        <f>IF(H17="","",N7-((1/'Proto 2013'!H17)*1000000))</f>
        <v/>
      </c>
      <c r="O17" s="11" t="str">
        <f>IF(I17="","",O7-((1/'Proto 2013'!I17)*1000000))</f>
        <v/>
      </c>
    </row>
    <row r="18" spans="1:15" x14ac:dyDescent="0.25">
      <c r="A18" s="9" t="s">
        <v>15</v>
      </c>
      <c r="B18" s="9" t="s">
        <v>14</v>
      </c>
      <c r="C18" s="9" t="s">
        <v>12</v>
      </c>
      <c r="D18" s="12">
        <f>IF(D8="","",(D8-'2015'!D95)/'2015'!D95)</f>
        <v>-0.23654049889242029</v>
      </c>
      <c r="E18" s="12">
        <f>IF(E8="","",(E8-'2015'!E95)/'2015'!E95)</f>
        <v>-0.20910007562389715</v>
      </c>
      <c r="F18" s="12">
        <f>IF(F8="","",(F8-'2015'!F95)/'2015'!F95)</f>
        <v>-0.12182741116751269</v>
      </c>
      <c r="G18" s="12" t="str">
        <f>IF(G8="","",(G8-'2014'!#REF!)/'2014'!#REF!)</f>
        <v/>
      </c>
      <c r="H18" s="12" t="str">
        <f>IF(H8="","",(H8-'2014'!#REF!)/'2014'!#REF!)</f>
        <v/>
      </c>
      <c r="I18" s="12" t="str">
        <f>IF(I8="","",(I8-'2014'!#REF!)/'2014'!#REF!)</f>
        <v/>
      </c>
      <c r="J18" s="11">
        <f>J8 - '2015'!J95</f>
        <v>29.839851001945277</v>
      </c>
      <c r="K18" s="11">
        <f>K8 - '2015'!K95</f>
        <v>33.322721214963678</v>
      </c>
      <c r="L18" s="11">
        <f>L8 - '2015'!L95</f>
        <v>33.533556610931129</v>
      </c>
      <c r="M18" s="11" t="str">
        <f>IF(G18="","",M8-((1/'Proto 2013'!G18)*1000000))</f>
        <v/>
      </c>
      <c r="N18" s="11" t="str">
        <f>IF(H18="","",N8-((1/'Proto 2013'!H18)*1000000))</f>
        <v/>
      </c>
      <c r="O18" s="11" t="str">
        <f>IF(I18="","",O8-((1/'Proto 2013'!I18)*1000000))</f>
        <v/>
      </c>
    </row>
    <row r="19" spans="1:15" x14ac:dyDescent="0.25">
      <c r="A19" s="9" t="s">
        <v>16</v>
      </c>
      <c r="B19" s="9" t="s">
        <v>17</v>
      </c>
      <c r="C19" s="9" t="s">
        <v>12</v>
      </c>
      <c r="D19" s="12">
        <f>IF(D9="","",(D9-'2015'!D96)/'2015'!D96)</f>
        <v>2.0224719101123594E-2</v>
      </c>
      <c r="E19" s="12">
        <f>IF(E9="","",(E9-'2015'!E96)/'2015'!E96)</f>
        <v>-0.16664503569110967</v>
      </c>
      <c r="F19" s="12">
        <f>IF(F9="","",(F9-'2015'!F96)/'2015'!F96)</f>
        <v>-0.10909530720851475</v>
      </c>
      <c r="G19" s="12" t="str">
        <f>IF(G9="","",(G9-'2014'!#REF!)/'2014'!#REF!)</f>
        <v/>
      </c>
      <c r="H19" s="12" t="str">
        <f>IF(H9="","",(H9-'2014'!#REF!)/'2014'!#REF!)</f>
        <v/>
      </c>
      <c r="I19" s="12" t="str">
        <f>IF(I9="","",(I9-'2014'!#REF!)/'2014'!#REF!)</f>
        <v/>
      </c>
      <c r="J19" s="11">
        <f>J9 - '2015'!J96</f>
        <v>-2.474879968321531</v>
      </c>
      <c r="K19" s="11">
        <f>K9 - '2015'!K96</f>
        <v>25.953128125075466</v>
      </c>
      <c r="L19" s="11">
        <f>L9 - '2015'!L96</f>
        <v>29.621316103316502</v>
      </c>
      <c r="M19" s="11" t="str">
        <f>IF(G19="","",M9-((1/'Proto 2013'!G19)*1000000))</f>
        <v/>
      </c>
      <c r="N19" s="11" t="str">
        <f>IF(H19="","",N9-((1/'Proto 2013'!H19)*1000000))</f>
        <v/>
      </c>
      <c r="O19" s="11" t="str">
        <f>IF(I19="","",O9-((1/'Proto 2013'!I19)*1000000))</f>
        <v/>
      </c>
    </row>
    <row r="20" spans="1:15" x14ac:dyDescent="0.25">
      <c r="A20" s="9" t="s">
        <v>18</v>
      </c>
      <c r="B20" s="8" t="s">
        <v>19</v>
      </c>
      <c r="C20" s="9" t="s">
        <v>12</v>
      </c>
      <c r="D20" s="12">
        <f>IF(D10="","",(D10-'2015'!D97)/'2015'!D97)</f>
        <v>1.0486891385767791E-2</v>
      </c>
      <c r="E20" s="12">
        <f>IF(E10="","",(E10-'2015'!E97)/'2015'!E97)</f>
        <v>-0.12036532170119957</v>
      </c>
      <c r="F20" s="12">
        <f>IF(F10="","",(F10-'2015'!F97)/'2015'!F97)</f>
        <v>-0.10957575757575758</v>
      </c>
      <c r="G20" s="12" t="str">
        <f>IF(G10="","",(G10-'2014'!#REF!)/'2014'!#REF!)</f>
        <v/>
      </c>
      <c r="H20" s="12" t="str">
        <f>IF(H10="","",(H10-'2014'!#REF!)/'2014'!#REF!)</f>
        <v/>
      </c>
      <c r="I20" s="12" t="str">
        <f>IF(I10="","",(I10-'2014'!#REF!)/'2014'!#REF!)</f>
        <v/>
      </c>
      <c r="J20" s="11">
        <f>J10 - '2015'!J97</f>
        <v>-1.2956376804753802</v>
      </c>
      <c r="K20" s="11">
        <f>K10 - '2015'!K97</f>
        <v>18.652614551557349</v>
      </c>
      <c r="L20" s="11">
        <f>L10 - '2015'!L97</f>
        <v>29.832768193780993</v>
      </c>
      <c r="M20" s="11" t="str">
        <f>IF(G20="","",M10-((1/'Proto 2013'!G20)*1000000))</f>
        <v/>
      </c>
      <c r="N20" s="11" t="str">
        <f>IF(H20="","",N10-((1/'Proto 2013'!H20)*1000000))</f>
        <v/>
      </c>
      <c r="O20" s="11" t="str">
        <f>IF(I20="","",O10-((1/'Proto 2013'!I20)*1000000))</f>
        <v/>
      </c>
    </row>
    <row r="22" spans="1:15" ht="18.75" x14ac:dyDescent="0.25">
      <c r="A22" s="107" t="s">
        <v>68</v>
      </c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25"/>
    </row>
    <row r="23" spans="1:15" ht="15.75" x14ac:dyDescent="0.25">
      <c r="A23" s="109" t="s">
        <v>69</v>
      </c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26"/>
    </row>
    <row r="24" spans="1:15" x14ac:dyDescent="0.25">
      <c r="A24" s="105" t="s">
        <v>2</v>
      </c>
      <c r="B24" s="105"/>
      <c r="C24" s="105"/>
      <c r="D24" s="106" t="s">
        <v>3</v>
      </c>
      <c r="E24" s="106"/>
      <c r="F24" s="106"/>
      <c r="G24" s="106"/>
      <c r="H24" s="106"/>
      <c r="I24" s="106"/>
      <c r="J24" s="106" t="s">
        <v>4</v>
      </c>
      <c r="K24" s="106"/>
      <c r="L24" s="106"/>
      <c r="M24" s="106"/>
      <c r="N24" s="106"/>
      <c r="O24" s="106"/>
    </row>
    <row r="25" spans="1:15" x14ac:dyDescent="0.25">
      <c r="A25" s="6" t="s">
        <v>5</v>
      </c>
      <c r="B25" s="6" t="s">
        <v>6</v>
      </c>
      <c r="C25" s="6" t="s">
        <v>7</v>
      </c>
      <c r="D25" s="24">
        <v>1</v>
      </c>
      <c r="E25" s="24">
        <v>4</v>
      </c>
      <c r="F25" s="24">
        <v>16</v>
      </c>
      <c r="G25" s="7">
        <v>32</v>
      </c>
      <c r="H25" s="7">
        <v>64</v>
      </c>
      <c r="I25" s="7">
        <v>80</v>
      </c>
      <c r="J25" s="7">
        <v>1</v>
      </c>
      <c r="K25" s="7">
        <v>4</v>
      </c>
      <c r="L25" s="7">
        <v>16</v>
      </c>
      <c r="M25" s="7">
        <v>32</v>
      </c>
      <c r="N25" s="7">
        <v>64</v>
      </c>
      <c r="O25" s="7">
        <v>80</v>
      </c>
    </row>
    <row r="26" spans="1:15" x14ac:dyDescent="0.25">
      <c r="A26" s="8" t="s">
        <v>8</v>
      </c>
      <c r="B26" s="9" t="s">
        <v>9</v>
      </c>
      <c r="C26" s="22" t="s">
        <v>10</v>
      </c>
      <c r="D26" s="10">
        <v>25675</v>
      </c>
      <c r="E26" s="10">
        <v>15359</v>
      </c>
      <c r="F26" s="10">
        <v>4763</v>
      </c>
      <c r="G26" s="23"/>
      <c r="H26" s="10"/>
      <c r="I26" s="10"/>
      <c r="J26" s="11">
        <f>IF(D26="","",(1/D26)*1000000)</f>
        <v>38.948393378773126</v>
      </c>
      <c r="K26" s="11">
        <f t="shared" ref="K26:O31" si="6">IF(E26="","",(1/E26)*1000000)</f>
        <v>65.108405495149427</v>
      </c>
      <c r="L26" s="11">
        <f t="shared" si="6"/>
        <v>209.95171110644552</v>
      </c>
      <c r="M26" s="11" t="str">
        <f t="shared" si="6"/>
        <v/>
      </c>
      <c r="N26" s="11" t="str">
        <f t="shared" si="6"/>
        <v/>
      </c>
      <c r="O26" s="11" t="str">
        <f t="shared" si="6"/>
        <v/>
      </c>
    </row>
    <row r="27" spans="1:15" x14ac:dyDescent="0.25">
      <c r="A27" s="8" t="s">
        <v>11</v>
      </c>
      <c r="B27" s="9" t="s">
        <v>9</v>
      </c>
      <c r="C27" s="22" t="s">
        <v>12</v>
      </c>
      <c r="D27" s="10">
        <v>1191</v>
      </c>
      <c r="E27" s="10">
        <v>5934</v>
      </c>
      <c r="F27" s="10">
        <v>3555</v>
      </c>
      <c r="G27" s="23"/>
      <c r="H27" s="10"/>
      <c r="I27" s="10"/>
      <c r="J27" s="11">
        <f t="shared" ref="J27:J31" si="7">IF(D27="","",(1/D27)*1000000)</f>
        <v>839.63056255247693</v>
      </c>
      <c r="K27" s="11">
        <f t="shared" si="6"/>
        <v>168.52039096730704</v>
      </c>
      <c r="L27" s="11">
        <f t="shared" si="6"/>
        <v>281.29395218002816</v>
      </c>
      <c r="M27" s="11" t="str">
        <f t="shared" si="6"/>
        <v/>
      </c>
      <c r="N27" s="11" t="str">
        <f t="shared" si="6"/>
        <v/>
      </c>
      <c r="O27" s="11" t="str">
        <f t="shared" si="6"/>
        <v/>
      </c>
    </row>
    <row r="28" spans="1:15" x14ac:dyDescent="0.25">
      <c r="A28" s="9" t="s">
        <v>13</v>
      </c>
      <c r="B28" s="9" t="s">
        <v>14</v>
      </c>
      <c r="C28" s="22" t="s">
        <v>10</v>
      </c>
      <c r="D28" s="10">
        <v>18345</v>
      </c>
      <c r="E28" s="10">
        <v>13424</v>
      </c>
      <c r="F28" s="10">
        <v>5000</v>
      </c>
      <c r="G28" s="23"/>
      <c r="H28" s="10"/>
      <c r="I28" s="10"/>
      <c r="J28" s="11">
        <f t="shared" si="7"/>
        <v>54.510765876260564</v>
      </c>
      <c r="K28" s="11">
        <f t="shared" si="6"/>
        <v>74.493444576877238</v>
      </c>
      <c r="L28" s="11">
        <f t="shared" si="6"/>
        <v>200</v>
      </c>
      <c r="M28" s="11" t="str">
        <f t="shared" si="6"/>
        <v/>
      </c>
      <c r="N28" s="11" t="str">
        <f t="shared" si="6"/>
        <v/>
      </c>
      <c r="O28" s="11" t="str">
        <f t="shared" si="6"/>
        <v/>
      </c>
    </row>
    <row r="29" spans="1:15" x14ac:dyDescent="0.25">
      <c r="A29" s="9" t="s">
        <v>15</v>
      </c>
      <c r="B29" s="9" t="s">
        <v>14</v>
      </c>
      <c r="C29" s="22" t="s">
        <v>12</v>
      </c>
      <c r="D29" s="10">
        <v>6916</v>
      </c>
      <c r="E29" s="10">
        <v>5562</v>
      </c>
      <c r="F29" s="10">
        <v>3112</v>
      </c>
      <c r="G29" s="23"/>
      <c r="H29" s="10"/>
      <c r="I29" s="10"/>
      <c r="J29" s="11">
        <f t="shared" si="7"/>
        <v>144.59224985540774</v>
      </c>
      <c r="K29" s="11">
        <f t="shared" si="6"/>
        <v>179.79144192736425</v>
      </c>
      <c r="L29" s="11">
        <f t="shared" si="6"/>
        <v>321.33676092544982</v>
      </c>
      <c r="M29" s="11" t="str">
        <f t="shared" si="6"/>
        <v/>
      </c>
      <c r="N29" s="11" t="str">
        <f t="shared" si="6"/>
        <v/>
      </c>
      <c r="O29" s="11" t="str">
        <f t="shared" si="6"/>
        <v/>
      </c>
    </row>
    <row r="30" spans="1:15" x14ac:dyDescent="0.25">
      <c r="A30" s="9" t="s">
        <v>16</v>
      </c>
      <c r="B30" s="9" t="s">
        <v>17</v>
      </c>
      <c r="C30" s="22" t="s">
        <v>12</v>
      </c>
      <c r="D30" s="10">
        <v>7524</v>
      </c>
      <c r="E30" s="10">
        <v>6325</v>
      </c>
      <c r="F30" s="10">
        <v>3555</v>
      </c>
      <c r="G30" s="23"/>
      <c r="H30" s="10"/>
      <c r="I30" s="10"/>
      <c r="J30" s="11">
        <f t="shared" si="7"/>
        <v>132.90802764486975</v>
      </c>
      <c r="K30" s="11">
        <f t="shared" si="6"/>
        <v>158.10276679841897</v>
      </c>
      <c r="L30" s="11">
        <f t="shared" si="6"/>
        <v>281.29395218002816</v>
      </c>
      <c r="M30" s="11" t="str">
        <f t="shared" si="6"/>
        <v/>
      </c>
      <c r="N30" s="11" t="str">
        <f t="shared" si="6"/>
        <v/>
      </c>
      <c r="O30" s="11" t="str">
        <f t="shared" si="6"/>
        <v/>
      </c>
    </row>
    <row r="31" spans="1:15" x14ac:dyDescent="0.25">
      <c r="A31" s="9" t="s">
        <v>18</v>
      </c>
      <c r="B31" s="8" t="s">
        <v>19</v>
      </c>
      <c r="C31" s="26" t="s">
        <v>12</v>
      </c>
      <c r="D31" s="10">
        <v>7477</v>
      </c>
      <c r="E31" s="10">
        <v>6255</v>
      </c>
      <c r="F31" s="10">
        <v>3534</v>
      </c>
      <c r="G31" s="23"/>
      <c r="H31" s="10"/>
      <c r="I31" s="10"/>
      <c r="J31" s="11">
        <f t="shared" si="7"/>
        <v>133.74348000534974</v>
      </c>
      <c r="K31" s="11">
        <f t="shared" si="6"/>
        <v>159.87210231814549</v>
      </c>
      <c r="L31" s="11">
        <f t="shared" si="6"/>
        <v>282.96547821165819</v>
      </c>
      <c r="M31" s="11" t="str">
        <f t="shared" si="6"/>
        <v/>
      </c>
      <c r="N31" s="11" t="str">
        <f t="shared" si="6"/>
        <v/>
      </c>
      <c r="O31" s="11" t="str">
        <f t="shared" si="6"/>
        <v/>
      </c>
    </row>
    <row r="32" spans="1:15" x14ac:dyDescent="0.25">
      <c r="A32" s="130" t="s">
        <v>78</v>
      </c>
      <c r="B32" s="130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</row>
    <row r="33" spans="1:15" ht="18.75" x14ac:dyDescent="0.3">
      <c r="A33" s="103" t="s">
        <v>65</v>
      </c>
      <c r="B33" s="104"/>
      <c r="C33" s="104"/>
      <c r="D33" s="104"/>
      <c r="E33" s="104"/>
      <c r="F33" s="104"/>
      <c r="G33" s="104"/>
      <c r="H33" s="104"/>
      <c r="I33" s="104"/>
      <c r="J33" s="1"/>
      <c r="K33" s="1"/>
      <c r="L33" s="1"/>
      <c r="M33" s="1"/>
      <c r="N33" s="1"/>
      <c r="O33" s="2"/>
    </row>
    <row r="34" spans="1:15" x14ac:dyDescent="0.25">
      <c r="A34" s="105" t="s">
        <v>2</v>
      </c>
      <c r="B34" s="105"/>
      <c r="C34" s="105"/>
      <c r="D34" s="106" t="s">
        <v>20</v>
      </c>
      <c r="E34" s="106"/>
      <c r="F34" s="106"/>
      <c r="G34" s="106"/>
      <c r="H34" s="106"/>
      <c r="I34" s="106"/>
      <c r="J34" s="106" t="s">
        <v>23</v>
      </c>
      <c r="K34" s="106"/>
      <c r="L34" s="106"/>
      <c r="M34" s="106"/>
      <c r="N34" s="106"/>
      <c r="O34" s="106"/>
    </row>
    <row r="35" spans="1:15" x14ac:dyDescent="0.25">
      <c r="A35" s="6" t="s">
        <v>5</v>
      </c>
      <c r="B35" s="6" t="s">
        <v>6</v>
      </c>
      <c r="C35" s="6" t="s">
        <v>7</v>
      </c>
      <c r="D35" s="7">
        <v>1</v>
      </c>
      <c r="E35" s="7">
        <v>4</v>
      </c>
      <c r="F35" s="7">
        <v>16</v>
      </c>
      <c r="G35" s="7">
        <v>32</v>
      </c>
      <c r="H35" s="7">
        <v>64</v>
      </c>
      <c r="I35" s="7">
        <v>80</v>
      </c>
      <c r="J35" s="7">
        <v>1</v>
      </c>
      <c r="K35" s="7">
        <v>4</v>
      </c>
      <c r="L35" s="7">
        <v>16</v>
      </c>
      <c r="M35" s="7">
        <v>32</v>
      </c>
      <c r="N35" s="7">
        <v>64</v>
      </c>
      <c r="O35" s="7">
        <v>80</v>
      </c>
    </row>
    <row r="36" spans="1:15" x14ac:dyDescent="0.25">
      <c r="A36" s="8" t="s">
        <v>8</v>
      </c>
      <c r="B36" s="9" t="s">
        <v>9</v>
      </c>
      <c r="C36" s="9" t="s">
        <v>10</v>
      </c>
      <c r="D36" s="12">
        <f>IF(D26="","",(D26-'2015'!D92)/'2015'!D92)</f>
        <v>-0.44609841865682914</v>
      </c>
      <c r="E36" s="12">
        <f>IF(E26="","",(E26-'2015'!E92)/'2015'!E92)</f>
        <v>-0.2949412412780022</v>
      </c>
      <c r="F36" s="12">
        <f>IF(F26="","",(F26-'2015'!F92)/'2015'!F92)</f>
        <v>-0.27148975221780364</v>
      </c>
      <c r="G36" s="12" t="str">
        <f>IF(G26="","",(G26-'2014'!G5)/'2014'!G5)</f>
        <v/>
      </c>
      <c r="H36" s="12" t="str">
        <f>IF(H26="","",(H26-'2014'!H5)/'2014'!H5)</f>
        <v/>
      </c>
      <c r="I36" s="12" t="str">
        <f>IF(I26="","",(I26-'2014'!I5)/'2014'!I5)</f>
        <v/>
      </c>
      <c r="J36" s="11">
        <f>J26 - '2015'!J92</f>
        <v>17.374816695494804</v>
      </c>
      <c r="K36" s="11">
        <f>K26 - '2015'!K92</f>
        <v>19.203153934370874</v>
      </c>
      <c r="L36" s="11">
        <f>L26 - '2015'!L92</f>
        <v>56.99973802599277</v>
      </c>
      <c r="M36" s="11" t="str">
        <f>IF(G36="","",M26-((1/'Proto 2013'!G36)*1000000))</f>
        <v/>
      </c>
      <c r="N36" s="11" t="str">
        <f>IF(H36="","",N26-((1/'Proto 2013'!H36)*1000000))</f>
        <v/>
      </c>
      <c r="O36" s="11" t="str">
        <f>IF(I36="","",O26-((1/'Proto 2013'!I36)*1000000))</f>
        <v/>
      </c>
    </row>
    <row r="37" spans="1:15" x14ac:dyDescent="0.25">
      <c r="A37" s="8" t="s">
        <v>11</v>
      </c>
      <c r="B37" s="9" t="s">
        <v>9</v>
      </c>
      <c r="C37" s="9" t="s">
        <v>12</v>
      </c>
      <c r="D37" s="12">
        <f>IF(D27="","",(D27-'2015'!D93)/'2015'!D93)</f>
        <v>-0.88925051143760458</v>
      </c>
      <c r="E37" s="12">
        <f>IF(E27="","",(E27-'2015'!E93)/'2015'!E93)</f>
        <v>-0.29188544152744628</v>
      </c>
      <c r="F37" s="12">
        <f>IF(F27="","",(F27-'2015'!F93)/'2015'!F93)</f>
        <v>-0.19968482665466006</v>
      </c>
      <c r="G37" s="12" t="str">
        <f>IF(G27="","",(G27-'2014'!G6)/'2014'!G6)</f>
        <v/>
      </c>
      <c r="H37" s="12" t="str">
        <f>IF(H27="","",(H27-'2014'!H6)/'2014'!H6)</f>
        <v/>
      </c>
      <c r="I37" s="12" t="str">
        <f>IF(I27="","",(I27-'2014'!I6)/'2014'!I6)</f>
        <v/>
      </c>
      <c r="J37" s="11">
        <f>J27 - '2015'!J93</f>
        <v>746.64190716843382</v>
      </c>
      <c r="K37" s="11">
        <f>K27 - '2015'!K93</f>
        <v>49.188648723870287</v>
      </c>
      <c r="L37" s="11">
        <f>L27 - '2015'!L93</f>
        <v>56.170134080073183</v>
      </c>
      <c r="M37" s="11" t="str">
        <f>IF(G37="","",M27-((1/'Proto 2013'!G37)*1000000))</f>
        <v/>
      </c>
      <c r="N37" s="11" t="str">
        <f>IF(H37="","",N27-((1/'Proto 2013'!H37)*1000000))</f>
        <v/>
      </c>
      <c r="O37" s="11" t="str">
        <f>IF(I37="","",O27-((1/'Proto 2013'!I37)*1000000))</f>
        <v/>
      </c>
    </row>
    <row r="38" spans="1:15" x14ac:dyDescent="0.25">
      <c r="A38" s="9" t="s">
        <v>13</v>
      </c>
      <c r="B38" s="9" t="s">
        <v>14</v>
      </c>
      <c r="C38" s="9" t="s">
        <v>10</v>
      </c>
      <c r="D38" s="12">
        <f>IF(D28="","",(D28-'2015'!D94)/'2015'!D94)</f>
        <v>-0.55612281932783281</v>
      </c>
      <c r="E38" s="12">
        <f>IF(E28="","",(E28-'2015'!E94)/'2015'!E94)</f>
        <v>-0.25554569653948533</v>
      </c>
      <c r="F38" s="12">
        <f>IF(F28="","",(F28-'2015'!F94)/'2015'!F94)</f>
        <v>-7.0286351803644481E-2</v>
      </c>
      <c r="G38" s="12" t="str">
        <f>IF(G28="","",(G28-'2014'!G7)/'2014'!G7)</f>
        <v/>
      </c>
      <c r="H38" s="12" t="str">
        <f>IF(H28="","",(H28-'2014'!H7)/'2014'!H7)</f>
        <v/>
      </c>
      <c r="I38" s="12" t="str">
        <f>IF(I28="","",(I28-'2014'!I7)/'2014'!I7)</f>
        <v/>
      </c>
      <c r="J38" s="11">
        <f>J28 - '2015'!J94</f>
        <v>30.314680802825443</v>
      </c>
      <c r="K38" s="11">
        <f>K28 - '2015'!K94</f>
        <v>19.036479182023641</v>
      </c>
      <c r="L38" s="11">
        <f>L28 - '2015'!L94</f>
        <v>14.057270360728893</v>
      </c>
      <c r="M38" s="11" t="str">
        <f>IF(G38="","",M28-((1/'Proto 2013'!G38)*1000000))</f>
        <v/>
      </c>
      <c r="N38" s="11" t="str">
        <f>IF(H38="","",N28-((1/'Proto 2013'!H38)*1000000))</f>
        <v/>
      </c>
      <c r="O38" s="11" t="str">
        <f>IF(I38="","",O28-((1/'Proto 2013'!I38)*1000000))</f>
        <v/>
      </c>
    </row>
    <row r="39" spans="1:15" x14ac:dyDescent="0.25">
      <c r="A39" s="9" t="s">
        <v>15</v>
      </c>
      <c r="B39" s="9" t="s">
        <v>14</v>
      </c>
      <c r="C39" s="9" t="s">
        <v>12</v>
      </c>
      <c r="D39" s="12">
        <f>IF(D29="","",(D29-'2015'!D95)/'2015'!D95)</f>
        <v>-0.33391120100163729</v>
      </c>
      <c r="E39" s="12">
        <f>IF(E29="","",(E29-'2015'!E95)/'2015'!E95)</f>
        <v>-0.29896647340559618</v>
      </c>
      <c r="F39" s="12">
        <f>IF(F29="","",(F29-'2015'!F95)/'2015'!F95)</f>
        <v>-0.24776408025138991</v>
      </c>
      <c r="G39" s="12" t="str">
        <f>IF(G29="","",(G29-'2014'!G8)/'2014'!G8)</f>
        <v/>
      </c>
      <c r="H39" s="12" t="str">
        <f>IF(H29="","",(H29-'2014'!H8)/'2014'!H8)</f>
        <v/>
      </c>
      <c r="I39" s="12" t="str">
        <f>IF(I29="","",(I29-'2014'!I8)/'2014'!I8)</f>
        <v/>
      </c>
      <c r="J39" s="11">
        <f>J29 - '2015'!J95</f>
        <v>48.280971804748006</v>
      </c>
      <c r="K39" s="11">
        <f>K29 - '2015'!K95</f>
        <v>53.751613341531112</v>
      </c>
      <c r="L39" s="11">
        <f>L29 - '2015'!L95</f>
        <v>79.615707021654799</v>
      </c>
      <c r="M39" s="11" t="str">
        <f>IF(G39="","",M29-((1/'Proto 2013'!G39)*1000000))</f>
        <v/>
      </c>
      <c r="N39" s="11" t="str">
        <f>IF(H39="","",N29-((1/'Proto 2013'!H39)*1000000))</f>
        <v/>
      </c>
      <c r="O39" s="11" t="str">
        <f>IF(I39="","",O29-((1/'Proto 2013'!I39)*1000000))</f>
        <v/>
      </c>
    </row>
    <row r="40" spans="1:15" x14ac:dyDescent="0.25">
      <c r="A40" s="9" t="s">
        <v>16</v>
      </c>
      <c r="B40" s="9" t="s">
        <v>17</v>
      </c>
      <c r="C40" s="9" t="s">
        <v>12</v>
      </c>
      <c r="D40" s="12">
        <f>IF(D30="","",(D30-'2015'!D96)/'2015'!D96)</f>
        <v>-6.0674157303370786E-2</v>
      </c>
      <c r="E40" s="12">
        <f>IF(E30="","",(E30-'2015'!E96)/'2015'!E96)</f>
        <v>-0.17910447761194029</v>
      </c>
      <c r="F40" s="12">
        <f>IF(F30="","",(F30-'2015'!F96)/'2015'!F96)</f>
        <v>-0.14005805515239478</v>
      </c>
      <c r="G40" s="12" t="str">
        <f>IF(G30="","",(G30-'2014'!G9)/'2014'!G9)</f>
        <v/>
      </c>
      <c r="H40" s="12" t="str">
        <f>IF(H30="","",(H30-'2014'!H9)/'2014'!H9)</f>
        <v/>
      </c>
      <c r="I40" s="12" t="str">
        <f>IF(I30="","",(I30-'2014'!I9)/'2014'!I9)</f>
        <v/>
      </c>
      <c r="J40" s="11">
        <f>J30 - '2015'!J96</f>
        <v>8.0640825762055783</v>
      </c>
      <c r="K40" s="11">
        <f>K30 - '2015'!K96</f>
        <v>28.316913456433241</v>
      </c>
      <c r="L40" s="11">
        <f>L30 - '2015'!L96</f>
        <v>39.397483868465514</v>
      </c>
      <c r="M40" s="11" t="str">
        <f>IF(G40="","",M30-((1/'Proto 2013'!G40)*1000000))</f>
        <v/>
      </c>
      <c r="N40" s="11" t="str">
        <f>IF(H40="","",N30-((1/'Proto 2013'!H40)*1000000))</f>
        <v/>
      </c>
      <c r="O40" s="11" t="str">
        <f>IF(I40="","",O30-((1/'Proto 2013'!I40)*1000000))</f>
        <v/>
      </c>
    </row>
    <row r="41" spans="1:15" x14ac:dyDescent="0.25">
      <c r="A41" s="9" t="s">
        <v>18</v>
      </c>
      <c r="B41" s="8" t="s">
        <v>19</v>
      </c>
      <c r="C41" s="9" t="s">
        <v>12</v>
      </c>
      <c r="D41" s="12">
        <f>IF(D31="","",(D31-'2015'!D97)/'2015'!D97)</f>
        <v>-6.6541822721598004E-2</v>
      </c>
      <c r="E41" s="12">
        <f>IF(E31="","",(E31-'2015'!E97)/'2015'!E97)</f>
        <v>-0.14735550708833151</v>
      </c>
      <c r="F41" s="12">
        <f>IF(F31="","",(F31-'2015'!F97)/'2015'!F97)</f>
        <v>-0.14327272727272727</v>
      </c>
      <c r="G41" s="12" t="str">
        <f>IF(G31="","",(G31-'2014'!G10)/'2014'!G10)</f>
        <v/>
      </c>
      <c r="H41" s="12" t="str">
        <f>IF(H31="","",(H31-'2014'!H10)/'2014'!H10)</f>
        <v/>
      </c>
      <c r="I41" s="12" t="str">
        <f>IF(I31="","",(I31-'2014'!I10)/'2014'!I10)</f>
        <v/>
      </c>
      <c r="J41" s="11">
        <f>J31 - '2015'!J97</f>
        <v>8.8995349366855692</v>
      </c>
      <c r="K41" s="11">
        <f>K31 - '2015'!K97</f>
        <v>23.558034706367948</v>
      </c>
      <c r="L41" s="11">
        <f>L31 - '2015'!L97</f>
        <v>40.541235787415786</v>
      </c>
      <c r="M41" s="11" t="str">
        <f>IF(G41="","",M31-((1/'Proto 2013'!G41)*1000000))</f>
        <v/>
      </c>
      <c r="N41" s="11" t="str">
        <f>IF(H41="","",N31-((1/'Proto 2013'!H41)*1000000))</f>
        <v/>
      </c>
      <c r="O41" s="11" t="str">
        <f>IF(I41="","",O31-((1/'Proto 2013'!I41)*1000000))</f>
        <v/>
      </c>
    </row>
    <row r="42" spans="1:15" x14ac:dyDescent="0.25">
      <c r="A42" s="29"/>
      <c r="B42" s="30"/>
      <c r="C42" s="29"/>
      <c r="D42" s="31"/>
      <c r="E42" s="31"/>
      <c r="F42" s="31"/>
      <c r="G42" s="31"/>
      <c r="H42" s="31"/>
      <c r="I42" s="31"/>
      <c r="J42" s="32"/>
      <c r="K42" s="32"/>
      <c r="L42" s="32"/>
      <c r="M42" s="32"/>
      <c r="N42" s="32"/>
      <c r="O42" s="32"/>
    </row>
    <row r="43" spans="1:15" ht="18.75" x14ac:dyDescent="0.25">
      <c r="A43" s="107" t="s">
        <v>68</v>
      </c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25"/>
    </row>
    <row r="44" spans="1:15" ht="15.75" x14ac:dyDescent="0.25">
      <c r="A44" s="109" t="s">
        <v>76</v>
      </c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26"/>
    </row>
    <row r="45" spans="1:15" x14ac:dyDescent="0.25">
      <c r="A45" s="105" t="s">
        <v>2</v>
      </c>
      <c r="B45" s="105"/>
      <c r="C45" s="105"/>
      <c r="D45" s="106" t="s">
        <v>3</v>
      </c>
      <c r="E45" s="106"/>
      <c r="F45" s="106"/>
      <c r="G45" s="106"/>
      <c r="H45" s="106"/>
      <c r="I45" s="106"/>
      <c r="J45" s="106" t="s">
        <v>4</v>
      </c>
      <c r="K45" s="106"/>
      <c r="L45" s="106"/>
      <c r="M45" s="106"/>
      <c r="N45" s="106"/>
      <c r="O45" s="106"/>
    </row>
    <row r="46" spans="1:15" x14ac:dyDescent="0.25">
      <c r="A46" s="6" t="s">
        <v>5</v>
      </c>
      <c r="B46" s="6" t="s">
        <v>6</v>
      </c>
      <c r="C46" s="6" t="s">
        <v>7</v>
      </c>
      <c r="D46" s="24">
        <v>1</v>
      </c>
      <c r="E46" s="24">
        <v>4</v>
      </c>
      <c r="F46" s="24">
        <v>16</v>
      </c>
      <c r="G46" s="7">
        <v>32</v>
      </c>
      <c r="H46" s="7">
        <v>64</v>
      </c>
      <c r="I46" s="7">
        <v>80</v>
      </c>
      <c r="J46" s="7">
        <v>1</v>
      </c>
      <c r="K46" s="7">
        <v>4</v>
      </c>
      <c r="L46" s="7">
        <v>16</v>
      </c>
      <c r="M46" s="7">
        <v>32</v>
      </c>
      <c r="N46" s="7">
        <v>64</v>
      </c>
      <c r="O46" s="7">
        <v>80</v>
      </c>
    </row>
    <row r="47" spans="1:15" x14ac:dyDescent="0.25">
      <c r="A47" s="8" t="s">
        <v>8</v>
      </c>
      <c r="B47" s="9" t="s">
        <v>9</v>
      </c>
      <c r="C47" s="22" t="s">
        <v>10</v>
      </c>
      <c r="D47" s="10">
        <v>26825</v>
      </c>
      <c r="E47" s="10">
        <v>16593</v>
      </c>
      <c r="F47" s="10">
        <v>4763</v>
      </c>
      <c r="G47" s="23"/>
      <c r="H47" s="10"/>
      <c r="I47" s="10"/>
      <c r="J47" s="11">
        <f>IF(D47="","",(1/D47)*1000000)</f>
        <v>37.278657968313141</v>
      </c>
      <c r="K47" s="11">
        <f t="shared" ref="K47:K52" si="8">IF(E47="","",(1/E47)*1000000)</f>
        <v>60.266377388055204</v>
      </c>
      <c r="L47" s="11">
        <f t="shared" ref="L47:L52" si="9">IF(F47="","",(1/F47)*1000000)</f>
        <v>209.95171110644552</v>
      </c>
      <c r="M47" s="11" t="str">
        <f t="shared" ref="M47:M52" si="10">IF(G47="","",(1/G47)*1000000)</f>
        <v/>
      </c>
      <c r="N47" s="11" t="str">
        <f t="shared" ref="N47:N52" si="11">IF(H47="","",(1/H47)*1000000)</f>
        <v/>
      </c>
      <c r="O47" s="11" t="str">
        <f t="shared" ref="O47:O52" si="12">IF(I47="","",(1/I47)*1000000)</f>
        <v/>
      </c>
    </row>
    <row r="48" spans="1:15" x14ac:dyDescent="0.25">
      <c r="A48" s="8" t="s">
        <v>11</v>
      </c>
      <c r="B48" s="9" t="s">
        <v>9</v>
      </c>
      <c r="C48" s="22" t="s">
        <v>12</v>
      </c>
      <c r="D48" s="10">
        <v>1191</v>
      </c>
      <c r="E48" s="10">
        <v>6269</v>
      </c>
      <c r="F48" s="10">
        <v>3710</v>
      </c>
      <c r="G48" s="23"/>
      <c r="H48" s="10"/>
      <c r="I48" s="10"/>
      <c r="J48" s="11">
        <f t="shared" ref="J48:J52" si="13">IF(D48="","",(1/D48)*1000000)</f>
        <v>839.63056255247693</v>
      </c>
      <c r="K48" s="11">
        <f t="shared" si="8"/>
        <v>159.51507417450949</v>
      </c>
      <c r="L48" s="11">
        <f t="shared" si="9"/>
        <v>269.54177897574124</v>
      </c>
      <c r="M48" s="11" t="str">
        <f t="shared" si="10"/>
        <v/>
      </c>
      <c r="N48" s="11" t="str">
        <f t="shared" si="11"/>
        <v/>
      </c>
      <c r="O48" s="11" t="str">
        <f t="shared" si="12"/>
        <v/>
      </c>
    </row>
    <row r="49" spans="1:15" x14ac:dyDescent="0.25">
      <c r="A49" s="9" t="s">
        <v>13</v>
      </c>
      <c r="B49" s="9" t="s">
        <v>14</v>
      </c>
      <c r="C49" s="22" t="s">
        <v>10</v>
      </c>
      <c r="D49" s="10">
        <v>28701</v>
      </c>
      <c r="E49" s="10">
        <v>13381</v>
      </c>
      <c r="F49" s="10">
        <v>5146</v>
      </c>
      <c r="G49" s="23"/>
      <c r="H49" s="10"/>
      <c r="I49" s="10"/>
      <c r="J49" s="11">
        <f t="shared" si="13"/>
        <v>34.841991568238043</v>
      </c>
      <c r="K49" s="11">
        <f t="shared" si="8"/>
        <v>74.732830132277101</v>
      </c>
      <c r="L49" s="11">
        <f t="shared" si="9"/>
        <v>194.32568985619898</v>
      </c>
      <c r="M49" s="11" t="str">
        <f t="shared" si="10"/>
        <v/>
      </c>
      <c r="N49" s="11" t="str">
        <f t="shared" si="11"/>
        <v/>
      </c>
      <c r="O49" s="11" t="str">
        <f t="shared" si="12"/>
        <v/>
      </c>
    </row>
    <row r="50" spans="1:15" x14ac:dyDescent="0.25">
      <c r="A50" s="9" t="s">
        <v>15</v>
      </c>
      <c r="B50" s="9" t="s">
        <v>14</v>
      </c>
      <c r="C50" s="22" t="s">
        <v>12</v>
      </c>
      <c r="D50" s="10">
        <v>7681</v>
      </c>
      <c r="E50" s="10">
        <v>6034</v>
      </c>
      <c r="F50" s="10">
        <v>3467</v>
      </c>
      <c r="G50" s="23"/>
      <c r="H50" s="10"/>
      <c r="I50" s="10"/>
      <c r="J50" s="11">
        <f t="shared" si="13"/>
        <v>130.19138133055591</v>
      </c>
      <c r="K50" s="11">
        <f t="shared" si="8"/>
        <v>165.72754391779912</v>
      </c>
      <c r="L50" s="11">
        <f t="shared" si="9"/>
        <v>288.43380444188057</v>
      </c>
      <c r="M50" s="11" t="str">
        <f t="shared" si="10"/>
        <v/>
      </c>
      <c r="N50" s="11" t="str">
        <f t="shared" si="11"/>
        <v/>
      </c>
      <c r="O50" s="11" t="str">
        <f t="shared" si="12"/>
        <v/>
      </c>
    </row>
    <row r="51" spans="1:15" x14ac:dyDescent="0.25">
      <c r="A51" s="9" t="s">
        <v>16</v>
      </c>
      <c r="B51" s="9" t="s">
        <v>17</v>
      </c>
      <c r="C51" s="22" t="s">
        <v>12</v>
      </c>
      <c r="D51" s="10">
        <v>7315</v>
      </c>
      <c r="E51" s="10">
        <v>6318</v>
      </c>
      <c r="F51" s="10">
        <v>3538</v>
      </c>
      <c r="G51" s="23"/>
      <c r="H51" s="10"/>
      <c r="I51" s="10"/>
      <c r="J51" s="11">
        <f t="shared" si="13"/>
        <v>136.70539986329459</v>
      </c>
      <c r="K51" s="11">
        <f t="shared" si="8"/>
        <v>158.27793605571384</v>
      </c>
      <c r="L51" s="11">
        <f t="shared" si="9"/>
        <v>282.6455624646693</v>
      </c>
      <c r="M51" s="11" t="str">
        <f t="shared" si="10"/>
        <v/>
      </c>
      <c r="N51" s="11" t="str">
        <f t="shared" si="11"/>
        <v/>
      </c>
      <c r="O51" s="11" t="str">
        <f t="shared" si="12"/>
        <v/>
      </c>
    </row>
    <row r="52" spans="1:15" x14ac:dyDescent="0.25">
      <c r="A52" s="9" t="s">
        <v>18</v>
      </c>
      <c r="B52" s="8" t="s">
        <v>19</v>
      </c>
      <c r="C52" s="26" t="s">
        <v>12</v>
      </c>
      <c r="D52" s="10">
        <v>7197</v>
      </c>
      <c r="E52" s="10">
        <v>6161</v>
      </c>
      <c r="F52" s="10">
        <v>3512</v>
      </c>
      <c r="G52" s="23"/>
      <c r="H52" s="10"/>
      <c r="I52" s="10"/>
      <c r="J52" s="11">
        <f t="shared" si="13"/>
        <v>138.94678338196471</v>
      </c>
      <c r="K52" s="11">
        <f t="shared" si="8"/>
        <v>162.31131309852296</v>
      </c>
      <c r="L52" s="11">
        <f t="shared" si="9"/>
        <v>284.7380410022779</v>
      </c>
      <c r="M52" s="11" t="str">
        <f t="shared" si="10"/>
        <v/>
      </c>
      <c r="N52" s="11" t="str">
        <f t="shared" si="11"/>
        <v/>
      </c>
      <c r="O52" s="11" t="str">
        <f t="shared" si="12"/>
        <v/>
      </c>
    </row>
    <row r="53" spans="1:15" x14ac:dyDescent="0.25">
      <c r="A53" s="130" t="s">
        <v>77</v>
      </c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</row>
    <row r="54" spans="1:15" ht="18.75" x14ac:dyDescent="0.3">
      <c r="A54" s="103" t="s">
        <v>65</v>
      </c>
      <c r="B54" s="104"/>
      <c r="C54" s="104"/>
      <c r="D54" s="104"/>
      <c r="E54" s="104"/>
      <c r="F54" s="104"/>
      <c r="G54" s="104"/>
      <c r="H54" s="104"/>
      <c r="I54" s="104"/>
      <c r="J54" s="1"/>
      <c r="K54" s="1"/>
      <c r="L54" s="1"/>
      <c r="M54" s="1"/>
      <c r="N54" s="1"/>
      <c r="O54" s="2"/>
    </row>
    <row r="55" spans="1:15" x14ac:dyDescent="0.25">
      <c r="A55" s="105" t="s">
        <v>2</v>
      </c>
      <c r="B55" s="105"/>
      <c r="C55" s="105"/>
      <c r="D55" s="106" t="s">
        <v>20</v>
      </c>
      <c r="E55" s="106"/>
      <c r="F55" s="106"/>
      <c r="G55" s="106"/>
      <c r="H55" s="106"/>
      <c r="I55" s="106"/>
      <c r="J55" s="106" t="s">
        <v>23</v>
      </c>
      <c r="K55" s="106"/>
      <c r="L55" s="106"/>
      <c r="M55" s="106"/>
      <c r="N55" s="106"/>
      <c r="O55" s="106"/>
    </row>
    <row r="56" spans="1:15" x14ac:dyDescent="0.25">
      <c r="A56" s="6" t="s">
        <v>5</v>
      </c>
      <c r="B56" s="6" t="s">
        <v>6</v>
      </c>
      <c r="C56" s="6" t="s">
        <v>7</v>
      </c>
      <c r="D56" s="7">
        <v>1</v>
      </c>
      <c r="E56" s="7">
        <v>4</v>
      </c>
      <c r="F56" s="7">
        <v>16</v>
      </c>
      <c r="G56" s="7">
        <v>32</v>
      </c>
      <c r="H56" s="7">
        <v>64</v>
      </c>
      <c r="I56" s="7">
        <v>80</v>
      </c>
      <c r="J56" s="7">
        <v>1</v>
      </c>
      <c r="K56" s="7">
        <v>4</v>
      </c>
      <c r="L56" s="7">
        <v>16</v>
      </c>
      <c r="M56" s="7">
        <v>32</v>
      </c>
      <c r="N56" s="7">
        <v>64</v>
      </c>
      <c r="O56" s="7">
        <v>80</v>
      </c>
    </row>
    <row r="57" spans="1:15" x14ac:dyDescent="0.25">
      <c r="A57" s="8" t="s">
        <v>8</v>
      </c>
      <c r="B57" s="9" t="s">
        <v>9</v>
      </c>
      <c r="C57" s="9" t="s">
        <v>10</v>
      </c>
      <c r="D57" s="12">
        <f>IF(D47="","",(D47-'2015'!D92)/'2015'!D92)</f>
        <v>-0.42128880547105907</v>
      </c>
      <c r="E57" s="12">
        <f>IF(E47="","",(E47-'2015'!E92)/'2015'!E92)</f>
        <v>-0.23829416085200147</v>
      </c>
      <c r="F57" s="12">
        <f>IF(F47="","",(F47-'2015'!F92)/'2015'!F92)</f>
        <v>-0.27148975221780364</v>
      </c>
      <c r="G57" s="12" t="str">
        <f>IF(G47="","",(G47-'2014'!G26)/'2014'!G26)</f>
        <v/>
      </c>
      <c r="H57" s="12" t="str">
        <f>IF(H47="","",(H47-'2014'!H26)/'2014'!H26)</f>
        <v/>
      </c>
      <c r="I57" s="12" t="str">
        <f>IF(I47="","",(I47-'2014'!I26)/'2014'!I26)</f>
        <v/>
      </c>
      <c r="J57" s="11">
        <f>J47 - '2015'!J92</f>
        <v>15.705081285034819</v>
      </c>
      <c r="K57" s="11">
        <f>K47 - '2015'!K92</f>
        <v>14.361125827276652</v>
      </c>
      <c r="L57" s="11">
        <f>L47 - '2015'!L92</f>
        <v>56.99973802599277</v>
      </c>
      <c r="M57" s="11" t="str">
        <f>IF(G57="","",M47-((1/'Proto 2013'!G57)*1000000))</f>
        <v/>
      </c>
      <c r="N57" s="11" t="str">
        <f>IF(H57="","",N47-((1/'Proto 2013'!H57)*1000000))</f>
        <v/>
      </c>
      <c r="O57" s="11" t="str">
        <f>IF(I57="","",O47-((1/'Proto 2013'!I57)*1000000))</f>
        <v/>
      </c>
    </row>
    <row r="58" spans="1:15" x14ac:dyDescent="0.25">
      <c r="A58" s="8" t="s">
        <v>11</v>
      </c>
      <c r="B58" s="9" t="s">
        <v>9</v>
      </c>
      <c r="C58" s="9" t="s">
        <v>12</v>
      </c>
      <c r="D58" s="12">
        <f>IF(D48="","",(D48-'2015'!D93)/'2015'!D93)</f>
        <v>-0.88925051143760458</v>
      </c>
      <c r="E58" s="12">
        <f>IF(E48="","",(E48-'2015'!E93)/'2015'!E93)</f>
        <v>-0.25190930787589499</v>
      </c>
      <c r="F58" s="12">
        <f>IF(F48="","",(F48-'2015'!F93)/'2015'!F93)</f>
        <v>-0.16479063484916703</v>
      </c>
      <c r="G58" s="12" t="str">
        <f>IF(G48="","",(G48-'2014'!G27)/'2014'!G27)</f>
        <v/>
      </c>
      <c r="H58" s="12" t="str">
        <f>IF(H48="","",(H48-'2014'!H27)/'2014'!H27)</f>
        <v/>
      </c>
      <c r="I58" s="12" t="str">
        <f>IF(I48="","",(I48-'2014'!I27)/'2014'!I27)</f>
        <v/>
      </c>
      <c r="J58" s="11">
        <f>J48 - '2015'!J93</f>
        <v>746.64190716843382</v>
      </c>
      <c r="K58" s="11">
        <f>K48 - '2015'!K93</f>
        <v>40.183331931072743</v>
      </c>
      <c r="L58" s="11">
        <f>L48 - '2015'!L93</f>
        <v>44.417960875786264</v>
      </c>
      <c r="M58" s="11" t="str">
        <f>IF(G58="","",M48-((1/'Proto 2013'!G58)*1000000))</f>
        <v/>
      </c>
      <c r="N58" s="11" t="str">
        <f>IF(H58="","",N48-((1/'Proto 2013'!H58)*1000000))</f>
        <v/>
      </c>
      <c r="O58" s="11" t="str">
        <f>IF(I58="","",O48-((1/'Proto 2013'!I58)*1000000))</f>
        <v/>
      </c>
    </row>
    <row r="59" spans="1:15" x14ac:dyDescent="0.25">
      <c r="A59" s="9" t="s">
        <v>13</v>
      </c>
      <c r="B59" s="9" t="s">
        <v>14</v>
      </c>
      <c r="C59" s="9" t="s">
        <v>10</v>
      </c>
      <c r="D59" s="12">
        <f>IF(D49="","",(D49-'2015'!D94)/'2015'!D94)</f>
        <v>-0.30554816230733867</v>
      </c>
      <c r="E59" s="12">
        <f>IF(E49="","",(E49-'2015'!E94)/'2015'!E94)</f>
        <v>-0.25793034605146409</v>
      </c>
      <c r="F59" s="12">
        <f>IF(F49="","",(F49-'2015'!F94)/'2015'!F94)</f>
        <v>-4.3138713276310893E-2</v>
      </c>
      <c r="G59" s="12" t="str">
        <f>IF(G49="","",(G49-'2014'!G28)/'2014'!G28)</f>
        <v/>
      </c>
      <c r="H59" s="12" t="str">
        <f>IF(H49="","",(H49-'2014'!H28)/'2014'!H28)</f>
        <v/>
      </c>
      <c r="I59" s="12" t="str">
        <f>IF(I49="","",(I49-'2014'!I28)/'2014'!I28)</f>
        <v/>
      </c>
      <c r="J59" s="11">
        <f>J49 - '2015'!J94</f>
        <v>10.645906494802922</v>
      </c>
      <c r="K59" s="11">
        <f>K49 - '2015'!K94</f>
        <v>19.275864737423504</v>
      </c>
      <c r="L59" s="11">
        <f>L49 - '2015'!L94</f>
        <v>8.3829602169278701</v>
      </c>
      <c r="M59" s="11" t="str">
        <f>IF(G59="","",M49-((1/'Proto 2013'!G59)*1000000))</f>
        <v/>
      </c>
      <c r="N59" s="11" t="str">
        <f>IF(H59="","",N49-((1/'Proto 2013'!H59)*1000000))</f>
        <v/>
      </c>
      <c r="O59" s="11" t="str">
        <f>IF(I59="","",O49-((1/'Proto 2013'!I59)*1000000))</f>
        <v/>
      </c>
    </row>
    <row r="60" spans="1:15" x14ac:dyDescent="0.25">
      <c r="A60" s="9" t="s">
        <v>15</v>
      </c>
      <c r="B60" s="9" t="s">
        <v>14</v>
      </c>
      <c r="C60" s="9" t="s">
        <v>12</v>
      </c>
      <c r="D60" s="12">
        <f>IF(D50="","",(D50-'2015'!D95)/'2015'!D95)</f>
        <v>-0.26023307329288259</v>
      </c>
      <c r="E60" s="12">
        <f>IF(E50="","",(E50-'2015'!E95)/'2015'!E95)</f>
        <v>-0.23947567431308295</v>
      </c>
      <c r="F60" s="12">
        <f>IF(F50="","",(F50-'2015'!F95)/'2015'!F95)</f>
        <v>-0.16195310611554267</v>
      </c>
      <c r="G60" s="12" t="str">
        <f>IF(G50="","",(G50-'2014'!G29)/'2014'!G29)</f>
        <v/>
      </c>
      <c r="H60" s="12" t="str">
        <f>IF(H50="","",(H50-'2014'!H29)/'2014'!H29)</f>
        <v/>
      </c>
      <c r="I60" s="12" t="str">
        <f>IF(I50="","",(I50-'2014'!I29)/'2014'!I29)</f>
        <v/>
      </c>
      <c r="J60" s="11">
        <f>J50 - '2015'!J95</f>
        <v>33.880103279896176</v>
      </c>
      <c r="K60" s="11">
        <f>K50 - '2015'!K95</f>
        <v>39.68771533196599</v>
      </c>
      <c r="L60" s="11">
        <f>L50 - '2015'!L95</f>
        <v>46.712750538085544</v>
      </c>
      <c r="M60" s="11" t="str">
        <f>IF(G60="","",M50-((1/'Proto 2013'!G60)*1000000))</f>
        <v/>
      </c>
      <c r="N60" s="11" t="str">
        <f>IF(H60="","",N50-((1/'Proto 2013'!H60)*1000000))</f>
        <v/>
      </c>
      <c r="O60" s="11" t="str">
        <f>IF(I60="","",O50-((1/'Proto 2013'!I60)*1000000))</f>
        <v/>
      </c>
    </row>
    <row r="61" spans="1:15" x14ac:dyDescent="0.25">
      <c r="A61" s="9" t="s">
        <v>16</v>
      </c>
      <c r="B61" s="9" t="s">
        <v>17</v>
      </c>
      <c r="C61" s="9" t="s">
        <v>12</v>
      </c>
      <c r="D61" s="12">
        <f>IF(D51="","",(D51-'2015'!D96)/'2015'!D96)</f>
        <v>-8.6766541822721602E-2</v>
      </c>
      <c r="E61" s="12">
        <f>IF(E51="","",(E51-'2015'!E96)/'2015'!E96)</f>
        <v>-0.18001297858533419</v>
      </c>
      <c r="F61" s="12">
        <f>IF(F51="","",(F51-'2015'!F96)/'2015'!F96)</f>
        <v>-0.14417029511369134</v>
      </c>
      <c r="G61" s="12" t="str">
        <f>IF(G51="","",(G51-'2014'!G30)/'2014'!G30)</f>
        <v/>
      </c>
      <c r="H61" s="12" t="str">
        <f>IF(H51="","",(H51-'2014'!H30)/'2014'!H30)</f>
        <v/>
      </c>
      <c r="I61" s="12" t="str">
        <f>IF(I51="","",(I51-'2014'!I30)/'2014'!I30)</f>
        <v/>
      </c>
      <c r="J61" s="11">
        <f>J51 - '2015'!J96</f>
        <v>11.861454794630419</v>
      </c>
      <c r="K61" s="11">
        <f>K51 - '2015'!K96</f>
        <v>28.492082713728109</v>
      </c>
      <c r="L61" s="11">
        <f>L51 - '2015'!L96</f>
        <v>40.749094153106654</v>
      </c>
      <c r="M61" s="11" t="str">
        <f>IF(G61="","",M51-((1/'Proto 2013'!G61)*1000000))</f>
        <v/>
      </c>
      <c r="N61" s="11" t="str">
        <f>IF(H61="","",N51-((1/'Proto 2013'!H61)*1000000))</f>
        <v/>
      </c>
      <c r="O61" s="11" t="str">
        <f>IF(I61="","",O51-((1/'Proto 2013'!I61)*1000000))</f>
        <v/>
      </c>
    </row>
    <row r="62" spans="1:15" x14ac:dyDescent="0.25">
      <c r="A62" s="9" t="s">
        <v>18</v>
      </c>
      <c r="B62" s="8" t="s">
        <v>19</v>
      </c>
      <c r="C62" s="9" t="s">
        <v>12</v>
      </c>
      <c r="D62" s="12">
        <f>IF(D52="","",(D52-'2015'!D97)/'2015'!D97)</f>
        <v>-0.10149812734082397</v>
      </c>
      <c r="E62" s="12">
        <f>IF(E52="","",(E52-'2015'!E97)/'2015'!E97)</f>
        <v>-0.1601690294438386</v>
      </c>
      <c r="F62" s="12">
        <f>IF(F52="","",(F52-'2015'!F97)/'2015'!F97)</f>
        <v>-0.1486060606060606</v>
      </c>
      <c r="G62" s="12" t="str">
        <f>IF(G52="","",(G52-'2014'!G31)/'2014'!G31)</f>
        <v/>
      </c>
      <c r="H62" s="12" t="str">
        <f>IF(H52="","",(H52-'2014'!H31)/'2014'!H31)</f>
        <v/>
      </c>
      <c r="I62" s="12" t="str">
        <f>IF(I52="","",(I52-'2014'!I31)/'2014'!I31)</f>
        <v/>
      </c>
      <c r="J62" s="11">
        <f>J52 - '2015'!J97</f>
        <v>14.102838313300538</v>
      </c>
      <c r="K62" s="11">
        <f>K52 - '2015'!K97</f>
        <v>25.997245486745413</v>
      </c>
      <c r="L62" s="11">
        <f>L52 - '2015'!L97</f>
        <v>42.313798578035488</v>
      </c>
      <c r="M62" s="11" t="str">
        <f>IF(G62="","",M52-((1/'Proto 2013'!G62)*1000000))</f>
        <v/>
      </c>
      <c r="N62" s="11" t="str">
        <f>IF(H62="","",N52-((1/'Proto 2013'!H62)*1000000))</f>
        <v/>
      </c>
      <c r="O62" s="11" t="str">
        <f>IF(I62="","",O52-((1/'Proto 2013'!I62)*1000000))</f>
        <v/>
      </c>
    </row>
    <row r="64" spans="1:15" ht="18.75" x14ac:dyDescent="0.25">
      <c r="A64" s="107" t="s">
        <v>68</v>
      </c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25"/>
    </row>
    <row r="65" spans="1:15" ht="15.75" x14ac:dyDescent="0.25">
      <c r="A65" s="109" t="s">
        <v>70</v>
      </c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26"/>
    </row>
    <row r="66" spans="1:15" x14ac:dyDescent="0.25">
      <c r="A66" s="105" t="s">
        <v>2</v>
      </c>
      <c r="B66" s="105"/>
      <c r="C66" s="105"/>
      <c r="D66" s="106" t="s">
        <v>3</v>
      </c>
      <c r="E66" s="106"/>
      <c r="F66" s="106"/>
      <c r="G66" s="106"/>
      <c r="H66" s="106"/>
      <c r="I66" s="106"/>
      <c r="J66" s="106" t="s">
        <v>4</v>
      </c>
      <c r="K66" s="106"/>
      <c r="L66" s="106"/>
      <c r="M66" s="106"/>
      <c r="N66" s="106"/>
      <c r="O66" s="106"/>
    </row>
    <row r="67" spans="1:15" x14ac:dyDescent="0.25">
      <c r="A67" s="6" t="s">
        <v>5</v>
      </c>
      <c r="B67" s="6" t="s">
        <v>6</v>
      </c>
      <c r="C67" s="6" t="s">
        <v>7</v>
      </c>
      <c r="D67" s="24">
        <v>1</v>
      </c>
      <c r="E67" s="24">
        <v>4</v>
      </c>
      <c r="F67" s="24">
        <v>16</v>
      </c>
      <c r="G67" s="7">
        <v>32</v>
      </c>
      <c r="H67" s="7">
        <v>64</v>
      </c>
      <c r="I67" s="7">
        <v>80</v>
      </c>
      <c r="J67" s="7">
        <v>1</v>
      </c>
      <c r="K67" s="7">
        <v>4</v>
      </c>
      <c r="L67" s="7">
        <v>16</v>
      </c>
      <c r="M67" s="7">
        <v>32</v>
      </c>
      <c r="N67" s="7">
        <v>64</v>
      </c>
      <c r="O67" s="7">
        <v>80</v>
      </c>
    </row>
    <row r="68" spans="1:15" x14ac:dyDescent="0.25">
      <c r="A68" s="8" t="s">
        <v>8</v>
      </c>
      <c r="B68" s="9" t="s">
        <v>9</v>
      </c>
      <c r="C68" s="22" t="s">
        <v>10</v>
      </c>
      <c r="D68" s="10">
        <v>46885</v>
      </c>
      <c r="E68" s="10">
        <v>20740</v>
      </c>
      <c r="F68" s="10">
        <v>6188</v>
      </c>
      <c r="G68" s="23"/>
      <c r="H68" s="10"/>
      <c r="I68" s="10"/>
      <c r="J68" s="11">
        <f>IF(D68="","",(1/D68)*1000000)</f>
        <v>21.328783192918845</v>
      </c>
      <c r="K68" s="11">
        <f t="shared" ref="K68:K73" si="14">IF(E68="","",(1/E68)*1000000)</f>
        <v>48.216007714561236</v>
      </c>
      <c r="L68" s="11">
        <f t="shared" ref="L68:L73" si="15">IF(F68="","",(1/F68)*1000000)</f>
        <v>161.60310277957336</v>
      </c>
      <c r="M68" s="11" t="str">
        <f t="shared" ref="M68:M73" si="16">IF(G68="","",(1/G68)*1000000)</f>
        <v/>
      </c>
      <c r="N68" s="11" t="str">
        <f t="shared" ref="N68:N73" si="17">IF(H68="","",(1/H68)*1000000)</f>
        <v/>
      </c>
      <c r="O68" s="11" t="str">
        <f t="shared" ref="O68:O73" si="18">IF(I68="","",(1/I68)*1000000)</f>
        <v/>
      </c>
    </row>
    <row r="69" spans="1:15" x14ac:dyDescent="0.25">
      <c r="A69" s="8" t="s">
        <v>11</v>
      </c>
      <c r="B69" s="9" t="s">
        <v>9</v>
      </c>
      <c r="C69" s="22" t="s">
        <v>12</v>
      </c>
      <c r="D69" s="10">
        <v>1191</v>
      </c>
      <c r="E69" s="10">
        <v>7017</v>
      </c>
      <c r="F69" s="10">
        <v>3931</v>
      </c>
      <c r="G69" s="23"/>
      <c r="H69" s="10"/>
      <c r="I69" s="10"/>
      <c r="J69" s="11">
        <f t="shared" ref="J69:J73" si="19">IF(D69="","",(1/D69)*1000000)</f>
        <v>839.63056255247693</v>
      </c>
      <c r="K69" s="11">
        <f t="shared" si="14"/>
        <v>142.51104460595695</v>
      </c>
      <c r="L69" s="11">
        <f t="shared" si="15"/>
        <v>254.3881963876876</v>
      </c>
      <c r="M69" s="11" t="str">
        <f t="shared" si="16"/>
        <v/>
      </c>
      <c r="N69" s="11" t="str">
        <f t="shared" si="17"/>
        <v/>
      </c>
      <c r="O69" s="11" t="str">
        <f t="shared" si="18"/>
        <v/>
      </c>
    </row>
    <row r="70" spans="1:15" x14ac:dyDescent="0.25">
      <c r="A70" s="9" t="s">
        <v>13</v>
      </c>
      <c r="B70" s="9" t="s">
        <v>14</v>
      </c>
      <c r="C70" s="22" t="s">
        <v>10</v>
      </c>
      <c r="D70" s="10">
        <v>31701</v>
      </c>
      <c r="E70" s="10">
        <v>15660</v>
      </c>
      <c r="F70" s="10">
        <v>5330</v>
      </c>
      <c r="G70" s="23"/>
      <c r="H70" s="10"/>
      <c r="I70" s="10"/>
      <c r="J70" s="11">
        <f t="shared" si="19"/>
        <v>31.544746222516643</v>
      </c>
      <c r="K70" s="11">
        <f t="shared" si="14"/>
        <v>63.85696040868455</v>
      </c>
      <c r="L70" s="11">
        <f t="shared" si="15"/>
        <v>187.61726078799251</v>
      </c>
      <c r="M70" s="11" t="str">
        <f t="shared" si="16"/>
        <v/>
      </c>
      <c r="N70" s="11" t="str">
        <f t="shared" si="17"/>
        <v/>
      </c>
      <c r="O70" s="11" t="str">
        <f t="shared" si="18"/>
        <v/>
      </c>
    </row>
    <row r="71" spans="1:15" x14ac:dyDescent="0.25">
      <c r="A71" s="9" t="s">
        <v>15</v>
      </c>
      <c r="B71" s="9" t="s">
        <v>14</v>
      </c>
      <c r="C71" s="22" t="s">
        <v>12</v>
      </c>
      <c r="D71" s="10">
        <v>8498</v>
      </c>
      <c r="E71" s="10">
        <v>6421</v>
      </c>
      <c r="F71" s="10">
        <v>3219</v>
      </c>
      <c r="G71" s="23"/>
      <c r="H71" s="10"/>
      <c r="I71" s="10"/>
      <c r="J71" s="11">
        <f t="shared" si="19"/>
        <v>117.67474699929394</v>
      </c>
      <c r="K71" s="11">
        <f t="shared" si="14"/>
        <v>155.73898146706119</v>
      </c>
      <c r="L71" s="11">
        <f t="shared" si="15"/>
        <v>310.65548306927616</v>
      </c>
      <c r="M71" s="11" t="str">
        <f t="shared" si="16"/>
        <v/>
      </c>
      <c r="N71" s="11" t="str">
        <f t="shared" si="17"/>
        <v/>
      </c>
      <c r="O71" s="11" t="str">
        <f t="shared" si="18"/>
        <v/>
      </c>
    </row>
    <row r="72" spans="1:15" x14ac:dyDescent="0.25">
      <c r="A72" s="9" t="s">
        <v>16</v>
      </c>
      <c r="B72" s="9" t="s">
        <v>17</v>
      </c>
      <c r="C72" s="22" t="s">
        <v>12</v>
      </c>
      <c r="D72" s="10">
        <v>8160</v>
      </c>
      <c r="E72" s="10">
        <v>6453</v>
      </c>
      <c r="F72" s="28" t="s">
        <v>71</v>
      </c>
      <c r="G72" s="23"/>
      <c r="H72" s="10"/>
      <c r="I72" s="10"/>
      <c r="J72" s="11">
        <f t="shared" si="19"/>
        <v>122.54901960784314</v>
      </c>
      <c r="K72" s="11">
        <f t="shared" si="14"/>
        <v>154.96668216333489</v>
      </c>
      <c r="L72" s="11" t="e">
        <f t="shared" si="15"/>
        <v>#VALUE!</v>
      </c>
      <c r="M72" s="11" t="str">
        <f t="shared" si="16"/>
        <v/>
      </c>
      <c r="N72" s="11" t="str">
        <f t="shared" si="17"/>
        <v/>
      </c>
      <c r="O72" s="11" t="str">
        <f t="shared" si="18"/>
        <v/>
      </c>
    </row>
    <row r="73" spans="1:15" x14ac:dyDescent="0.25">
      <c r="A73" s="9" t="s">
        <v>18</v>
      </c>
      <c r="B73" s="8" t="s">
        <v>19</v>
      </c>
      <c r="C73" s="26" t="s">
        <v>12</v>
      </c>
      <c r="D73" s="28" t="s">
        <v>71</v>
      </c>
      <c r="E73" s="28" t="s">
        <v>71</v>
      </c>
      <c r="F73" s="28" t="s">
        <v>71</v>
      </c>
      <c r="G73" s="23"/>
      <c r="H73" s="10"/>
      <c r="I73" s="10"/>
      <c r="J73" s="11" t="e">
        <f t="shared" si="19"/>
        <v>#VALUE!</v>
      </c>
      <c r="K73" s="11" t="e">
        <f t="shared" si="14"/>
        <v>#VALUE!</v>
      </c>
      <c r="L73" s="11" t="e">
        <f t="shared" si="15"/>
        <v>#VALUE!</v>
      </c>
      <c r="M73" s="11" t="str">
        <f t="shared" si="16"/>
        <v/>
      </c>
      <c r="N73" s="11" t="str">
        <f t="shared" si="17"/>
        <v/>
      </c>
      <c r="O73" s="11" t="str">
        <f t="shared" si="18"/>
        <v/>
      </c>
    </row>
    <row r="74" spans="1:15" x14ac:dyDescent="0.25">
      <c r="A74" s="130" t="s">
        <v>72</v>
      </c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</row>
    <row r="75" spans="1:15" ht="18.75" x14ac:dyDescent="0.3">
      <c r="A75" s="103" t="s">
        <v>65</v>
      </c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16"/>
    </row>
    <row r="76" spans="1:15" x14ac:dyDescent="0.25">
      <c r="A76" s="105" t="s">
        <v>2</v>
      </c>
      <c r="B76" s="105"/>
      <c r="C76" s="105"/>
      <c r="D76" s="106" t="s">
        <v>20</v>
      </c>
      <c r="E76" s="106"/>
      <c r="F76" s="106"/>
      <c r="G76" s="106"/>
      <c r="H76" s="106"/>
      <c r="I76" s="106"/>
      <c r="J76" s="106" t="s">
        <v>23</v>
      </c>
      <c r="K76" s="106"/>
      <c r="L76" s="106"/>
      <c r="M76" s="106"/>
      <c r="N76" s="106"/>
      <c r="O76" s="106"/>
    </row>
    <row r="77" spans="1:15" x14ac:dyDescent="0.25">
      <c r="A77" s="6" t="s">
        <v>5</v>
      </c>
      <c r="B77" s="6" t="s">
        <v>6</v>
      </c>
      <c r="C77" s="6" t="s">
        <v>7</v>
      </c>
      <c r="D77" s="7">
        <v>1</v>
      </c>
      <c r="E77" s="7">
        <v>4</v>
      </c>
      <c r="F77" s="7">
        <v>16</v>
      </c>
      <c r="G77" s="7">
        <v>32</v>
      </c>
      <c r="H77" s="7">
        <v>64</v>
      </c>
      <c r="I77" s="7">
        <v>80</v>
      </c>
      <c r="J77" s="7">
        <v>1</v>
      </c>
      <c r="K77" s="7">
        <v>4</v>
      </c>
      <c r="L77" s="7">
        <v>16</v>
      </c>
      <c r="M77" s="7">
        <v>32</v>
      </c>
      <c r="N77" s="7">
        <v>64</v>
      </c>
      <c r="O77" s="7">
        <v>80</v>
      </c>
    </row>
    <row r="78" spans="1:15" x14ac:dyDescent="0.25">
      <c r="A78" s="8" t="s">
        <v>8</v>
      </c>
      <c r="B78" s="9" t="s">
        <v>9</v>
      </c>
      <c r="C78" s="9" t="s">
        <v>10</v>
      </c>
      <c r="D78" s="12">
        <f>IF(D68="","",(D68-'2015'!D92)/'2015'!D92)</f>
        <v>1.1477142795504066E-2</v>
      </c>
      <c r="E78" s="12">
        <f>IF(E68="","",(E68-'2015'!E92)/'2015'!E92)</f>
        <v>-4.792508262945281E-2</v>
      </c>
      <c r="F78" s="12">
        <f>IF(F68="","",(F68-'2015'!F92)/'2015'!F92)</f>
        <v>-5.353319057815846E-2</v>
      </c>
      <c r="G78" s="12" t="str">
        <f>IF(G68="","",(G68-'2014'!G26)/'2014'!G26)</f>
        <v/>
      </c>
      <c r="H78" s="12" t="str">
        <f>IF(H68="","",(H68-'2014'!H26)/'2014'!H26)</f>
        <v/>
      </c>
      <c r="I78" s="12" t="str">
        <f>IF(I68="","",(I68-'2014'!I26)/'2014'!I26)</f>
        <v/>
      </c>
      <c r="J78" s="11">
        <f>J68 - '2015'!J92</f>
        <v>-0.24479349035947706</v>
      </c>
      <c r="K78" s="11">
        <f>K68 - '2015'!K92</f>
        <v>2.310756153782684</v>
      </c>
      <c r="L78" s="11">
        <f>L68 - '2015'!L92</f>
        <v>8.6511296991206166</v>
      </c>
      <c r="M78" s="11" t="str">
        <f>IF(G78="","",M68-((1/'Proto 2013'!G57)*1000000))</f>
        <v/>
      </c>
      <c r="N78" s="11" t="str">
        <f>IF(H78="","",N68-((1/'Proto 2013'!H57)*1000000))</f>
        <v/>
      </c>
      <c r="O78" s="11" t="str">
        <f>IF(I78="","",O68-((1/'Proto 2013'!I57)*1000000))</f>
        <v/>
      </c>
    </row>
    <row r="79" spans="1:15" x14ac:dyDescent="0.25">
      <c r="A79" s="8" t="s">
        <v>11</v>
      </c>
      <c r="B79" s="9" t="s">
        <v>9</v>
      </c>
      <c r="C79" s="9" t="s">
        <v>12</v>
      </c>
      <c r="D79" s="12">
        <f>IF(D69="","",(D69-'2015'!D93)/'2015'!D93)</f>
        <v>-0.88925051143760458</v>
      </c>
      <c r="E79" s="12">
        <f>IF(E69="","",(E69-'2015'!E93)/'2015'!E93)</f>
        <v>-0.1626491646778043</v>
      </c>
      <c r="F79" s="12">
        <f>IF(F69="","",(F69-'2015'!F93)/'2015'!F93)</f>
        <v>-0.11503827104907699</v>
      </c>
      <c r="G79" s="12" t="str">
        <f>IF(G69="","",(G69-'2014'!G27)/'2014'!G27)</f>
        <v/>
      </c>
      <c r="H79" s="12" t="str">
        <f>IF(H69="","",(H69-'2014'!H27)/'2014'!H27)</f>
        <v/>
      </c>
      <c r="I79" s="12" t="str">
        <f>IF(I69="","",(I69-'2014'!I27)/'2014'!I27)</f>
        <v/>
      </c>
      <c r="J79" s="11">
        <f>J69 - '2015'!J93</f>
        <v>746.64190716843382</v>
      </c>
      <c r="K79" s="11">
        <f>K69 - '2015'!K93</f>
        <v>23.179302362520204</v>
      </c>
      <c r="L79" s="11">
        <f>L69 - '2015'!L93</f>
        <v>29.264378287732626</v>
      </c>
      <c r="M79" s="11" t="str">
        <f>IF(G79="","",M69-((1/'Proto 2013'!G58)*1000000))</f>
        <v/>
      </c>
      <c r="N79" s="11" t="str">
        <f>IF(H79="","",N69-((1/'Proto 2013'!H58)*1000000))</f>
        <v/>
      </c>
      <c r="O79" s="11" t="str">
        <f>IF(I79="","",O69-((1/'Proto 2013'!I58)*1000000))</f>
        <v/>
      </c>
    </row>
    <row r="80" spans="1:15" x14ac:dyDescent="0.25">
      <c r="A80" s="9" t="s">
        <v>13</v>
      </c>
      <c r="B80" s="9" t="s">
        <v>14</v>
      </c>
      <c r="C80" s="9" t="s">
        <v>10</v>
      </c>
      <c r="D80" s="12">
        <f>IF(D70="","",(D70-'2015'!D94)/'2015'!D94)</f>
        <v>-0.23295990708703332</v>
      </c>
      <c r="E80" s="12">
        <f>IF(E70="","",(E70-'2015'!E94)/'2015'!E94)</f>
        <v>-0.13154392191659273</v>
      </c>
      <c r="F80" s="12">
        <f>IF(F70="","",(F70-'2015'!F94)/'2015'!F94)</f>
        <v>-8.9252510226850122E-3</v>
      </c>
      <c r="G80" s="12" t="str">
        <f>IF(G70="","",(G70-'2014'!G28)/'2014'!G28)</f>
        <v/>
      </c>
      <c r="H80" s="12" t="str">
        <f>IF(H70="","",(H70-'2014'!H28)/'2014'!H28)</f>
        <v/>
      </c>
      <c r="I80" s="12" t="str">
        <f>IF(I70="","",(I70-'2014'!I28)/'2014'!I28)</f>
        <v/>
      </c>
      <c r="J80" s="11">
        <f>J70 - '2015'!J94</f>
        <v>7.3486611490815221</v>
      </c>
      <c r="K80" s="11">
        <f>K70 - '2015'!K94</f>
        <v>8.3999950138309529</v>
      </c>
      <c r="L80" s="11">
        <f>L70 - '2015'!L94</f>
        <v>1.6745311487213996</v>
      </c>
      <c r="M80" s="11" t="str">
        <f>IF(G80="","",M70-((1/'Proto 2013'!G59)*1000000))</f>
        <v/>
      </c>
      <c r="N80" s="11" t="str">
        <f>IF(H80="","",N70-((1/'Proto 2013'!H59)*1000000))</f>
        <v/>
      </c>
      <c r="O80" s="11" t="str">
        <f>IF(I80="","",O70-((1/'Proto 2013'!I59)*1000000))</f>
        <v/>
      </c>
    </row>
    <row r="81" spans="1:15" x14ac:dyDescent="0.25">
      <c r="A81" s="9" t="s">
        <v>15</v>
      </c>
      <c r="B81" s="9" t="s">
        <v>14</v>
      </c>
      <c r="C81" s="9" t="s">
        <v>12</v>
      </c>
      <c r="D81" s="12">
        <f>IF(D71="","",(D71-'2015'!D95)/'2015'!D95)</f>
        <v>-0.18154675912549359</v>
      </c>
      <c r="E81" s="12">
        <f>IF(E71="","",(E71-'2015'!E95)/'2015'!E95)</f>
        <v>-0.19069826065036552</v>
      </c>
      <c r="F81" s="12">
        <f>IF(F71="","",(F71-'2015'!F95)/'2015'!F95)</f>
        <v>-0.22189992748368384</v>
      </c>
      <c r="G81" s="12" t="str">
        <f>IF(G71="","",(G71-'2014'!G29)/'2014'!G29)</f>
        <v/>
      </c>
      <c r="H81" s="12" t="str">
        <f>IF(H71="","",(H71-'2014'!H29)/'2014'!H29)</f>
        <v/>
      </c>
      <c r="I81" s="12" t="str">
        <f>IF(I71="","",(I71-'2014'!I29)/'2014'!I29)</f>
        <v/>
      </c>
      <c r="J81" s="11">
        <f>J71 - '2015'!J95</f>
        <v>21.363468948634207</v>
      </c>
      <c r="K81" s="11">
        <f>K71 - '2015'!K95</f>
        <v>29.699152881228059</v>
      </c>
      <c r="L81" s="11">
        <f>L71 - '2015'!L95</f>
        <v>68.934429165481134</v>
      </c>
      <c r="M81" s="11" t="str">
        <f>IF(G81="","",M71-((1/'Proto 2013'!G60)*1000000))</f>
        <v/>
      </c>
      <c r="N81" s="11" t="str">
        <f>IF(H81="","",N71-((1/'Proto 2013'!H60)*1000000))</f>
        <v/>
      </c>
      <c r="O81" s="11" t="str">
        <f>IF(I81="","",O71-((1/'Proto 2013'!I60)*1000000))</f>
        <v/>
      </c>
    </row>
    <row r="82" spans="1:15" x14ac:dyDescent="0.25">
      <c r="A82" s="9" t="s">
        <v>16</v>
      </c>
      <c r="B82" s="9" t="s">
        <v>17</v>
      </c>
      <c r="C82" s="9" t="s">
        <v>12</v>
      </c>
      <c r="D82" s="12">
        <f>IF(D72="","",(D72-'2015'!D96)/'2015'!D96)</f>
        <v>1.8726591760299626E-2</v>
      </c>
      <c r="E82" s="12">
        <f>IF(E72="","",(E72-'2015'!E96)/'2015'!E96)</f>
        <v>-0.16249188838416612</v>
      </c>
      <c r="F82" s="12" t="e">
        <f>IF(F72="","",(F72-'2015'!F96)/'2015'!F96)</f>
        <v>#VALUE!</v>
      </c>
      <c r="G82" s="12" t="str">
        <f>IF(G72="","",(G72-'2014'!G30)/'2014'!G30)</f>
        <v/>
      </c>
      <c r="H82" s="12" t="str">
        <f>IF(H72="","",(H72-'2014'!H30)/'2014'!H30)</f>
        <v/>
      </c>
      <c r="I82" s="12" t="str">
        <f>IF(I72="","",(I72-'2014'!I30)/'2014'!I30)</f>
        <v/>
      </c>
      <c r="J82" s="11">
        <f>J72 - '2015'!J96</f>
        <v>-2.2949254608210339</v>
      </c>
      <c r="K82" s="11">
        <f>K72 - '2015'!K96</f>
        <v>25.180828821349166</v>
      </c>
      <c r="L82" s="11" t="e">
        <f>L72 - '2015'!L96</f>
        <v>#VALUE!</v>
      </c>
      <c r="M82" s="11" t="str">
        <f>IF(G82="","",M72-((1/'Proto 2013'!G61)*1000000))</f>
        <v/>
      </c>
      <c r="N82" s="11" t="str">
        <f>IF(H82="","",N72-((1/'Proto 2013'!H61)*1000000))</f>
        <v/>
      </c>
      <c r="O82" s="11" t="str">
        <f>IF(I82="","",O72-((1/'Proto 2013'!I61)*1000000))</f>
        <v/>
      </c>
    </row>
    <row r="83" spans="1:15" x14ac:dyDescent="0.25">
      <c r="A83" s="9" t="s">
        <v>18</v>
      </c>
      <c r="B83" s="8" t="s">
        <v>19</v>
      </c>
      <c r="C83" s="9" t="s">
        <v>12</v>
      </c>
      <c r="D83" s="12" t="e">
        <f>IF(D73="","",(D73-'2015'!D97)/'2015'!D97)</f>
        <v>#VALUE!</v>
      </c>
      <c r="E83" s="12" t="e">
        <f>IF(E73="","",(E73-'2015'!E97)/'2015'!E97)</f>
        <v>#VALUE!</v>
      </c>
      <c r="F83" s="12" t="e">
        <f>IF(F73="","",(F73-'2015'!F97)/'2015'!F97)</f>
        <v>#VALUE!</v>
      </c>
      <c r="G83" s="12" t="str">
        <f>IF(G73="","",(G73-'2014'!G31)/'2014'!G31)</f>
        <v/>
      </c>
      <c r="H83" s="12" t="str">
        <f>IF(H73="","",(H73-'2014'!H31)/'2014'!H31)</f>
        <v/>
      </c>
      <c r="I83" s="12" t="str">
        <f>IF(I73="","",(I73-'2014'!I31)/'2014'!I31)</f>
        <v/>
      </c>
      <c r="J83" s="11" t="e">
        <f>J73 - '2015'!J97</f>
        <v>#VALUE!</v>
      </c>
      <c r="K83" s="11" t="e">
        <f>K73 - '2015'!K97</f>
        <v>#VALUE!</v>
      </c>
      <c r="L83" s="11" t="e">
        <f>L73 - '2015'!L97</f>
        <v>#VALUE!</v>
      </c>
      <c r="M83" s="11" t="str">
        <f>IF(G83="","",M73-((1/'Proto 2013'!G62)*1000000))</f>
        <v/>
      </c>
      <c r="N83" s="11" t="str">
        <f>IF(H83="","",N73-((1/'Proto 2013'!H62)*1000000))</f>
        <v/>
      </c>
      <c r="O83" s="11" t="str">
        <f>IF(I83="","",O73-((1/'Proto 2013'!I62)*1000000))</f>
        <v/>
      </c>
    </row>
    <row r="85" spans="1:15" ht="18.75" x14ac:dyDescent="0.25">
      <c r="A85" s="107" t="s">
        <v>68</v>
      </c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25"/>
    </row>
    <row r="86" spans="1:15" ht="15.75" x14ac:dyDescent="0.25">
      <c r="A86" s="109" t="s">
        <v>73</v>
      </c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26"/>
    </row>
    <row r="87" spans="1:15" x14ac:dyDescent="0.25">
      <c r="A87" s="105" t="s">
        <v>2</v>
      </c>
      <c r="B87" s="105"/>
      <c r="C87" s="105"/>
      <c r="D87" s="106" t="s">
        <v>3</v>
      </c>
      <c r="E87" s="106"/>
      <c r="F87" s="106"/>
      <c r="G87" s="106"/>
      <c r="H87" s="106"/>
      <c r="I87" s="106"/>
      <c r="J87" s="106" t="s">
        <v>4</v>
      </c>
      <c r="K87" s="106"/>
      <c r="L87" s="106"/>
      <c r="M87" s="106"/>
      <c r="N87" s="106"/>
      <c r="O87" s="106"/>
    </row>
    <row r="88" spans="1:15" x14ac:dyDescent="0.25">
      <c r="A88" s="6" t="s">
        <v>5</v>
      </c>
      <c r="B88" s="6" t="s">
        <v>6</v>
      </c>
      <c r="C88" s="6" t="s">
        <v>7</v>
      </c>
      <c r="D88" s="24">
        <v>1</v>
      </c>
      <c r="E88" s="24">
        <v>4</v>
      </c>
      <c r="F88" s="24">
        <v>16</v>
      </c>
      <c r="G88" s="7">
        <v>32</v>
      </c>
      <c r="H88" s="7">
        <v>64</v>
      </c>
      <c r="I88" s="7">
        <v>80</v>
      </c>
      <c r="J88" s="7">
        <v>1</v>
      </c>
      <c r="K88" s="7">
        <v>4</v>
      </c>
      <c r="L88" s="7">
        <v>16</v>
      </c>
      <c r="M88" s="7">
        <v>32</v>
      </c>
      <c r="N88" s="7">
        <v>64</v>
      </c>
      <c r="O88" s="7">
        <v>80</v>
      </c>
    </row>
    <row r="89" spans="1:15" x14ac:dyDescent="0.25">
      <c r="A89" s="8" t="s">
        <v>8</v>
      </c>
      <c r="B89" s="9" t="s">
        <v>9</v>
      </c>
      <c r="C89" s="22" t="s">
        <v>10</v>
      </c>
      <c r="D89" s="10">
        <v>44978</v>
      </c>
      <c r="E89" s="10">
        <v>20426</v>
      </c>
      <c r="F89" s="10">
        <v>6186</v>
      </c>
      <c r="G89" s="23"/>
      <c r="H89" s="10"/>
      <c r="I89" s="10"/>
      <c r="J89" s="11">
        <f>IF(D89="","",(1/D89)*1000000)</f>
        <v>22.233091733736494</v>
      </c>
      <c r="K89" s="11">
        <f t="shared" ref="K89:K94" si="20">IF(E89="","",(1/E89)*1000000)</f>
        <v>48.957211397238808</v>
      </c>
      <c r="L89" s="11">
        <f t="shared" ref="L89:L94" si="21">IF(F89="","",(1/F89)*1000000)</f>
        <v>161.65535079211122</v>
      </c>
      <c r="M89" s="11" t="str">
        <f t="shared" ref="M89:M94" si="22">IF(G89="","",(1/G89)*1000000)</f>
        <v/>
      </c>
      <c r="N89" s="11" t="str">
        <f t="shared" ref="N89:N94" si="23">IF(H89="","",(1/H89)*1000000)</f>
        <v/>
      </c>
      <c r="O89" s="11" t="str">
        <f t="shared" ref="O89:O94" si="24">IF(I89="","",(1/I89)*1000000)</f>
        <v/>
      </c>
    </row>
    <row r="90" spans="1:15" x14ac:dyDescent="0.25">
      <c r="A90" s="8" t="s">
        <v>11</v>
      </c>
      <c r="B90" s="9" t="s">
        <v>9</v>
      </c>
      <c r="C90" s="22" t="s">
        <v>12</v>
      </c>
      <c r="D90" s="10">
        <v>8628</v>
      </c>
      <c r="E90" s="10">
        <v>7067</v>
      </c>
      <c r="F90" s="10">
        <v>3951</v>
      </c>
      <c r="G90" s="23"/>
      <c r="H90" s="10"/>
      <c r="I90" s="10"/>
      <c r="J90" s="11">
        <f t="shared" ref="J90:J94" si="25">IF(D90="","",(1/D90)*1000000)</f>
        <v>115.9017153453871</v>
      </c>
      <c r="K90" s="11">
        <f t="shared" si="20"/>
        <v>141.50275930380644</v>
      </c>
      <c r="L90" s="11">
        <f t="shared" si="21"/>
        <v>253.1004808909137</v>
      </c>
      <c r="M90" s="11" t="str">
        <f t="shared" si="22"/>
        <v/>
      </c>
      <c r="N90" s="11" t="str">
        <f t="shared" si="23"/>
        <v/>
      </c>
      <c r="O90" s="11" t="str">
        <f t="shared" si="24"/>
        <v/>
      </c>
    </row>
    <row r="91" spans="1:15" x14ac:dyDescent="0.25">
      <c r="A91" s="9" t="s">
        <v>13</v>
      </c>
      <c r="B91" s="9" t="s">
        <v>14</v>
      </c>
      <c r="C91" s="22" t="s">
        <v>10</v>
      </c>
      <c r="D91" s="10">
        <v>39134</v>
      </c>
      <c r="E91" s="10">
        <v>13841</v>
      </c>
      <c r="F91" s="10">
        <v>5516</v>
      </c>
      <c r="G91" s="23"/>
      <c r="H91" s="10"/>
      <c r="I91" s="10"/>
      <c r="J91" s="11">
        <f t="shared" si="25"/>
        <v>25.553227372617162</v>
      </c>
      <c r="K91" s="11">
        <f t="shared" si="20"/>
        <v>72.249114948341884</v>
      </c>
      <c r="L91" s="11">
        <f t="shared" si="21"/>
        <v>181.29079042784628</v>
      </c>
      <c r="M91" s="11" t="str">
        <f t="shared" si="22"/>
        <v/>
      </c>
      <c r="N91" s="11" t="str">
        <f t="shared" si="23"/>
        <v/>
      </c>
      <c r="O91" s="11" t="str">
        <f t="shared" si="24"/>
        <v/>
      </c>
    </row>
    <row r="92" spans="1:15" x14ac:dyDescent="0.25">
      <c r="A92" s="9" t="s">
        <v>15</v>
      </c>
      <c r="B92" s="9" t="s">
        <v>14</v>
      </c>
      <c r="C92" s="22" t="s">
        <v>12</v>
      </c>
      <c r="D92" s="10">
        <v>8502</v>
      </c>
      <c r="E92" s="10">
        <v>6626</v>
      </c>
      <c r="F92" s="10">
        <v>3642</v>
      </c>
      <c r="G92" s="23"/>
      <c r="H92" s="10"/>
      <c r="I92" s="10"/>
      <c r="J92" s="11">
        <f t="shared" si="25"/>
        <v>117.61938367442954</v>
      </c>
      <c r="K92" s="11">
        <f t="shared" si="20"/>
        <v>150.92061575611228</v>
      </c>
      <c r="L92" s="11">
        <f t="shared" si="21"/>
        <v>274.57440966501923</v>
      </c>
      <c r="M92" s="11" t="str">
        <f t="shared" si="22"/>
        <v/>
      </c>
      <c r="N92" s="11" t="str">
        <f t="shared" si="23"/>
        <v/>
      </c>
      <c r="O92" s="11" t="str">
        <f t="shared" si="24"/>
        <v/>
      </c>
    </row>
    <row r="93" spans="1:15" x14ac:dyDescent="0.25">
      <c r="A93" s="9" t="s">
        <v>16</v>
      </c>
      <c r="B93" s="9" t="s">
        <v>17</v>
      </c>
      <c r="C93" s="22" t="s">
        <v>12</v>
      </c>
      <c r="D93" s="10">
        <v>8117</v>
      </c>
      <c r="E93" s="10">
        <v>6399</v>
      </c>
      <c r="F93" s="28">
        <v>0</v>
      </c>
      <c r="G93" s="23"/>
      <c r="H93" s="10"/>
      <c r="I93" s="10"/>
      <c r="J93" s="11">
        <f t="shared" si="25"/>
        <v>123.19822594554638</v>
      </c>
      <c r="K93" s="11">
        <f t="shared" si="20"/>
        <v>156.27441787779341</v>
      </c>
      <c r="L93" s="11" t="e">
        <f t="shared" si="21"/>
        <v>#DIV/0!</v>
      </c>
      <c r="M93" s="11" t="str">
        <f t="shared" si="22"/>
        <v/>
      </c>
      <c r="N93" s="11" t="str">
        <f t="shared" si="23"/>
        <v/>
      </c>
      <c r="O93" s="11" t="str">
        <f t="shared" si="24"/>
        <v/>
      </c>
    </row>
    <row r="94" spans="1:15" x14ac:dyDescent="0.25">
      <c r="A94" s="9" t="s">
        <v>18</v>
      </c>
      <c r="B94" s="8" t="s">
        <v>19</v>
      </c>
      <c r="C94" s="26" t="s">
        <v>12</v>
      </c>
      <c r="D94" s="28">
        <v>0</v>
      </c>
      <c r="E94" s="28">
        <v>0</v>
      </c>
      <c r="F94" s="28">
        <v>0</v>
      </c>
      <c r="G94" s="23"/>
      <c r="H94" s="10"/>
      <c r="I94" s="10"/>
      <c r="J94" s="11" t="e">
        <f t="shared" si="25"/>
        <v>#DIV/0!</v>
      </c>
      <c r="K94" s="11" t="e">
        <f t="shared" si="20"/>
        <v>#DIV/0!</v>
      </c>
      <c r="L94" s="11" t="e">
        <f t="shared" si="21"/>
        <v>#DIV/0!</v>
      </c>
      <c r="M94" s="11" t="str">
        <f t="shared" si="22"/>
        <v/>
      </c>
      <c r="N94" s="11" t="str">
        <f t="shared" si="23"/>
        <v/>
      </c>
      <c r="O94" s="11" t="str">
        <f t="shared" si="24"/>
        <v/>
      </c>
    </row>
    <row r="95" spans="1:15" x14ac:dyDescent="0.25">
      <c r="A95" s="130" t="s">
        <v>74</v>
      </c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</row>
    <row r="96" spans="1:15" ht="18.75" x14ac:dyDescent="0.3">
      <c r="A96" s="103" t="s">
        <v>65</v>
      </c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16"/>
    </row>
    <row r="97" spans="1:15" x14ac:dyDescent="0.25">
      <c r="A97" s="105" t="s">
        <v>2</v>
      </c>
      <c r="B97" s="105"/>
      <c r="C97" s="105"/>
      <c r="D97" s="106" t="s">
        <v>20</v>
      </c>
      <c r="E97" s="106"/>
      <c r="F97" s="106"/>
      <c r="G97" s="106"/>
      <c r="H97" s="106"/>
      <c r="I97" s="106"/>
      <c r="J97" s="106" t="s">
        <v>23</v>
      </c>
      <c r="K97" s="106"/>
      <c r="L97" s="106"/>
      <c r="M97" s="106"/>
      <c r="N97" s="106"/>
      <c r="O97" s="106"/>
    </row>
    <row r="98" spans="1:15" x14ac:dyDescent="0.25">
      <c r="A98" s="6" t="s">
        <v>5</v>
      </c>
      <c r="B98" s="6" t="s">
        <v>6</v>
      </c>
      <c r="C98" s="6" t="s">
        <v>7</v>
      </c>
      <c r="D98" s="7">
        <v>1</v>
      </c>
      <c r="E98" s="7">
        <v>4</v>
      </c>
      <c r="F98" s="7">
        <v>16</v>
      </c>
      <c r="G98" s="7">
        <v>32</v>
      </c>
      <c r="H98" s="7">
        <v>64</v>
      </c>
      <c r="I98" s="7">
        <v>80</v>
      </c>
      <c r="J98" s="7">
        <v>1</v>
      </c>
      <c r="K98" s="7">
        <v>4</v>
      </c>
      <c r="L98" s="7">
        <v>16</v>
      </c>
      <c r="M98" s="7">
        <v>32</v>
      </c>
      <c r="N98" s="7">
        <v>64</v>
      </c>
      <c r="O98" s="7">
        <v>80</v>
      </c>
    </row>
    <row r="99" spans="1:15" x14ac:dyDescent="0.25">
      <c r="A99" s="8" t="s">
        <v>8</v>
      </c>
      <c r="B99" s="9" t="s">
        <v>9</v>
      </c>
      <c r="C99" s="9" t="s">
        <v>10</v>
      </c>
      <c r="D99" s="12">
        <f>IF(D89="","",(D89-'2015'!D92)/'2015'!D92)</f>
        <v>-2.9663667939507692E-2</v>
      </c>
      <c r="E99" s="12">
        <f>IF(E89="","",(E89-'2015'!E92)/'2015'!E92)</f>
        <v>-6.2339331619537273E-2</v>
      </c>
      <c r="F99" s="12">
        <f>IF(F89="","",(F89-'2015'!F92)/'2015'!F92)</f>
        <v>-5.3839094524319363E-2</v>
      </c>
      <c r="G99" s="12" t="str">
        <f>IF(G89="","",(G89-'2014'!G47)/'2014'!G47)</f>
        <v/>
      </c>
      <c r="H99" s="12" t="str">
        <f>IF(H89="","",(H89-'2014'!H47)/'2014'!H47)</f>
        <v/>
      </c>
      <c r="I99" s="12" t="str">
        <f>IF(I89="","",(I89-'2014'!I47)/'2014'!I47)</f>
        <v/>
      </c>
      <c r="J99" s="11">
        <f>J89 - '2015'!J92</f>
        <v>0.65951505045817171</v>
      </c>
      <c r="K99" s="11">
        <f>K89 - '2015'!K92</f>
        <v>3.0519598364602558</v>
      </c>
      <c r="L99" s="11">
        <f>L89 - '2015'!L92</f>
        <v>8.7033777116584758</v>
      </c>
      <c r="M99" s="11" t="str">
        <f>IF(G99="","",M89-((1/'Proto 2013'!G78)*1000000))</f>
        <v/>
      </c>
      <c r="N99" s="11" t="str">
        <f>IF(H99="","",N89-((1/'Proto 2013'!H78)*1000000))</f>
        <v/>
      </c>
      <c r="O99" s="11" t="str">
        <f>IF(I99="","",O89-((1/'Proto 2013'!I78)*1000000))</f>
        <v/>
      </c>
    </row>
    <row r="100" spans="1:15" x14ac:dyDescent="0.25">
      <c r="A100" s="8" t="s">
        <v>11</v>
      </c>
      <c r="B100" s="9" t="s">
        <v>9</v>
      </c>
      <c r="C100" s="9" t="s">
        <v>12</v>
      </c>
      <c r="D100" s="12">
        <f>IF(D90="","",(D90-'2015'!D93)/'2015'!D93)</f>
        <v>-0.19769388134647572</v>
      </c>
      <c r="E100" s="12">
        <f>IF(E90="","",(E90-'2015'!E93)/'2015'!E93)</f>
        <v>-0.15668257756563245</v>
      </c>
      <c r="F100" s="12">
        <f>IF(F90="","",(F90-'2015'!F93)/'2015'!F93)</f>
        <v>-0.11053579468707789</v>
      </c>
      <c r="G100" s="12" t="str">
        <f>IF(G90="","",(G90-'2014'!G48)/'2014'!G48)</f>
        <v/>
      </c>
      <c r="H100" s="12" t="str">
        <f>IF(H90="","",(H90-'2014'!H48)/'2014'!H48)</f>
        <v/>
      </c>
      <c r="I100" s="12" t="str">
        <f>IF(I90="","",(I90-'2014'!I48)/'2014'!I48)</f>
        <v/>
      </c>
      <c r="J100" s="11">
        <f>J90 - '2015'!J93</f>
        <v>22.913059961343947</v>
      </c>
      <c r="K100" s="11">
        <f>K90 - '2015'!K93</f>
        <v>22.171017060369692</v>
      </c>
      <c r="L100" s="11">
        <f>L90 - '2015'!L93</f>
        <v>27.976662790958727</v>
      </c>
      <c r="M100" s="11" t="str">
        <f>IF(G100="","",M90-((1/'Proto 2013'!G79)*1000000))</f>
        <v/>
      </c>
      <c r="N100" s="11" t="str">
        <f>IF(H100="","",N90-((1/'Proto 2013'!H79)*1000000))</f>
        <v/>
      </c>
      <c r="O100" s="11" t="str">
        <f>IF(I100="","",O90-((1/'Proto 2013'!I79)*1000000))</f>
        <v/>
      </c>
    </row>
    <row r="101" spans="1:15" x14ac:dyDescent="0.25">
      <c r="A101" s="9" t="s">
        <v>13</v>
      </c>
      <c r="B101" s="9" t="s">
        <v>14</v>
      </c>
      <c r="C101" s="9" t="s">
        <v>10</v>
      </c>
      <c r="D101" s="12">
        <f>IF(D91="","",(D91-'2015'!D94)/'2015'!D94)</f>
        <v>-5.3110406736190087E-2</v>
      </c>
      <c r="E101" s="12">
        <f>IF(E91="","",(E91-'2015'!E94)/'2015'!E94)</f>
        <v>-0.23242014196983141</v>
      </c>
      <c r="F101" s="12">
        <f>IF(F91="","",(F91-'2015'!F94)/'2015'!F94)</f>
        <v>2.5660096690219413E-2</v>
      </c>
      <c r="G101" s="12" t="str">
        <f>IF(G91="","",(G91-'2014'!G49)/'2014'!G49)</f>
        <v/>
      </c>
      <c r="H101" s="12" t="str">
        <f>IF(H91="","",(H91-'2014'!H49)/'2014'!H49)</f>
        <v/>
      </c>
      <c r="I101" s="12" t="str">
        <f>IF(I91="","",(I91-'2014'!I49)/'2014'!I49)</f>
        <v/>
      </c>
      <c r="J101" s="11">
        <f>J91 - '2015'!J94</f>
        <v>1.3571422991820405</v>
      </c>
      <c r="K101" s="11">
        <f>K91 - '2015'!K94</f>
        <v>16.792149553488287</v>
      </c>
      <c r="L101" s="11">
        <f>L91 - '2015'!L94</f>
        <v>-4.6519392114248319</v>
      </c>
      <c r="M101" s="11" t="str">
        <f>IF(G101="","",M91-((1/'Proto 2013'!G80)*1000000))</f>
        <v/>
      </c>
      <c r="N101" s="11" t="str">
        <f>IF(H101="","",N91-((1/'Proto 2013'!H80)*1000000))</f>
        <v/>
      </c>
      <c r="O101" s="11" t="str">
        <f>IF(I101="","",O91-((1/'Proto 2013'!I80)*1000000))</f>
        <v/>
      </c>
    </row>
    <row r="102" spans="1:15" x14ac:dyDescent="0.25">
      <c r="A102" s="9" t="s">
        <v>15</v>
      </c>
      <c r="B102" s="9" t="s">
        <v>14</v>
      </c>
      <c r="C102" s="9" t="s">
        <v>12</v>
      </c>
      <c r="D102" s="12">
        <f>IF(D92="","",(D92-'2015'!D95)/'2015'!D95)</f>
        <v>-0.18116151401329095</v>
      </c>
      <c r="E102" s="12">
        <f>IF(E92="","",(E92-'2015'!E95)/'2015'!E95)</f>
        <v>-0.16486009579026972</v>
      </c>
      <c r="F102" s="12">
        <f>IF(F92="","",(F92-'2015'!F95)/'2015'!F95)</f>
        <v>-0.11965192168237854</v>
      </c>
      <c r="G102" s="12" t="str">
        <f>IF(G92="","",(G92-'2014'!G50)/'2014'!G50)</f>
        <v/>
      </c>
      <c r="H102" s="12" t="str">
        <f>IF(H92="","",(H92-'2014'!H50)/'2014'!H50)</f>
        <v/>
      </c>
      <c r="I102" s="12" t="str">
        <f>IF(I92="","",(I92-'2014'!I50)/'2014'!I50)</f>
        <v/>
      </c>
      <c r="J102" s="11">
        <f>J92 - '2015'!J95</f>
        <v>21.308105623769805</v>
      </c>
      <c r="K102" s="11">
        <f>K92 - '2015'!K95</f>
        <v>24.880787170279149</v>
      </c>
      <c r="L102" s="11">
        <f>L92 - '2015'!L95</f>
        <v>32.853355761224208</v>
      </c>
      <c r="M102" s="11" t="str">
        <f>IF(G102="","",M92-((1/'Proto 2013'!G81)*1000000))</f>
        <v/>
      </c>
      <c r="N102" s="11" t="str">
        <f>IF(H102="","",N92-((1/'Proto 2013'!H81)*1000000))</f>
        <v/>
      </c>
      <c r="O102" s="11" t="str">
        <f>IF(I102="","",O92-((1/'Proto 2013'!I81)*1000000))</f>
        <v/>
      </c>
    </row>
    <row r="103" spans="1:15" x14ac:dyDescent="0.25">
      <c r="A103" s="9" t="s">
        <v>16</v>
      </c>
      <c r="B103" s="9" t="s">
        <v>17</v>
      </c>
      <c r="C103" s="9" t="s">
        <v>12</v>
      </c>
      <c r="D103" s="12">
        <f>IF(D93="","",(D93-'2015'!D96)/'2015'!D96)</f>
        <v>1.3358302122347065E-2</v>
      </c>
      <c r="E103" s="12">
        <f>IF(E93="","",(E93-'2015'!E96)/'2015'!E96)</f>
        <v>-0.16950032446463337</v>
      </c>
      <c r="F103" s="12">
        <f>IF(F93="","",(F93-'2015'!F96)/'2015'!F96)</f>
        <v>-1</v>
      </c>
      <c r="G103" s="12" t="str">
        <f>IF(G93="","",(G93-'2014'!G51)/'2014'!G51)</f>
        <v/>
      </c>
      <c r="H103" s="12" t="str">
        <f>IF(H93="","",(H93-'2014'!H51)/'2014'!H51)</f>
        <v/>
      </c>
      <c r="I103" s="12" t="str">
        <f>IF(I93="","",(I93-'2014'!I51)/'2014'!I51)</f>
        <v/>
      </c>
      <c r="J103" s="11">
        <f>J93 - '2015'!J96</f>
        <v>-1.6457191231177859</v>
      </c>
      <c r="K103" s="11">
        <f>K93 - '2015'!K96</f>
        <v>26.488564535807683</v>
      </c>
      <c r="L103" s="11" t="e">
        <f>L93 - '2015'!L96</f>
        <v>#DIV/0!</v>
      </c>
      <c r="M103" s="11" t="str">
        <f>IF(G103="","",M93-((1/'Proto 2013'!G82)*1000000))</f>
        <v/>
      </c>
      <c r="N103" s="11" t="str">
        <f>IF(H103="","",N93-((1/'Proto 2013'!H82)*1000000))</f>
        <v/>
      </c>
      <c r="O103" s="11" t="str">
        <f>IF(I103="","",O93-((1/'Proto 2013'!I82)*1000000))</f>
        <v/>
      </c>
    </row>
    <row r="104" spans="1:15" x14ac:dyDescent="0.25">
      <c r="A104" s="9" t="s">
        <v>18</v>
      </c>
      <c r="B104" s="8" t="s">
        <v>19</v>
      </c>
      <c r="C104" s="9" t="s">
        <v>12</v>
      </c>
      <c r="D104" s="12">
        <f>IF(D94="","",(D94-'2015'!D97)/'2015'!D97)</f>
        <v>-1</v>
      </c>
      <c r="E104" s="12">
        <f>IF(E94="","",(E94-'2015'!E97)/'2015'!E97)</f>
        <v>-1</v>
      </c>
      <c r="F104" s="12">
        <f>IF(F94="","",(F94-'2015'!F97)/'2015'!F97)</f>
        <v>-1</v>
      </c>
      <c r="G104" s="12" t="str">
        <f>IF(G94="","",(G94-'2014'!G52)/'2014'!G52)</f>
        <v/>
      </c>
      <c r="H104" s="12" t="str">
        <f>IF(H94="","",(H94-'2014'!H52)/'2014'!H52)</f>
        <v/>
      </c>
      <c r="I104" s="12" t="str">
        <f>IF(I94="","",(I94-'2014'!I52)/'2014'!I52)</f>
        <v/>
      </c>
      <c r="J104" s="11" t="e">
        <f>J94 - '2015'!J97</f>
        <v>#DIV/0!</v>
      </c>
      <c r="K104" s="11" t="e">
        <f>K94 - '2015'!K97</f>
        <v>#DIV/0!</v>
      </c>
      <c r="L104" s="11" t="e">
        <f>L94 - '2015'!L97</f>
        <v>#DIV/0!</v>
      </c>
      <c r="M104" s="11" t="str">
        <f>IF(G104="","",M94-((1/'Proto 2013'!G83)*1000000))</f>
        <v/>
      </c>
      <c r="N104" s="11" t="str">
        <f>IF(H104="","",N94-((1/'Proto 2013'!H83)*1000000))</f>
        <v/>
      </c>
      <c r="O104" s="11" t="str">
        <f>IF(I104="","",O94-((1/'Proto 2013'!I83)*1000000))</f>
        <v/>
      </c>
    </row>
    <row r="106" spans="1:15" ht="18.75" x14ac:dyDescent="0.25">
      <c r="A106" s="107" t="s">
        <v>68</v>
      </c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25"/>
    </row>
    <row r="107" spans="1:15" ht="15.75" x14ac:dyDescent="0.25">
      <c r="A107" s="109" t="s">
        <v>73</v>
      </c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26"/>
    </row>
    <row r="108" spans="1:15" x14ac:dyDescent="0.25">
      <c r="A108" s="105" t="s">
        <v>2</v>
      </c>
      <c r="B108" s="105"/>
      <c r="C108" s="105"/>
      <c r="D108" s="106" t="s">
        <v>3</v>
      </c>
      <c r="E108" s="106"/>
      <c r="F108" s="106"/>
      <c r="G108" s="106"/>
      <c r="H108" s="106"/>
      <c r="I108" s="106"/>
      <c r="J108" s="106" t="s">
        <v>4</v>
      </c>
      <c r="K108" s="106"/>
      <c r="L108" s="106"/>
      <c r="M108" s="106"/>
      <c r="N108" s="106"/>
      <c r="O108" s="106"/>
    </row>
    <row r="109" spans="1:15" x14ac:dyDescent="0.25">
      <c r="A109" s="6" t="s">
        <v>5</v>
      </c>
      <c r="B109" s="6" t="s">
        <v>6</v>
      </c>
      <c r="C109" s="6" t="s">
        <v>7</v>
      </c>
      <c r="D109" s="24">
        <v>1</v>
      </c>
      <c r="E109" s="24">
        <v>4</v>
      </c>
      <c r="F109" s="24">
        <v>16</v>
      </c>
      <c r="G109" s="7">
        <v>32</v>
      </c>
      <c r="H109" s="7">
        <v>64</v>
      </c>
      <c r="I109" s="7">
        <v>80</v>
      </c>
      <c r="J109" s="7">
        <v>1</v>
      </c>
      <c r="K109" s="7">
        <v>4</v>
      </c>
      <c r="L109" s="7">
        <v>16</v>
      </c>
      <c r="M109" s="7">
        <v>32</v>
      </c>
      <c r="N109" s="7">
        <v>64</v>
      </c>
      <c r="O109" s="7">
        <v>80</v>
      </c>
    </row>
    <row r="110" spans="1:15" x14ac:dyDescent="0.25">
      <c r="A110" s="8" t="s">
        <v>8</v>
      </c>
      <c r="B110" s="9" t="s">
        <v>9</v>
      </c>
      <c r="C110" s="22" t="s">
        <v>10</v>
      </c>
      <c r="D110" s="10">
        <v>38628</v>
      </c>
      <c r="E110" s="10">
        <v>20620</v>
      </c>
      <c r="F110" s="10">
        <v>6003</v>
      </c>
      <c r="G110" s="23"/>
      <c r="H110" s="10"/>
      <c r="I110" s="10"/>
      <c r="J110" s="11">
        <f>IF(D110="","",(1/D110)*1000000)</f>
        <v>25.887956922439681</v>
      </c>
      <c r="K110" s="11">
        <f t="shared" ref="K110:K115" si="26">IF(E110="","",(1/E110)*1000000)</f>
        <v>48.496605237633368</v>
      </c>
      <c r="L110" s="11">
        <f t="shared" ref="L110:L115" si="27">IF(F110="","",(1/F110)*1000000)</f>
        <v>166.58337497917708</v>
      </c>
      <c r="M110" s="11" t="str">
        <f t="shared" ref="M110:M115" si="28">IF(G110="","",(1/G110)*1000000)</f>
        <v/>
      </c>
      <c r="N110" s="11" t="str">
        <f t="shared" ref="N110:N115" si="29">IF(H110="","",(1/H110)*1000000)</f>
        <v/>
      </c>
      <c r="O110" s="11" t="str">
        <f t="shared" ref="O110:O115" si="30">IF(I110="","",(1/I110)*1000000)</f>
        <v/>
      </c>
    </row>
    <row r="111" spans="1:15" x14ac:dyDescent="0.25">
      <c r="A111" s="8" t="s">
        <v>11</v>
      </c>
      <c r="B111" s="9" t="s">
        <v>9</v>
      </c>
      <c r="C111" s="22" t="s">
        <v>12</v>
      </c>
      <c r="D111" s="10">
        <v>8666</v>
      </c>
      <c r="E111" s="10">
        <v>7047</v>
      </c>
      <c r="F111" s="10">
        <v>3863</v>
      </c>
      <c r="G111" s="23"/>
      <c r="H111" s="10"/>
      <c r="I111" s="10"/>
      <c r="J111" s="11">
        <f t="shared" ref="J111:J115" si="31">IF(D111="","",(1/D111)*1000000)</f>
        <v>115.39349180706209</v>
      </c>
      <c r="K111" s="11">
        <f t="shared" si="26"/>
        <v>141.90435646374343</v>
      </c>
      <c r="L111" s="11">
        <f t="shared" si="27"/>
        <v>258.86616619207871</v>
      </c>
      <c r="M111" s="11" t="str">
        <f t="shared" si="28"/>
        <v/>
      </c>
      <c r="N111" s="11" t="str">
        <f t="shared" si="29"/>
        <v/>
      </c>
      <c r="O111" s="11" t="str">
        <f t="shared" si="30"/>
        <v/>
      </c>
    </row>
    <row r="112" spans="1:15" x14ac:dyDescent="0.25">
      <c r="A112" s="9" t="s">
        <v>13</v>
      </c>
      <c r="B112" s="9" t="s">
        <v>14</v>
      </c>
      <c r="C112" s="22" t="s">
        <v>10</v>
      </c>
      <c r="D112" s="10">
        <v>39134</v>
      </c>
      <c r="E112" s="10">
        <v>13841</v>
      </c>
      <c r="F112" s="10">
        <v>5516</v>
      </c>
      <c r="G112" s="23"/>
      <c r="H112" s="10"/>
      <c r="I112" s="10"/>
      <c r="J112" s="11">
        <f t="shared" si="31"/>
        <v>25.553227372617162</v>
      </c>
      <c r="K112" s="11">
        <f t="shared" si="26"/>
        <v>72.249114948341884</v>
      </c>
      <c r="L112" s="11">
        <f t="shared" si="27"/>
        <v>181.29079042784628</v>
      </c>
      <c r="M112" s="11" t="str">
        <f t="shared" si="28"/>
        <v/>
      </c>
      <c r="N112" s="11" t="str">
        <f t="shared" si="29"/>
        <v/>
      </c>
      <c r="O112" s="11" t="str">
        <f t="shared" si="30"/>
        <v/>
      </c>
    </row>
    <row r="113" spans="1:15" x14ac:dyDescent="0.25">
      <c r="A113" s="9" t="s">
        <v>15</v>
      </c>
      <c r="B113" s="9" t="s">
        <v>14</v>
      </c>
      <c r="C113" s="22" t="s">
        <v>12</v>
      </c>
      <c r="D113" s="10">
        <v>8502</v>
      </c>
      <c r="E113" s="10">
        <v>6626</v>
      </c>
      <c r="F113" s="10">
        <v>3642</v>
      </c>
      <c r="G113" s="23"/>
      <c r="H113" s="10"/>
      <c r="I113" s="10"/>
      <c r="J113" s="11">
        <f t="shared" si="31"/>
        <v>117.61938367442954</v>
      </c>
      <c r="K113" s="11">
        <f t="shared" si="26"/>
        <v>150.92061575611228</v>
      </c>
      <c r="L113" s="11">
        <f t="shared" si="27"/>
        <v>274.57440966501923</v>
      </c>
      <c r="M113" s="11" t="str">
        <f t="shared" si="28"/>
        <v/>
      </c>
      <c r="N113" s="11" t="str">
        <f t="shared" si="29"/>
        <v/>
      </c>
      <c r="O113" s="11" t="str">
        <f t="shared" si="30"/>
        <v/>
      </c>
    </row>
    <row r="114" spans="1:15" x14ac:dyDescent="0.25">
      <c r="A114" s="9" t="s">
        <v>16</v>
      </c>
      <c r="B114" s="9" t="s">
        <v>17</v>
      </c>
      <c r="C114" s="22" t="s">
        <v>12</v>
      </c>
      <c r="D114" s="10">
        <v>8117</v>
      </c>
      <c r="E114" s="10">
        <v>6399</v>
      </c>
      <c r="F114" s="28">
        <v>0</v>
      </c>
      <c r="G114" s="23"/>
      <c r="H114" s="10"/>
      <c r="I114" s="10"/>
      <c r="J114" s="11">
        <f t="shared" si="31"/>
        <v>123.19822594554638</v>
      </c>
      <c r="K114" s="11">
        <f t="shared" si="26"/>
        <v>156.27441787779341</v>
      </c>
      <c r="L114" s="11" t="e">
        <f t="shared" si="27"/>
        <v>#DIV/0!</v>
      </c>
      <c r="M114" s="11" t="str">
        <f t="shared" si="28"/>
        <v/>
      </c>
      <c r="N114" s="11" t="str">
        <f t="shared" si="29"/>
        <v/>
      </c>
      <c r="O114" s="11" t="str">
        <f t="shared" si="30"/>
        <v/>
      </c>
    </row>
    <row r="115" spans="1:15" x14ac:dyDescent="0.25">
      <c r="A115" s="9" t="s">
        <v>18</v>
      </c>
      <c r="B115" s="8" t="s">
        <v>19</v>
      </c>
      <c r="C115" s="26" t="s">
        <v>12</v>
      </c>
      <c r="D115" s="28">
        <v>0</v>
      </c>
      <c r="E115" s="28">
        <v>0</v>
      </c>
      <c r="F115" s="28">
        <v>0</v>
      </c>
      <c r="G115" s="23"/>
      <c r="H115" s="10"/>
      <c r="I115" s="10"/>
      <c r="J115" s="11" t="e">
        <f t="shared" si="31"/>
        <v>#DIV/0!</v>
      </c>
      <c r="K115" s="11" t="e">
        <f t="shared" si="26"/>
        <v>#DIV/0!</v>
      </c>
      <c r="L115" s="11" t="e">
        <f t="shared" si="27"/>
        <v>#DIV/0!</v>
      </c>
      <c r="M115" s="11" t="str">
        <f t="shared" si="28"/>
        <v/>
      </c>
      <c r="N115" s="11" t="str">
        <f t="shared" si="29"/>
        <v/>
      </c>
      <c r="O115" s="11" t="str">
        <f t="shared" si="30"/>
        <v/>
      </c>
    </row>
    <row r="116" spans="1:15" x14ac:dyDescent="0.25">
      <c r="A116" s="130" t="s">
        <v>74</v>
      </c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</row>
    <row r="117" spans="1:15" ht="18.75" x14ac:dyDescent="0.3">
      <c r="A117" s="103" t="s">
        <v>65</v>
      </c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16"/>
    </row>
    <row r="118" spans="1:15" x14ac:dyDescent="0.25">
      <c r="A118" s="105" t="s">
        <v>2</v>
      </c>
      <c r="B118" s="105"/>
      <c r="C118" s="105"/>
      <c r="D118" s="106" t="s">
        <v>20</v>
      </c>
      <c r="E118" s="106"/>
      <c r="F118" s="106"/>
      <c r="G118" s="106"/>
      <c r="H118" s="106"/>
      <c r="I118" s="106"/>
      <c r="J118" s="106" t="s">
        <v>23</v>
      </c>
      <c r="K118" s="106"/>
      <c r="L118" s="106"/>
      <c r="M118" s="106"/>
      <c r="N118" s="106"/>
      <c r="O118" s="106"/>
    </row>
    <row r="119" spans="1:15" x14ac:dyDescent="0.25">
      <c r="A119" s="6" t="s">
        <v>5</v>
      </c>
      <c r="B119" s="6" t="s">
        <v>6</v>
      </c>
      <c r="C119" s="6" t="s">
        <v>7</v>
      </c>
      <c r="D119" s="7">
        <v>1</v>
      </c>
      <c r="E119" s="7">
        <v>4</v>
      </c>
      <c r="F119" s="7">
        <v>16</v>
      </c>
      <c r="G119" s="7">
        <v>32</v>
      </c>
      <c r="H119" s="7">
        <v>64</v>
      </c>
      <c r="I119" s="7">
        <v>80</v>
      </c>
      <c r="J119" s="7">
        <v>1</v>
      </c>
      <c r="K119" s="7">
        <v>4</v>
      </c>
      <c r="L119" s="7">
        <v>16</v>
      </c>
      <c r="M119" s="7">
        <v>32</v>
      </c>
      <c r="N119" s="7">
        <v>64</v>
      </c>
      <c r="O119" s="7">
        <v>80</v>
      </c>
    </row>
    <row r="120" spans="1:15" x14ac:dyDescent="0.25">
      <c r="A120" s="8" t="s">
        <v>8</v>
      </c>
      <c r="B120" s="9" t="s">
        <v>9</v>
      </c>
      <c r="C120" s="9" t="s">
        <v>10</v>
      </c>
      <c r="D120" s="12">
        <f>IF(D110="","",(D110-'2015'!D92)/'2015'!D92)</f>
        <v>-0.16665587987832503</v>
      </c>
      <c r="E120" s="12">
        <f>IF(E110="","",(E110-'2015'!E92)/'2015'!E92)</f>
        <v>-5.3433712816746234E-2</v>
      </c>
      <c r="F120" s="12">
        <f>IF(F110="","",(F110-'2015'!F92)/'2015'!F92)</f>
        <v>-8.1829305598042218E-2</v>
      </c>
      <c r="G120" s="12" t="str">
        <f>IF(G110="","",(G110-'2014'!G68)/'2014'!G68)</f>
        <v/>
      </c>
      <c r="H120" s="12" t="str">
        <f>IF(H110="","",(H110-'2014'!H68)/'2014'!H68)</f>
        <v/>
      </c>
      <c r="I120" s="12" t="str">
        <f>IF(I110="","",(I110-'2014'!I68)/'2014'!I68)</f>
        <v/>
      </c>
      <c r="J120" s="11">
        <f>J110 - '2015'!J92</f>
        <v>4.314380239161359</v>
      </c>
      <c r="K120" s="11">
        <f>K110 - '2015'!K92</f>
        <v>2.5913536768548155</v>
      </c>
      <c r="L120" s="11">
        <f>L110 - '2015'!L92</f>
        <v>13.631401898724334</v>
      </c>
      <c r="M120" s="11" t="str">
        <f>IF(G120="","",M110-((1/'Proto 2013'!G99)*1000000))</f>
        <v/>
      </c>
      <c r="N120" s="11" t="str">
        <f>IF(H120="","",N110-((1/'Proto 2013'!H99)*1000000))</f>
        <v/>
      </c>
      <c r="O120" s="11" t="str">
        <f>IF(I120="","",O110-((1/'Proto 2013'!I99)*1000000))</f>
        <v/>
      </c>
    </row>
    <row r="121" spans="1:15" x14ac:dyDescent="0.25">
      <c r="A121" s="8" t="s">
        <v>11</v>
      </c>
      <c r="B121" s="9" t="s">
        <v>9</v>
      </c>
      <c r="C121" s="9" t="s">
        <v>12</v>
      </c>
      <c r="D121" s="12">
        <f>IF(D111="","",(D111-'2015'!D93)/'2015'!D93)</f>
        <v>-0.19416031244188209</v>
      </c>
      <c r="E121" s="12">
        <f>IF(E111="","",(E111-'2015'!E93)/'2015'!E93)</f>
        <v>-0.1590692124105012</v>
      </c>
      <c r="F121" s="12">
        <f>IF(F111="","",(F111-'2015'!F93)/'2015'!F93)</f>
        <v>-0.13034669067987392</v>
      </c>
      <c r="G121" s="12" t="str">
        <f>IF(G111="","",(G111-'2014'!G69)/'2014'!G69)</f>
        <v/>
      </c>
      <c r="H121" s="12" t="str">
        <f>IF(H111="","",(H111-'2014'!H69)/'2014'!H69)</f>
        <v/>
      </c>
      <c r="I121" s="12" t="str">
        <f>IF(I111="","",(I111-'2014'!I69)/'2014'!I69)</f>
        <v/>
      </c>
      <c r="J121" s="11">
        <f>J111 - '2015'!J93</f>
        <v>22.404836423018935</v>
      </c>
      <c r="K121" s="11">
        <f>K111 - '2015'!K93</f>
        <v>22.572614220306676</v>
      </c>
      <c r="L121" s="11">
        <f>L111 - '2015'!L93</f>
        <v>33.742348092123734</v>
      </c>
      <c r="M121" s="11" t="str">
        <f>IF(G121="","",M111-((1/'Proto 2013'!G100)*1000000))</f>
        <v/>
      </c>
      <c r="N121" s="11" t="str">
        <f>IF(H121="","",N111-((1/'Proto 2013'!H100)*1000000))</f>
        <v/>
      </c>
      <c r="O121" s="11" t="str">
        <f>IF(I121="","",O111-((1/'Proto 2013'!I100)*1000000))</f>
        <v/>
      </c>
    </row>
    <row r="122" spans="1:15" x14ac:dyDescent="0.25">
      <c r="A122" s="9" t="s">
        <v>13</v>
      </c>
      <c r="B122" s="9" t="s">
        <v>14</v>
      </c>
      <c r="C122" s="9" t="s">
        <v>10</v>
      </c>
      <c r="D122" s="12">
        <f>IF(D112="","",(D112-'2015'!D94)/'2015'!D94)</f>
        <v>-5.3110406736190087E-2</v>
      </c>
      <c r="E122" s="12">
        <f>IF(E112="","",(E112-'2015'!E94)/'2015'!E94)</f>
        <v>-0.23242014196983141</v>
      </c>
      <c r="F122" s="12">
        <f>IF(F112="","",(F112-'2015'!F94)/'2015'!F94)</f>
        <v>2.5660096690219413E-2</v>
      </c>
      <c r="G122" s="12" t="str">
        <f>IF(G112="","",(G112-'2014'!G70)/'2014'!G70)</f>
        <v/>
      </c>
      <c r="H122" s="12" t="str">
        <f>IF(H112="","",(H112-'2014'!H70)/'2014'!H70)</f>
        <v/>
      </c>
      <c r="I122" s="12" t="str">
        <f>IF(I112="","",(I112-'2014'!I70)/'2014'!I70)</f>
        <v/>
      </c>
      <c r="J122" s="11">
        <f>J112 - '2015'!J94</f>
        <v>1.3571422991820405</v>
      </c>
      <c r="K122" s="11">
        <f>K112 - '2015'!K94</f>
        <v>16.792149553488287</v>
      </c>
      <c r="L122" s="11">
        <f>L112 - '2015'!L94</f>
        <v>-4.6519392114248319</v>
      </c>
      <c r="M122" s="11" t="str">
        <f>IF(G122="","",M112-((1/'Proto 2013'!G101)*1000000))</f>
        <v/>
      </c>
      <c r="N122" s="11" t="str">
        <f>IF(H122="","",N112-((1/'Proto 2013'!H101)*1000000))</f>
        <v/>
      </c>
      <c r="O122" s="11" t="str">
        <f>IF(I122="","",O112-((1/'Proto 2013'!I101)*1000000))</f>
        <v/>
      </c>
    </row>
    <row r="123" spans="1:15" x14ac:dyDescent="0.25">
      <c r="A123" s="9" t="s">
        <v>15</v>
      </c>
      <c r="B123" s="9" t="s">
        <v>14</v>
      </c>
      <c r="C123" s="9" t="s">
        <v>12</v>
      </c>
      <c r="D123" s="12">
        <f>IF(D113="","",(D113-'2015'!D95)/'2015'!D95)</f>
        <v>-0.18116151401329095</v>
      </c>
      <c r="E123" s="12">
        <f>IF(E113="","",(E113-'2015'!E95)/'2015'!E95)</f>
        <v>-0.16486009579026972</v>
      </c>
      <c r="F123" s="12">
        <f>IF(F113="","",(F113-'2015'!F95)/'2015'!F95)</f>
        <v>-0.11965192168237854</v>
      </c>
      <c r="G123" s="12" t="str">
        <f>IF(G113="","",(G113-'2014'!G71)/'2014'!G71)</f>
        <v/>
      </c>
      <c r="H123" s="12" t="str">
        <f>IF(H113="","",(H113-'2014'!H71)/'2014'!H71)</f>
        <v/>
      </c>
      <c r="I123" s="12" t="str">
        <f>IF(I113="","",(I113-'2014'!I71)/'2014'!I71)</f>
        <v/>
      </c>
      <c r="J123" s="11">
        <f>J113 - '2015'!J95</f>
        <v>21.308105623769805</v>
      </c>
      <c r="K123" s="11">
        <f>K113 - '2015'!K95</f>
        <v>24.880787170279149</v>
      </c>
      <c r="L123" s="11">
        <f>L113 - '2015'!L95</f>
        <v>32.853355761224208</v>
      </c>
      <c r="M123" s="11" t="str">
        <f>IF(G123="","",M113-((1/'Proto 2013'!G102)*1000000))</f>
        <v/>
      </c>
      <c r="N123" s="11" t="str">
        <f>IF(H123="","",N113-((1/'Proto 2013'!H102)*1000000))</f>
        <v/>
      </c>
      <c r="O123" s="11" t="str">
        <f>IF(I123="","",O113-((1/'Proto 2013'!I102)*1000000))</f>
        <v/>
      </c>
    </row>
    <row r="124" spans="1:15" x14ac:dyDescent="0.25">
      <c r="A124" s="9" t="s">
        <v>16</v>
      </c>
      <c r="B124" s="9" t="s">
        <v>17</v>
      </c>
      <c r="C124" s="9" t="s">
        <v>12</v>
      </c>
      <c r="D124" s="12">
        <f>IF(D114="","",(D114-'2015'!D96)/'2015'!D96)</f>
        <v>1.3358302122347065E-2</v>
      </c>
      <c r="E124" s="12">
        <f>IF(E114="","",(E114-'2015'!E96)/'2015'!E96)</f>
        <v>-0.16950032446463337</v>
      </c>
      <c r="F124" s="12">
        <f>IF(F114="","",(F114-'2015'!F96)/'2015'!F96)</f>
        <v>-1</v>
      </c>
      <c r="G124" s="12" t="str">
        <f>IF(G114="","",(G114-'2014'!G72)/'2014'!G72)</f>
        <v/>
      </c>
      <c r="H124" s="12" t="str">
        <f>IF(H114="","",(H114-'2014'!H72)/'2014'!H72)</f>
        <v/>
      </c>
      <c r="I124" s="12" t="str">
        <f>IF(I114="","",(I114-'2014'!I72)/'2014'!I72)</f>
        <v/>
      </c>
      <c r="J124" s="11">
        <f>J114 - '2015'!J96</f>
        <v>-1.6457191231177859</v>
      </c>
      <c r="K124" s="11">
        <f>K114 - '2015'!K96</f>
        <v>26.488564535807683</v>
      </c>
      <c r="L124" s="11" t="e">
        <f>L114 - '2015'!L96</f>
        <v>#DIV/0!</v>
      </c>
      <c r="M124" s="11" t="str">
        <f>IF(G124="","",M114-((1/'Proto 2013'!G103)*1000000))</f>
        <v/>
      </c>
      <c r="N124" s="11" t="str">
        <f>IF(H124="","",N114-((1/'Proto 2013'!H103)*1000000))</f>
        <v/>
      </c>
      <c r="O124" s="11" t="str">
        <f>IF(I124="","",O114-((1/'Proto 2013'!I103)*1000000))</f>
        <v/>
      </c>
    </row>
    <row r="125" spans="1:15" x14ac:dyDescent="0.25">
      <c r="A125" s="9" t="s">
        <v>18</v>
      </c>
      <c r="B125" s="8" t="s">
        <v>19</v>
      </c>
      <c r="C125" s="9" t="s">
        <v>12</v>
      </c>
      <c r="D125" s="12">
        <f>IF(D115="","",(D115-'2015'!D97)/'2015'!D97)</f>
        <v>-1</v>
      </c>
      <c r="E125" s="12">
        <f>IF(E115="","",(E115-'2015'!E97)/'2015'!E97)</f>
        <v>-1</v>
      </c>
      <c r="F125" s="12">
        <f>IF(F115="","",(F115-'2015'!F97)/'2015'!F97)</f>
        <v>-1</v>
      </c>
      <c r="G125" s="12" t="str">
        <f>IF(G115="","",(G115-'2014'!G73)/'2014'!G73)</f>
        <v/>
      </c>
      <c r="H125" s="12" t="str">
        <f>IF(H115="","",(H115-'2014'!H73)/'2014'!H73)</f>
        <v/>
      </c>
      <c r="I125" s="12" t="str">
        <f>IF(I115="","",(I115-'2014'!I73)/'2014'!I73)</f>
        <v/>
      </c>
      <c r="J125" s="11" t="e">
        <f>J115 - '2015'!J97</f>
        <v>#DIV/0!</v>
      </c>
      <c r="K125" s="11" t="e">
        <f>K115 - '2015'!K97</f>
        <v>#DIV/0!</v>
      </c>
      <c r="L125" s="11" t="e">
        <f>L115 - '2015'!L97</f>
        <v>#DIV/0!</v>
      </c>
      <c r="M125" s="11" t="str">
        <f>IF(G125="","",M115-((1/'Proto 2013'!G104)*1000000))</f>
        <v/>
      </c>
      <c r="N125" s="11" t="str">
        <f>IF(H125="","",N115-((1/'Proto 2013'!H104)*1000000))</f>
        <v/>
      </c>
      <c r="O125" s="11" t="str">
        <f>IF(I125="","",O115-((1/'Proto 2013'!I104)*1000000))</f>
        <v/>
      </c>
    </row>
    <row r="127" spans="1:15" ht="18.75" x14ac:dyDescent="0.25">
      <c r="A127" s="107" t="s">
        <v>68</v>
      </c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25"/>
    </row>
    <row r="128" spans="1:15" ht="15.75" x14ac:dyDescent="0.25">
      <c r="A128" s="109" t="s">
        <v>82</v>
      </c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26"/>
    </row>
    <row r="129" spans="1:15" x14ac:dyDescent="0.25">
      <c r="A129" s="105" t="s">
        <v>2</v>
      </c>
      <c r="B129" s="105"/>
      <c r="C129" s="105"/>
      <c r="D129" s="106" t="s">
        <v>3</v>
      </c>
      <c r="E129" s="106"/>
      <c r="F129" s="106"/>
      <c r="G129" s="106"/>
      <c r="H129" s="106"/>
      <c r="I129" s="106"/>
      <c r="J129" s="106" t="s">
        <v>4</v>
      </c>
      <c r="K129" s="106"/>
      <c r="L129" s="106"/>
      <c r="M129" s="106"/>
      <c r="N129" s="106"/>
      <c r="O129" s="106"/>
    </row>
    <row r="130" spans="1:15" x14ac:dyDescent="0.25">
      <c r="A130" s="6" t="s">
        <v>5</v>
      </c>
      <c r="B130" s="6" t="s">
        <v>6</v>
      </c>
      <c r="C130" s="6" t="s">
        <v>7</v>
      </c>
      <c r="D130" s="24">
        <v>1</v>
      </c>
      <c r="E130" s="24">
        <v>4</v>
      </c>
      <c r="F130" s="24">
        <v>16</v>
      </c>
      <c r="G130" s="7">
        <v>32</v>
      </c>
      <c r="H130" s="7">
        <v>64</v>
      </c>
      <c r="I130" s="7">
        <v>80</v>
      </c>
      <c r="J130" s="7">
        <v>1</v>
      </c>
      <c r="K130" s="7">
        <v>4</v>
      </c>
      <c r="L130" s="7">
        <v>16</v>
      </c>
      <c r="M130" s="7">
        <v>32</v>
      </c>
      <c r="N130" s="7">
        <v>64</v>
      </c>
      <c r="O130" s="7">
        <v>80</v>
      </c>
    </row>
    <row r="131" spans="1:15" x14ac:dyDescent="0.25">
      <c r="A131" s="8" t="s">
        <v>8</v>
      </c>
      <c r="B131" s="9" t="s">
        <v>9</v>
      </c>
      <c r="C131" s="22" t="s">
        <v>10</v>
      </c>
      <c r="D131" s="10">
        <v>29629</v>
      </c>
      <c r="E131" s="10">
        <v>21732</v>
      </c>
      <c r="F131" s="10">
        <v>6399</v>
      </c>
      <c r="G131" s="23"/>
      <c r="H131" s="10"/>
      <c r="I131" s="10"/>
      <c r="J131" s="11">
        <f>IF(D131="","",(1/D131)*1000000)</f>
        <v>33.750717202740553</v>
      </c>
      <c r="K131" s="11">
        <f t="shared" ref="K131:K136" si="32">IF(E131="","",(1/E131)*1000000)</f>
        <v>46.015092950487762</v>
      </c>
      <c r="L131" s="11">
        <f t="shared" ref="L131:L136" si="33">IF(F131="","",(1/F131)*1000000)</f>
        <v>156.27441787779341</v>
      </c>
      <c r="M131" s="11" t="str">
        <f t="shared" ref="M131:M136" si="34">IF(G131="","",(1/G131)*1000000)</f>
        <v/>
      </c>
      <c r="N131" s="11" t="str">
        <f t="shared" ref="N131:N136" si="35">IF(H131="","",(1/H131)*1000000)</f>
        <v/>
      </c>
      <c r="O131" s="11" t="str">
        <f t="shared" ref="O131:O136" si="36">IF(I131="","",(1/I131)*1000000)</f>
        <v/>
      </c>
    </row>
    <row r="132" spans="1:15" x14ac:dyDescent="0.25">
      <c r="A132" s="8" t="s">
        <v>11</v>
      </c>
      <c r="B132" s="9" t="s">
        <v>9</v>
      </c>
      <c r="C132" s="22" t="s">
        <v>12</v>
      </c>
      <c r="D132" s="10">
        <v>9293</v>
      </c>
      <c r="E132" s="10">
        <v>7783</v>
      </c>
      <c r="F132" s="10">
        <v>4148</v>
      </c>
      <c r="G132" s="23"/>
      <c r="H132" s="10"/>
      <c r="I132" s="10"/>
      <c r="J132" s="11">
        <f t="shared" ref="J132:J136" si="37">IF(D132="","",(1/D132)*1000000)</f>
        <v>107.60787689658883</v>
      </c>
      <c r="K132" s="11">
        <f t="shared" si="32"/>
        <v>128.48515996402418</v>
      </c>
      <c r="L132" s="11">
        <f t="shared" si="33"/>
        <v>241.08003857280619</v>
      </c>
      <c r="M132" s="11" t="str">
        <f t="shared" si="34"/>
        <v/>
      </c>
      <c r="N132" s="11" t="str">
        <f t="shared" si="35"/>
        <v/>
      </c>
      <c r="O132" s="11" t="str">
        <f t="shared" si="36"/>
        <v/>
      </c>
    </row>
    <row r="133" spans="1:15" x14ac:dyDescent="0.25">
      <c r="A133" s="9" t="s">
        <v>13</v>
      </c>
      <c r="B133" s="9" t="s">
        <v>14</v>
      </c>
      <c r="C133" s="22" t="s">
        <v>10</v>
      </c>
      <c r="D133" s="10">
        <v>27666</v>
      </c>
      <c r="E133" s="10">
        <v>17773</v>
      </c>
      <c r="F133" s="10">
        <v>5665</v>
      </c>
      <c r="G133" s="23"/>
      <c r="H133" s="10"/>
      <c r="I133" s="10"/>
      <c r="J133" s="11">
        <f t="shared" si="37"/>
        <v>36.145449287934646</v>
      </c>
      <c r="K133" s="11">
        <f t="shared" si="32"/>
        <v>56.265121251336296</v>
      </c>
      <c r="L133" s="11">
        <f t="shared" si="33"/>
        <v>176.522506619594</v>
      </c>
      <c r="M133" s="11" t="str">
        <f t="shared" si="34"/>
        <v/>
      </c>
      <c r="N133" s="11" t="str">
        <f t="shared" si="35"/>
        <v/>
      </c>
      <c r="O133" s="11" t="str">
        <f t="shared" si="36"/>
        <v/>
      </c>
    </row>
    <row r="134" spans="1:15" x14ac:dyDescent="0.25">
      <c r="A134" s="9" t="s">
        <v>15</v>
      </c>
      <c r="B134" s="9" t="s">
        <v>14</v>
      </c>
      <c r="C134" s="22" t="s">
        <v>12</v>
      </c>
      <c r="D134" s="10">
        <v>9338</v>
      </c>
      <c r="E134" s="10">
        <v>6903</v>
      </c>
      <c r="F134" s="10">
        <v>3867</v>
      </c>
      <c r="G134" s="23"/>
      <c r="H134" s="10"/>
      <c r="I134" s="10"/>
      <c r="J134" s="11">
        <f t="shared" si="37"/>
        <v>107.08931248661384</v>
      </c>
      <c r="K134" s="11">
        <f t="shared" si="32"/>
        <v>144.86455164421264</v>
      </c>
      <c r="L134" s="11">
        <f t="shared" si="33"/>
        <v>258.5983966899405</v>
      </c>
      <c r="M134" s="11" t="str">
        <f t="shared" si="34"/>
        <v/>
      </c>
      <c r="N134" s="11" t="str">
        <f t="shared" si="35"/>
        <v/>
      </c>
      <c r="O134" s="11" t="str">
        <f t="shared" si="36"/>
        <v/>
      </c>
    </row>
    <row r="135" spans="1:15" x14ac:dyDescent="0.25">
      <c r="A135" s="9" t="s">
        <v>16</v>
      </c>
      <c r="B135" s="9" t="s">
        <v>17</v>
      </c>
      <c r="C135" s="22" t="s">
        <v>12</v>
      </c>
      <c r="D135" s="10">
        <v>8571</v>
      </c>
      <c r="E135" s="10">
        <v>7301</v>
      </c>
      <c r="F135" s="28">
        <v>4031</v>
      </c>
      <c r="G135" s="23"/>
      <c r="H135" s="10"/>
      <c r="I135" s="10"/>
      <c r="J135" s="11">
        <f t="shared" si="37"/>
        <v>116.67250029168125</v>
      </c>
      <c r="K135" s="11">
        <f t="shared" si="32"/>
        <v>136.96753869332969</v>
      </c>
      <c r="L135" s="11">
        <f t="shared" si="33"/>
        <v>248.07740014884644</v>
      </c>
      <c r="M135" s="11" t="str">
        <f t="shared" si="34"/>
        <v/>
      </c>
      <c r="N135" s="11" t="str">
        <f t="shared" si="35"/>
        <v/>
      </c>
      <c r="O135" s="11" t="str">
        <f t="shared" si="36"/>
        <v/>
      </c>
    </row>
    <row r="136" spans="1:15" x14ac:dyDescent="0.25">
      <c r="A136" s="9" t="s">
        <v>18</v>
      </c>
      <c r="B136" s="8" t="s">
        <v>19</v>
      </c>
      <c r="C136" s="26" t="s">
        <v>12</v>
      </c>
      <c r="D136" s="28">
        <v>8528</v>
      </c>
      <c r="E136" s="28">
        <v>6675</v>
      </c>
      <c r="F136" s="28">
        <v>3981</v>
      </c>
      <c r="G136" s="23"/>
      <c r="H136" s="10"/>
      <c r="I136" s="10"/>
      <c r="J136" s="11">
        <f t="shared" si="37"/>
        <v>117.26078799249531</v>
      </c>
      <c r="K136" s="11">
        <f t="shared" si="32"/>
        <v>149.81273408239701</v>
      </c>
      <c r="L136" s="11">
        <f t="shared" si="33"/>
        <v>251.19316754584273</v>
      </c>
      <c r="M136" s="11" t="str">
        <f t="shared" si="34"/>
        <v/>
      </c>
      <c r="N136" s="11" t="str">
        <f t="shared" si="35"/>
        <v/>
      </c>
      <c r="O136" s="11" t="str">
        <f t="shared" si="36"/>
        <v/>
      </c>
    </row>
    <row r="137" spans="1:15" x14ac:dyDescent="0.25">
      <c r="A137" s="130" t="s">
        <v>81</v>
      </c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</row>
    <row r="138" spans="1:15" ht="18.75" x14ac:dyDescent="0.3">
      <c r="A138" s="103" t="s">
        <v>65</v>
      </c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16"/>
    </row>
    <row r="139" spans="1:15" x14ac:dyDescent="0.25">
      <c r="A139" s="105" t="s">
        <v>2</v>
      </c>
      <c r="B139" s="105"/>
      <c r="C139" s="105"/>
      <c r="D139" s="106" t="s">
        <v>20</v>
      </c>
      <c r="E139" s="106"/>
      <c r="F139" s="106"/>
      <c r="G139" s="106"/>
      <c r="H139" s="106"/>
      <c r="I139" s="106"/>
      <c r="J139" s="106" t="s">
        <v>23</v>
      </c>
      <c r="K139" s="106"/>
      <c r="L139" s="106"/>
      <c r="M139" s="106"/>
      <c r="N139" s="106"/>
      <c r="O139" s="106"/>
    </row>
    <row r="140" spans="1:15" x14ac:dyDescent="0.25">
      <c r="A140" s="6" t="s">
        <v>5</v>
      </c>
      <c r="B140" s="6" t="s">
        <v>6</v>
      </c>
      <c r="C140" s="6" t="s">
        <v>7</v>
      </c>
      <c r="D140" s="7">
        <v>1</v>
      </c>
      <c r="E140" s="7">
        <v>4</v>
      </c>
      <c r="F140" s="7">
        <v>16</v>
      </c>
      <c r="G140" s="7">
        <v>32</v>
      </c>
      <c r="H140" s="7">
        <v>64</v>
      </c>
      <c r="I140" s="7">
        <v>80</v>
      </c>
      <c r="J140" s="7">
        <v>1</v>
      </c>
      <c r="K140" s="7">
        <v>4</v>
      </c>
      <c r="L140" s="7">
        <v>16</v>
      </c>
      <c r="M140" s="7">
        <v>32</v>
      </c>
      <c r="N140" s="7">
        <v>64</v>
      </c>
      <c r="O140" s="7">
        <v>80</v>
      </c>
    </row>
    <row r="141" spans="1:15" x14ac:dyDescent="0.25">
      <c r="A141" s="8" t="s">
        <v>8</v>
      </c>
      <c r="B141" s="9" t="s">
        <v>9</v>
      </c>
      <c r="C141" s="9" t="s">
        <v>10</v>
      </c>
      <c r="D141" s="12">
        <f>IF(D131="","",(D131-'2015'!D92)/'2015'!D92)</f>
        <v>-0.36079649645114664</v>
      </c>
      <c r="E141" s="12">
        <f>IF(E131="","",(E131-'2015'!E92)/'2015'!E92)</f>
        <v>-2.3870730811604846E-3</v>
      </c>
      <c r="F141" s="12">
        <f>IF(F131="","",(F131-'2015'!F92)/'2015'!F92)</f>
        <v>-2.126032425818293E-2</v>
      </c>
      <c r="G141" s="12" t="str">
        <f>IF(G131="","",(G131-'2014'!G89)/'2014'!G89)</f>
        <v/>
      </c>
      <c r="H141" s="12" t="str">
        <f>IF(H131="","",(H131-'2014'!H89)/'2014'!H89)</f>
        <v/>
      </c>
      <c r="I141" s="12" t="str">
        <f>IF(I131="","",(I131-'2014'!I89)/'2014'!I89)</f>
        <v/>
      </c>
      <c r="J141" s="11">
        <f>J131 - '2015'!J92</f>
        <v>12.177140519462231</v>
      </c>
      <c r="K141" s="11">
        <f>K131 - '2015'!K92</f>
        <v>0.10984138970921009</v>
      </c>
      <c r="L141" s="11">
        <f>L131 - '2015'!L92</f>
        <v>3.3224447973406654</v>
      </c>
      <c r="M141" s="11" t="str">
        <f>IF(G141="","",M131-((1/'Proto 2013'!G120)*1000000))</f>
        <v/>
      </c>
      <c r="N141" s="11" t="str">
        <f>IF(H141="","",N131-((1/'Proto 2013'!H120)*1000000))</f>
        <v/>
      </c>
      <c r="O141" s="11" t="str">
        <f>IF(I141="","",O131-((1/'Proto 2013'!I120)*1000000))</f>
        <v/>
      </c>
    </row>
    <row r="142" spans="1:15" x14ac:dyDescent="0.25">
      <c r="A142" s="8" t="s">
        <v>11</v>
      </c>
      <c r="B142" s="9" t="s">
        <v>9</v>
      </c>
      <c r="C142" s="9" t="s">
        <v>12</v>
      </c>
      <c r="D142" s="12">
        <f>IF(D132="","",(D132-'2015'!D93)/'2015'!D93)</f>
        <v>-0.13585642551608704</v>
      </c>
      <c r="E142" s="12">
        <f>IF(E132="","",(E132-'2015'!E93)/'2015'!E93)</f>
        <v>-7.1241050119331739E-2</v>
      </c>
      <c r="F142" s="12">
        <f>IF(F132="","",(F132-'2015'!F93)/'2015'!F93)</f>
        <v>-6.6186402521386759E-2</v>
      </c>
      <c r="G142" s="12" t="str">
        <f>IF(G132="","",(G132-'2014'!G90)/'2014'!G90)</f>
        <v/>
      </c>
      <c r="H142" s="12" t="str">
        <f>IF(H132="","",(H132-'2014'!H90)/'2014'!H90)</f>
        <v/>
      </c>
      <c r="I142" s="12" t="str">
        <f>IF(I132="","",(I132-'2014'!I90)/'2014'!I90)</f>
        <v/>
      </c>
      <c r="J142" s="11">
        <f>J132 - '2015'!J93</f>
        <v>14.619221512545678</v>
      </c>
      <c r="K142" s="11">
        <f>K132 - '2015'!K93</f>
        <v>9.1534177205874272</v>
      </c>
      <c r="L142" s="11">
        <f>L132 - '2015'!L93</f>
        <v>15.956220472851214</v>
      </c>
      <c r="M142" s="11" t="str">
        <f>IF(G142="","",M132-((1/'Proto 2013'!G121)*1000000))</f>
        <v/>
      </c>
      <c r="N142" s="11" t="str">
        <f>IF(H142="","",N132-((1/'Proto 2013'!H121)*1000000))</f>
        <v/>
      </c>
      <c r="O142" s="11" t="str">
        <f>IF(I142="","",O132-((1/'Proto 2013'!I121)*1000000))</f>
        <v/>
      </c>
    </row>
    <row r="143" spans="1:15" x14ac:dyDescent="0.25">
      <c r="A143" s="9" t="s">
        <v>13</v>
      </c>
      <c r="B143" s="9" t="s">
        <v>14</v>
      </c>
      <c r="C143" s="9" t="s">
        <v>10</v>
      </c>
      <c r="D143" s="12">
        <f>IF(D133="","",(D133-'2015'!D94)/'2015'!D94)</f>
        <v>-0.33059111035834404</v>
      </c>
      <c r="E143" s="12">
        <f>IF(E133="","",(E133-'2015'!E94)/'2015'!E94)</f>
        <v>-1.436335403726708E-2</v>
      </c>
      <c r="F143" s="12">
        <f>IF(F133="","",(F133-'2015'!F94)/'2015'!F94)</f>
        <v>5.3365563406470806E-2</v>
      </c>
      <c r="G143" s="12" t="str">
        <f>IF(G133="","",(G133-'2014'!G91)/'2014'!G91)</f>
        <v/>
      </c>
      <c r="H143" s="12" t="str">
        <f>IF(H133="","",(H133-'2014'!H91)/'2014'!H91)</f>
        <v/>
      </c>
      <c r="I143" s="12" t="str">
        <f>IF(I133="","",(I133-'2014'!I91)/'2014'!I91)</f>
        <v/>
      </c>
      <c r="J143" s="11">
        <f>J133 - '2015'!J94</f>
        <v>11.949364214499525</v>
      </c>
      <c r="K143" s="11">
        <f>K133 - '2015'!K94</f>
        <v>0.80815585648269916</v>
      </c>
      <c r="L143" s="11">
        <f>L133 - '2015'!L94</f>
        <v>-9.4202230196771097</v>
      </c>
      <c r="M143" s="11" t="str">
        <f>IF(G143="","",M133-((1/'Proto 2013'!G122)*1000000))</f>
        <v/>
      </c>
      <c r="N143" s="11" t="str">
        <f>IF(H143="","",N133-((1/'Proto 2013'!H122)*1000000))</f>
        <v/>
      </c>
      <c r="O143" s="11" t="str">
        <f>IF(I143="","",O133-((1/'Proto 2013'!I122)*1000000))</f>
        <v/>
      </c>
    </row>
    <row r="144" spans="1:15" x14ac:dyDescent="0.25">
      <c r="A144" s="9" t="s">
        <v>15</v>
      </c>
      <c r="B144" s="9" t="s">
        <v>14</v>
      </c>
      <c r="C144" s="9" t="s">
        <v>12</v>
      </c>
      <c r="D144" s="12">
        <f>IF(D134="","",(D134-'2015'!D95)/'2015'!D95)</f>
        <v>-0.10064528556293942</v>
      </c>
      <c r="E144" s="12">
        <f>IF(E134="","",(E134-'2015'!E95)/'2015'!E95)</f>
        <v>-0.12994706327199396</v>
      </c>
      <c r="F144" s="12">
        <f>IF(F134="","",(F134-'2015'!F95)/'2015'!F95)</f>
        <v>-6.5264684554024649E-2</v>
      </c>
      <c r="G144" s="12" t="str">
        <f>IF(G134="","",(G134-'2014'!G92)/'2014'!G92)</f>
        <v/>
      </c>
      <c r="H144" s="12" t="str">
        <f>IF(H134="","",(H134-'2014'!H92)/'2014'!H92)</f>
        <v/>
      </c>
      <c r="I144" s="12" t="str">
        <f>IF(I134="","",(I134-'2014'!I92)/'2014'!I92)</f>
        <v/>
      </c>
      <c r="J144" s="11">
        <f>J134 - '2015'!J95</f>
        <v>10.778034435954098</v>
      </c>
      <c r="K144" s="11">
        <f>K134 - '2015'!K95</f>
        <v>18.824723058379504</v>
      </c>
      <c r="L144" s="11">
        <f>L134 - '2015'!L95</f>
        <v>16.877342786145476</v>
      </c>
      <c r="M144" s="11" t="str">
        <f>IF(G144="","",M134-((1/'Proto 2013'!G123)*1000000))</f>
        <v/>
      </c>
      <c r="N144" s="11" t="str">
        <f>IF(H144="","",N134-((1/'Proto 2013'!H123)*1000000))</f>
        <v/>
      </c>
      <c r="O144" s="11" t="str">
        <f>IF(I144="","",O134-((1/'Proto 2013'!I123)*1000000))</f>
        <v/>
      </c>
    </row>
    <row r="145" spans="1:15" x14ac:dyDescent="0.25">
      <c r="A145" s="9" t="s">
        <v>16</v>
      </c>
      <c r="B145" s="9" t="s">
        <v>17</v>
      </c>
      <c r="C145" s="9" t="s">
        <v>12</v>
      </c>
      <c r="D145" s="12">
        <f>IF(D135="","",(D135-'2015'!D96)/'2015'!D96)</f>
        <v>7.0037453183520601E-2</v>
      </c>
      <c r="E145" s="12">
        <f>IF(E135="","",(E135-'2015'!E96)/'2015'!E96)</f>
        <v>-5.2433484750162233E-2</v>
      </c>
      <c r="F145" s="12">
        <f>IF(F135="","",(F135-'2015'!F96)/'2015'!F96)</f>
        <v>-2.4915336236090952E-2</v>
      </c>
      <c r="G145" s="12" t="str">
        <f>IF(G135="","",(G135-'2014'!G93)/'2014'!G93)</f>
        <v/>
      </c>
      <c r="H145" s="12" t="str">
        <f>IF(H135="","",(H135-'2014'!H93)/'2014'!H93)</f>
        <v/>
      </c>
      <c r="I145" s="12" t="str">
        <f>IF(I135="","",(I135-'2014'!I93)/'2014'!I93)</f>
        <v/>
      </c>
      <c r="J145" s="11">
        <f>J135 - '2015'!J96</f>
        <v>-8.1714447769829235</v>
      </c>
      <c r="K145" s="11">
        <f>K135 - '2015'!K96</f>
        <v>7.1816853513439582</v>
      </c>
      <c r="L145" s="11">
        <f>L135 - '2015'!L96</f>
        <v>6.1809318372837936</v>
      </c>
      <c r="M145" s="11" t="str">
        <f>IF(G145="","",M135-((1/'Proto 2013'!G124)*1000000))</f>
        <v/>
      </c>
      <c r="N145" s="11" t="str">
        <f>IF(H145="","",N135-((1/'Proto 2013'!H124)*1000000))</f>
        <v/>
      </c>
      <c r="O145" s="11" t="str">
        <f>IF(I145="","",O135-((1/'Proto 2013'!I124)*1000000))</f>
        <v/>
      </c>
    </row>
    <row r="146" spans="1:15" x14ac:dyDescent="0.25">
      <c r="A146" s="9" t="s">
        <v>18</v>
      </c>
      <c r="B146" s="8" t="s">
        <v>19</v>
      </c>
      <c r="C146" s="9" t="s">
        <v>12</v>
      </c>
      <c r="D146" s="12">
        <f>IF(D136="","",(D136-'2015'!D97)/'2015'!D97)</f>
        <v>6.4669163545568037E-2</v>
      </c>
      <c r="E146" s="12">
        <f>IF(E136="","",(E136-'2015'!E97)/'2015'!E97)</f>
        <v>-9.0103598691384956E-2</v>
      </c>
      <c r="F146" s="12">
        <f>IF(F136="","",(F136-'2015'!F97)/'2015'!F97)</f>
        <v>-3.490909090909091E-2</v>
      </c>
      <c r="G146" s="12" t="str">
        <f>IF(G136="","",(G136-'2014'!G94)/'2014'!G94)</f>
        <v/>
      </c>
      <c r="H146" s="12" t="str">
        <f>IF(H136="","",(H136-'2014'!H94)/'2014'!H94)</f>
        <v/>
      </c>
      <c r="I146" s="12" t="str">
        <f>IF(I136="","",(I136-'2014'!I94)/'2014'!I94)</f>
        <v/>
      </c>
      <c r="J146" s="11">
        <f>J136 - '2015'!J97</f>
        <v>-7.5831570761688596</v>
      </c>
      <c r="K146" s="11">
        <f>K136 - '2015'!K97</f>
        <v>13.498666470619469</v>
      </c>
      <c r="L146" s="11">
        <f>L136 - '2015'!L97</f>
        <v>8.7689251216003186</v>
      </c>
      <c r="M146" s="11" t="str">
        <f>IF(G146="","",M136-((1/'Proto 2013'!G125)*1000000))</f>
        <v/>
      </c>
      <c r="N146" s="11" t="str">
        <f>IF(H146="","",N136-((1/'Proto 2013'!H125)*1000000))</f>
        <v/>
      </c>
      <c r="O146" s="11" t="str">
        <f>IF(I146="","",O136-((1/'Proto 2013'!I125)*1000000))</f>
        <v/>
      </c>
    </row>
    <row r="147" spans="1:15" ht="18.75" x14ac:dyDescent="0.3">
      <c r="A147" s="103" t="s">
        <v>80</v>
      </c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16"/>
    </row>
    <row r="148" spans="1:15" x14ac:dyDescent="0.25">
      <c r="A148" s="105" t="s">
        <v>2</v>
      </c>
      <c r="B148" s="105"/>
      <c r="C148" s="105"/>
      <c r="D148" s="106" t="s">
        <v>20</v>
      </c>
      <c r="E148" s="106"/>
      <c r="F148" s="106"/>
      <c r="G148" s="106"/>
      <c r="H148" s="106"/>
      <c r="I148" s="106"/>
      <c r="J148" s="106" t="s">
        <v>23</v>
      </c>
      <c r="K148" s="106"/>
      <c r="L148" s="106"/>
      <c r="M148" s="106"/>
      <c r="N148" s="106"/>
      <c r="O148" s="106"/>
    </row>
    <row r="149" spans="1:15" x14ac:dyDescent="0.25">
      <c r="A149" s="6" t="s">
        <v>5</v>
      </c>
      <c r="B149" s="6" t="s">
        <v>6</v>
      </c>
      <c r="C149" s="6" t="s">
        <v>7</v>
      </c>
      <c r="D149" s="7">
        <v>1</v>
      </c>
      <c r="E149" s="7">
        <v>4</v>
      </c>
      <c r="F149" s="7">
        <v>16</v>
      </c>
      <c r="G149" s="7">
        <v>32</v>
      </c>
      <c r="H149" s="7">
        <v>64</v>
      </c>
      <c r="I149" s="7">
        <v>80</v>
      </c>
      <c r="J149" s="7">
        <v>1</v>
      </c>
      <c r="K149" s="7">
        <v>4</v>
      </c>
      <c r="L149" s="7">
        <v>16</v>
      </c>
      <c r="M149" s="7">
        <v>32</v>
      </c>
      <c r="N149" s="7">
        <v>64</v>
      </c>
      <c r="O149" s="7">
        <v>80</v>
      </c>
    </row>
    <row r="150" spans="1:15" x14ac:dyDescent="0.25">
      <c r="A150" s="8" t="s">
        <v>8</v>
      </c>
      <c r="B150" s="9" t="s">
        <v>9</v>
      </c>
      <c r="C150" s="9" t="s">
        <v>10</v>
      </c>
      <c r="D150" s="12">
        <f>IF(D131="","",(D131-'2015'!D136)/'2015'!D136)</f>
        <v>-0.42129729096271412</v>
      </c>
      <c r="E150" s="12">
        <f>IF(E131="","",(E131-'2015'!E136)/'2015'!E136)</f>
        <v>-3.189593727726301E-2</v>
      </c>
      <c r="F150" s="12">
        <f>IF(F131="","",(F131-'2015'!F136)/'2015'!F136)</f>
        <v>-2.4245196706312901E-2</v>
      </c>
      <c r="G150" s="12" t="str">
        <f>IF(G131="","",(G131-'2015'!G115)/'2015'!G115)</f>
        <v/>
      </c>
      <c r="H150" s="12" t="str">
        <f>IF(H131="","",(H131-'2015'!H115)/'2015'!H115)</f>
        <v/>
      </c>
      <c r="I150" s="12" t="str">
        <f>IF(I131="","",(I131-'2015'!I115)/'2015'!I115)</f>
        <v/>
      </c>
      <c r="J150" s="11">
        <f>J131 - '2015'!J136</f>
        <v>14.219085725563264</v>
      </c>
      <c r="K150" s="11">
        <f>K131 - '2015'!K136</f>
        <v>1.4676945185561863</v>
      </c>
      <c r="L150" s="11">
        <f>L131 - '2015'!L136</f>
        <v>3.7889040016116553</v>
      </c>
      <c r="M150" s="11" t="str">
        <f>IF(G150="","",M140-((1/'Proto 2013'!G129)*1000000))</f>
        <v/>
      </c>
      <c r="N150" s="11" t="str">
        <f>IF(H150="","",N140-((1/'Proto 2013'!H129)*1000000))</f>
        <v/>
      </c>
      <c r="O150" s="11" t="str">
        <f>IF(I150="","",O140-((1/'Proto 2013'!I129)*1000000))</f>
        <v/>
      </c>
    </row>
    <row r="151" spans="1:15" x14ac:dyDescent="0.25">
      <c r="A151" s="8" t="s">
        <v>11</v>
      </c>
      <c r="B151" s="9" t="s">
        <v>9</v>
      </c>
      <c r="C151" s="9" t="s">
        <v>12</v>
      </c>
      <c r="D151" s="12">
        <f>IF(D132="","",(D132-'2015'!D137)/'2015'!D137)</f>
        <v>-0.1178089994304158</v>
      </c>
      <c r="E151" s="12">
        <f>IF(E132="","",(E132-'2015'!E137)/'2015'!E137)</f>
        <v>-9.013327098433481E-2</v>
      </c>
      <c r="F151" s="12">
        <f>IF(F132="","",(F132-'2015'!F137)/'2015'!F137)</f>
        <v>-6.597613150191399E-2</v>
      </c>
      <c r="G151" s="12" t="str">
        <f>IF(G141="","",(G141-'2014'!G99)/'2014'!G99)</f>
        <v/>
      </c>
      <c r="H151" s="12" t="str">
        <f>IF(H141="","",(H141-'2014'!H99)/'2014'!H99)</f>
        <v/>
      </c>
      <c r="I151" s="12" t="str">
        <f>IF(I141="","",(I141-'2014'!I99)/'2014'!I99)</f>
        <v/>
      </c>
      <c r="J151" s="11">
        <f>J132 - '2015'!J137</f>
        <v>12.677176308018488</v>
      </c>
      <c r="K151" s="11">
        <f>K132 - '2015'!K137</f>
        <v>11.580787740503013</v>
      </c>
      <c r="L151" s="11">
        <f>L132 - '2015'!L137</f>
        <v>15.905528327365971</v>
      </c>
      <c r="M151" s="11" t="str">
        <f>IF(G151="","",M141-((1/'Proto 2013'!G130)*1000000))</f>
        <v/>
      </c>
      <c r="N151" s="11" t="str">
        <f>IF(H151="","",N141-((1/'Proto 2013'!H130)*1000000))</f>
        <v/>
      </c>
      <c r="O151" s="11" t="str">
        <f>IF(I151="","",O141-((1/'Proto 2013'!I130)*1000000))</f>
        <v/>
      </c>
    </row>
    <row r="152" spans="1:15" x14ac:dyDescent="0.25">
      <c r="A152" s="9" t="s">
        <v>13</v>
      </c>
      <c r="B152" s="9" t="s">
        <v>14</v>
      </c>
      <c r="C152" s="9" t="s">
        <v>10</v>
      </c>
      <c r="D152" s="12">
        <f>IF(D133="","",(D133-'2015'!D138)/'2015'!D138)</f>
        <v>-0.33059111035834404</v>
      </c>
      <c r="E152" s="12">
        <f>IF(E133="","",(E133-'2015'!E138)/'2015'!E138)</f>
        <v>7.0082485399482211E-2</v>
      </c>
      <c r="F152" s="12">
        <f>IF(F133="","",(F133-'2015'!F138)/'2015'!F138)</f>
        <v>-1.9217451523545707E-2</v>
      </c>
      <c r="G152" s="12" t="str">
        <f>IF(G142="","",(G142-'2014'!G100)/'2014'!G100)</f>
        <v/>
      </c>
      <c r="H152" s="12" t="str">
        <f>IF(H142="","",(H142-'2014'!H100)/'2014'!H100)</f>
        <v/>
      </c>
      <c r="I152" s="12" t="str">
        <f>IF(I142="","",(I142-'2014'!I100)/'2014'!I100)</f>
        <v/>
      </c>
      <c r="J152" s="11">
        <f>J133 - '2015'!J138</f>
        <v>11.949364214499525</v>
      </c>
      <c r="K152" s="11">
        <f>K133 - '2015'!K138</f>
        <v>-3.9431995385968719</v>
      </c>
      <c r="L152" s="11">
        <f>L133 - '2015'!L138</f>
        <v>3.3923127137768176</v>
      </c>
      <c r="M152" s="11" t="str">
        <f>IF(G152="","",M142-((1/'Proto 2013'!G131)*1000000))</f>
        <v/>
      </c>
      <c r="N152" s="11" t="str">
        <f>IF(H152="","",N142-((1/'Proto 2013'!H131)*1000000))</f>
        <v/>
      </c>
      <c r="O152" s="11" t="str">
        <f>IF(I152="","",O142-((1/'Proto 2013'!I131)*1000000))</f>
        <v/>
      </c>
    </row>
    <row r="153" spans="1:15" x14ac:dyDescent="0.25">
      <c r="A153" s="9" t="s">
        <v>15</v>
      </c>
      <c r="B153" s="9" t="s">
        <v>14</v>
      </c>
      <c r="C153" s="9" t="s">
        <v>12</v>
      </c>
      <c r="D153" s="12">
        <f>IF(D134="","",(D134-'2015'!D139)/'2015'!D139)</f>
        <v>-0.10478381746716518</v>
      </c>
      <c r="E153" s="12">
        <f>IF(E134="","",(E134-'2015'!E139)/'2015'!E139)</f>
        <v>-0.10860020661157024</v>
      </c>
      <c r="F153" s="12">
        <f>IF(F134="","",(F134-'2015'!F139)/'2015'!F139)</f>
        <v>-5.5216222819447838E-2</v>
      </c>
      <c r="G153" s="12" t="str">
        <f>IF(G143="","",(G143-'2014'!G101)/'2014'!G101)</f>
        <v/>
      </c>
      <c r="H153" s="12" t="str">
        <f>IF(H143="","",(H143-'2014'!H101)/'2014'!H101)</f>
        <v/>
      </c>
      <c r="I153" s="12" t="str">
        <f>IF(I143="","",(I143-'2014'!I101)/'2014'!I101)</f>
        <v/>
      </c>
      <c r="J153" s="11">
        <f>J134 - '2015'!J139</f>
        <v>11.221226972281556</v>
      </c>
      <c r="K153" s="11">
        <f>K134 - '2015'!K139</f>
        <v>15.732320239253966</v>
      </c>
      <c r="L153" s="11">
        <f>L134 - '2015'!L139</f>
        <v>14.278826692383689</v>
      </c>
      <c r="M153" s="11" t="str">
        <f>IF(G153="","",M143-((1/'Proto 2013'!G132)*1000000))</f>
        <v/>
      </c>
      <c r="N153" s="11" t="str">
        <f>IF(H153="","",N143-((1/'Proto 2013'!H132)*1000000))</f>
        <v/>
      </c>
      <c r="O153" s="11" t="str">
        <f>IF(I153="","",O143-((1/'Proto 2013'!I132)*1000000))</f>
        <v/>
      </c>
    </row>
    <row r="154" spans="1:15" x14ac:dyDescent="0.25">
      <c r="A154" s="9" t="s">
        <v>16</v>
      </c>
      <c r="B154" s="9" t="s">
        <v>17</v>
      </c>
      <c r="C154" s="9" t="s">
        <v>12</v>
      </c>
      <c r="D154" s="12">
        <f>IF(D135="","",(D135-'2015'!D140)/'2015'!D140)</f>
        <v>-7.769288711933714E-2</v>
      </c>
      <c r="E154" s="12">
        <f>IF(E135="","",(E135-'2015'!E140)/'2015'!E140)</f>
        <v>-8.3709839357429719E-2</v>
      </c>
      <c r="F154" s="12">
        <f>IF(F135="","",(F135-'2015'!F140)/'2015'!F140)</f>
        <v>-2.4915336236090952E-2</v>
      </c>
      <c r="G154" s="12" t="str">
        <f>IF(G144="","",(G144-'2014'!G102)/'2014'!G102)</f>
        <v/>
      </c>
      <c r="H154" s="12" t="str">
        <f>IF(H144="","",(H144-'2014'!H102)/'2014'!H102)</f>
        <v/>
      </c>
      <c r="I154" s="12" t="str">
        <f>IF(I144="","",(I144-'2014'!I102)/'2014'!I102)</f>
        <v/>
      </c>
      <c r="J154" s="11">
        <f>J135 - '2015'!J140</f>
        <v>9.0646233950924113</v>
      </c>
      <c r="K154" s="11">
        <f>K135 - '2015'!K140</f>
        <v>11.465530661201186</v>
      </c>
      <c r="L154" s="11">
        <f>L135 - '2015'!L140</f>
        <v>6.1809318372837936</v>
      </c>
      <c r="M154" s="11" t="str">
        <f>IF(G154="","",M144-((1/'Proto 2013'!G133)*1000000))</f>
        <v/>
      </c>
      <c r="N154" s="11" t="str">
        <f>IF(H154="","",N144-((1/'Proto 2013'!H133)*1000000))</f>
        <v/>
      </c>
      <c r="O154" s="11" t="str">
        <f>IF(I154="","",O144-((1/'Proto 2013'!I133)*1000000))</f>
        <v/>
      </c>
    </row>
    <row r="155" spans="1:15" x14ac:dyDescent="0.25">
      <c r="A155" s="9" t="s">
        <v>18</v>
      </c>
      <c r="B155" s="8" t="s">
        <v>19</v>
      </c>
      <c r="C155" s="9" t="s">
        <v>12</v>
      </c>
      <c r="D155" s="12">
        <f>IF(D136="","",(D136-'2015'!D141)/'2015'!D141)</f>
        <v>-1.8726591760299626E-3</v>
      </c>
      <c r="E155" s="12">
        <f>IF(E136="","",(E136-'2015'!E141)/'2015'!E141)</f>
        <v>-9.4669740946697403E-2</v>
      </c>
      <c r="F155" s="12">
        <f>IF(F136="","",(F136-'2015'!F141)/'2015'!F141)</f>
        <v>-4.8972766364070712E-2</v>
      </c>
      <c r="G155" s="12" t="str">
        <f>IF(G145="","",(G145-'2014'!G103)/'2014'!G103)</f>
        <v/>
      </c>
      <c r="H155" s="12" t="str">
        <f>IF(H145="","",(H145-'2014'!H103)/'2014'!H103)</f>
        <v/>
      </c>
      <c r="I155" s="12" t="str">
        <f>IF(I145="","",(I145-'2014'!I103)/'2014'!I103)</f>
        <v/>
      </c>
      <c r="J155" s="11">
        <f>J136 - '2015'!J141</f>
        <v>0.21958949062265276</v>
      </c>
      <c r="K155" s="11">
        <f>K136 - '2015'!K141</f>
        <v>14.182732726097015</v>
      </c>
      <c r="L155" s="11">
        <f>L136 - '2015'!L141</f>
        <v>12.3016243064734</v>
      </c>
      <c r="M155" s="11" t="str">
        <f>IF(G155="","",M145-((1/'Proto 2013'!G134)*1000000))</f>
        <v/>
      </c>
      <c r="N155" s="11" t="str">
        <f>IF(H155="","",N145-((1/'Proto 2013'!H134)*1000000))</f>
        <v/>
      </c>
      <c r="O155" s="11" t="str">
        <f>IF(I155="","",O145-((1/'Proto 2013'!I134)*1000000))</f>
        <v/>
      </c>
    </row>
    <row r="157" spans="1:15" ht="18.75" x14ac:dyDescent="0.25">
      <c r="A157" s="107" t="s">
        <v>68</v>
      </c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25"/>
    </row>
    <row r="158" spans="1:15" ht="15.75" x14ac:dyDescent="0.25">
      <c r="A158" s="109" t="s">
        <v>83</v>
      </c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26"/>
    </row>
    <row r="159" spans="1:15" x14ac:dyDescent="0.25">
      <c r="A159" s="105" t="s">
        <v>2</v>
      </c>
      <c r="B159" s="105"/>
      <c r="C159" s="105"/>
      <c r="D159" s="106" t="s">
        <v>3</v>
      </c>
      <c r="E159" s="106"/>
      <c r="F159" s="106"/>
      <c r="G159" s="106"/>
      <c r="H159" s="106"/>
      <c r="I159" s="106"/>
      <c r="J159" s="106" t="s">
        <v>4</v>
      </c>
      <c r="K159" s="106"/>
      <c r="L159" s="106"/>
      <c r="M159" s="106"/>
      <c r="N159" s="106"/>
      <c r="O159" s="106"/>
    </row>
    <row r="160" spans="1:15" x14ac:dyDescent="0.25">
      <c r="A160" s="6" t="s">
        <v>5</v>
      </c>
      <c r="B160" s="6" t="s">
        <v>6</v>
      </c>
      <c r="C160" s="6" t="s">
        <v>7</v>
      </c>
      <c r="D160" s="24">
        <v>1</v>
      </c>
      <c r="E160" s="24">
        <v>4</v>
      </c>
      <c r="F160" s="24">
        <v>16</v>
      </c>
      <c r="G160" s="7">
        <v>32</v>
      </c>
      <c r="H160" s="7">
        <v>64</v>
      </c>
      <c r="I160" s="7">
        <v>80</v>
      </c>
      <c r="J160" s="7">
        <v>1</v>
      </c>
      <c r="K160" s="7">
        <v>4</v>
      </c>
      <c r="L160" s="7">
        <v>16</v>
      </c>
      <c r="M160" s="7">
        <v>32</v>
      </c>
      <c r="N160" s="7">
        <v>64</v>
      </c>
      <c r="O160" s="7">
        <v>80</v>
      </c>
    </row>
    <row r="161" spans="1:15" x14ac:dyDescent="0.25">
      <c r="A161" s="8" t="s">
        <v>8</v>
      </c>
      <c r="B161" s="9" t="s">
        <v>9</v>
      </c>
      <c r="C161" s="22" t="s">
        <v>10</v>
      </c>
      <c r="D161" s="10">
        <v>49945</v>
      </c>
      <c r="E161" s="10">
        <v>21061</v>
      </c>
      <c r="F161" s="10">
        <v>6388</v>
      </c>
      <c r="G161" s="23"/>
      <c r="H161" s="10"/>
      <c r="I161" s="10"/>
      <c r="J161" s="11">
        <f>IF(D161="","",(1/D161)*1000000)</f>
        <v>20.022024226649314</v>
      </c>
      <c r="K161" s="11">
        <f t="shared" ref="K161:K166" si="38">IF(E161="","",(1/E161)*1000000)</f>
        <v>47.481126252314702</v>
      </c>
      <c r="L161" s="11">
        <f t="shared" ref="L161:L166" si="39">IF(F161="","",(1/F161)*1000000)</f>
        <v>156.54351909830933</v>
      </c>
      <c r="M161" s="11" t="str">
        <f t="shared" ref="M161:M166" si="40">IF(G161="","",(1/G161)*1000000)</f>
        <v/>
      </c>
      <c r="N161" s="11" t="str">
        <f t="shared" ref="N161:N166" si="41">IF(H161="","",(1/H161)*1000000)</f>
        <v/>
      </c>
      <c r="O161" s="11" t="str">
        <f t="shared" ref="O161:O166" si="42">IF(I161="","",(1/I161)*1000000)</f>
        <v/>
      </c>
    </row>
    <row r="162" spans="1:15" x14ac:dyDescent="0.25">
      <c r="A162" s="8" t="s">
        <v>11</v>
      </c>
      <c r="B162" s="9" t="s">
        <v>9</v>
      </c>
      <c r="C162" s="22" t="s">
        <v>12</v>
      </c>
      <c r="D162" s="10">
        <v>9293</v>
      </c>
      <c r="E162" s="10">
        <v>7537</v>
      </c>
      <c r="F162" s="10">
        <v>4152</v>
      </c>
      <c r="G162" s="23"/>
      <c r="H162" s="10"/>
      <c r="I162" s="10"/>
      <c r="J162" s="11">
        <f t="shared" ref="J162:J166" si="43">IF(D162="","",(1/D162)*1000000)</f>
        <v>107.60787689658883</v>
      </c>
      <c r="K162" s="11">
        <f t="shared" si="38"/>
        <v>132.67878466233248</v>
      </c>
      <c r="L162" s="11">
        <f t="shared" si="39"/>
        <v>240.84778420038535</v>
      </c>
      <c r="M162" s="11" t="str">
        <f t="shared" si="40"/>
        <v/>
      </c>
      <c r="N162" s="11" t="str">
        <f t="shared" si="41"/>
        <v/>
      </c>
      <c r="O162" s="11" t="str">
        <f t="shared" si="42"/>
        <v/>
      </c>
    </row>
    <row r="163" spans="1:15" x14ac:dyDescent="0.25">
      <c r="A163" s="9" t="s">
        <v>13</v>
      </c>
      <c r="B163" s="9" t="s">
        <v>14</v>
      </c>
      <c r="C163" s="22" t="s">
        <v>10</v>
      </c>
      <c r="D163" s="10">
        <v>27666</v>
      </c>
      <c r="E163" s="10">
        <v>17487</v>
      </c>
      <c r="F163" s="10">
        <v>5571</v>
      </c>
      <c r="G163" s="23"/>
      <c r="H163" s="10"/>
      <c r="I163" s="10"/>
      <c r="J163" s="11">
        <f t="shared" si="43"/>
        <v>36.145449287934646</v>
      </c>
      <c r="K163" s="11">
        <f t="shared" si="38"/>
        <v>57.185337679418993</v>
      </c>
      <c r="L163" s="11">
        <f t="shared" si="39"/>
        <v>179.50098725542992</v>
      </c>
      <c r="M163" s="11" t="str">
        <f t="shared" si="40"/>
        <v/>
      </c>
      <c r="N163" s="11" t="str">
        <f t="shared" si="41"/>
        <v/>
      </c>
      <c r="O163" s="11" t="str">
        <f t="shared" si="42"/>
        <v/>
      </c>
    </row>
    <row r="164" spans="1:15" x14ac:dyDescent="0.25">
      <c r="A164" s="9" t="s">
        <v>15</v>
      </c>
      <c r="B164" s="9" t="s">
        <v>14</v>
      </c>
      <c r="C164" s="22" t="s">
        <v>12</v>
      </c>
      <c r="D164" s="10">
        <v>9200</v>
      </c>
      <c r="E164" s="10">
        <v>7013</v>
      </c>
      <c r="F164" s="10">
        <v>3817</v>
      </c>
      <c r="G164" s="23"/>
      <c r="H164" s="10"/>
      <c r="I164" s="10"/>
      <c r="J164" s="11">
        <f t="shared" si="43"/>
        <v>108.69565217391305</v>
      </c>
      <c r="K164" s="11">
        <f t="shared" si="38"/>
        <v>142.59232853272493</v>
      </c>
      <c r="L164" s="11">
        <f t="shared" si="39"/>
        <v>261.98585276395079</v>
      </c>
      <c r="M164" s="11" t="str">
        <f t="shared" si="40"/>
        <v/>
      </c>
      <c r="N164" s="11" t="str">
        <f t="shared" si="41"/>
        <v/>
      </c>
      <c r="O164" s="11" t="str">
        <f t="shared" si="42"/>
        <v/>
      </c>
    </row>
    <row r="165" spans="1:15" x14ac:dyDescent="0.25">
      <c r="A165" s="9" t="s">
        <v>16</v>
      </c>
      <c r="B165" s="9" t="s">
        <v>17</v>
      </c>
      <c r="C165" s="22" t="s">
        <v>12</v>
      </c>
      <c r="D165" s="10">
        <v>8566</v>
      </c>
      <c r="E165" s="10">
        <v>7247</v>
      </c>
      <c r="F165" s="28">
        <v>3941</v>
      </c>
      <c r="G165" s="23"/>
      <c r="H165" s="10"/>
      <c r="I165" s="10"/>
      <c r="J165" s="11">
        <f t="shared" si="43"/>
        <v>116.7406023815083</v>
      </c>
      <c r="K165" s="11">
        <f t="shared" si="38"/>
        <v>137.98813302056021</v>
      </c>
      <c r="L165" s="11">
        <f t="shared" si="39"/>
        <v>253.74270489723423</v>
      </c>
      <c r="M165" s="11" t="str">
        <f t="shared" si="40"/>
        <v/>
      </c>
      <c r="N165" s="11" t="str">
        <f t="shared" si="41"/>
        <v/>
      </c>
      <c r="O165" s="11" t="str">
        <f t="shared" si="42"/>
        <v/>
      </c>
    </row>
    <row r="166" spans="1:15" x14ac:dyDescent="0.25">
      <c r="A166" s="9" t="s">
        <v>18</v>
      </c>
      <c r="B166" s="8" t="s">
        <v>19</v>
      </c>
      <c r="C166" s="26" t="s">
        <v>12</v>
      </c>
      <c r="D166" s="28">
        <v>8465</v>
      </c>
      <c r="E166" s="28">
        <v>7192</v>
      </c>
      <c r="F166" s="28">
        <v>3947</v>
      </c>
      <c r="G166" s="23"/>
      <c r="H166" s="10"/>
      <c r="I166" s="10"/>
      <c r="J166" s="11">
        <f t="shared" si="43"/>
        <v>118.13349084465446</v>
      </c>
      <c r="K166" s="11">
        <f t="shared" si="38"/>
        <v>139.04338153503892</v>
      </c>
      <c r="L166" s="11">
        <f t="shared" si="39"/>
        <v>253.35697998479858</v>
      </c>
      <c r="M166" s="11" t="str">
        <f t="shared" si="40"/>
        <v/>
      </c>
      <c r="N166" s="11" t="str">
        <f t="shared" si="41"/>
        <v/>
      </c>
      <c r="O166" s="11" t="str">
        <f t="shared" si="42"/>
        <v/>
      </c>
    </row>
    <row r="167" spans="1:15" x14ac:dyDescent="0.25">
      <c r="A167" s="130" t="s">
        <v>84</v>
      </c>
      <c r="B167" s="130"/>
      <c r="C167" s="130"/>
      <c r="D167" s="130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</row>
    <row r="168" spans="1:15" ht="18.75" x14ac:dyDescent="0.3">
      <c r="A168" s="103" t="s">
        <v>65</v>
      </c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16"/>
    </row>
    <row r="169" spans="1:15" x14ac:dyDescent="0.25">
      <c r="A169" s="105" t="s">
        <v>2</v>
      </c>
      <c r="B169" s="105"/>
      <c r="C169" s="105"/>
      <c r="D169" s="106" t="s">
        <v>20</v>
      </c>
      <c r="E169" s="106"/>
      <c r="F169" s="106"/>
      <c r="G169" s="106"/>
      <c r="H169" s="106"/>
      <c r="I169" s="106"/>
      <c r="J169" s="106" t="s">
        <v>23</v>
      </c>
      <c r="K169" s="106"/>
      <c r="L169" s="106"/>
      <c r="M169" s="106"/>
      <c r="N169" s="106"/>
      <c r="O169" s="106"/>
    </row>
    <row r="170" spans="1:15" x14ac:dyDescent="0.25">
      <c r="A170" s="6" t="s">
        <v>5</v>
      </c>
      <c r="B170" s="6" t="s">
        <v>6</v>
      </c>
      <c r="C170" s="6" t="s">
        <v>7</v>
      </c>
      <c r="D170" s="7">
        <v>1</v>
      </c>
      <c r="E170" s="7">
        <v>4</v>
      </c>
      <c r="F170" s="7">
        <v>16</v>
      </c>
      <c r="G170" s="7">
        <v>32</v>
      </c>
      <c r="H170" s="7">
        <v>64</v>
      </c>
      <c r="I170" s="7">
        <v>80</v>
      </c>
      <c r="J170" s="7">
        <v>1</v>
      </c>
      <c r="K170" s="7">
        <v>4</v>
      </c>
      <c r="L170" s="7">
        <v>16</v>
      </c>
      <c r="M170" s="7">
        <v>32</v>
      </c>
      <c r="N170" s="7">
        <v>64</v>
      </c>
      <c r="O170" s="7">
        <v>80</v>
      </c>
    </row>
    <row r="171" spans="1:15" x14ac:dyDescent="0.25">
      <c r="A171" s="8" t="s">
        <v>8</v>
      </c>
      <c r="B171" s="9" t="s">
        <v>9</v>
      </c>
      <c r="C171" s="9" t="s">
        <v>10</v>
      </c>
      <c r="D171" s="12">
        <f>IF(D161="","",(D161-'2015'!D92)/'2015'!D92)</f>
        <v>7.7492287446335725E-2</v>
      </c>
      <c r="E171" s="12">
        <f>IF(E161="","",(E161-'2015'!E92)/'2015'!E92)</f>
        <v>-3.3189496878442894E-2</v>
      </c>
      <c r="F171" s="12">
        <f>IF(F161="","",(F161-'2015'!F92)/'2015'!F92)</f>
        <v>-2.294279596206791E-2</v>
      </c>
      <c r="G171" s="12" t="str">
        <f>IF(G161="","",(G161-'2014'!G119)/'2014'!G119)</f>
        <v/>
      </c>
      <c r="H171" s="12" t="str">
        <f>IF(H161="","",(H161-'2014'!H119)/'2014'!H119)</f>
        <v/>
      </c>
      <c r="I171" s="12" t="str">
        <f>IF(I161="","",(I161-'2014'!I119)/'2014'!I119)</f>
        <v/>
      </c>
      <c r="J171" s="11">
        <f>J161 - '2015'!J92</f>
        <v>-1.5515524566290075</v>
      </c>
      <c r="K171" s="11">
        <f>K161 - '2015'!K92</f>
        <v>1.5758746915361499</v>
      </c>
      <c r="L171" s="11">
        <f>L161 - '2015'!L92</f>
        <v>3.5915460178565866</v>
      </c>
      <c r="M171" s="11" t="str">
        <f>IF(G171="","",M161-((1/'Proto 2013'!G150)*1000000))</f>
        <v/>
      </c>
      <c r="N171" s="11" t="str">
        <f>IF(H171="","",N161-((1/'Proto 2013'!H150)*1000000))</f>
        <v/>
      </c>
      <c r="O171" s="11" t="str">
        <f>IF(I171="","",O161-((1/'Proto 2013'!I150)*1000000))</f>
        <v/>
      </c>
    </row>
    <row r="172" spans="1:15" x14ac:dyDescent="0.25">
      <c r="A172" s="8" t="s">
        <v>11</v>
      </c>
      <c r="B172" s="9" t="s">
        <v>9</v>
      </c>
      <c r="C172" s="9" t="s">
        <v>12</v>
      </c>
      <c r="D172" s="12">
        <f>IF(D162="","",(D162-'2015'!D93)/'2015'!D93)</f>
        <v>-0.13585642551608704</v>
      </c>
      <c r="E172" s="12">
        <f>IF(E162="","",(E162-'2015'!E93)/'2015'!E93)</f>
        <v>-0.10059665871121719</v>
      </c>
      <c r="F172" s="12">
        <f>IF(F162="","",(F162-'2015'!F93)/'2015'!F93)</f>
        <v>-6.5285907248986946E-2</v>
      </c>
      <c r="G172" s="12" t="str">
        <f>IF(G162="","",(G162-'2014'!G120)/'2014'!G120)</f>
        <v/>
      </c>
      <c r="H172" s="12" t="str">
        <f>IF(H162="","",(H162-'2014'!H120)/'2014'!H120)</f>
        <v/>
      </c>
      <c r="I172" s="12" t="str">
        <f>IF(I162="","",(I162-'2014'!I120)/'2014'!I120)</f>
        <v/>
      </c>
      <c r="J172" s="11">
        <f>J162 - '2015'!J93</f>
        <v>14.619221512545678</v>
      </c>
      <c r="K172" s="11">
        <f>K162 - '2015'!K93</f>
        <v>13.347042418895725</v>
      </c>
      <c r="L172" s="11">
        <f>L162 - '2015'!L93</f>
        <v>15.723966100430374</v>
      </c>
      <c r="M172" s="11" t="str">
        <f>IF(G172="","",M162-((1/'Proto 2013'!G151)*1000000))</f>
        <v/>
      </c>
      <c r="N172" s="11" t="str">
        <f>IF(H172="","",N162-((1/'Proto 2013'!H151)*1000000))</f>
        <v/>
      </c>
      <c r="O172" s="11" t="str">
        <f>IF(I172="","",O162-((1/'Proto 2013'!I151)*1000000))</f>
        <v/>
      </c>
    </row>
    <row r="173" spans="1:15" x14ac:dyDescent="0.25">
      <c r="A173" s="9" t="s">
        <v>13</v>
      </c>
      <c r="B173" s="9" t="s">
        <v>14</v>
      </c>
      <c r="C173" s="9" t="s">
        <v>10</v>
      </c>
      <c r="D173" s="12">
        <f>IF(D163="","",(D163-'2015'!D94)/'2015'!D94)</f>
        <v>-0.33059111035834404</v>
      </c>
      <c r="E173" s="12">
        <f>IF(E163="","",(E163-'2015'!E94)/'2015'!E94)</f>
        <v>-3.0224046140195207E-2</v>
      </c>
      <c r="F173" s="12">
        <f>IF(F163="","",(F163-'2015'!F94)/'2015'!F94)</f>
        <v>3.5886946820379323E-2</v>
      </c>
      <c r="G173" s="12" t="str">
        <f>IF(G163="","",(G163-'2014'!G121)/'2014'!G121)</f>
        <v/>
      </c>
      <c r="H173" s="12" t="str">
        <f>IF(H163="","",(H163-'2014'!H121)/'2014'!H121)</f>
        <v/>
      </c>
      <c r="I173" s="12" t="str">
        <f>IF(I163="","",(I163-'2014'!I121)/'2014'!I121)</f>
        <v/>
      </c>
      <c r="J173" s="11">
        <f>J163 - '2015'!J94</f>
        <v>11.949364214499525</v>
      </c>
      <c r="K173" s="11">
        <f>K163 - '2015'!K94</f>
        <v>1.7283722845653955</v>
      </c>
      <c r="L173" s="11">
        <f>L163 - '2015'!L94</f>
        <v>-6.4417423838411878</v>
      </c>
      <c r="M173" s="11" t="str">
        <f>IF(G173="","",M163-((1/'Proto 2013'!G152)*1000000))</f>
        <v/>
      </c>
      <c r="N173" s="11" t="str">
        <f>IF(H173="","",N163-((1/'Proto 2013'!H152)*1000000))</f>
        <v/>
      </c>
      <c r="O173" s="11" t="str">
        <f>IF(I173="","",O163-((1/'Proto 2013'!I152)*1000000))</f>
        <v/>
      </c>
    </row>
    <row r="174" spans="1:15" x14ac:dyDescent="0.25">
      <c r="A174" s="9" t="s">
        <v>15</v>
      </c>
      <c r="B174" s="9" t="s">
        <v>14</v>
      </c>
      <c r="C174" s="9" t="s">
        <v>12</v>
      </c>
      <c r="D174" s="12">
        <f>IF(D164="","",(D164-'2015'!D95)/'2015'!D95)</f>
        <v>-0.11393624193393047</v>
      </c>
      <c r="E174" s="12">
        <f>IF(E164="","",(E164-'2015'!E95)/'2015'!E95)</f>
        <v>-0.11608268212755231</v>
      </c>
      <c r="F174" s="12">
        <f>IF(F164="","",(F164-'2015'!F95)/'2015'!F95)</f>
        <v>-7.7350737249214402E-2</v>
      </c>
      <c r="G174" s="12" t="str">
        <f>IF(G164="","",(G164-'2014'!G122)/'2014'!G122)</f>
        <v/>
      </c>
      <c r="H174" s="12" t="str">
        <f>IF(H164="","",(H164-'2014'!H122)/'2014'!H122)</f>
        <v/>
      </c>
      <c r="I174" s="12" t="str">
        <f>IF(I164="","",(I164-'2014'!I122)/'2014'!I122)</f>
        <v/>
      </c>
      <c r="J174" s="11">
        <f>J164 - '2015'!J95</f>
        <v>12.384374123253309</v>
      </c>
      <c r="K174" s="11">
        <f>K164 - '2015'!K95</f>
        <v>16.5524999468918</v>
      </c>
      <c r="L174" s="11">
        <f>L164 - '2015'!L95</f>
        <v>20.264798860155764</v>
      </c>
      <c r="M174" s="11" t="str">
        <f>IF(G174="","",M164-((1/'Proto 2013'!G153)*1000000))</f>
        <v/>
      </c>
      <c r="N174" s="11" t="str">
        <f>IF(H174="","",N164-((1/'Proto 2013'!H153)*1000000))</f>
        <v/>
      </c>
      <c r="O174" s="11" t="str">
        <f>IF(I174="","",O164-((1/'Proto 2013'!I153)*1000000))</f>
        <v/>
      </c>
    </row>
    <row r="175" spans="1:15" x14ac:dyDescent="0.25">
      <c r="A175" s="9" t="s">
        <v>16</v>
      </c>
      <c r="B175" s="9" t="s">
        <v>17</v>
      </c>
      <c r="C175" s="9" t="s">
        <v>12</v>
      </c>
      <c r="D175" s="12">
        <f>IF(D165="","",(D165-'2015'!D96)/'2015'!D96)</f>
        <v>6.9413233458177279E-2</v>
      </c>
      <c r="E175" s="12">
        <f>IF(E165="","",(E165-'2015'!E96)/'2015'!E96)</f>
        <v>-5.9441920830629463E-2</v>
      </c>
      <c r="F175" s="12">
        <f>IF(F165="","",(F165-'2015'!F96)/'2015'!F96)</f>
        <v>-4.668601838413159E-2</v>
      </c>
      <c r="G175" s="12" t="str">
        <f>IF(G165="","",(G165-'2014'!G123)/'2014'!G123)</f>
        <v/>
      </c>
      <c r="H175" s="12" t="str">
        <f>IF(H165="","",(H165-'2014'!H123)/'2014'!H123)</f>
        <v/>
      </c>
      <c r="I175" s="12" t="str">
        <f>IF(I165="","",(I165-'2014'!I123)/'2014'!I123)</f>
        <v/>
      </c>
      <c r="J175" s="11">
        <f>J165 - '2015'!J96</f>
        <v>-8.1033426871558731</v>
      </c>
      <c r="K175" s="11">
        <f>K165 - '2015'!K96</f>
        <v>8.2022796785744845</v>
      </c>
      <c r="L175" s="11">
        <f>L165 - '2015'!L96</f>
        <v>11.846236585671591</v>
      </c>
      <c r="M175" s="11" t="str">
        <f>IF(G175="","",M165-((1/'Proto 2013'!G154)*1000000))</f>
        <v/>
      </c>
      <c r="N175" s="11" t="str">
        <f>IF(H175="","",N165-((1/'Proto 2013'!H154)*1000000))</f>
        <v/>
      </c>
      <c r="O175" s="11" t="str">
        <f>IF(I175="","",O165-((1/'Proto 2013'!I154)*1000000))</f>
        <v/>
      </c>
    </row>
    <row r="176" spans="1:15" x14ac:dyDescent="0.25">
      <c r="A176" s="9" t="s">
        <v>18</v>
      </c>
      <c r="B176" s="8" t="s">
        <v>19</v>
      </c>
      <c r="C176" s="9" t="s">
        <v>12</v>
      </c>
      <c r="D176" s="12">
        <f>IF(D166="","",(D166-'2015'!D97)/'2015'!D97)</f>
        <v>5.6803995006242197E-2</v>
      </c>
      <c r="E176" s="12">
        <f>IF(E166="","",(E166-'2015'!E97)/'2015'!E97)</f>
        <v>-1.9629225736095966E-2</v>
      </c>
      <c r="F176" s="12">
        <f>IF(F166="","",(F166-'2015'!F97)/'2015'!F97)</f>
        <v>-4.3151515151515149E-2</v>
      </c>
      <c r="G176" s="12" t="str">
        <f>IF(G166="","",(G166-'2014'!G124)/'2014'!G124)</f>
        <v/>
      </c>
      <c r="H176" s="12" t="str">
        <f>IF(H166="","",(H166-'2014'!H124)/'2014'!H124)</f>
        <v/>
      </c>
      <c r="I176" s="12" t="str">
        <f>IF(I166="","",(I166-'2014'!I124)/'2014'!I124)</f>
        <v/>
      </c>
      <c r="J176" s="11">
        <f>J166 - '2015'!J97</f>
        <v>-6.7104542240097089</v>
      </c>
      <c r="K176" s="11">
        <f>K166 - '2015'!K97</f>
        <v>2.7293139232613726</v>
      </c>
      <c r="L176" s="11">
        <f>L166 - '2015'!L97</f>
        <v>10.932737560556177</v>
      </c>
      <c r="M176" s="11" t="str">
        <f>IF(G176="","",M166-((1/'Proto 2013'!G155)*1000000))</f>
        <v/>
      </c>
      <c r="N176" s="11" t="str">
        <f>IF(H176="","",N166-((1/'Proto 2013'!H155)*1000000))</f>
        <v/>
      </c>
      <c r="O176" s="11" t="str">
        <f>IF(I176="","",O166-((1/'Proto 2013'!I155)*1000000))</f>
        <v/>
      </c>
    </row>
    <row r="177" spans="1:15" ht="18.75" x14ac:dyDescent="0.3">
      <c r="A177" s="103" t="s">
        <v>80</v>
      </c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16"/>
    </row>
    <row r="178" spans="1:15" x14ac:dyDescent="0.25">
      <c r="A178" s="105" t="s">
        <v>2</v>
      </c>
      <c r="B178" s="105"/>
      <c r="C178" s="105"/>
      <c r="D178" s="106" t="s">
        <v>20</v>
      </c>
      <c r="E178" s="106"/>
      <c r="F178" s="106"/>
      <c r="G178" s="106"/>
      <c r="H178" s="106"/>
      <c r="I178" s="106"/>
      <c r="J178" s="106" t="s">
        <v>23</v>
      </c>
      <c r="K178" s="106"/>
      <c r="L178" s="106"/>
      <c r="M178" s="106"/>
      <c r="N178" s="106"/>
      <c r="O178" s="106"/>
    </row>
    <row r="179" spans="1:15" x14ac:dyDescent="0.25">
      <c r="A179" s="6" t="s">
        <v>5</v>
      </c>
      <c r="B179" s="6" t="s">
        <v>6</v>
      </c>
      <c r="C179" s="6" t="s">
        <v>7</v>
      </c>
      <c r="D179" s="7">
        <v>1</v>
      </c>
      <c r="E179" s="7">
        <v>4</v>
      </c>
      <c r="F179" s="7">
        <v>16</v>
      </c>
      <c r="G179" s="7">
        <v>32</v>
      </c>
      <c r="H179" s="7">
        <v>64</v>
      </c>
      <c r="I179" s="7">
        <v>80</v>
      </c>
      <c r="J179" s="7">
        <v>1</v>
      </c>
      <c r="K179" s="7">
        <v>4</v>
      </c>
      <c r="L179" s="7">
        <v>16</v>
      </c>
      <c r="M179" s="7">
        <v>32</v>
      </c>
      <c r="N179" s="7">
        <v>64</v>
      </c>
      <c r="O179" s="7">
        <v>80</v>
      </c>
    </row>
    <row r="180" spans="1:15" x14ac:dyDescent="0.25">
      <c r="A180" s="8" t="s">
        <v>8</v>
      </c>
      <c r="B180" s="9" t="s">
        <v>9</v>
      </c>
      <c r="C180" s="9" t="s">
        <v>10</v>
      </c>
      <c r="D180" s="12">
        <f>IF(D161="","",(D161-'2015'!D136)/'2015'!D136)</f>
        <v>-2.4492665872380321E-2</v>
      </c>
      <c r="E180" s="12">
        <f>IF(E161="","",(E161-'2015'!E136)/'2015'!E136)</f>
        <v>-6.1787241625089098E-2</v>
      </c>
      <c r="F180" s="12">
        <f>IF(F161="","",(F161-'2015'!F136)/'2015'!F136)</f>
        <v>-2.5922537358950899E-2</v>
      </c>
      <c r="G180" s="12" t="str">
        <f>IF(G161="","",(G161-'2015'!G145)/'2015'!G145)</f>
        <v/>
      </c>
      <c r="H180" s="12" t="str">
        <f>IF(H161="","",(H161-'2015'!H145)/'2015'!H145)</f>
        <v/>
      </c>
      <c r="I180" s="12" t="str">
        <f>IF(I161="","",(I161-'2015'!I145)/'2015'!I145)</f>
        <v/>
      </c>
      <c r="J180" s="11">
        <f>J161 - '2015'!J136</f>
        <v>0.49039274947202571</v>
      </c>
      <c r="K180" s="11">
        <f>K161 - '2015'!K136</f>
        <v>2.9337278203831261</v>
      </c>
      <c r="L180" s="11">
        <f>L161 - '2015'!L136</f>
        <v>4.0580052221275764</v>
      </c>
      <c r="M180" s="11" t="str">
        <f>IF(G180="","",M170-((1/'Proto 2013'!G159)*1000000))</f>
        <v/>
      </c>
      <c r="N180" s="11" t="str">
        <f>IF(H180="","",N170-((1/'Proto 2013'!H159)*1000000))</f>
        <v/>
      </c>
      <c r="O180" s="11" t="str">
        <f>IF(I180="","",O170-((1/'Proto 2013'!I159)*1000000))</f>
        <v/>
      </c>
    </row>
    <row r="181" spans="1:15" x14ac:dyDescent="0.25">
      <c r="A181" s="8" t="s">
        <v>11</v>
      </c>
      <c r="B181" s="9" t="s">
        <v>9</v>
      </c>
      <c r="C181" s="9" t="s">
        <v>12</v>
      </c>
      <c r="D181" s="12">
        <f>IF(D162="","",(D162-'2015'!D137)/'2015'!D137)</f>
        <v>-0.1178089994304158</v>
      </c>
      <c r="E181" s="12">
        <f>IF(E162="","",(E162-'2015'!E137)/'2015'!E137)</f>
        <v>-0.11889174655132102</v>
      </c>
      <c r="F181" s="12">
        <f>IF(F162="","",(F162-'2015'!F137)/'2015'!F137)</f>
        <v>-6.5075433460932225E-2</v>
      </c>
      <c r="G181" s="12" t="str">
        <f>IF(G171="","",(G171-'2014'!G129)/'2014'!G129)</f>
        <v/>
      </c>
      <c r="H181" s="12" t="str">
        <f>IF(H171="","",(H171-'2014'!H129)/'2014'!H129)</f>
        <v/>
      </c>
      <c r="I181" s="12" t="str">
        <f>IF(I171="","",(I171-'2014'!I129)/'2014'!I129)</f>
        <v/>
      </c>
      <c r="J181" s="11">
        <f>J162 - '2015'!J137</f>
        <v>12.677176308018488</v>
      </c>
      <c r="K181" s="11">
        <f>K162 - '2015'!K137</f>
        <v>15.774412438811311</v>
      </c>
      <c r="L181" s="11">
        <f>L162 - '2015'!L137</f>
        <v>15.673273954945131</v>
      </c>
      <c r="M181" s="11" t="str">
        <f>IF(G181="","",M171-((1/'Proto 2013'!G160)*1000000))</f>
        <v/>
      </c>
      <c r="N181" s="11" t="str">
        <f>IF(H181="","",N171-((1/'Proto 2013'!H160)*1000000))</f>
        <v/>
      </c>
      <c r="O181" s="11" t="str">
        <f>IF(I181="","",O171-((1/'Proto 2013'!I160)*1000000))</f>
        <v/>
      </c>
    </row>
    <row r="182" spans="1:15" x14ac:dyDescent="0.25">
      <c r="A182" s="9" t="s">
        <v>13</v>
      </c>
      <c r="B182" s="9" t="s">
        <v>14</v>
      </c>
      <c r="C182" s="9" t="s">
        <v>10</v>
      </c>
      <c r="D182" s="12">
        <f>IF(D163="","",(D163-'2015'!D138)/'2015'!D138)</f>
        <v>-0.33059111035834404</v>
      </c>
      <c r="E182" s="12">
        <f>IF(E163="","",(E163-'2015'!E138)/'2015'!E138)</f>
        <v>5.2862905653561325E-2</v>
      </c>
      <c r="F182" s="12">
        <f>IF(F163="","",(F163-'2015'!F138)/'2015'!F138)</f>
        <v>-3.5491689750692522E-2</v>
      </c>
      <c r="G182" s="12" t="str">
        <f>IF(G172="","",(G172-'2014'!G130)/'2014'!G130)</f>
        <v/>
      </c>
      <c r="H182" s="12" t="str">
        <f>IF(H172="","",(H172-'2014'!H130)/'2014'!H130)</f>
        <v/>
      </c>
      <c r="I182" s="12" t="str">
        <f>IF(I172="","",(I172-'2014'!I130)/'2014'!I130)</f>
        <v/>
      </c>
      <c r="J182" s="11">
        <f>J163 - '2015'!J138</f>
        <v>11.949364214499525</v>
      </c>
      <c r="K182" s="11">
        <f>K163 - '2015'!K138</f>
        <v>-3.0229831105141756</v>
      </c>
      <c r="L182" s="11">
        <f>L163 - '2015'!L138</f>
        <v>6.3707933496127396</v>
      </c>
      <c r="M182" s="11" t="str">
        <f>IF(G182="","",M172-((1/'Proto 2013'!G161)*1000000))</f>
        <v/>
      </c>
      <c r="N182" s="11" t="str">
        <f>IF(H182="","",N172-((1/'Proto 2013'!H161)*1000000))</f>
        <v/>
      </c>
      <c r="O182" s="11" t="str">
        <f>IF(I182="","",O172-((1/'Proto 2013'!I161)*1000000))</f>
        <v/>
      </c>
    </row>
    <row r="183" spans="1:15" x14ac:dyDescent="0.25">
      <c r="A183" s="9" t="s">
        <v>15</v>
      </c>
      <c r="B183" s="9" t="s">
        <v>14</v>
      </c>
      <c r="C183" s="9" t="s">
        <v>12</v>
      </c>
      <c r="D183" s="12">
        <f>IF(D164="","",(D164-'2015'!D139)/'2015'!D139)</f>
        <v>-0.11801361326814304</v>
      </c>
      <c r="E183" s="12">
        <f>IF(E164="","",(E164-'2015'!E139)/'2015'!E139)</f>
        <v>-9.4395661157024788E-2</v>
      </c>
      <c r="F183" s="12">
        <f>IF(F164="","",(F164-'2015'!F139)/'2015'!F139)</f>
        <v>-6.7432201319325674E-2</v>
      </c>
      <c r="G183" s="12" t="str">
        <f>IF(G173="","",(G173-'2014'!G131)/'2014'!G131)</f>
        <v/>
      </c>
      <c r="H183" s="12" t="str">
        <f>IF(H173="","",(H173-'2014'!H131)/'2014'!H131)</f>
        <v/>
      </c>
      <c r="I183" s="12" t="str">
        <f>IF(I173="","",(I173-'2014'!I131)/'2014'!I131)</f>
        <v/>
      </c>
      <c r="J183" s="11">
        <f>J164 - '2015'!J139</f>
        <v>12.827566659580768</v>
      </c>
      <c r="K183" s="11">
        <f>K164 - '2015'!K139</f>
        <v>13.460097127766261</v>
      </c>
      <c r="L183" s="11">
        <f>L164 - '2015'!L139</f>
        <v>17.666282766393977</v>
      </c>
      <c r="M183" s="11" t="str">
        <f>IF(G183="","",M173-((1/'Proto 2013'!G162)*1000000))</f>
        <v/>
      </c>
      <c r="N183" s="11" t="str">
        <f>IF(H183="","",N173-((1/'Proto 2013'!H162)*1000000))</f>
        <v/>
      </c>
      <c r="O183" s="11" t="str">
        <f>IF(I183="","",O173-((1/'Proto 2013'!I162)*1000000))</f>
        <v/>
      </c>
    </row>
    <row r="184" spans="1:15" x14ac:dyDescent="0.25">
      <c r="A184" s="9" t="s">
        <v>16</v>
      </c>
      <c r="B184" s="9" t="s">
        <v>17</v>
      </c>
      <c r="C184" s="9" t="s">
        <v>12</v>
      </c>
      <c r="D184" s="12">
        <f>IF(D165="","",(D165-'2015'!D140)/'2015'!D140)</f>
        <v>-7.8230926503820075E-2</v>
      </c>
      <c r="E184" s="12">
        <f>IF(E165="","",(E165-'2015'!E140)/'2015'!E140)</f>
        <v>-9.048694779116466E-2</v>
      </c>
      <c r="F184" s="12">
        <f>IF(F165="","",(F165-'2015'!F140)/'2015'!F140)</f>
        <v>-4.668601838413159E-2</v>
      </c>
      <c r="G184" s="12" t="str">
        <f>IF(G174="","",(G174-'2014'!G132)/'2014'!G132)</f>
        <v/>
      </c>
      <c r="H184" s="12" t="str">
        <f>IF(H174="","",(H174-'2014'!H132)/'2014'!H132)</f>
        <v/>
      </c>
      <c r="I184" s="12" t="str">
        <f>IF(I174="","",(I174-'2014'!I132)/'2014'!I132)</f>
        <v/>
      </c>
      <c r="J184" s="11">
        <f>J165 - '2015'!J140</f>
        <v>9.1327254849194617</v>
      </c>
      <c r="K184" s="11">
        <f>K165 - '2015'!K140</f>
        <v>12.486124988431712</v>
      </c>
      <c r="L184" s="11">
        <f>L165 - '2015'!L140</f>
        <v>11.846236585671591</v>
      </c>
      <c r="M184" s="11" t="str">
        <f>IF(G184="","",M174-((1/'Proto 2013'!G163)*1000000))</f>
        <v/>
      </c>
      <c r="N184" s="11" t="str">
        <f>IF(H184="","",N174-((1/'Proto 2013'!H163)*1000000))</f>
        <v/>
      </c>
      <c r="O184" s="11" t="str">
        <f>IF(I184="","",O174-((1/'Proto 2013'!I163)*1000000))</f>
        <v/>
      </c>
    </row>
    <row r="185" spans="1:15" x14ac:dyDescent="0.25">
      <c r="A185" s="9" t="s">
        <v>18</v>
      </c>
      <c r="B185" s="8" t="s">
        <v>19</v>
      </c>
      <c r="C185" s="9" t="s">
        <v>12</v>
      </c>
      <c r="D185" s="12">
        <f>IF(D166="","",(D166-'2015'!D141)/'2015'!D141)</f>
        <v>-9.2462546816479401E-3</v>
      </c>
      <c r="E185" s="12">
        <f>IF(E166="","",(E166-'2015'!E141)/'2015'!E141)</f>
        <v>-2.4549030245490301E-2</v>
      </c>
      <c r="F185" s="12">
        <f>IF(F166="","",(F166-'2015'!F141)/'2015'!F141)</f>
        <v>-5.7095078834209272E-2</v>
      </c>
      <c r="G185" s="12" t="str">
        <f>IF(G175="","",(G175-'2014'!G133)/'2014'!G133)</f>
        <v/>
      </c>
      <c r="H185" s="12" t="str">
        <f>IF(H175="","",(H175-'2014'!H133)/'2014'!H133)</f>
        <v/>
      </c>
      <c r="I185" s="12" t="str">
        <f>IF(I175="","",(I175-'2014'!I133)/'2014'!I133)</f>
        <v/>
      </c>
      <c r="J185" s="11">
        <f>J166 - '2015'!J141</f>
        <v>1.0922923427818034</v>
      </c>
      <c r="K185" s="11">
        <f>K166 - '2015'!K141</f>
        <v>3.4133801787389189</v>
      </c>
      <c r="L185" s="11">
        <f>L166 - '2015'!L141</f>
        <v>14.465436745429258</v>
      </c>
      <c r="M185" s="11" t="str">
        <f>IF(G185="","",M175-((1/'Proto 2013'!G164)*1000000))</f>
        <v/>
      </c>
      <c r="N185" s="11" t="str">
        <f>IF(H185="","",N175-((1/'Proto 2013'!H164)*1000000))</f>
        <v/>
      </c>
      <c r="O185" s="11" t="str">
        <f>IF(I185="","",O175-((1/'Proto 2013'!I164)*1000000))</f>
        <v/>
      </c>
    </row>
    <row r="187" spans="1:15" ht="18.75" x14ac:dyDescent="0.25">
      <c r="A187" s="107" t="s">
        <v>68</v>
      </c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25"/>
    </row>
    <row r="188" spans="1:15" ht="15.75" x14ac:dyDescent="0.25">
      <c r="A188" s="109" t="s">
        <v>85</v>
      </c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26"/>
    </row>
    <row r="189" spans="1:15" x14ac:dyDescent="0.25">
      <c r="A189" s="105" t="s">
        <v>2</v>
      </c>
      <c r="B189" s="105"/>
      <c r="C189" s="105"/>
      <c r="D189" s="106" t="s">
        <v>3</v>
      </c>
      <c r="E189" s="106"/>
      <c r="F189" s="106"/>
      <c r="G189" s="106"/>
      <c r="H189" s="106"/>
      <c r="I189" s="106"/>
      <c r="J189" s="106" t="s">
        <v>4</v>
      </c>
      <c r="K189" s="106"/>
      <c r="L189" s="106"/>
      <c r="M189" s="106"/>
      <c r="N189" s="106"/>
      <c r="O189" s="106"/>
    </row>
    <row r="190" spans="1:15" x14ac:dyDescent="0.25">
      <c r="A190" s="6" t="s">
        <v>5</v>
      </c>
      <c r="B190" s="6" t="s">
        <v>6</v>
      </c>
      <c r="C190" s="6" t="s">
        <v>7</v>
      </c>
      <c r="D190" s="24">
        <v>1</v>
      </c>
      <c r="E190" s="24">
        <v>4</v>
      </c>
      <c r="F190" s="24">
        <v>16</v>
      </c>
      <c r="G190" s="7">
        <v>32</v>
      </c>
      <c r="H190" s="7">
        <v>64</v>
      </c>
      <c r="I190" s="7">
        <v>80</v>
      </c>
      <c r="J190" s="7">
        <v>1</v>
      </c>
      <c r="K190" s="7">
        <v>4</v>
      </c>
      <c r="L190" s="7">
        <v>16</v>
      </c>
      <c r="M190" s="7">
        <v>32</v>
      </c>
      <c r="N190" s="7">
        <v>64</v>
      </c>
      <c r="O190" s="7">
        <v>80</v>
      </c>
    </row>
    <row r="191" spans="1:15" x14ac:dyDescent="0.25">
      <c r="A191" s="8" t="s">
        <v>8</v>
      </c>
      <c r="B191" s="9" t="s">
        <v>9</v>
      </c>
      <c r="C191" s="22" t="s">
        <v>10</v>
      </c>
      <c r="D191" s="10">
        <v>42666</v>
      </c>
      <c r="E191" s="10">
        <v>18777</v>
      </c>
      <c r="F191" s="10">
        <v>6388</v>
      </c>
      <c r="G191" s="23"/>
      <c r="H191" s="10"/>
      <c r="I191" s="10"/>
      <c r="J191" s="11">
        <f>IF(D191="","",(1/D191)*1000000)</f>
        <v>23.437866216659636</v>
      </c>
      <c r="K191" s="11">
        <f t="shared" ref="K191:K196" si="44">IF(E191="","",(1/E191)*1000000)</f>
        <v>53.256643766309843</v>
      </c>
      <c r="L191" s="11">
        <f t="shared" ref="L191:L196" si="45">IF(F191="","",(1/F191)*1000000)</f>
        <v>156.54351909830933</v>
      </c>
      <c r="M191" s="11" t="str">
        <f t="shared" ref="M191:M196" si="46">IF(G191="","",(1/G191)*1000000)</f>
        <v/>
      </c>
      <c r="N191" s="11" t="str">
        <f t="shared" ref="N191:N196" si="47">IF(H191="","",(1/H191)*1000000)</f>
        <v/>
      </c>
      <c r="O191" s="11" t="str">
        <f t="shared" ref="O191:O196" si="48">IF(I191="","",(1/I191)*1000000)</f>
        <v/>
      </c>
    </row>
    <row r="192" spans="1:15" x14ac:dyDescent="0.25">
      <c r="A192" s="8" t="s">
        <v>11</v>
      </c>
      <c r="B192" s="9" t="s">
        <v>9</v>
      </c>
      <c r="C192" s="22" t="s">
        <v>12</v>
      </c>
      <c r="D192" s="10">
        <v>9558</v>
      </c>
      <c r="E192" s="10">
        <v>7648</v>
      </c>
      <c r="F192" s="10">
        <v>4181</v>
      </c>
      <c r="G192" s="23"/>
      <c r="H192" s="10"/>
      <c r="I192" s="10"/>
      <c r="J192" s="11">
        <f t="shared" ref="J192:J196" si="49">IF(D192="","",(1/D192)*1000000)</f>
        <v>104.62439840970914</v>
      </c>
      <c r="K192" s="11">
        <f t="shared" si="44"/>
        <v>130.75313807531379</v>
      </c>
      <c r="L192" s="11">
        <f t="shared" si="45"/>
        <v>239.17723032767282</v>
      </c>
      <c r="M192" s="11" t="str">
        <f t="shared" si="46"/>
        <v/>
      </c>
      <c r="N192" s="11" t="str">
        <f t="shared" si="47"/>
        <v/>
      </c>
      <c r="O192" s="11" t="str">
        <f t="shared" si="48"/>
        <v/>
      </c>
    </row>
    <row r="193" spans="1:15" x14ac:dyDescent="0.25">
      <c r="A193" s="9" t="s">
        <v>13</v>
      </c>
      <c r="B193" s="9" t="s">
        <v>14</v>
      </c>
      <c r="C193" s="22" t="s">
        <v>10</v>
      </c>
      <c r="D193" s="10">
        <v>41123</v>
      </c>
      <c r="E193" s="10">
        <v>17685</v>
      </c>
      <c r="F193" s="10">
        <v>5626</v>
      </c>
      <c r="G193" s="23"/>
      <c r="H193" s="10"/>
      <c r="I193" s="10"/>
      <c r="J193" s="11">
        <f t="shared" si="49"/>
        <v>24.317292026359944</v>
      </c>
      <c r="K193" s="11">
        <f t="shared" si="44"/>
        <v>56.545094713033642</v>
      </c>
      <c r="L193" s="11">
        <f t="shared" si="45"/>
        <v>177.74617845716315</v>
      </c>
      <c r="M193" s="11" t="str">
        <f t="shared" si="46"/>
        <v/>
      </c>
      <c r="N193" s="11" t="str">
        <f t="shared" si="47"/>
        <v/>
      </c>
      <c r="O193" s="11" t="str">
        <f t="shared" si="48"/>
        <v/>
      </c>
    </row>
    <row r="194" spans="1:15" x14ac:dyDescent="0.25">
      <c r="A194" s="9" t="s">
        <v>15</v>
      </c>
      <c r="B194" s="9" t="s">
        <v>14</v>
      </c>
      <c r="C194" s="22" t="s">
        <v>12</v>
      </c>
      <c r="D194" s="10">
        <v>9200</v>
      </c>
      <c r="E194" s="10">
        <v>6972</v>
      </c>
      <c r="F194" s="10">
        <v>3734</v>
      </c>
      <c r="G194" s="23"/>
      <c r="H194" s="10"/>
      <c r="I194" s="10"/>
      <c r="J194" s="11">
        <f t="shared" si="49"/>
        <v>108.69565217391305</v>
      </c>
      <c r="K194" s="11">
        <f t="shared" si="44"/>
        <v>143.43086632243256</v>
      </c>
      <c r="L194" s="11">
        <f t="shared" si="45"/>
        <v>267.80931976432777</v>
      </c>
      <c r="M194" s="11" t="str">
        <f t="shared" si="46"/>
        <v/>
      </c>
      <c r="N194" s="11" t="str">
        <f t="shared" si="47"/>
        <v/>
      </c>
      <c r="O194" s="11" t="str">
        <f t="shared" si="48"/>
        <v/>
      </c>
    </row>
    <row r="195" spans="1:15" x14ac:dyDescent="0.25">
      <c r="A195" s="9" t="s">
        <v>16</v>
      </c>
      <c r="B195" s="9" t="s">
        <v>17</v>
      </c>
      <c r="C195" s="22" t="s">
        <v>12</v>
      </c>
      <c r="D195" s="10">
        <v>8465</v>
      </c>
      <c r="E195" s="10">
        <v>7247</v>
      </c>
      <c r="F195" s="28">
        <v>3947</v>
      </c>
      <c r="G195" s="23"/>
      <c r="H195" s="10"/>
      <c r="I195" s="10"/>
      <c r="J195" s="11">
        <f t="shared" si="49"/>
        <v>118.13349084465446</v>
      </c>
      <c r="K195" s="11">
        <f t="shared" si="44"/>
        <v>137.98813302056021</v>
      </c>
      <c r="L195" s="11">
        <f t="shared" si="45"/>
        <v>253.35697998479858</v>
      </c>
      <c r="M195" s="11" t="str">
        <f t="shared" si="46"/>
        <v/>
      </c>
      <c r="N195" s="11" t="str">
        <f t="shared" si="47"/>
        <v/>
      </c>
      <c r="O195" s="11" t="str">
        <f t="shared" si="48"/>
        <v/>
      </c>
    </row>
    <row r="196" spans="1:15" x14ac:dyDescent="0.25">
      <c r="A196" s="9" t="s">
        <v>18</v>
      </c>
      <c r="B196" s="8" t="s">
        <v>19</v>
      </c>
      <c r="C196" s="26" t="s">
        <v>12</v>
      </c>
      <c r="D196" s="28">
        <v>8010</v>
      </c>
      <c r="E196" s="28">
        <v>6675</v>
      </c>
      <c r="F196" s="28">
        <v>3981</v>
      </c>
      <c r="G196" s="23"/>
      <c r="H196" s="10"/>
      <c r="I196" s="10"/>
      <c r="J196" s="11">
        <f t="shared" si="49"/>
        <v>124.84394506866417</v>
      </c>
      <c r="K196" s="11">
        <f t="shared" si="44"/>
        <v>149.81273408239701</v>
      </c>
      <c r="L196" s="11">
        <f t="shared" si="45"/>
        <v>251.19316754584273</v>
      </c>
      <c r="M196" s="11" t="str">
        <f t="shared" si="46"/>
        <v/>
      </c>
      <c r="N196" s="11" t="str">
        <f t="shared" si="47"/>
        <v/>
      </c>
      <c r="O196" s="11" t="str">
        <f t="shared" si="48"/>
        <v/>
      </c>
    </row>
    <row r="197" spans="1:15" x14ac:dyDescent="0.25">
      <c r="A197" s="130" t="s">
        <v>86</v>
      </c>
      <c r="B197" s="130"/>
      <c r="C197" s="130"/>
      <c r="D197" s="130"/>
      <c r="E197" s="130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</row>
    <row r="198" spans="1:15" ht="18.75" x14ac:dyDescent="0.3">
      <c r="A198" s="103" t="s">
        <v>65</v>
      </c>
      <c r="B198" s="10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16"/>
    </row>
    <row r="199" spans="1:15" x14ac:dyDescent="0.25">
      <c r="A199" s="105" t="s">
        <v>2</v>
      </c>
      <c r="B199" s="105"/>
      <c r="C199" s="105"/>
      <c r="D199" s="106" t="s">
        <v>20</v>
      </c>
      <c r="E199" s="106"/>
      <c r="F199" s="106"/>
      <c r="G199" s="106"/>
      <c r="H199" s="106"/>
      <c r="I199" s="106"/>
      <c r="J199" s="106" t="s">
        <v>23</v>
      </c>
      <c r="K199" s="106"/>
      <c r="L199" s="106"/>
      <c r="M199" s="106"/>
      <c r="N199" s="106"/>
      <c r="O199" s="106"/>
    </row>
    <row r="200" spans="1:15" x14ac:dyDescent="0.25">
      <c r="A200" s="6" t="s">
        <v>5</v>
      </c>
      <c r="B200" s="6" t="s">
        <v>6</v>
      </c>
      <c r="C200" s="6" t="s">
        <v>7</v>
      </c>
      <c r="D200" s="7">
        <v>1</v>
      </c>
      <c r="E200" s="7">
        <v>4</v>
      </c>
      <c r="F200" s="7">
        <v>16</v>
      </c>
      <c r="G200" s="7">
        <v>32</v>
      </c>
      <c r="H200" s="7">
        <v>64</v>
      </c>
      <c r="I200" s="7">
        <v>80</v>
      </c>
      <c r="J200" s="7">
        <v>1</v>
      </c>
      <c r="K200" s="7">
        <v>4</v>
      </c>
      <c r="L200" s="7">
        <v>16</v>
      </c>
      <c r="M200" s="7">
        <v>32</v>
      </c>
      <c r="N200" s="7">
        <v>64</v>
      </c>
      <c r="O200" s="7">
        <v>80</v>
      </c>
    </row>
    <row r="201" spans="1:15" x14ac:dyDescent="0.25">
      <c r="A201" s="8" t="s">
        <v>8</v>
      </c>
      <c r="B201" s="9" t="s">
        <v>9</v>
      </c>
      <c r="C201" s="9" t="s">
        <v>10</v>
      </c>
      <c r="D201" s="12">
        <f>IF(D191="","",(D191-'2015'!D92)/'2015'!D92)</f>
        <v>-7.9541777231247168E-2</v>
      </c>
      <c r="E201" s="12">
        <f>IF(E191="","",(E191-'2015'!E92)/'2015'!E92)</f>
        <v>-0.13803709144326112</v>
      </c>
      <c r="F201" s="12">
        <f>IF(F191="","",(F191-'2015'!F92)/'2015'!F92)</f>
        <v>-2.294279596206791E-2</v>
      </c>
      <c r="G201" s="12" t="str">
        <f>IF(G191="","",(G191-'2014'!G149)/'2014'!G149)</f>
        <v/>
      </c>
      <c r="H201" s="12" t="str">
        <f>IF(H191="","",(H191-'2014'!H149)/'2014'!H149)</f>
        <v/>
      </c>
      <c r="I201" s="12" t="str">
        <f>IF(I191="","",(I191-'2014'!I149)/'2014'!I149)</f>
        <v/>
      </c>
      <c r="J201" s="11">
        <f>J191 - '2015'!J92</f>
        <v>1.8642895333813136</v>
      </c>
      <c r="K201" s="11">
        <f>K191 - '2015'!K92</f>
        <v>7.3513922055312904</v>
      </c>
      <c r="L201" s="11">
        <f>L191 - '2015'!L92</f>
        <v>3.5915460178565866</v>
      </c>
      <c r="M201" s="11" t="str">
        <f>IF(G201="","",M191-((1/'Proto 2013'!G180)*1000000))</f>
        <v/>
      </c>
      <c r="N201" s="11" t="str">
        <f>IF(H201="","",N191-((1/'Proto 2013'!H180)*1000000))</f>
        <v/>
      </c>
      <c r="O201" s="11" t="str">
        <f>IF(I201="","",O191-((1/'Proto 2013'!I180)*1000000))</f>
        <v/>
      </c>
    </row>
    <row r="202" spans="1:15" x14ac:dyDescent="0.25">
      <c r="A202" s="8" t="s">
        <v>11</v>
      </c>
      <c r="B202" s="9" t="s">
        <v>9</v>
      </c>
      <c r="C202" s="9" t="s">
        <v>12</v>
      </c>
      <c r="D202" s="12">
        <f>IF(D192="","",(D192-'2015'!D93)/'2015'!D93)</f>
        <v>-0.11121443183931561</v>
      </c>
      <c r="E202" s="12">
        <f>IF(E192="","",(E192-'2015'!E93)/'2015'!E93)</f>
        <v>-8.7350835322195702E-2</v>
      </c>
      <c r="F202" s="12">
        <f>IF(F192="","",(F192-'2015'!F93)/'2015'!F93)</f>
        <v>-5.8757316524088249E-2</v>
      </c>
      <c r="G202" s="12" t="str">
        <f>IF(G192="","",(G192-'2014'!G150)/'2014'!G150)</f>
        <v/>
      </c>
      <c r="H202" s="12" t="str">
        <f>IF(H192="","",(H192-'2014'!H150)/'2014'!H150)</f>
        <v/>
      </c>
      <c r="I202" s="12" t="str">
        <f>IF(I192="","",(I192-'2014'!I150)/'2014'!I150)</f>
        <v/>
      </c>
      <c r="J202" s="11">
        <f>J192 - '2015'!J93</f>
        <v>11.635743025665988</v>
      </c>
      <c r="K202" s="11">
        <f>K192 - '2015'!K93</f>
        <v>11.421395831877035</v>
      </c>
      <c r="L202" s="11">
        <f>L192 - '2015'!L93</f>
        <v>14.053412227717843</v>
      </c>
      <c r="M202" s="11" t="str">
        <f>IF(G202="","",M192-((1/'Proto 2013'!G181)*1000000))</f>
        <v/>
      </c>
      <c r="N202" s="11" t="str">
        <f>IF(H202="","",N192-((1/'Proto 2013'!H181)*1000000))</f>
        <v/>
      </c>
      <c r="O202" s="11" t="str">
        <f>IF(I202="","",O192-((1/'Proto 2013'!I181)*1000000))</f>
        <v/>
      </c>
    </row>
    <row r="203" spans="1:15" x14ac:dyDescent="0.25">
      <c r="A203" s="9" t="s">
        <v>13</v>
      </c>
      <c r="B203" s="9" t="s">
        <v>14</v>
      </c>
      <c r="C203" s="9" t="s">
        <v>10</v>
      </c>
      <c r="D203" s="12">
        <f>IF(D193="","",(D193-'2015'!D94)/'2015'!D94)</f>
        <v>-4.9843935251276342E-3</v>
      </c>
      <c r="E203" s="12">
        <f>IF(E193="","",(E193-'2015'!E94)/'2015'!E94)</f>
        <v>-1.9243566992014197E-2</v>
      </c>
      <c r="F203" s="12">
        <f>IF(F193="","",(F193-'2015'!F94)/'2015'!F94)</f>
        <v>4.6113796950539236E-2</v>
      </c>
      <c r="G203" s="12" t="str">
        <f>IF(G193="","",(G193-'2014'!G151)/'2014'!G151)</f>
        <v/>
      </c>
      <c r="H203" s="12" t="str">
        <f>IF(H193="","",(H193-'2014'!H151)/'2014'!H151)</f>
        <v/>
      </c>
      <c r="I203" s="12" t="str">
        <f>IF(I193="","",(I193-'2014'!I151)/'2014'!I151)</f>
        <v/>
      </c>
      <c r="J203" s="11">
        <f>J193 - '2015'!J94</f>
        <v>0.12120695292482253</v>
      </c>
      <c r="K203" s="11">
        <f>K193 - '2015'!K94</f>
        <v>1.0881293181800444</v>
      </c>
      <c r="L203" s="11">
        <f>L193 - '2015'!L94</f>
        <v>-8.1965511821079531</v>
      </c>
      <c r="M203" s="11" t="str">
        <f>IF(G203="","",M193-((1/'Proto 2013'!G182)*1000000))</f>
        <v/>
      </c>
      <c r="N203" s="11" t="str">
        <f>IF(H203="","",N193-((1/'Proto 2013'!H182)*1000000))</f>
        <v/>
      </c>
      <c r="O203" s="11" t="str">
        <f>IF(I203="","",O193-((1/'Proto 2013'!I182)*1000000))</f>
        <v/>
      </c>
    </row>
    <row r="204" spans="1:15" x14ac:dyDescent="0.25">
      <c r="A204" s="9" t="s">
        <v>15</v>
      </c>
      <c r="B204" s="9" t="s">
        <v>14</v>
      </c>
      <c r="C204" s="9" t="s">
        <v>12</v>
      </c>
      <c r="D204" s="12">
        <f>IF(D194="","",(D194-'2015'!D95)/'2015'!D95)</f>
        <v>-0.11393624193393047</v>
      </c>
      <c r="E204" s="12">
        <f>IF(E194="","",(E194-'2015'!E95)/'2015'!E95)</f>
        <v>-0.12125031509957146</v>
      </c>
      <c r="F204" s="12">
        <f>IF(F194="","",(F194-'2015'!F95)/'2015'!F95)</f>
        <v>-9.7413584723229391E-2</v>
      </c>
      <c r="G204" s="12" t="str">
        <f>IF(G194="","",(G194-'2014'!G152)/'2014'!G152)</f>
        <v/>
      </c>
      <c r="H204" s="12" t="str">
        <f>IF(H194="","",(H194-'2014'!H152)/'2014'!H152)</f>
        <v/>
      </c>
      <c r="I204" s="12" t="str">
        <f>IF(I194="","",(I194-'2014'!I152)/'2014'!I152)</f>
        <v/>
      </c>
      <c r="J204" s="11">
        <f>J194 - '2015'!J95</f>
        <v>12.384374123253309</v>
      </c>
      <c r="K204" s="11">
        <f>K194 - '2015'!K95</f>
        <v>17.391037736599429</v>
      </c>
      <c r="L204" s="11">
        <f>L194 - '2015'!L95</f>
        <v>26.088265860532744</v>
      </c>
      <c r="M204" s="11" t="str">
        <f>IF(G204="","",M194-((1/'Proto 2013'!G183)*1000000))</f>
        <v/>
      </c>
      <c r="N204" s="11" t="str">
        <f>IF(H204="","",N194-((1/'Proto 2013'!H183)*1000000))</f>
        <v/>
      </c>
      <c r="O204" s="11" t="str">
        <f>IF(I204="","",O194-((1/'Proto 2013'!I183)*1000000))</f>
        <v/>
      </c>
    </row>
    <row r="205" spans="1:15" x14ac:dyDescent="0.25">
      <c r="A205" s="9" t="s">
        <v>16</v>
      </c>
      <c r="B205" s="9" t="s">
        <v>17</v>
      </c>
      <c r="C205" s="9" t="s">
        <v>12</v>
      </c>
      <c r="D205" s="12">
        <f>IF(D195="","",(D195-'2015'!D96)/'2015'!D96)</f>
        <v>5.6803995006242197E-2</v>
      </c>
      <c r="E205" s="12">
        <f>IF(E195="","",(E195-'2015'!E96)/'2015'!E96)</f>
        <v>-5.9441920830629463E-2</v>
      </c>
      <c r="F205" s="12">
        <f>IF(F195="","",(F195-'2015'!F96)/'2015'!F96)</f>
        <v>-4.5234639574262214E-2</v>
      </c>
      <c r="G205" s="12" t="str">
        <f>IF(G195="","",(G195-'2014'!G153)/'2014'!G153)</f>
        <v/>
      </c>
      <c r="H205" s="12" t="str">
        <f>IF(H195="","",(H195-'2014'!H153)/'2014'!H153)</f>
        <v/>
      </c>
      <c r="I205" s="12" t="str">
        <f>IF(I195="","",(I195-'2014'!I153)/'2014'!I153)</f>
        <v/>
      </c>
      <c r="J205" s="11">
        <f>J195 - '2015'!J96</f>
        <v>-6.7104542240097089</v>
      </c>
      <c r="K205" s="11">
        <f>K195 - '2015'!K96</f>
        <v>8.2022796785744845</v>
      </c>
      <c r="L205" s="11">
        <f>L195 - '2015'!L96</f>
        <v>11.460511673235942</v>
      </c>
      <c r="M205" s="11" t="str">
        <f>IF(G205="","",M195-((1/'Proto 2013'!G184)*1000000))</f>
        <v/>
      </c>
      <c r="N205" s="11" t="str">
        <f>IF(H205="","",N195-((1/'Proto 2013'!H184)*1000000))</f>
        <v/>
      </c>
      <c r="O205" s="11" t="str">
        <f>IF(I205="","",O195-((1/'Proto 2013'!I184)*1000000))</f>
        <v/>
      </c>
    </row>
    <row r="206" spans="1:15" x14ac:dyDescent="0.25">
      <c r="A206" s="9" t="s">
        <v>18</v>
      </c>
      <c r="B206" s="8" t="s">
        <v>19</v>
      </c>
      <c r="C206" s="9" t="s">
        <v>12</v>
      </c>
      <c r="D206" s="12">
        <f>IF(D196="","",(D196-'2015'!D97)/'2015'!D97)</f>
        <v>0</v>
      </c>
      <c r="E206" s="12">
        <f>IF(E196="","",(E196-'2015'!E97)/'2015'!E97)</f>
        <v>-9.0103598691384956E-2</v>
      </c>
      <c r="F206" s="12">
        <f>IF(F196="","",(F196-'2015'!F97)/'2015'!F97)</f>
        <v>-3.490909090909091E-2</v>
      </c>
      <c r="G206" s="12" t="str">
        <f>IF(G196="","",(G196-'2014'!G154)/'2014'!G154)</f>
        <v/>
      </c>
      <c r="H206" s="12" t="str">
        <f>IF(H196="","",(H196-'2014'!H154)/'2014'!H154)</f>
        <v/>
      </c>
      <c r="I206" s="12" t="str">
        <f>IF(I196="","",(I196-'2014'!I154)/'2014'!I154)</f>
        <v/>
      </c>
      <c r="J206" s="11">
        <f>J196 - '2015'!J97</f>
        <v>0</v>
      </c>
      <c r="K206" s="11">
        <f>K196 - '2015'!K97</f>
        <v>13.498666470619469</v>
      </c>
      <c r="L206" s="11">
        <f>L196 - '2015'!L97</f>
        <v>8.7689251216003186</v>
      </c>
      <c r="M206" s="11" t="str">
        <f>IF(G206="","",M196-((1/'Proto 2013'!G185)*1000000))</f>
        <v/>
      </c>
      <c r="N206" s="11" t="str">
        <f>IF(H206="","",N196-((1/'Proto 2013'!H185)*1000000))</f>
        <v/>
      </c>
      <c r="O206" s="11" t="str">
        <f>IF(I206="","",O196-((1/'Proto 2013'!I185)*1000000))</f>
        <v/>
      </c>
    </row>
    <row r="207" spans="1:15" ht="18.75" x14ac:dyDescent="0.3">
      <c r="A207" s="103" t="s">
        <v>80</v>
      </c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16"/>
    </row>
    <row r="208" spans="1:15" x14ac:dyDescent="0.25">
      <c r="A208" s="105" t="s">
        <v>2</v>
      </c>
      <c r="B208" s="105"/>
      <c r="C208" s="105"/>
      <c r="D208" s="106" t="s">
        <v>20</v>
      </c>
      <c r="E208" s="106"/>
      <c r="F208" s="106"/>
      <c r="G208" s="106"/>
      <c r="H208" s="106"/>
      <c r="I208" s="106"/>
      <c r="J208" s="106" t="s">
        <v>23</v>
      </c>
      <c r="K208" s="106"/>
      <c r="L208" s="106"/>
      <c r="M208" s="106"/>
      <c r="N208" s="106"/>
      <c r="O208" s="106"/>
    </row>
    <row r="209" spans="1:15" x14ac:dyDescent="0.25">
      <c r="A209" s="6" t="s">
        <v>5</v>
      </c>
      <c r="B209" s="6" t="s">
        <v>6</v>
      </c>
      <c r="C209" s="6" t="s">
        <v>7</v>
      </c>
      <c r="D209" s="7">
        <v>1</v>
      </c>
      <c r="E209" s="7">
        <v>4</v>
      </c>
      <c r="F209" s="7">
        <v>16</v>
      </c>
      <c r="G209" s="7">
        <v>32</v>
      </c>
      <c r="H209" s="7">
        <v>64</v>
      </c>
      <c r="I209" s="7">
        <v>80</v>
      </c>
      <c r="J209" s="7">
        <v>1</v>
      </c>
      <c r="K209" s="7">
        <v>4</v>
      </c>
      <c r="L209" s="7">
        <v>16</v>
      </c>
      <c r="M209" s="7">
        <v>32</v>
      </c>
      <c r="N209" s="7">
        <v>64</v>
      </c>
      <c r="O209" s="7">
        <v>80</v>
      </c>
    </row>
    <row r="210" spans="1:15" x14ac:dyDescent="0.25">
      <c r="A210" s="8" t="s">
        <v>8</v>
      </c>
      <c r="B210" s="9" t="s">
        <v>9</v>
      </c>
      <c r="C210" s="9" t="s">
        <v>10</v>
      </c>
      <c r="D210" s="12">
        <f>IF(D191="","",(D191-'2015'!D136)/'2015'!D136)</f>
        <v>-0.1666634113947538</v>
      </c>
      <c r="E210" s="12">
        <f>IF(E191="","",(E191-'2015'!E136)/'2015'!E136)</f>
        <v>-0.16353349964362082</v>
      </c>
      <c r="F210" s="12">
        <f>IF(F191="","",(F191-'2015'!F136)/'2015'!F136)</f>
        <v>-2.5922537358950899E-2</v>
      </c>
      <c r="G210" s="12" t="str">
        <f>IF(G191="","",(G191-'2015'!G175)/'2015'!G175)</f>
        <v/>
      </c>
      <c r="H210" s="12" t="str">
        <f>IF(H191="","",(H191-'2015'!H175)/'2015'!H175)</f>
        <v/>
      </c>
      <c r="I210" s="12" t="str">
        <f>IF(I191="","",(I191-'2015'!I175)/'2015'!I175)</f>
        <v/>
      </c>
      <c r="J210" s="11">
        <f>J191 - '2015'!J136</f>
        <v>3.9062347394823469</v>
      </c>
      <c r="K210" s="11">
        <f>K191 - '2015'!K136</f>
        <v>8.7092453343782665</v>
      </c>
      <c r="L210" s="11">
        <f>L191 - '2015'!L136</f>
        <v>4.0580052221275764</v>
      </c>
      <c r="M210" s="11" t="str">
        <f>IF(G210="","",M200-((1/'Proto 2013'!G189)*1000000))</f>
        <v/>
      </c>
      <c r="N210" s="11" t="str">
        <f>IF(H210="","",N200-((1/'Proto 2013'!H189)*1000000))</f>
        <v/>
      </c>
      <c r="O210" s="11" t="str">
        <f>IF(I210="","",O200-((1/'Proto 2013'!I189)*1000000))</f>
        <v/>
      </c>
    </row>
    <row r="211" spans="1:15" x14ac:dyDescent="0.25">
      <c r="A211" s="8" t="s">
        <v>11</v>
      </c>
      <c r="B211" s="9" t="s">
        <v>9</v>
      </c>
      <c r="C211" s="9" t="s">
        <v>12</v>
      </c>
      <c r="D211" s="12">
        <f>IF(D192="","",(D192-'2015'!D137)/'2015'!D137)</f>
        <v>-9.2652363774444649E-2</v>
      </c>
      <c r="E211" s="12">
        <f>IF(E192="","",(E192-'2015'!E137)/'2015'!E137)</f>
        <v>-0.10591536123451017</v>
      </c>
      <c r="F211" s="12">
        <f>IF(F192="","",(F192-'2015'!F137)/'2015'!F137)</f>
        <v>-5.8545372663814453E-2</v>
      </c>
      <c r="G211" s="12" t="str">
        <f>IF(G201="","",(G201-'2014'!G159)/'2014'!G159)</f>
        <v/>
      </c>
      <c r="H211" s="12" t="str">
        <f>IF(H201="","",(H201-'2014'!H159)/'2014'!H159)</f>
        <v/>
      </c>
      <c r="I211" s="12" t="str">
        <f>IF(I201="","",(I201-'2014'!I159)/'2014'!I159)</f>
        <v/>
      </c>
      <c r="J211" s="11">
        <f>J192 - '2015'!J137</f>
        <v>9.6936978211387981</v>
      </c>
      <c r="K211" s="11">
        <f>K192 - '2015'!K137</f>
        <v>13.848765851792621</v>
      </c>
      <c r="L211" s="11">
        <f>L192 - '2015'!L137</f>
        <v>14.002720082232599</v>
      </c>
      <c r="M211" s="11" t="str">
        <f>IF(G211="","",M201-((1/'Proto 2013'!G190)*1000000))</f>
        <v/>
      </c>
      <c r="N211" s="11" t="str">
        <f>IF(H211="","",N201-((1/'Proto 2013'!H190)*1000000))</f>
        <v/>
      </c>
      <c r="O211" s="11" t="str">
        <f>IF(I211="","",O201-((1/'Proto 2013'!I190)*1000000))</f>
        <v/>
      </c>
    </row>
    <row r="212" spans="1:15" x14ac:dyDescent="0.25">
      <c r="A212" s="9" t="s">
        <v>13</v>
      </c>
      <c r="B212" s="9" t="s">
        <v>14</v>
      </c>
      <c r="C212" s="9" t="s">
        <v>10</v>
      </c>
      <c r="D212" s="12">
        <f>IF(D193="","",(D193-'2015'!D138)/'2015'!D138)</f>
        <v>-4.9843935251276342E-3</v>
      </c>
      <c r="E212" s="12">
        <f>IF(E193="","",(E193-'2015'!E138)/'2015'!E138)</f>
        <v>6.4784153169968092E-2</v>
      </c>
      <c r="F212" s="12">
        <f>IF(F193="","",(F193-'2015'!F138)/'2015'!F138)</f>
        <v>-2.5969529085872575E-2</v>
      </c>
      <c r="G212" s="12" t="str">
        <f>IF(G202="","",(G202-'2014'!G160)/'2014'!G160)</f>
        <v/>
      </c>
      <c r="H212" s="12" t="str">
        <f>IF(H202="","",(H202-'2014'!H160)/'2014'!H160)</f>
        <v/>
      </c>
      <c r="I212" s="12" t="str">
        <f>IF(I202="","",(I202-'2014'!I160)/'2014'!I160)</f>
        <v/>
      </c>
      <c r="J212" s="11">
        <f>J193 - '2015'!J138</f>
        <v>0.12120695292482253</v>
      </c>
      <c r="K212" s="11">
        <f>K193 - '2015'!K138</f>
        <v>-3.6632260768995266</v>
      </c>
      <c r="L212" s="11">
        <f>L193 - '2015'!L138</f>
        <v>4.6159845513459743</v>
      </c>
      <c r="M212" s="11" t="str">
        <f>IF(G212="","",M202-((1/'Proto 2013'!G191)*1000000))</f>
        <v/>
      </c>
      <c r="N212" s="11" t="str">
        <f>IF(H212="","",N202-((1/'Proto 2013'!H191)*1000000))</f>
        <v/>
      </c>
      <c r="O212" s="11" t="str">
        <f>IF(I212="","",O202-((1/'Proto 2013'!I191)*1000000))</f>
        <v/>
      </c>
    </row>
    <row r="213" spans="1:15" x14ac:dyDescent="0.25">
      <c r="A213" s="9" t="s">
        <v>15</v>
      </c>
      <c r="B213" s="9" t="s">
        <v>14</v>
      </c>
      <c r="C213" s="9" t="s">
        <v>12</v>
      </c>
      <c r="D213" s="12">
        <f>IF(D194="","",(D194-'2015'!D139)/'2015'!D139)</f>
        <v>-0.11801361326814304</v>
      </c>
      <c r="E213" s="12">
        <f>IF(E194="","",(E194-'2015'!E139)/'2015'!E139)</f>
        <v>-9.96900826446281E-2</v>
      </c>
      <c r="F213" s="12">
        <f>IF(F194="","",(F194-'2015'!F139)/'2015'!F139)</f>
        <v>-8.7710725629122896E-2</v>
      </c>
      <c r="G213" s="12" t="str">
        <f>IF(G203="","",(G203-'2014'!G161)/'2014'!G161)</f>
        <v/>
      </c>
      <c r="H213" s="12" t="str">
        <f>IF(H203="","",(H203-'2014'!H161)/'2014'!H161)</f>
        <v/>
      </c>
      <c r="I213" s="12" t="str">
        <f>IF(I203="","",(I203-'2014'!I161)/'2014'!I161)</f>
        <v/>
      </c>
      <c r="J213" s="11">
        <f>J194 - '2015'!J139</f>
        <v>12.827566659580768</v>
      </c>
      <c r="K213" s="11">
        <f>K194 - '2015'!K139</f>
        <v>14.29863491747389</v>
      </c>
      <c r="L213" s="11">
        <f>L194 - '2015'!L139</f>
        <v>23.489749766770956</v>
      </c>
      <c r="M213" s="11" t="str">
        <f>IF(G213="","",M203-((1/'Proto 2013'!G192)*1000000))</f>
        <v/>
      </c>
      <c r="N213" s="11" t="str">
        <f>IF(H213="","",N203-((1/'Proto 2013'!H192)*1000000))</f>
        <v/>
      </c>
      <c r="O213" s="11" t="str">
        <f>IF(I213="","",O203-((1/'Proto 2013'!I192)*1000000))</f>
        <v/>
      </c>
    </row>
    <row r="214" spans="1:15" x14ac:dyDescent="0.25">
      <c r="A214" s="9" t="s">
        <v>16</v>
      </c>
      <c r="B214" s="9" t="s">
        <v>17</v>
      </c>
      <c r="C214" s="9" t="s">
        <v>12</v>
      </c>
      <c r="D214" s="12">
        <f>IF(D195="","",(D195-'2015'!D140)/'2015'!D140)</f>
        <v>-8.9099322070375547E-2</v>
      </c>
      <c r="E214" s="12">
        <f>IF(E195="","",(E195-'2015'!E140)/'2015'!E140)</f>
        <v>-9.048694779116466E-2</v>
      </c>
      <c r="F214" s="12">
        <f>IF(F195="","",(F195-'2015'!F140)/'2015'!F140)</f>
        <v>-4.5234639574262214E-2</v>
      </c>
      <c r="G214" s="12" t="str">
        <f>IF(G204="","",(G204-'2014'!G162)/'2014'!G162)</f>
        <v/>
      </c>
      <c r="H214" s="12" t="str">
        <f>IF(H204="","",(H204-'2014'!H162)/'2014'!H162)</f>
        <v/>
      </c>
      <c r="I214" s="12" t="str">
        <f>IF(I204="","",(I204-'2014'!I162)/'2014'!I162)</f>
        <v/>
      </c>
      <c r="J214" s="11">
        <f>J195 - '2015'!J140</f>
        <v>10.525613948065626</v>
      </c>
      <c r="K214" s="11">
        <f>K195 - '2015'!K140</f>
        <v>12.486124988431712</v>
      </c>
      <c r="L214" s="11">
        <f>L195 - '2015'!L140</f>
        <v>11.460511673235942</v>
      </c>
      <c r="M214" s="11" t="str">
        <f>IF(G214="","",M204-((1/'Proto 2013'!G193)*1000000))</f>
        <v/>
      </c>
      <c r="N214" s="11" t="str">
        <f>IF(H214="","",N204-((1/'Proto 2013'!H193)*1000000))</f>
        <v/>
      </c>
      <c r="O214" s="11" t="str">
        <f>IF(I214="","",O204-((1/'Proto 2013'!I193)*1000000))</f>
        <v/>
      </c>
    </row>
    <row r="215" spans="1:15" x14ac:dyDescent="0.25">
      <c r="A215" s="9" t="s">
        <v>18</v>
      </c>
      <c r="B215" s="8" t="s">
        <v>19</v>
      </c>
      <c r="C215" s="9" t="s">
        <v>12</v>
      </c>
      <c r="D215" s="12">
        <f>IF(D196="","",(D196-'2015'!D141)/'2015'!D141)</f>
        <v>-6.25E-2</v>
      </c>
      <c r="E215" s="12">
        <f>IF(E196="","",(E196-'2015'!E141)/'2015'!E141)</f>
        <v>-9.4669740946697403E-2</v>
      </c>
      <c r="F215" s="12">
        <f>IF(F196="","",(F196-'2015'!F141)/'2015'!F141)</f>
        <v>-4.8972766364070712E-2</v>
      </c>
      <c r="G215" s="12" t="str">
        <f>IF(G205="","",(G205-'2014'!G163)/'2014'!G163)</f>
        <v/>
      </c>
      <c r="H215" s="12" t="str">
        <f>IF(H205="","",(H205-'2014'!H163)/'2014'!H163)</f>
        <v/>
      </c>
      <c r="I215" s="12" t="str">
        <f>IF(I205="","",(I205-'2014'!I163)/'2014'!I163)</f>
        <v/>
      </c>
      <c r="J215" s="11">
        <f>J196 - '2015'!J141</f>
        <v>7.8027465667915124</v>
      </c>
      <c r="K215" s="11">
        <f>K196 - '2015'!K141</f>
        <v>14.182732726097015</v>
      </c>
      <c r="L215" s="11">
        <f>L196 - '2015'!L141</f>
        <v>12.3016243064734</v>
      </c>
      <c r="M215" s="11" t="str">
        <f>IF(G215="","",M205-((1/'Proto 2013'!G194)*1000000))</f>
        <v/>
      </c>
      <c r="N215" s="11" t="str">
        <f>IF(H215="","",N205-((1/'Proto 2013'!H194)*1000000))</f>
        <v/>
      </c>
      <c r="O215" s="11" t="str">
        <f>IF(I215="","",O205-((1/'Proto 2013'!I194)*1000000))</f>
        <v/>
      </c>
    </row>
    <row r="216" spans="1:15" ht="18.75" x14ac:dyDescent="0.25">
      <c r="A216" s="107" t="s">
        <v>68</v>
      </c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25"/>
    </row>
    <row r="217" spans="1:15" ht="15.75" x14ac:dyDescent="0.25">
      <c r="A217" s="109" t="s">
        <v>133</v>
      </c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26"/>
    </row>
    <row r="218" spans="1:15" x14ac:dyDescent="0.25">
      <c r="A218" s="44" t="s">
        <v>2</v>
      </c>
      <c r="B218" s="45"/>
      <c r="C218" s="46"/>
      <c r="D218" s="47" t="s">
        <v>3</v>
      </c>
      <c r="E218" s="48"/>
      <c r="F218" s="48"/>
      <c r="G218" s="48"/>
      <c r="H218" s="48"/>
      <c r="I218" s="49"/>
      <c r="J218" s="47" t="s">
        <v>4</v>
      </c>
      <c r="K218" s="48"/>
      <c r="L218" s="48"/>
      <c r="M218" s="48"/>
      <c r="N218" s="48"/>
      <c r="O218" s="49"/>
    </row>
    <row r="219" spans="1:15" x14ac:dyDescent="0.25">
      <c r="A219" s="6" t="s">
        <v>5</v>
      </c>
      <c r="B219" s="6" t="s">
        <v>6</v>
      </c>
      <c r="C219" s="6" t="s">
        <v>7</v>
      </c>
      <c r="D219" s="24">
        <v>1</v>
      </c>
      <c r="E219" s="24">
        <v>4</v>
      </c>
      <c r="F219" s="24">
        <v>16</v>
      </c>
      <c r="G219" s="7">
        <v>32</v>
      </c>
      <c r="H219" s="7">
        <v>64</v>
      </c>
      <c r="I219" s="7">
        <v>80</v>
      </c>
      <c r="J219" s="7">
        <v>1</v>
      </c>
      <c r="K219" s="7">
        <v>4</v>
      </c>
      <c r="L219" s="7">
        <v>16</v>
      </c>
      <c r="M219" s="7">
        <v>32</v>
      </c>
      <c r="N219" s="7">
        <v>64</v>
      </c>
      <c r="O219" s="7">
        <v>80</v>
      </c>
    </row>
    <row r="220" spans="1:15" x14ac:dyDescent="0.25">
      <c r="A220" s="8" t="s">
        <v>8</v>
      </c>
      <c r="B220" s="9" t="s">
        <v>9</v>
      </c>
      <c r="C220" s="22" t="s">
        <v>10</v>
      </c>
      <c r="D220" s="10">
        <v>48559</v>
      </c>
      <c r="E220" s="10">
        <v>18777</v>
      </c>
      <c r="F220" s="10">
        <v>6324</v>
      </c>
      <c r="G220" s="23"/>
      <c r="H220" s="10"/>
      <c r="I220" s="10"/>
      <c r="J220" s="11">
        <f>IF(D220="","",(1/D220)*1000000)</f>
        <v>20.593504808583372</v>
      </c>
      <c r="K220" s="11">
        <f t="shared" ref="K220:K225" si="50">IF(E220="","",(1/E220)*1000000)</f>
        <v>53.256643766309843</v>
      </c>
      <c r="L220" s="11">
        <f t="shared" ref="L220:L225" si="51">IF(F220="","",(1/F220)*1000000)</f>
        <v>158.12776723592663</v>
      </c>
      <c r="M220" s="11" t="str">
        <f t="shared" ref="M220:M225" si="52">IF(G220="","",(1/G220)*1000000)</f>
        <v/>
      </c>
      <c r="N220" s="11" t="str">
        <f t="shared" ref="N220:N225" si="53">IF(H220="","",(1/H220)*1000000)</f>
        <v/>
      </c>
      <c r="O220" s="11" t="str">
        <f t="shared" ref="O220:O225" si="54">IF(I220="","",(1/I220)*1000000)</f>
        <v/>
      </c>
    </row>
    <row r="221" spans="1:15" x14ac:dyDescent="0.25">
      <c r="A221" s="8" t="s">
        <v>11</v>
      </c>
      <c r="B221" s="9" t="s">
        <v>9</v>
      </c>
      <c r="C221" s="22" t="s">
        <v>12</v>
      </c>
      <c r="D221" s="10">
        <v>9575</v>
      </c>
      <c r="E221" s="10">
        <v>7745</v>
      </c>
      <c r="F221" s="10">
        <v>4032</v>
      </c>
      <c r="G221" s="23"/>
      <c r="H221" s="10"/>
      <c r="I221" s="10"/>
      <c r="J221" s="11">
        <f t="shared" ref="J221:J225" si="55">IF(D221="","",(1/D221)*1000000)</f>
        <v>104.43864229765013</v>
      </c>
      <c r="K221" s="11">
        <f t="shared" si="50"/>
        <v>129.11555842479021</v>
      </c>
      <c r="L221" s="11">
        <f t="shared" si="51"/>
        <v>248.01587301587301</v>
      </c>
      <c r="M221" s="11" t="str">
        <f t="shared" si="52"/>
        <v/>
      </c>
      <c r="N221" s="11" t="str">
        <f t="shared" si="53"/>
        <v/>
      </c>
      <c r="O221" s="11" t="str">
        <f t="shared" si="54"/>
        <v/>
      </c>
    </row>
    <row r="222" spans="1:15" x14ac:dyDescent="0.25">
      <c r="A222" s="9" t="s">
        <v>13</v>
      </c>
      <c r="B222" s="9" t="s">
        <v>14</v>
      </c>
      <c r="C222" s="22" t="s">
        <v>10</v>
      </c>
      <c r="D222" s="10">
        <v>34441</v>
      </c>
      <c r="E222" s="10">
        <v>16836</v>
      </c>
      <c r="F222" s="10">
        <v>5507</v>
      </c>
      <c r="G222" s="23"/>
      <c r="H222" s="10"/>
      <c r="I222" s="10"/>
      <c r="J222" s="11">
        <f t="shared" si="55"/>
        <v>29.035161580674195</v>
      </c>
      <c r="K222" s="11">
        <f t="shared" si="50"/>
        <v>59.396531242575435</v>
      </c>
      <c r="L222" s="11">
        <f t="shared" si="51"/>
        <v>181.58707100054474</v>
      </c>
      <c r="M222" s="11" t="str">
        <f t="shared" si="52"/>
        <v/>
      </c>
      <c r="N222" s="11" t="str">
        <f t="shared" si="53"/>
        <v/>
      </c>
      <c r="O222" s="11" t="str">
        <f t="shared" si="54"/>
        <v/>
      </c>
    </row>
    <row r="223" spans="1:15" x14ac:dyDescent="0.25">
      <c r="A223" s="9" t="s">
        <v>15</v>
      </c>
      <c r="B223" s="9" t="s">
        <v>14</v>
      </c>
      <c r="C223" s="22" t="s">
        <v>12</v>
      </c>
      <c r="D223" s="10">
        <v>8801</v>
      </c>
      <c r="E223" s="10">
        <v>6977</v>
      </c>
      <c r="F223" s="10">
        <v>3772</v>
      </c>
      <c r="G223" s="23"/>
      <c r="H223" s="10"/>
      <c r="I223" s="10"/>
      <c r="J223" s="11">
        <f t="shared" si="55"/>
        <v>113.62345188046812</v>
      </c>
      <c r="K223" s="11">
        <f t="shared" si="50"/>
        <v>143.32807797047442</v>
      </c>
      <c r="L223" s="11">
        <f t="shared" si="51"/>
        <v>265.1113467656416</v>
      </c>
      <c r="M223" s="11" t="str">
        <f t="shared" si="52"/>
        <v/>
      </c>
      <c r="N223" s="11" t="str">
        <f t="shared" si="53"/>
        <v/>
      </c>
      <c r="O223" s="11" t="str">
        <f t="shared" si="54"/>
        <v/>
      </c>
    </row>
    <row r="224" spans="1:15" x14ac:dyDescent="0.25">
      <c r="A224" s="9" t="s">
        <v>16</v>
      </c>
      <c r="B224" s="9" t="s">
        <v>17</v>
      </c>
      <c r="C224" s="22" t="s">
        <v>12</v>
      </c>
      <c r="D224" s="10">
        <v>8784</v>
      </c>
      <c r="E224" s="10">
        <v>6675</v>
      </c>
      <c r="F224" s="10">
        <v>3947</v>
      </c>
      <c r="G224" s="23"/>
      <c r="H224" s="10"/>
      <c r="I224" s="10"/>
      <c r="J224" s="11">
        <f t="shared" si="55"/>
        <v>113.84335154826958</v>
      </c>
      <c r="K224" s="11">
        <f t="shared" si="50"/>
        <v>149.81273408239701</v>
      </c>
      <c r="L224" s="11">
        <f t="shared" si="51"/>
        <v>253.35697998479858</v>
      </c>
      <c r="M224" s="11" t="str">
        <f t="shared" si="52"/>
        <v/>
      </c>
      <c r="N224" s="11" t="str">
        <f t="shared" si="53"/>
        <v/>
      </c>
      <c r="O224" s="11" t="str">
        <f t="shared" si="54"/>
        <v/>
      </c>
    </row>
    <row r="225" spans="1:15" x14ac:dyDescent="0.25">
      <c r="A225" s="9" t="s">
        <v>18</v>
      </c>
      <c r="B225" s="8" t="s">
        <v>19</v>
      </c>
      <c r="C225" s="26" t="s">
        <v>12</v>
      </c>
      <c r="D225" s="10">
        <v>8740</v>
      </c>
      <c r="E225" s="10">
        <v>7299</v>
      </c>
      <c r="F225" s="10">
        <v>3999</v>
      </c>
      <c r="G225" s="23"/>
      <c r="H225" s="10"/>
      <c r="I225" s="10"/>
      <c r="J225" s="11">
        <f t="shared" si="55"/>
        <v>114.41647597254006</v>
      </c>
      <c r="K225" s="11">
        <f t="shared" si="50"/>
        <v>137.00506918755994</v>
      </c>
      <c r="L225" s="11">
        <f t="shared" si="51"/>
        <v>250.06251562890725</v>
      </c>
      <c r="M225" s="11" t="str">
        <f t="shared" si="52"/>
        <v/>
      </c>
      <c r="N225" s="11" t="str">
        <f t="shared" si="53"/>
        <v/>
      </c>
      <c r="O225" s="11" t="str">
        <f t="shared" si="54"/>
        <v/>
      </c>
    </row>
    <row r="226" spans="1:15" x14ac:dyDescent="0.25">
      <c r="A226" s="34" t="s">
        <v>86</v>
      </c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</row>
    <row r="227" spans="1:15" ht="18.75" x14ac:dyDescent="0.3">
      <c r="A227" s="103" t="s">
        <v>65</v>
      </c>
      <c r="B227" s="104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16"/>
    </row>
    <row r="228" spans="1:15" x14ac:dyDescent="0.25">
      <c r="A228" s="44" t="s">
        <v>2</v>
      </c>
      <c r="B228" s="45"/>
      <c r="C228" s="46"/>
      <c r="D228" s="47" t="s">
        <v>20</v>
      </c>
      <c r="E228" s="48"/>
      <c r="F228" s="48"/>
      <c r="G228" s="48"/>
      <c r="H228" s="48"/>
      <c r="I228" s="49"/>
      <c r="J228" s="47" t="s">
        <v>23</v>
      </c>
      <c r="K228" s="48"/>
      <c r="L228" s="48"/>
      <c r="M228" s="48"/>
      <c r="N228" s="48"/>
      <c r="O228" s="49"/>
    </row>
    <row r="229" spans="1:15" x14ac:dyDescent="0.25">
      <c r="A229" s="6" t="s">
        <v>5</v>
      </c>
      <c r="B229" s="6" t="s">
        <v>6</v>
      </c>
      <c r="C229" s="6" t="s">
        <v>7</v>
      </c>
      <c r="D229" s="7">
        <v>1</v>
      </c>
      <c r="E229" s="7">
        <v>4</v>
      </c>
      <c r="F229" s="7">
        <v>16</v>
      </c>
      <c r="G229" s="7">
        <v>32</v>
      </c>
      <c r="H229" s="7">
        <v>64</v>
      </c>
      <c r="I229" s="7">
        <v>80</v>
      </c>
      <c r="J229" s="7">
        <v>1</v>
      </c>
      <c r="K229" s="7">
        <v>4</v>
      </c>
      <c r="L229" s="7">
        <v>16</v>
      </c>
      <c r="M229" s="7">
        <v>32</v>
      </c>
      <c r="N229" s="7">
        <v>64</v>
      </c>
      <c r="O229" s="7">
        <v>80</v>
      </c>
    </row>
    <row r="230" spans="1:15" x14ac:dyDescent="0.25">
      <c r="A230" s="8" t="s">
        <v>8</v>
      </c>
      <c r="B230" s="9" t="s">
        <v>9</v>
      </c>
      <c r="C230" s="9" t="s">
        <v>10</v>
      </c>
      <c r="D230" s="12">
        <f>IF(D220="","",(D220-'2015'!D92)/'2015'!D92)</f>
        <v>4.7591310163311973E-2</v>
      </c>
      <c r="E230" s="12">
        <f>IF(E220="","",(E220-'2015'!E92)/'2015'!E92)</f>
        <v>-0.13803709144326112</v>
      </c>
      <c r="F230" s="12">
        <f>IF(F220="","",(F220-'2015'!F92)/'2015'!F92)</f>
        <v>-3.2731722239216887E-2</v>
      </c>
      <c r="G230" s="12" t="str">
        <f>IF(G220="","",(G220-'2014'!G191)/'2014'!G191)</f>
        <v/>
      </c>
      <c r="H230" s="12" t="str">
        <f>IF(H220="","",(H220-'2014'!H191)/'2014'!H191)</f>
        <v/>
      </c>
      <c r="I230" s="12" t="str">
        <f>IF(I220="","",(I220-'2014'!I191)/'2014'!I191)</f>
        <v/>
      </c>
      <c r="J230" s="11" t="e">
        <f>J220 - '2015'!J134</f>
        <v>#VALUE!</v>
      </c>
      <c r="K230" s="11">
        <f>K220 - '2015'!K134</f>
        <v>53.256643766309843</v>
      </c>
      <c r="L230" s="11">
        <f>L220 - '2015'!L134</f>
        <v>158.12776723592663</v>
      </c>
      <c r="M230" s="11" t="str">
        <f>IF(G230="","",M220-((1/'Proto 2013'!G222)*1000000))</f>
        <v/>
      </c>
      <c r="N230" s="11" t="str">
        <f>IF(H230="","",N220-((1/'Proto 2013'!H222)*1000000))</f>
        <v/>
      </c>
      <c r="O230" s="11" t="str">
        <f>IF(I230="","",O220-((1/'Proto 2013'!I222)*1000000))</f>
        <v/>
      </c>
    </row>
    <row r="231" spans="1:15" x14ac:dyDescent="0.25">
      <c r="A231" s="8" t="s">
        <v>11</v>
      </c>
      <c r="B231" s="9" t="s">
        <v>9</v>
      </c>
      <c r="C231" s="9" t="s">
        <v>12</v>
      </c>
      <c r="D231" s="12">
        <f>IF(D221="","",(D221-'2015'!D93)/'2015'!D93)</f>
        <v>-0.10963362469778687</v>
      </c>
      <c r="E231" s="12">
        <f>IF(E221="","",(E221-'2015'!E93)/'2015'!E93)</f>
        <v>-7.5775656324582344E-2</v>
      </c>
      <c r="F231" s="12">
        <f>IF(F221="","",(F221-'2015'!F93)/'2015'!F93)</f>
        <v>-9.2300765420981534E-2</v>
      </c>
      <c r="G231" s="12" t="str">
        <f>IF(G221="","",(G221-'2014'!G192)/'2014'!G192)</f>
        <v/>
      </c>
      <c r="H231" s="12" t="str">
        <f>IF(H221="","",(H221-'2014'!H192)/'2014'!H192)</f>
        <v/>
      </c>
      <c r="I231" s="12" t="str">
        <f>IF(I221="","",(I221-'2014'!I192)/'2014'!I192)</f>
        <v/>
      </c>
      <c r="J231" s="11">
        <f>J221 - '2015'!J135</f>
        <v>103.43864229765013</v>
      </c>
      <c r="K231" s="11">
        <f>K221 - '2015'!K135</f>
        <v>125.11555842479021</v>
      </c>
      <c r="L231" s="11">
        <f>L221 - '2015'!L135</f>
        <v>232.01587301587301</v>
      </c>
      <c r="M231" s="11" t="str">
        <f>IF(G231="","",M221-((1/'Proto 2013'!G223)*1000000))</f>
        <v/>
      </c>
      <c r="N231" s="11" t="str">
        <f>IF(H231="","",N221-((1/'Proto 2013'!H223)*1000000))</f>
        <v/>
      </c>
      <c r="O231" s="11" t="str">
        <f>IF(I231="","",O221-((1/'Proto 2013'!I223)*1000000))</f>
        <v/>
      </c>
    </row>
    <row r="232" spans="1:15" x14ac:dyDescent="0.25">
      <c r="A232" s="9" t="s">
        <v>13</v>
      </c>
      <c r="B232" s="9" t="s">
        <v>14</v>
      </c>
      <c r="C232" s="9" t="s">
        <v>10</v>
      </c>
      <c r="D232" s="12">
        <f>IF(D222="","",(D222-'2015'!D94)/'2015'!D94)</f>
        <v>-0.1666626339858211</v>
      </c>
      <c r="E232" s="12">
        <f>IF(E222="","",(E222-'2015'!E94)/'2015'!E94)</f>
        <v>-6.6326530612244902E-2</v>
      </c>
      <c r="F232" s="12">
        <f>IF(F222="","",(F222-'2015'!F94)/'2015'!F94)</f>
        <v>2.3986612123465971E-2</v>
      </c>
      <c r="G232" s="12" t="str">
        <f>IF(G222="","",(G222-'2014'!G193)/'2014'!G193)</f>
        <v/>
      </c>
      <c r="H232" s="12" t="str">
        <f>IF(H222="","",(H222-'2014'!H193)/'2014'!H193)</f>
        <v/>
      </c>
      <c r="I232" s="12" t="str">
        <f>IF(I222="","",(I222-'2014'!I193)/'2014'!I193)</f>
        <v/>
      </c>
      <c r="J232" s="11">
        <f>J222 - '2015'!J136</f>
        <v>9.5035301034969066</v>
      </c>
      <c r="K232" s="11">
        <f>K222 - '2015'!K136</f>
        <v>14.849132810643859</v>
      </c>
      <c r="L232" s="11">
        <f>L222 - '2015'!L136</f>
        <v>29.101557124362984</v>
      </c>
      <c r="M232" s="11" t="str">
        <f>IF(G232="","",M222-((1/'Proto 2013'!G224)*1000000))</f>
        <v/>
      </c>
      <c r="N232" s="11" t="str">
        <f>IF(H232="","",N222-((1/'Proto 2013'!H224)*1000000))</f>
        <v/>
      </c>
      <c r="O232" s="11" t="str">
        <f>IF(I232="","",O222-((1/'Proto 2013'!I224)*1000000))</f>
        <v/>
      </c>
    </row>
    <row r="233" spans="1:15" x14ac:dyDescent="0.25">
      <c r="A233" s="9" t="s">
        <v>15</v>
      </c>
      <c r="B233" s="9" t="s">
        <v>14</v>
      </c>
      <c r="C233" s="9" t="s">
        <v>12</v>
      </c>
      <c r="D233" s="12">
        <f>IF(D223="","",(D223-'2015'!D95)/'2015'!D95)</f>
        <v>-0.1523644418761437</v>
      </c>
      <c r="E233" s="12">
        <f>IF(E223="","",(E223-'2015'!E95)/'2015'!E95)</f>
        <v>-0.12062011595664229</v>
      </c>
      <c r="F233" s="12">
        <f>IF(F223="","",(F223-'2015'!F95)/'2015'!F95)</f>
        <v>-8.8228184674885177E-2</v>
      </c>
      <c r="G233" s="12" t="str">
        <f>IF(G223="","",(G223-'2014'!G194)/'2014'!G194)</f>
        <v/>
      </c>
      <c r="H233" s="12" t="str">
        <f>IF(H223="","",(H223-'2014'!H194)/'2014'!H194)</f>
        <v/>
      </c>
      <c r="I233" s="12" t="str">
        <f>IF(I223="","",(I223-'2014'!I194)/'2014'!I194)</f>
        <v/>
      </c>
      <c r="J233" s="11">
        <f>J223 - '2015'!J137</f>
        <v>18.692751291897778</v>
      </c>
      <c r="K233" s="11">
        <f>K223 - '2015'!K137</f>
        <v>26.42370574695326</v>
      </c>
      <c r="L233" s="11">
        <f>L223 - '2015'!L137</f>
        <v>39.936836520201382</v>
      </c>
      <c r="M233" s="11" t="str">
        <f>IF(G233="","",M223-((1/'Proto 2013'!G225)*1000000))</f>
        <v/>
      </c>
      <c r="N233" s="11" t="str">
        <f>IF(H233="","",N223-((1/'Proto 2013'!H225)*1000000))</f>
        <v/>
      </c>
      <c r="O233" s="11" t="str">
        <f>IF(I233="","",O223-((1/'Proto 2013'!I225)*1000000))</f>
        <v/>
      </c>
    </row>
    <row r="234" spans="1:15" x14ac:dyDescent="0.25">
      <c r="A234" s="9" t="s">
        <v>16</v>
      </c>
      <c r="B234" s="9" t="s">
        <v>17</v>
      </c>
      <c r="C234" s="9" t="s">
        <v>12</v>
      </c>
      <c r="D234" s="12">
        <f>IF(D224="","",(D224-'2015'!D96)/'2015'!D96)</f>
        <v>9.662921348314607E-2</v>
      </c>
      <c r="E234" s="12">
        <f>IF(E224="","",(E224-'2015'!E96)/'2015'!E96)</f>
        <v>-0.1336794289422453</v>
      </c>
      <c r="F234" s="12">
        <f>IF(F224="","",(F224-'2015'!F96)/'2015'!F96)</f>
        <v>-4.5234639574262214E-2</v>
      </c>
      <c r="G234" s="12" t="str">
        <f>IF(G224="","",(G224-'2014'!G195)/'2014'!G195)</f>
        <v/>
      </c>
      <c r="H234" s="12" t="str">
        <f>IF(H224="","",(H224-'2014'!H195)/'2014'!H195)</f>
        <v/>
      </c>
      <c r="I234" s="12" t="str">
        <f>IF(I224="","",(I224-'2014'!I195)/'2014'!I195)</f>
        <v/>
      </c>
      <c r="J234" s="11">
        <f>J224 - '2015'!J138</f>
        <v>89.647266474834453</v>
      </c>
      <c r="K234" s="11">
        <f>K224 - '2015'!K138</f>
        <v>89.604413292463846</v>
      </c>
      <c r="L234" s="11">
        <f>L224 - '2015'!L138</f>
        <v>80.226786078981405</v>
      </c>
      <c r="M234" s="11" t="str">
        <f>IF(G234="","",M224-((1/'Proto 2013'!G226)*1000000))</f>
        <v/>
      </c>
      <c r="N234" s="11" t="str">
        <f>IF(H234="","",N224-((1/'Proto 2013'!H226)*1000000))</f>
        <v/>
      </c>
      <c r="O234" s="11" t="str">
        <f>IF(I234="","",O224-((1/'Proto 2013'!I226)*1000000))</f>
        <v/>
      </c>
    </row>
    <row r="235" spans="1:15" x14ac:dyDescent="0.25">
      <c r="A235" s="9" t="s">
        <v>18</v>
      </c>
      <c r="B235" s="8" t="s">
        <v>19</v>
      </c>
      <c r="C235" s="9" t="s">
        <v>12</v>
      </c>
      <c r="D235" s="12">
        <f>IF(D225="","",(D225-'2015'!D97)/'2015'!D97)</f>
        <v>9.1136079900124844E-2</v>
      </c>
      <c r="E235" s="12">
        <f>IF(E225="","",(E225-'2015'!E97)/'2015'!E97)</f>
        <v>-5.0436205016357689E-3</v>
      </c>
      <c r="F235" s="12">
        <f>IF(F225="","",(F225-'2015'!F97)/'2015'!F97)</f>
        <v>-3.0545454545454546E-2</v>
      </c>
      <c r="G235" s="12" t="str">
        <f>IF(G225="","",(G225-'2014'!G196)/'2014'!G196)</f>
        <v/>
      </c>
      <c r="H235" s="12" t="str">
        <f>IF(H225="","",(H225-'2014'!H196)/'2014'!H196)</f>
        <v/>
      </c>
      <c r="I235" s="12" t="str">
        <f>IF(I225="","",(I225-'2014'!I196)/'2014'!I196)</f>
        <v/>
      </c>
      <c r="J235" s="11">
        <f>J225 - '2015'!J139</f>
        <v>18.548390458207777</v>
      </c>
      <c r="K235" s="11">
        <f>K225 - '2015'!K139</f>
        <v>7.8728377826012661</v>
      </c>
      <c r="L235" s="11">
        <f>L225 - '2015'!L139</f>
        <v>5.7429456313504375</v>
      </c>
      <c r="M235" s="11" t="str">
        <f>IF(G235="","",M225-((1/'Proto 2013'!G227)*1000000))</f>
        <v/>
      </c>
      <c r="N235" s="11" t="str">
        <f>IF(H235="","",N225-((1/'Proto 2013'!H227)*1000000))</f>
        <v/>
      </c>
      <c r="O235" s="11" t="str">
        <f>IF(I235="","",O225-((1/'Proto 2013'!I227)*1000000))</f>
        <v/>
      </c>
    </row>
    <row r="236" spans="1:15" ht="18.75" x14ac:dyDescent="0.3">
      <c r="A236" s="103" t="s">
        <v>80</v>
      </c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16"/>
    </row>
    <row r="237" spans="1:15" x14ac:dyDescent="0.25">
      <c r="A237" s="105" t="s">
        <v>2</v>
      </c>
      <c r="B237" s="105"/>
      <c r="C237" s="105"/>
      <c r="D237" s="106" t="s">
        <v>20</v>
      </c>
      <c r="E237" s="106"/>
      <c r="F237" s="106"/>
      <c r="G237" s="106"/>
      <c r="H237" s="106"/>
      <c r="I237" s="106"/>
      <c r="J237" s="106" t="s">
        <v>23</v>
      </c>
      <c r="K237" s="106"/>
      <c r="L237" s="106"/>
      <c r="M237" s="106"/>
      <c r="N237" s="106"/>
      <c r="O237" s="106"/>
    </row>
    <row r="238" spans="1:15" x14ac:dyDescent="0.25">
      <c r="A238" s="6" t="s">
        <v>5</v>
      </c>
      <c r="B238" s="6" t="s">
        <v>6</v>
      </c>
      <c r="C238" s="6" t="s">
        <v>7</v>
      </c>
      <c r="D238" s="7">
        <v>1</v>
      </c>
      <c r="E238" s="7">
        <v>4</v>
      </c>
      <c r="F238" s="7">
        <v>16</v>
      </c>
      <c r="G238" s="7">
        <v>32</v>
      </c>
      <c r="H238" s="7">
        <v>64</v>
      </c>
      <c r="I238" s="7">
        <v>80</v>
      </c>
      <c r="J238" s="7">
        <v>1</v>
      </c>
      <c r="K238" s="7">
        <v>4</v>
      </c>
      <c r="L238" s="7">
        <v>16</v>
      </c>
      <c r="M238" s="7">
        <v>32</v>
      </c>
      <c r="N238" s="7">
        <v>64</v>
      </c>
      <c r="O238" s="7">
        <v>80</v>
      </c>
    </row>
    <row r="239" spans="1:15" x14ac:dyDescent="0.25">
      <c r="A239" s="8" t="s">
        <v>8</v>
      </c>
      <c r="B239" s="9" t="s">
        <v>9</v>
      </c>
      <c r="C239" s="9" t="s">
        <v>10</v>
      </c>
      <c r="D239" s="12">
        <f>IF(D220="","",(D220-'2015'!D136)/'2015'!D136)</f>
        <v>-5.1563507099748045E-2</v>
      </c>
      <c r="E239" s="12">
        <f>IF(E220="","",(E220-'2015'!E136)/'2015'!E136)</f>
        <v>-0.16353349964362082</v>
      </c>
      <c r="F239" s="12">
        <f>IF(F220="","",(F220-'2015'!F136)/'2015'!F136)</f>
        <v>-3.5681610247026534E-2</v>
      </c>
      <c r="G239" s="12" t="str">
        <f>IF(G220="","",(G220-'2015'!G217)/'2015'!G217)</f>
        <v/>
      </c>
      <c r="H239" s="12" t="str">
        <f>IF(H220="","",(H220-'2015'!H217)/'2015'!H217)</f>
        <v/>
      </c>
      <c r="I239" s="12" t="str">
        <f>IF(I220="","",(I220-'2015'!I217)/'2015'!I217)</f>
        <v/>
      </c>
      <c r="J239" s="11">
        <f>J220 - '2015'!J178</f>
        <v>20.593504808583372</v>
      </c>
      <c r="K239" s="11">
        <f>K220 - '2015'!K178</f>
        <v>53.256643766309843</v>
      </c>
      <c r="L239" s="11">
        <f>L220 - '2015'!L178</f>
        <v>158.12776723592663</v>
      </c>
      <c r="M239" s="11" t="str">
        <f>IF(G239="","",M229-((1/'Proto 2013'!G231)*1000000))</f>
        <v/>
      </c>
      <c r="N239" s="11" t="str">
        <f>IF(H239="","",N229-((1/'Proto 2013'!H231)*1000000))</f>
        <v/>
      </c>
      <c r="O239" s="11" t="str">
        <f>IF(I239="","",O229-((1/'Proto 2013'!I231)*1000000))</f>
        <v/>
      </c>
    </row>
    <row r="240" spans="1:15" x14ac:dyDescent="0.25">
      <c r="A240" s="8" t="s">
        <v>11</v>
      </c>
      <c r="B240" s="9" t="s">
        <v>9</v>
      </c>
      <c r="C240" s="9" t="s">
        <v>12</v>
      </c>
      <c r="D240" s="12">
        <f>IF(D221="","",(D221-'2015'!D137)/'2015'!D137)</f>
        <v>-9.1038541864438965E-2</v>
      </c>
      <c r="E240" s="12">
        <f>IF(E221="","",(E221-'2015'!E137)/'2015'!E137)</f>
        <v>-9.4575637128828619E-2</v>
      </c>
      <c r="F240" s="12">
        <f>IF(F221="","",(F221-'2015'!F137)/'2015'!F137)</f>
        <v>-9.2096374690385049E-2</v>
      </c>
      <c r="G240" s="12" t="str">
        <f>IF(G230="","",(G230-'2014'!G201)/'2014'!G201)</f>
        <v/>
      </c>
      <c r="H240" s="12" t="str">
        <f>IF(H230="","",(H230-'2014'!H201)/'2014'!H201)</f>
        <v/>
      </c>
      <c r="I240" s="12" t="str">
        <f>IF(I230="","",(I230-'2014'!I201)/'2014'!I201)</f>
        <v/>
      </c>
      <c r="J240" s="11">
        <f>J221 - '2015'!J179</f>
        <v>104.43864229765013</v>
      </c>
      <c r="K240" s="11">
        <f>K221 - '2015'!K179</f>
        <v>129.11555842479021</v>
      </c>
      <c r="L240" s="11">
        <f>L221 - '2015'!L179</f>
        <v>248.01587301587301</v>
      </c>
      <c r="M240" s="11" t="str">
        <f>IF(G240="","",M230-((1/'Proto 2013'!G232)*1000000))</f>
        <v/>
      </c>
      <c r="N240" s="11" t="str">
        <f>IF(H240="","",N230-((1/'Proto 2013'!H232)*1000000))</f>
        <v/>
      </c>
      <c r="O240" s="11" t="str">
        <f>IF(I240="","",O230-((1/'Proto 2013'!I232)*1000000))</f>
        <v/>
      </c>
    </row>
    <row r="241" spans="1:15" x14ac:dyDescent="0.25">
      <c r="A241" s="9" t="s">
        <v>13</v>
      </c>
      <c r="B241" s="9" t="s">
        <v>14</v>
      </c>
      <c r="C241" s="9" t="s">
        <v>10</v>
      </c>
      <c r="D241" s="12">
        <f>IF(D222="","",(D222-'2015'!D138)/'2015'!D138)</f>
        <v>-0.1666626339858211</v>
      </c>
      <c r="E241" s="12">
        <f>IF(E222="","",(E222-'2015'!E138)/'2015'!E138)</f>
        <v>1.3667288819314829E-2</v>
      </c>
      <c r="F241" s="12">
        <f>IF(F222="","",(F222-'2015'!F138)/'2015'!F138)</f>
        <v>-4.6572022160664819E-2</v>
      </c>
      <c r="G241" s="12" t="str">
        <f>IF(G231="","",(G231-'2014'!G202)/'2014'!G202)</f>
        <v/>
      </c>
      <c r="H241" s="12" t="str">
        <f>IF(H231="","",(H231-'2014'!H202)/'2014'!H202)</f>
        <v/>
      </c>
      <c r="I241" s="12" t="str">
        <f>IF(I231="","",(I231-'2014'!I202)/'2014'!I202)</f>
        <v/>
      </c>
      <c r="J241" s="11">
        <f>J222 - '2015'!J180</f>
        <v>29.035161580674195</v>
      </c>
      <c r="K241" s="11">
        <f>K222 - '2015'!K180</f>
        <v>59.396531242575435</v>
      </c>
      <c r="L241" s="11">
        <f>L222 - '2015'!L180</f>
        <v>181.58707100054474</v>
      </c>
      <c r="M241" s="11" t="str">
        <f>IF(G241="","",M231-((1/'Proto 2013'!G233)*1000000))</f>
        <v/>
      </c>
      <c r="N241" s="11" t="str">
        <f>IF(H241="","",N231-((1/'Proto 2013'!H233)*1000000))</f>
        <v/>
      </c>
      <c r="O241" s="11" t="str">
        <f>IF(I241="","",O231-((1/'Proto 2013'!I233)*1000000))</f>
        <v/>
      </c>
    </row>
    <row r="242" spans="1:15" x14ac:dyDescent="0.25">
      <c r="A242" s="9" t="s">
        <v>15</v>
      </c>
      <c r="B242" s="9" t="s">
        <v>14</v>
      </c>
      <c r="C242" s="9" t="s">
        <v>12</v>
      </c>
      <c r="D242" s="12">
        <f>IF(D223="","",(D223-'2015'!D139)/'2015'!D139)</f>
        <v>-0.15626497938836162</v>
      </c>
      <c r="E242" s="12">
        <f>IF(E223="","",(E223-'2015'!E139)/'2015'!E139)</f>
        <v>-9.9044421487603312E-2</v>
      </c>
      <c r="F242" s="12">
        <f>IF(F223="","",(F223-'2015'!F139)/'2015'!F139)</f>
        <v>-7.8426581969215731E-2</v>
      </c>
      <c r="G242" s="12" t="str">
        <f>IF(G232="","",(G232-'2014'!G203)/'2014'!G203)</f>
        <v/>
      </c>
      <c r="H242" s="12" t="str">
        <f>IF(H232="","",(H232-'2014'!H203)/'2014'!H203)</f>
        <v/>
      </c>
      <c r="I242" s="12" t="str">
        <f>IF(I232="","",(I232-'2014'!I203)/'2014'!I203)</f>
        <v/>
      </c>
      <c r="J242" s="11">
        <f>J223 - '2015'!J181</f>
        <v>113.62345188046812</v>
      </c>
      <c r="K242" s="11">
        <f>K223 - '2015'!K181</f>
        <v>143.32807797047442</v>
      </c>
      <c r="L242" s="11">
        <f>L223 - '2015'!L181</f>
        <v>265.1113467656416</v>
      </c>
      <c r="M242" s="11" t="str">
        <f>IF(G242="","",M232-((1/'Proto 2013'!G234)*1000000))</f>
        <v/>
      </c>
      <c r="N242" s="11" t="str">
        <f>IF(H242="","",N232-((1/'Proto 2013'!H234)*1000000))</f>
        <v/>
      </c>
      <c r="O242" s="11" t="str">
        <f>IF(I242="","",O232-((1/'Proto 2013'!I234)*1000000))</f>
        <v/>
      </c>
    </row>
    <row r="243" spans="1:15" x14ac:dyDescent="0.25">
      <c r="A243" s="9" t="s">
        <v>16</v>
      </c>
      <c r="B243" s="9" t="s">
        <v>17</v>
      </c>
      <c r="C243" s="9" t="s">
        <v>12</v>
      </c>
      <c r="D243" s="12">
        <f>IF(D224="","",(D224-'2015'!D140)/'2015'!D140)</f>
        <v>-5.4772409340363717E-2</v>
      </c>
      <c r="E243" s="12">
        <f>IF(E224="","",(E224-'2015'!E140)/'2015'!E140)</f>
        <v>-0.16227409638554216</v>
      </c>
      <c r="F243" s="12">
        <f>IF(F224="","",(F224-'2015'!F140)/'2015'!F140)</f>
        <v>-4.5234639574262214E-2</v>
      </c>
      <c r="G243" s="12" t="str">
        <f>IF(G233="","",(G233-'2014'!G204)/'2014'!G204)</f>
        <v/>
      </c>
      <c r="H243" s="12" t="str">
        <f>IF(H233="","",(H233-'2014'!H204)/'2014'!H204)</f>
        <v/>
      </c>
      <c r="I243" s="12" t="str">
        <f>IF(I233="","",(I233-'2014'!I204)/'2014'!I204)</f>
        <v/>
      </c>
      <c r="J243" s="11">
        <f>J224 - '2015'!J182</f>
        <v>113.84335154826958</v>
      </c>
      <c r="K243" s="11">
        <f>K224 - '2015'!K182</f>
        <v>149.81273408239701</v>
      </c>
      <c r="L243" s="11">
        <f>L224 - '2015'!L182</f>
        <v>253.35697998479858</v>
      </c>
      <c r="M243" s="11" t="str">
        <f>IF(G243="","",M233-((1/'Proto 2013'!G235)*1000000))</f>
        <v/>
      </c>
      <c r="N243" s="11" t="str">
        <f>IF(H243="","",N233-((1/'Proto 2013'!H235)*1000000))</f>
        <v/>
      </c>
      <c r="O243" s="11" t="str">
        <f>IF(I243="","",O233-((1/'Proto 2013'!I235)*1000000))</f>
        <v/>
      </c>
    </row>
    <row r="244" spans="1:15" x14ac:dyDescent="0.25">
      <c r="A244" s="9" t="s">
        <v>18</v>
      </c>
      <c r="B244" s="8" t="s">
        <v>19</v>
      </c>
      <c r="C244" s="9" t="s">
        <v>12</v>
      </c>
      <c r="D244" s="12">
        <f>IF(D225="","",(D225-'2015'!D141)/'2015'!D141)</f>
        <v>2.2940074906367042E-2</v>
      </c>
      <c r="E244" s="12">
        <f>IF(E225="","",(E225-'2015'!E141)/'2015'!E141)</f>
        <v>-1.0036620100366201E-2</v>
      </c>
      <c r="F244" s="12">
        <f>IF(F225="","",(F225-'2015'!F141)/'2015'!F141)</f>
        <v>-4.4672718585762064E-2</v>
      </c>
      <c r="G244" s="12" t="str">
        <f>IF(G234="","",(G234-'2014'!G205)/'2014'!G205)</f>
        <v/>
      </c>
      <c r="H244" s="12" t="str">
        <f>IF(H234="","",(H234-'2014'!H205)/'2014'!H205)</f>
        <v/>
      </c>
      <c r="I244" s="12" t="str">
        <f>IF(I234="","",(I234-'2014'!I205)/'2014'!I205)</f>
        <v/>
      </c>
      <c r="J244" s="11">
        <f>J225 - '2015'!J183</f>
        <v>114.41647597254006</v>
      </c>
      <c r="K244" s="11">
        <f>K225 - '2015'!K183</f>
        <v>137.00506918755994</v>
      </c>
      <c r="L244" s="11">
        <f>L225 - '2015'!L183</f>
        <v>250.06251562890725</v>
      </c>
      <c r="M244" s="11" t="str">
        <f>IF(G244="","",M234-((1/'Proto 2013'!G236)*1000000))</f>
        <v/>
      </c>
      <c r="N244" s="11" t="str">
        <f>IF(H244="","",N234-((1/'Proto 2013'!H236)*1000000))</f>
        <v/>
      </c>
      <c r="O244" s="11" t="str">
        <f>IF(I244="","",O234-((1/'Proto 2013'!I236)*1000000))</f>
        <v/>
      </c>
    </row>
  </sheetData>
  <mergeCells count="109">
    <mergeCell ref="A236:O236"/>
    <mergeCell ref="A237:C237"/>
    <mergeCell ref="D237:I237"/>
    <mergeCell ref="J237:O237"/>
    <mergeCell ref="A216:O216"/>
    <mergeCell ref="A217:O217"/>
    <mergeCell ref="A157:O157"/>
    <mergeCell ref="A158:O158"/>
    <mergeCell ref="A159:C159"/>
    <mergeCell ref="D159:I159"/>
    <mergeCell ref="J159:O159"/>
    <mergeCell ref="A177:O177"/>
    <mergeCell ref="A178:C178"/>
    <mergeCell ref="D178:I178"/>
    <mergeCell ref="J178:O178"/>
    <mergeCell ref="A167:O167"/>
    <mergeCell ref="A227:O227"/>
    <mergeCell ref="A168:O168"/>
    <mergeCell ref="A169:C169"/>
    <mergeCell ref="D169:I169"/>
    <mergeCell ref="J169:O169"/>
    <mergeCell ref="A187:O187"/>
    <mergeCell ref="A188:O188"/>
    <mergeCell ref="A189:C189"/>
    <mergeCell ref="A137:O137"/>
    <mergeCell ref="A138:O138"/>
    <mergeCell ref="A139:C139"/>
    <mergeCell ref="D139:I139"/>
    <mergeCell ref="J139:O139"/>
    <mergeCell ref="A147:O147"/>
    <mergeCell ref="A148:C148"/>
    <mergeCell ref="D148:I148"/>
    <mergeCell ref="J148:O148"/>
    <mergeCell ref="A127:O127"/>
    <mergeCell ref="A128:O128"/>
    <mergeCell ref="A129:C129"/>
    <mergeCell ref="D129:I129"/>
    <mergeCell ref="J129:O129"/>
    <mergeCell ref="A116:O116"/>
    <mergeCell ref="A117:O117"/>
    <mergeCell ref="A118:C118"/>
    <mergeCell ref="D118:I118"/>
    <mergeCell ref="J118:O118"/>
    <mergeCell ref="A106:O106"/>
    <mergeCell ref="A107:O107"/>
    <mergeCell ref="A108:C108"/>
    <mergeCell ref="D108:I108"/>
    <mergeCell ref="J108:O108"/>
    <mergeCell ref="A33:I33"/>
    <mergeCell ref="A34:C34"/>
    <mergeCell ref="D34:I34"/>
    <mergeCell ref="J34:O34"/>
    <mergeCell ref="A87:C87"/>
    <mergeCell ref="D87:I87"/>
    <mergeCell ref="J87:O87"/>
    <mergeCell ref="A74:O74"/>
    <mergeCell ref="A76:C76"/>
    <mergeCell ref="D76:I76"/>
    <mergeCell ref="J76:O76"/>
    <mergeCell ref="A75:O75"/>
    <mergeCell ref="A95:O95"/>
    <mergeCell ref="A96:O96"/>
    <mergeCell ref="A97:C97"/>
    <mergeCell ref="D97:I97"/>
    <mergeCell ref="J97:O97"/>
    <mergeCell ref="A85:O85"/>
    <mergeCell ref="A86:O86"/>
    <mergeCell ref="A22:O22"/>
    <mergeCell ref="A23:O23"/>
    <mergeCell ref="A24:C24"/>
    <mergeCell ref="D24:I24"/>
    <mergeCell ref="J24:O24"/>
    <mergeCell ref="A32:O32"/>
    <mergeCell ref="A64:O64"/>
    <mergeCell ref="A65:O65"/>
    <mergeCell ref="A66:C66"/>
    <mergeCell ref="D66:I66"/>
    <mergeCell ref="J66:O66"/>
    <mergeCell ref="A43:O43"/>
    <mergeCell ref="A44:O44"/>
    <mergeCell ref="A45:C45"/>
    <mergeCell ref="D45:I45"/>
    <mergeCell ref="J45:O45"/>
    <mergeCell ref="A53:O53"/>
    <mergeCell ref="A54:I54"/>
    <mergeCell ref="A55:C55"/>
    <mergeCell ref="D55:I55"/>
    <mergeCell ref="J55:O55"/>
    <mergeCell ref="A1:O1"/>
    <mergeCell ref="A2:O2"/>
    <mergeCell ref="A3:C3"/>
    <mergeCell ref="D3:I3"/>
    <mergeCell ref="J3:O3"/>
    <mergeCell ref="A11:O11"/>
    <mergeCell ref="A12:I12"/>
    <mergeCell ref="A13:C13"/>
    <mergeCell ref="D13:I13"/>
    <mergeCell ref="J13:O13"/>
    <mergeCell ref="D189:I189"/>
    <mergeCell ref="J189:O189"/>
    <mergeCell ref="A207:O207"/>
    <mergeCell ref="A208:C208"/>
    <mergeCell ref="D208:I208"/>
    <mergeCell ref="J208:O208"/>
    <mergeCell ref="A197:O197"/>
    <mergeCell ref="A198:O198"/>
    <mergeCell ref="A199:C199"/>
    <mergeCell ref="D199:I199"/>
    <mergeCell ref="J199:O199"/>
  </mergeCells>
  <conditionalFormatting sqref="D36:I42">
    <cfRule type="colorScale" priority="2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6:I42">
    <cfRule type="colorScale" priority="2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78:I83">
    <cfRule type="colorScale" priority="2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78:I83">
    <cfRule type="colorScale" priority="2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99:I104">
    <cfRule type="colorScale" priority="2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99:I104">
    <cfRule type="colorScale" priority="2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20:I125">
    <cfRule type="colorScale" priority="2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20:I125">
    <cfRule type="colorScale" priority="2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5:I20">
    <cfRule type="colorScale" priority="2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5:I20">
    <cfRule type="colorScale" priority="1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7:I62">
    <cfRule type="colorScale" priority="1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7:I62">
    <cfRule type="colorScale" priority="1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41:I146">
    <cfRule type="colorScale" priority="1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41:I146">
    <cfRule type="colorScale" priority="1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50:I155">
    <cfRule type="colorScale" priority="1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50:I155">
    <cfRule type="colorScale" priority="1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71:I176">
    <cfRule type="colorScale" priority="1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71:I176">
    <cfRule type="colorScale" priority="1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80:I185">
    <cfRule type="colorScale" priority="1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80:I185">
    <cfRule type="colorScale" priority="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01:I206">
    <cfRule type="colorScale" priority="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01:I206">
    <cfRule type="colorScale" priority="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10:I215">
    <cfRule type="colorScale" priority="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10:I215">
    <cfRule type="colorScale" priority="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30:I235">
    <cfRule type="colorScale" priority="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30:I235">
    <cfRule type="colorScale" priority="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39:I244">
    <cfRule type="colorScale" priority="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39:I244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hyperlinks>
    <hyperlink ref="A32:O32" r:id="rId1" display="Link to report : 9068_sp_online_poll_16.0b40" xr:uid="{00000000-0004-0000-0400-000000000000}"/>
    <hyperlink ref="A74:O74" r:id="rId2" display="Link to report : 9068_sp_online_poll_16.0b53 Target got disconnected for T4 cases" xr:uid="{00000000-0004-0000-0400-000001000000}"/>
    <hyperlink ref="A95:O95" r:id="rId3" display="Link to report : 9068_sp_online_poll_16.0b56 Target got disconnected for T4 cases" xr:uid="{00000000-0004-0000-0400-000002000000}"/>
    <hyperlink ref="A116:O116" r:id="rId4" display="Link to report : 9068_sp_online_poll_16.0b56 Target got disconnected for T4 cases" xr:uid="{00000000-0004-0000-0400-000003000000}"/>
    <hyperlink ref="A11:O11" r:id="rId5" display="Link to report : 9068_sp_online_poll_16.0b35" xr:uid="{00000000-0004-0000-0400-000004000000}"/>
    <hyperlink ref="A53:O53" r:id="rId6" display="Link to report : 9068_sp_online_poll_16.0b46" xr:uid="{00000000-0004-0000-0400-000005000000}"/>
    <hyperlink ref="A137:O137" r:id="rId7" display="Link to report : 9068_sp_online_poll_16.0b75" xr:uid="{00000000-0004-0000-0400-000006000000}"/>
    <hyperlink ref="A167:O167" r:id="rId8" display="Worst of 10 iterations: 9068_sp_online_poll_16.rc03_T2a 1ch being outlier" xr:uid="{00000000-0004-0000-0400-000007000000}"/>
    <hyperlink ref="A197:O197" r:id="rId9" display="Worst of 10 iterations: 9068_sp_online_poll_16.0" xr:uid="{00000000-0004-0000-0400-000008000000}"/>
    <hyperlink ref="A226:O226" r:id="rId10" location="Test_cRIO-Benchmark.lvproj%5CRT%20Target%5CAI-AO%5CTest_cRIO_AI-AO_01_INT.vi" display="Worst of 10 iterations: 9068_sp_online_poll_16.0" xr:uid="{00000000-0004-0000-0400-000009000000}"/>
  </hyperlinks>
  <pageMargins left="0.7" right="0.7" top="0.75" bottom="0.75" header="0.3" footer="0.3"/>
  <pageSetup paperSize="9" orientation="portrait" r:id="rId1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80"/>
  <sheetViews>
    <sheetView topLeftCell="A490" zoomScaleNormal="100" workbookViewId="0">
      <selection activeCell="F495" sqref="F495"/>
    </sheetView>
  </sheetViews>
  <sheetFormatPr defaultRowHeight="15" x14ac:dyDescent="0.25"/>
  <cols>
    <col min="1" max="9" width="9.140625" style="50"/>
    <col min="10" max="10" width="11.140625" style="50" customWidth="1"/>
    <col min="11" max="16384" width="9.140625" style="50"/>
  </cols>
  <sheetData>
    <row r="1" spans="1:15" ht="18.75" x14ac:dyDescent="0.25">
      <c r="A1" s="150" t="s">
        <v>90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2"/>
    </row>
    <row r="2" spans="1:15" ht="15.75" x14ac:dyDescent="0.25">
      <c r="A2" s="153" t="s">
        <v>92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54"/>
    </row>
    <row r="3" spans="1:15" x14ac:dyDescent="0.25">
      <c r="A3" s="138" t="s">
        <v>2</v>
      </c>
      <c r="B3" s="138"/>
      <c r="C3" s="138"/>
      <c r="D3" s="139" t="s">
        <v>3</v>
      </c>
      <c r="E3" s="139"/>
      <c r="F3" s="139"/>
      <c r="G3" s="139"/>
      <c r="H3" s="139"/>
      <c r="I3" s="139"/>
      <c r="J3" s="139" t="s">
        <v>4</v>
      </c>
      <c r="K3" s="139"/>
      <c r="L3" s="139"/>
      <c r="M3" s="139"/>
      <c r="N3" s="139"/>
      <c r="O3" s="139"/>
    </row>
    <row r="4" spans="1:15" x14ac:dyDescent="0.25">
      <c r="A4" s="51" t="s">
        <v>5</v>
      </c>
      <c r="B4" s="51" t="s">
        <v>6</v>
      </c>
      <c r="C4" s="51" t="s">
        <v>7</v>
      </c>
      <c r="D4" s="52">
        <v>1</v>
      </c>
      <c r="E4" s="52">
        <v>4</v>
      </c>
      <c r="F4" s="52">
        <v>16</v>
      </c>
      <c r="G4" s="53">
        <v>32</v>
      </c>
      <c r="H4" s="53">
        <v>64</v>
      </c>
      <c r="I4" s="53">
        <v>80</v>
      </c>
      <c r="J4" s="53">
        <v>1</v>
      </c>
      <c r="K4" s="53">
        <v>4</v>
      </c>
      <c r="L4" s="53">
        <v>16</v>
      </c>
      <c r="M4" s="53">
        <v>32</v>
      </c>
      <c r="N4" s="53">
        <v>64</v>
      </c>
      <c r="O4" s="53">
        <v>80</v>
      </c>
    </row>
    <row r="5" spans="1:15" x14ac:dyDescent="0.25">
      <c r="A5" s="54" t="s">
        <v>8</v>
      </c>
      <c r="B5" s="54" t="s">
        <v>9</v>
      </c>
      <c r="C5" s="55" t="s">
        <v>10</v>
      </c>
      <c r="D5" s="56">
        <v>35555</v>
      </c>
      <c r="E5" s="56">
        <v>20740</v>
      </c>
      <c r="F5" s="56">
        <v>6292</v>
      </c>
      <c r="G5" s="57"/>
      <c r="H5" s="56"/>
      <c r="I5" s="56"/>
      <c r="J5" s="58">
        <f>IF(D5="","",(1/D5)*1000000)</f>
        <v>28.125439459991561</v>
      </c>
      <c r="K5" s="58">
        <f t="shared" ref="K5:O10" si="0">IF(E5="","",(1/E5)*1000000)</f>
        <v>48.216007714561236</v>
      </c>
      <c r="L5" s="58">
        <f t="shared" si="0"/>
        <v>158.93197711379528</v>
      </c>
      <c r="M5" s="58" t="str">
        <f t="shared" si="0"/>
        <v/>
      </c>
      <c r="N5" s="58" t="str">
        <f t="shared" si="0"/>
        <v/>
      </c>
      <c r="O5" s="58" t="str">
        <f t="shared" si="0"/>
        <v/>
      </c>
    </row>
    <row r="6" spans="1:15" x14ac:dyDescent="0.25">
      <c r="A6" s="54" t="s">
        <v>11</v>
      </c>
      <c r="B6" s="54" t="s">
        <v>9</v>
      </c>
      <c r="C6" s="55" t="s">
        <v>12</v>
      </c>
      <c r="D6" s="56">
        <v>9763</v>
      </c>
      <c r="E6" s="56">
        <v>7564</v>
      </c>
      <c r="F6" s="56">
        <v>4121</v>
      </c>
      <c r="G6" s="57"/>
      <c r="H6" s="56"/>
      <c r="I6" s="56"/>
      <c r="J6" s="58">
        <f t="shared" ref="J6:J10" si="1">IF(D6="","",(1/D6)*1000000)</f>
        <v>102.42753252074158</v>
      </c>
      <c r="K6" s="58">
        <f t="shared" si="0"/>
        <v>132.20518244315178</v>
      </c>
      <c r="L6" s="58">
        <f t="shared" si="0"/>
        <v>242.65954865323951</v>
      </c>
      <c r="M6" s="58" t="str">
        <f t="shared" si="0"/>
        <v/>
      </c>
      <c r="N6" s="58" t="str">
        <f t="shared" si="0"/>
        <v/>
      </c>
      <c r="O6" s="58" t="str">
        <f t="shared" si="0"/>
        <v/>
      </c>
    </row>
    <row r="7" spans="1:15" x14ac:dyDescent="0.25">
      <c r="A7" s="54" t="s">
        <v>13</v>
      </c>
      <c r="B7" s="54" t="s">
        <v>14</v>
      </c>
      <c r="C7" s="55" t="s">
        <v>10</v>
      </c>
      <c r="D7" s="56">
        <v>31701</v>
      </c>
      <c r="E7" s="56">
        <v>17115</v>
      </c>
      <c r="F7" s="56">
        <v>5608</v>
      </c>
      <c r="G7" s="57"/>
      <c r="H7" s="56"/>
      <c r="I7" s="56"/>
      <c r="J7" s="58">
        <f t="shared" si="1"/>
        <v>31.544746222516643</v>
      </c>
      <c r="K7" s="58">
        <f t="shared" si="0"/>
        <v>58.428279287174995</v>
      </c>
      <c r="L7" s="58">
        <f t="shared" si="0"/>
        <v>178.31669044222539</v>
      </c>
      <c r="M7" s="58" t="str">
        <f t="shared" si="0"/>
        <v/>
      </c>
      <c r="N7" s="58" t="str">
        <f t="shared" si="0"/>
        <v/>
      </c>
      <c r="O7" s="58" t="str">
        <f t="shared" si="0"/>
        <v/>
      </c>
    </row>
    <row r="8" spans="1:15" x14ac:dyDescent="0.25">
      <c r="A8" s="54" t="s">
        <v>15</v>
      </c>
      <c r="B8" s="54" t="s">
        <v>14</v>
      </c>
      <c r="C8" s="55" t="s">
        <v>12</v>
      </c>
      <c r="D8" s="56">
        <v>9246</v>
      </c>
      <c r="E8" s="56">
        <v>7094</v>
      </c>
      <c r="F8" s="56">
        <v>3846</v>
      </c>
      <c r="G8" s="57"/>
      <c r="H8" s="56"/>
      <c r="I8" s="56"/>
      <c r="J8" s="58">
        <f t="shared" si="1"/>
        <v>108.15487778498812</v>
      </c>
      <c r="K8" s="58">
        <f t="shared" si="0"/>
        <v>140.96419509444601</v>
      </c>
      <c r="L8" s="58">
        <f t="shared" si="0"/>
        <v>260.01040041601669</v>
      </c>
      <c r="M8" s="58" t="str">
        <f t="shared" si="0"/>
        <v/>
      </c>
      <c r="N8" s="58" t="str">
        <f t="shared" si="0"/>
        <v/>
      </c>
      <c r="O8" s="58" t="str">
        <f t="shared" si="0"/>
        <v/>
      </c>
    </row>
    <row r="9" spans="1:15" x14ac:dyDescent="0.25">
      <c r="A9" s="54" t="s">
        <v>16</v>
      </c>
      <c r="B9" s="54" t="s">
        <v>17</v>
      </c>
      <c r="C9" s="55" t="s">
        <v>12</v>
      </c>
      <c r="D9" s="56">
        <v>8443</v>
      </c>
      <c r="E9" s="56">
        <v>7299</v>
      </c>
      <c r="F9" s="56">
        <v>3939</v>
      </c>
      <c r="G9" s="57"/>
      <c r="H9" s="56"/>
      <c r="I9" s="56"/>
      <c r="J9" s="58">
        <f t="shared" si="1"/>
        <v>118.44131232974061</v>
      </c>
      <c r="K9" s="58">
        <f t="shared" si="0"/>
        <v>137.00506918755994</v>
      </c>
      <c r="L9" s="58">
        <f t="shared" si="0"/>
        <v>253.8715410002539</v>
      </c>
      <c r="M9" s="58" t="str">
        <f t="shared" si="0"/>
        <v/>
      </c>
      <c r="N9" s="58" t="str">
        <f t="shared" si="0"/>
        <v/>
      </c>
      <c r="O9" s="58" t="str">
        <f t="shared" si="0"/>
        <v/>
      </c>
    </row>
    <row r="10" spans="1:15" x14ac:dyDescent="0.25">
      <c r="A10" s="54" t="s">
        <v>18</v>
      </c>
      <c r="B10" s="54" t="s">
        <v>19</v>
      </c>
      <c r="C10" s="55" t="s">
        <v>12</v>
      </c>
      <c r="D10" s="56">
        <v>8433</v>
      </c>
      <c r="E10" s="56">
        <v>7180</v>
      </c>
      <c r="F10" s="56">
        <v>4000</v>
      </c>
      <c r="G10" s="57"/>
      <c r="H10" s="56"/>
      <c r="I10" s="56"/>
      <c r="J10" s="58">
        <f t="shared" si="1"/>
        <v>118.58176212498518</v>
      </c>
      <c r="K10" s="58">
        <f t="shared" si="0"/>
        <v>139.27576601671311</v>
      </c>
      <c r="L10" s="58">
        <f t="shared" si="0"/>
        <v>250</v>
      </c>
      <c r="M10" s="58" t="str">
        <f t="shared" si="0"/>
        <v/>
      </c>
      <c r="N10" s="58" t="str">
        <f t="shared" si="0"/>
        <v/>
      </c>
      <c r="O10" s="58" t="str">
        <f t="shared" si="0"/>
        <v/>
      </c>
    </row>
    <row r="11" spans="1:15" x14ac:dyDescent="0.25">
      <c r="A11" s="155" t="s">
        <v>91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</row>
    <row r="12" spans="1:15" ht="18.75" x14ac:dyDescent="0.3">
      <c r="A12" s="148" t="s">
        <v>89</v>
      </c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9"/>
    </row>
    <row r="13" spans="1:15" x14ac:dyDescent="0.25">
      <c r="A13" s="138" t="s">
        <v>2</v>
      </c>
      <c r="B13" s="138"/>
      <c r="C13" s="138"/>
      <c r="D13" s="139" t="s">
        <v>20</v>
      </c>
      <c r="E13" s="139"/>
      <c r="F13" s="139"/>
      <c r="G13" s="139"/>
      <c r="H13" s="139"/>
      <c r="I13" s="139"/>
      <c r="J13" s="139" t="s">
        <v>23</v>
      </c>
      <c r="K13" s="139"/>
      <c r="L13" s="139"/>
      <c r="M13" s="139"/>
      <c r="N13" s="139"/>
      <c r="O13" s="139"/>
    </row>
    <row r="14" spans="1:15" x14ac:dyDescent="0.25">
      <c r="A14" s="51" t="s">
        <v>5</v>
      </c>
      <c r="B14" s="51" t="s">
        <v>6</v>
      </c>
      <c r="C14" s="51" t="s">
        <v>7</v>
      </c>
      <c r="D14" s="53">
        <v>1</v>
      </c>
      <c r="E14" s="53">
        <v>4</v>
      </c>
      <c r="F14" s="53">
        <v>16</v>
      </c>
      <c r="G14" s="53">
        <v>32</v>
      </c>
      <c r="H14" s="53">
        <v>64</v>
      </c>
      <c r="I14" s="53">
        <v>80</v>
      </c>
      <c r="J14" s="53">
        <v>1</v>
      </c>
      <c r="K14" s="53">
        <v>4</v>
      </c>
      <c r="L14" s="53">
        <v>16</v>
      </c>
      <c r="M14" s="53">
        <v>32</v>
      </c>
      <c r="N14" s="53">
        <v>64</v>
      </c>
      <c r="O14" s="53">
        <v>80</v>
      </c>
    </row>
    <row r="15" spans="1:15" x14ac:dyDescent="0.25">
      <c r="A15" s="54" t="s">
        <v>8</v>
      </c>
      <c r="B15" s="54" t="s">
        <v>9</v>
      </c>
      <c r="C15" s="54" t="s">
        <v>10</v>
      </c>
      <c r="D15" s="59">
        <f>IF(D5="","",(D5-'2016'!D191)/'2016'!D191)</f>
        <v>-0.16666666666666666</v>
      </c>
      <c r="E15" s="59">
        <f>IF(E5="","",(E5-'2016'!E191)/'2016'!E191)</f>
        <v>0.10454279171326623</v>
      </c>
      <c r="F15" s="59">
        <f>IF(F5="","",(F5-'2016'!F191)/'2016'!F191)</f>
        <v>-1.5028177833437696E-2</v>
      </c>
      <c r="G15" s="59" t="str">
        <f>IF(G5="","",(G5-'2014'!#REF!)/'2014'!#REF!)</f>
        <v/>
      </c>
      <c r="H15" s="59" t="str">
        <f>IF(H5="","",(H5-'2014'!#REF!)/'2014'!#REF!)</f>
        <v/>
      </c>
      <c r="I15" s="58" t="str">
        <f>IF(I5="","",(I5-'2014'!#REF!)/'2014'!#REF!)</f>
        <v/>
      </c>
      <c r="J15" s="58" t="e">
        <f>J5 - '2015'!#REF!</f>
        <v>#REF!</v>
      </c>
      <c r="K15" s="58" t="e">
        <f>K5 - '2015'!#REF!</f>
        <v>#REF!</v>
      </c>
      <c r="L15" s="58" t="e">
        <f>L5 - '2015'!#REF!</f>
        <v>#REF!</v>
      </c>
      <c r="M15" s="58" t="str">
        <f>IF(G15="","",M5-((1/'Proto 2013'!#REF!)*1000000))</f>
        <v/>
      </c>
      <c r="N15" s="58" t="str">
        <f>IF(H15="","",N5-((1/'Proto 2013'!#REF!)*1000000))</f>
        <v/>
      </c>
      <c r="O15" s="58" t="str">
        <f>IF(I15="","",O5-((1/'Proto 2013'!#REF!)*1000000))</f>
        <v/>
      </c>
    </row>
    <row r="16" spans="1:15" x14ac:dyDescent="0.25">
      <c r="A16" s="54" t="s">
        <v>11</v>
      </c>
      <c r="B16" s="54" t="s">
        <v>9</v>
      </c>
      <c r="C16" s="54" t="s">
        <v>12</v>
      </c>
      <c r="D16" s="59">
        <f>IF(D6="","",(D6-'2016'!D192)/'2016'!D192)</f>
        <v>2.1448001673990375E-2</v>
      </c>
      <c r="E16" s="59">
        <f>IF(E6="","",(E6-'2016'!E192)/'2016'!E192)</f>
        <v>-1.0983263598326359E-2</v>
      </c>
      <c r="F16" s="59">
        <f>IF(F6="","",(F6-'2016'!F192)/'2016'!F192)</f>
        <v>-1.4350633819660369E-2</v>
      </c>
      <c r="G16" s="59" t="str">
        <f>IF(G6="","",(G6-'2014'!#REF!)/'2014'!#REF!)</f>
        <v/>
      </c>
      <c r="H16" s="59" t="str">
        <f>IF(H6="","",(H6-'2014'!#REF!)/'2014'!#REF!)</f>
        <v/>
      </c>
      <c r="I16" s="59" t="str">
        <f>IF(I6="","",(I6-'2014'!#REF!)/'2014'!#REF!)</f>
        <v/>
      </c>
      <c r="J16" s="58" t="e">
        <f>J6 - '2015'!#REF!</f>
        <v>#REF!</v>
      </c>
      <c r="K16" s="58" t="e">
        <f>K6 - '2015'!#REF!</f>
        <v>#REF!</v>
      </c>
      <c r="L16" s="58" t="e">
        <f>L6 - '2015'!#REF!</f>
        <v>#REF!</v>
      </c>
      <c r="M16" s="58" t="str">
        <f>IF(G16="","",M6-((1/'Proto 2013'!#REF!)*1000000))</f>
        <v/>
      </c>
      <c r="N16" s="58" t="str">
        <f>IF(H16="","",N6-((1/'Proto 2013'!#REF!)*1000000))</f>
        <v/>
      </c>
      <c r="O16" s="58" t="str">
        <f>IF(I16="","",O6-((1/'Proto 2013'!#REF!)*1000000))</f>
        <v/>
      </c>
    </row>
    <row r="17" spans="1:15" x14ac:dyDescent="0.25">
      <c r="A17" s="54" t="s">
        <v>13</v>
      </c>
      <c r="B17" s="54" t="s">
        <v>14</v>
      </c>
      <c r="C17" s="54" t="s">
        <v>10</v>
      </c>
      <c r="D17" s="59">
        <f>IF(D7="","",(D7-'2016'!D193)/'2016'!D193)</f>
        <v>-0.22911752547236339</v>
      </c>
      <c r="E17" s="59">
        <f>IF(E7="","",(E7-'2016'!E193)/'2016'!E193)</f>
        <v>-3.2230703986429174E-2</v>
      </c>
      <c r="F17" s="59">
        <f>IF(F7="","",(F7-'2016'!F193)/'2016'!F193)</f>
        <v>-3.1994312122289371E-3</v>
      </c>
      <c r="G17" s="59" t="str">
        <f>IF(G7="","",(G7-'2014'!#REF!)/'2014'!#REF!)</f>
        <v/>
      </c>
      <c r="H17" s="59" t="str">
        <f>IF(H7="","",(H7-'2014'!#REF!)/'2014'!#REF!)</f>
        <v/>
      </c>
      <c r="I17" s="59" t="str">
        <f>IF(I7="","",(I7-'2014'!#REF!)/'2014'!#REF!)</f>
        <v/>
      </c>
      <c r="J17" s="58" t="e">
        <f>J7 - '2015'!#REF!</f>
        <v>#REF!</v>
      </c>
      <c r="K17" s="58" t="e">
        <f>K7 - '2015'!#REF!</f>
        <v>#REF!</v>
      </c>
      <c r="L17" s="58" t="e">
        <f>L7 - '2015'!#REF!</f>
        <v>#REF!</v>
      </c>
      <c r="M17" s="58" t="str">
        <f>IF(G17="","",M7-((1/'Proto 2013'!#REF!)*1000000))</f>
        <v/>
      </c>
      <c r="N17" s="58" t="str">
        <f>IF(H17="","",N7-((1/'Proto 2013'!#REF!)*1000000))</f>
        <v/>
      </c>
      <c r="O17" s="58" t="str">
        <f>IF(I17="","",O7-((1/'Proto 2013'!#REF!)*1000000))</f>
        <v/>
      </c>
    </row>
    <row r="18" spans="1:15" x14ac:dyDescent="0.25">
      <c r="A18" s="54" t="s">
        <v>15</v>
      </c>
      <c r="B18" s="54" t="s">
        <v>14</v>
      </c>
      <c r="C18" s="54" t="s">
        <v>12</v>
      </c>
      <c r="D18" s="59">
        <f>IF(D8="","",(D8-'2016'!D194)/'2016'!D194)</f>
        <v>5.0000000000000001E-3</v>
      </c>
      <c r="E18" s="59">
        <f>IF(E8="","",(E8-'2016'!E194)/'2016'!E194)</f>
        <v>1.7498565691336777E-2</v>
      </c>
      <c r="F18" s="59">
        <f>IF(F8="","",(F8-'2016'!F194)/'2016'!F194)</f>
        <v>2.9994643813604713E-2</v>
      </c>
      <c r="G18" s="59" t="str">
        <f>IF(G8="","",(G8-'2014'!#REF!)/'2014'!#REF!)</f>
        <v/>
      </c>
      <c r="H18" s="59" t="str">
        <f>IF(H8="","",(H8-'2014'!#REF!)/'2014'!#REF!)</f>
        <v/>
      </c>
      <c r="I18" s="59" t="str">
        <f>IF(I8="","",(I8-'2014'!#REF!)/'2014'!#REF!)</f>
        <v/>
      </c>
      <c r="J18" s="58" t="e">
        <f>J8 - '2015'!#REF!</f>
        <v>#REF!</v>
      </c>
      <c r="K18" s="58" t="e">
        <f>K8 - '2015'!#REF!</f>
        <v>#REF!</v>
      </c>
      <c r="L18" s="58" t="e">
        <f>L8 - '2015'!#REF!</f>
        <v>#REF!</v>
      </c>
      <c r="M18" s="58" t="str">
        <f>IF(G18="","",M8-((1/'Proto 2013'!#REF!)*1000000))</f>
        <v/>
      </c>
      <c r="N18" s="58" t="str">
        <f>IF(H18="","",N8-((1/'Proto 2013'!#REF!)*1000000))</f>
        <v/>
      </c>
      <c r="O18" s="58" t="str">
        <f>IF(I18="","",O8-((1/'Proto 2013'!#REF!)*1000000))</f>
        <v/>
      </c>
    </row>
    <row r="19" spans="1:15" x14ac:dyDescent="0.25">
      <c r="A19" s="54" t="s">
        <v>16</v>
      </c>
      <c r="B19" s="54" t="s">
        <v>17</v>
      </c>
      <c r="C19" s="54" t="s">
        <v>12</v>
      </c>
      <c r="D19" s="59">
        <f>IF(D9="","",(D9-'2016'!D195)/'2016'!D195)</f>
        <v>-2.5989367985823982E-3</v>
      </c>
      <c r="E19" s="59">
        <f>IF(E9="","",(E9-'2016'!E195)/'2016'!E195)</f>
        <v>7.1753829170691317E-3</v>
      </c>
      <c r="F19" s="59">
        <f>IF(F9="","",(F9-'2016'!F195)/'2016'!F195)</f>
        <v>-2.0268558398783888E-3</v>
      </c>
      <c r="G19" s="59" t="str">
        <f>IF(G9="","",(G9-'2014'!#REF!)/'2014'!#REF!)</f>
        <v/>
      </c>
      <c r="H19" s="59" t="str">
        <f>IF(H9="","",(H9-'2014'!#REF!)/'2014'!#REF!)</f>
        <v/>
      </c>
      <c r="I19" s="59" t="str">
        <f>IF(I9="","",(I9-'2014'!#REF!)/'2014'!#REF!)</f>
        <v/>
      </c>
      <c r="J19" s="58" t="e">
        <f>J9 - '2015'!#REF!</f>
        <v>#REF!</v>
      </c>
      <c r="K19" s="58" t="e">
        <f>K9 - '2015'!#REF!</f>
        <v>#REF!</v>
      </c>
      <c r="L19" s="58" t="e">
        <f>L9 - '2015'!#REF!</f>
        <v>#REF!</v>
      </c>
      <c r="M19" s="58" t="str">
        <f>IF(G19="","",M9-((1/'Proto 2013'!#REF!)*1000000))</f>
        <v/>
      </c>
      <c r="N19" s="58" t="str">
        <f>IF(H19="","",N9-((1/'Proto 2013'!#REF!)*1000000))</f>
        <v/>
      </c>
      <c r="O19" s="58" t="str">
        <f>IF(I19="","",O9-((1/'Proto 2013'!#REF!)*1000000))</f>
        <v/>
      </c>
    </row>
    <row r="20" spans="1:15" x14ac:dyDescent="0.25">
      <c r="A20" s="54" t="s">
        <v>18</v>
      </c>
      <c r="B20" s="54" t="s">
        <v>19</v>
      </c>
      <c r="C20" s="54" t="s">
        <v>12</v>
      </c>
      <c r="D20" s="59">
        <f>IF(D10="","",(D10-'2016'!D196)/'2016'!D196)</f>
        <v>5.2808988764044947E-2</v>
      </c>
      <c r="E20" s="59">
        <f>IF(E10="","",(E10-'2016'!E196)/'2016'!E196)</f>
        <v>7.5655430711610488E-2</v>
      </c>
      <c r="F20" s="59">
        <f>IF(F10="","",(F10-'2016'!F196)/'2016'!F196)</f>
        <v>4.7726701833710125E-3</v>
      </c>
      <c r="G20" s="59" t="str">
        <f>IF(G10="","",(G10-'2014'!#REF!)/'2014'!#REF!)</f>
        <v/>
      </c>
      <c r="H20" s="59" t="str">
        <f>IF(H10="","",(H10-'2014'!#REF!)/'2014'!#REF!)</f>
        <v/>
      </c>
      <c r="I20" s="59" t="str">
        <f>IF(I10="","",(I10-'2014'!#REF!)/'2014'!#REF!)</f>
        <v/>
      </c>
      <c r="J20" s="58" t="e">
        <f>J10 - '2015'!#REF!</f>
        <v>#REF!</v>
      </c>
      <c r="K20" s="58" t="e">
        <f>K10 - '2015'!#REF!</f>
        <v>#REF!</v>
      </c>
      <c r="L20" s="58" t="e">
        <f>L10 - '2015'!#REF!</f>
        <v>#REF!</v>
      </c>
      <c r="M20" s="58" t="str">
        <f>IF(G20="","",M10-((1/'Proto 2013'!#REF!)*1000000))</f>
        <v/>
      </c>
      <c r="N20" s="58" t="str">
        <f>IF(H20="","",N10-((1/'Proto 2013'!#REF!)*1000000))</f>
        <v/>
      </c>
      <c r="O20" s="58" t="str">
        <f>IF(I20="","",O10-((1/'Proto 2013'!#REF!)*1000000))</f>
        <v/>
      </c>
    </row>
    <row r="22" spans="1:15" ht="18.75" x14ac:dyDescent="0.25">
      <c r="A22" s="150" t="s">
        <v>90</v>
      </c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2"/>
    </row>
    <row r="23" spans="1:15" ht="15.75" x14ac:dyDescent="0.25">
      <c r="A23" s="153" t="s">
        <v>95</v>
      </c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54"/>
    </row>
    <row r="24" spans="1:15" x14ac:dyDescent="0.25">
      <c r="A24" s="138" t="s">
        <v>2</v>
      </c>
      <c r="B24" s="138"/>
      <c r="C24" s="138"/>
      <c r="D24" s="139" t="s">
        <v>3</v>
      </c>
      <c r="E24" s="139"/>
      <c r="F24" s="139"/>
      <c r="G24" s="139"/>
      <c r="H24" s="139"/>
      <c r="I24" s="139"/>
      <c r="J24" s="139" t="s">
        <v>4</v>
      </c>
      <c r="K24" s="139"/>
      <c r="L24" s="139"/>
      <c r="M24" s="139"/>
      <c r="N24" s="139"/>
      <c r="O24" s="139"/>
    </row>
    <row r="25" spans="1:15" x14ac:dyDescent="0.25">
      <c r="A25" s="51" t="s">
        <v>5</v>
      </c>
      <c r="B25" s="51" t="s">
        <v>6</v>
      </c>
      <c r="C25" s="51" t="s">
        <v>7</v>
      </c>
      <c r="D25" s="52">
        <v>1</v>
      </c>
      <c r="E25" s="52">
        <v>4</v>
      </c>
      <c r="F25" s="52">
        <v>16</v>
      </c>
      <c r="G25" s="53">
        <v>32</v>
      </c>
      <c r="H25" s="53">
        <v>64</v>
      </c>
      <c r="I25" s="53">
        <v>80</v>
      </c>
      <c r="J25" s="53">
        <v>1</v>
      </c>
      <c r="K25" s="53">
        <v>4</v>
      </c>
      <c r="L25" s="53">
        <v>16</v>
      </c>
      <c r="M25" s="53">
        <v>32</v>
      </c>
      <c r="N25" s="53">
        <v>64</v>
      </c>
      <c r="O25" s="53">
        <v>80</v>
      </c>
    </row>
    <row r="26" spans="1:15" x14ac:dyDescent="0.25">
      <c r="A26" s="54" t="s">
        <v>8</v>
      </c>
      <c r="B26" s="54" t="s">
        <v>9</v>
      </c>
      <c r="C26" s="55" t="s">
        <v>10</v>
      </c>
      <c r="D26" s="60">
        <v>42666</v>
      </c>
      <c r="E26" s="60">
        <v>21077</v>
      </c>
      <c r="F26" s="60">
        <v>6217</v>
      </c>
      <c r="G26" s="57"/>
      <c r="H26" s="56"/>
      <c r="I26" s="56"/>
      <c r="J26" s="58">
        <f>IF(D26="","",(1/D26)*1000000)</f>
        <v>23.437866216659636</v>
      </c>
      <c r="K26" s="58">
        <f t="shared" ref="K26:K31" si="2">IF(E26="","",(1/E26)*1000000)</f>
        <v>47.445082317217818</v>
      </c>
      <c r="L26" s="58">
        <f t="shared" ref="L26:L31" si="3">IF(F26="","",(1/F26)*1000000)</f>
        <v>160.84928422068523</v>
      </c>
      <c r="M26" s="58" t="str">
        <f t="shared" ref="M26:M31" si="4">IF(G26="","",(1/G26)*1000000)</f>
        <v/>
      </c>
      <c r="N26" s="58" t="str">
        <f t="shared" ref="N26:N31" si="5">IF(H26="","",(1/H26)*1000000)</f>
        <v/>
      </c>
      <c r="O26" s="58" t="str">
        <f t="shared" ref="O26:O31" si="6">IF(I26="","",(1/I26)*1000000)</f>
        <v/>
      </c>
    </row>
    <row r="27" spans="1:15" x14ac:dyDescent="0.25">
      <c r="A27" s="54" t="s">
        <v>11</v>
      </c>
      <c r="B27" s="54" t="s">
        <v>9</v>
      </c>
      <c r="C27" s="55" t="s">
        <v>12</v>
      </c>
      <c r="D27" s="60">
        <v>9293</v>
      </c>
      <c r="E27" s="60">
        <v>7496</v>
      </c>
      <c r="F27" s="60">
        <v>4099</v>
      </c>
      <c r="G27" s="57"/>
      <c r="H27" s="56"/>
      <c r="I27" s="56"/>
      <c r="J27" s="58">
        <f t="shared" ref="J27:J31" si="7">IF(D27="","",(1/D27)*1000000)</f>
        <v>107.60787689658883</v>
      </c>
      <c r="K27" s="58">
        <f t="shared" si="2"/>
        <v>133.40448239060834</v>
      </c>
      <c r="L27" s="58">
        <f t="shared" si="3"/>
        <v>243.96194193705782</v>
      </c>
      <c r="M27" s="58" t="str">
        <f t="shared" si="4"/>
        <v/>
      </c>
      <c r="N27" s="58" t="str">
        <f t="shared" si="5"/>
        <v/>
      </c>
      <c r="O27" s="58" t="str">
        <f t="shared" si="6"/>
        <v/>
      </c>
    </row>
    <row r="28" spans="1:15" x14ac:dyDescent="0.25">
      <c r="A28" s="54" t="s">
        <v>13</v>
      </c>
      <c r="B28" s="54" t="s">
        <v>14</v>
      </c>
      <c r="C28" s="55" t="s">
        <v>10</v>
      </c>
      <c r="D28" s="60">
        <v>38041</v>
      </c>
      <c r="E28" s="60">
        <v>16860</v>
      </c>
      <c r="F28" s="60">
        <v>5534</v>
      </c>
      <c r="G28" s="57"/>
      <c r="H28" s="56"/>
      <c r="I28" s="56"/>
      <c r="J28" s="58">
        <f t="shared" si="7"/>
        <v>26.287426723798006</v>
      </c>
      <c r="K28" s="58">
        <f t="shared" si="2"/>
        <v>59.311981020166073</v>
      </c>
      <c r="L28" s="58">
        <f t="shared" si="3"/>
        <v>180.70112034694617</v>
      </c>
      <c r="M28" s="58" t="str">
        <f t="shared" si="4"/>
        <v/>
      </c>
      <c r="N28" s="58" t="str">
        <f t="shared" si="5"/>
        <v/>
      </c>
      <c r="O28" s="58" t="str">
        <f t="shared" si="6"/>
        <v/>
      </c>
    </row>
    <row r="29" spans="1:15" x14ac:dyDescent="0.25">
      <c r="A29" s="54" t="s">
        <v>15</v>
      </c>
      <c r="B29" s="54" t="s">
        <v>14</v>
      </c>
      <c r="C29" s="55" t="s">
        <v>12</v>
      </c>
      <c r="D29" s="60">
        <v>7373</v>
      </c>
      <c r="E29" s="60">
        <v>6913</v>
      </c>
      <c r="F29" s="60">
        <v>3796</v>
      </c>
      <c r="G29" s="57"/>
      <c r="H29" s="56"/>
      <c r="I29" s="56"/>
      <c r="J29" s="58">
        <f t="shared" si="7"/>
        <v>135.6300013563</v>
      </c>
      <c r="K29" s="58">
        <f t="shared" si="2"/>
        <v>144.65499783017503</v>
      </c>
      <c r="L29" s="58">
        <f t="shared" si="3"/>
        <v>263.43519494204423</v>
      </c>
      <c r="M29" s="58" t="str">
        <f t="shared" si="4"/>
        <v/>
      </c>
      <c r="N29" s="58" t="str">
        <f t="shared" si="5"/>
        <v/>
      </c>
      <c r="O29" s="58" t="str">
        <f t="shared" si="6"/>
        <v/>
      </c>
    </row>
    <row r="30" spans="1:15" x14ac:dyDescent="0.25">
      <c r="A30" s="54" t="s">
        <v>16</v>
      </c>
      <c r="B30" s="54" t="s">
        <v>17</v>
      </c>
      <c r="C30" s="55" t="s">
        <v>12</v>
      </c>
      <c r="D30" s="60">
        <v>8631</v>
      </c>
      <c r="E30" s="60" t="s">
        <v>93</v>
      </c>
      <c r="F30" s="60" t="s">
        <v>93</v>
      </c>
      <c r="G30" s="57"/>
      <c r="H30" s="56"/>
      <c r="I30" s="56"/>
      <c r="J30" s="58">
        <f t="shared" si="7"/>
        <v>115.86142973004287</v>
      </c>
      <c r="K30" s="58" t="e">
        <f t="shared" si="2"/>
        <v>#VALUE!</v>
      </c>
      <c r="L30" s="58" t="e">
        <f t="shared" si="3"/>
        <v>#VALUE!</v>
      </c>
      <c r="M30" s="58" t="str">
        <f t="shared" si="4"/>
        <v/>
      </c>
      <c r="N30" s="58" t="str">
        <f t="shared" si="5"/>
        <v/>
      </c>
      <c r="O30" s="58" t="str">
        <f t="shared" si="6"/>
        <v/>
      </c>
    </row>
    <row r="31" spans="1:15" x14ac:dyDescent="0.25">
      <c r="A31" s="54" t="s">
        <v>18</v>
      </c>
      <c r="B31" s="54" t="s">
        <v>19</v>
      </c>
      <c r="C31" s="55" t="s">
        <v>12</v>
      </c>
      <c r="D31" s="60" t="s">
        <v>93</v>
      </c>
      <c r="E31" s="60" t="s">
        <v>93</v>
      </c>
      <c r="F31" s="60" t="s">
        <v>93</v>
      </c>
      <c r="G31" s="57"/>
      <c r="H31" s="56"/>
      <c r="I31" s="56"/>
      <c r="J31" s="58" t="e">
        <f t="shared" si="7"/>
        <v>#VALUE!</v>
      </c>
      <c r="K31" s="58" t="e">
        <f t="shared" si="2"/>
        <v>#VALUE!</v>
      </c>
      <c r="L31" s="58" t="e">
        <f t="shared" si="3"/>
        <v>#VALUE!</v>
      </c>
      <c r="M31" s="58" t="str">
        <f t="shared" si="4"/>
        <v/>
      </c>
      <c r="N31" s="58" t="str">
        <f t="shared" si="5"/>
        <v/>
      </c>
      <c r="O31" s="58" t="str">
        <f t="shared" si="6"/>
        <v/>
      </c>
    </row>
    <row r="32" spans="1:15" x14ac:dyDescent="0.25">
      <c r="A32" s="155" t="s">
        <v>94</v>
      </c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5"/>
    </row>
    <row r="33" spans="1:15" ht="18.75" x14ac:dyDescent="0.3">
      <c r="A33" s="148" t="s">
        <v>89</v>
      </c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9"/>
    </row>
    <row r="34" spans="1:15" x14ac:dyDescent="0.25">
      <c r="A34" s="138" t="s">
        <v>2</v>
      </c>
      <c r="B34" s="138"/>
      <c r="C34" s="138"/>
      <c r="D34" s="139" t="s">
        <v>20</v>
      </c>
      <c r="E34" s="139"/>
      <c r="F34" s="139"/>
      <c r="G34" s="139"/>
      <c r="H34" s="139"/>
      <c r="I34" s="139"/>
      <c r="J34" s="139" t="s">
        <v>23</v>
      </c>
      <c r="K34" s="139"/>
      <c r="L34" s="139"/>
      <c r="M34" s="139"/>
      <c r="N34" s="139"/>
      <c r="O34" s="139"/>
    </row>
    <row r="35" spans="1:15" x14ac:dyDescent="0.25">
      <c r="A35" s="51" t="s">
        <v>5</v>
      </c>
      <c r="B35" s="51" t="s">
        <v>6</v>
      </c>
      <c r="C35" s="51" t="s">
        <v>7</v>
      </c>
      <c r="D35" s="53">
        <v>1</v>
      </c>
      <c r="E35" s="53">
        <v>4</v>
      </c>
      <c r="F35" s="53">
        <v>16</v>
      </c>
      <c r="G35" s="53">
        <v>32</v>
      </c>
      <c r="H35" s="53">
        <v>64</v>
      </c>
      <c r="I35" s="53">
        <v>80</v>
      </c>
      <c r="J35" s="53">
        <v>1</v>
      </c>
      <c r="K35" s="53">
        <v>4</v>
      </c>
      <c r="L35" s="53">
        <v>16</v>
      </c>
      <c r="M35" s="53">
        <v>32</v>
      </c>
      <c r="N35" s="53">
        <v>64</v>
      </c>
      <c r="O35" s="53">
        <v>80</v>
      </c>
    </row>
    <row r="36" spans="1:15" x14ac:dyDescent="0.25">
      <c r="A36" s="54" t="s">
        <v>8</v>
      </c>
      <c r="B36" s="54" t="s">
        <v>9</v>
      </c>
      <c r="C36" s="54" t="s">
        <v>10</v>
      </c>
      <c r="D36" s="59">
        <f>IF(D26="","",(D26-'2016'!D191)/'2016'!D191)</f>
        <v>0</v>
      </c>
      <c r="E36" s="59">
        <f>IF(E26="","",(E26-'2016'!E191)/'2016'!E191)</f>
        <v>0.12249028066251265</v>
      </c>
      <c r="F36" s="59">
        <f>IF(F26="","",(F26-'2016'!F191)/'2016'!F191)</f>
        <v>-2.6768941765810895E-2</v>
      </c>
      <c r="G36" s="59" t="str">
        <f>IF(G26="","",(G26-'2014'!#REF!)/'2014'!#REF!)</f>
        <v/>
      </c>
      <c r="H36" s="59" t="str">
        <f>IF(H26="","",(H26-'2014'!#REF!)/'2014'!#REF!)</f>
        <v/>
      </c>
      <c r="I36" s="58" t="str">
        <f>IF(I26="","",(I26-'2014'!#REF!)/'2014'!#REF!)</f>
        <v/>
      </c>
      <c r="J36" s="58" t="e">
        <f>J26 - '2015'!#REF!</f>
        <v>#REF!</v>
      </c>
      <c r="K36" s="58" t="e">
        <f>K26 - '2015'!#REF!</f>
        <v>#REF!</v>
      </c>
      <c r="L36" s="58" t="e">
        <f>L26 - '2015'!#REF!</f>
        <v>#REF!</v>
      </c>
      <c r="M36" s="58" t="str">
        <f>IF(G36="","",M26-((1/'Proto 2013'!#REF!)*1000000))</f>
        <v/>
      </c>
      <c r="N36" s="58" t="str">
        <f>IF(H36="","",N26-((1/'Proto 2013'!#REF!)*1000000))</f>
        <v/>
      </c>
      <c r="O36" s="58" t="str">
        <f>IF(I36="","",O26-((1/'Proto 2013'!#REF!)*1000000))</f>
        <v/>
      </c>
    </row>
    <row r="37" spans="1:15" x14ac:dyDescent="0.25">
      <c r="A37" s="54" t="s">
        <v>11</v>
      </c>
      <c r="B37" s="54" t="s">
        <v>9</v>
      </c>
      <c r="C37" s="54" t="s">
        <v>12</v>
      </c>
      <c r="D37" s="59">
        <f>IF(D27="","",(D27-'2016'!D192)/'2016'!D192)</f>
        <v>-2.7725465578572923E-2</v>
      </c>
      <c r="E37" s="59">
        <f>IF(E27="","",(E27-'2016'!E192)/'2016'!E192)</f>
        <v>-1.9874476987447699E-2</v>
      </c>
      <c r="F37" s="59">
        <f>IF(F27="","",(F27-'2016'!F192)/'2016'!F192)</f>
        <v>-1.961253288686917E-2</v>
      </c>
      <c r="G37" s="59" t="str">
        <f>IF(G27="","",(G27-'2014'!#REF!)/'2014'!#REF!)</f>
        <v/>
      </c>
      <c r="H37" s="59" t="str">
        <f>IF(H27="","",(H27-'2014'!#REF!)/'2014'!#REF!)</f>
        <v/>
      </c>
      <c r="I37" s="59" t="str">
        <f>IF(I27="","",(I27-'2014'!#REF!)/'2014'!#REF!)</f>
        <v/>
      </c>
      <c r="J37" s="58" t="e">
        <f>J27 - '2015'!#REF!</f>
        <v>#REF!</v>
      </c>
      <c r="K37" s="58" t="e">
        <f>K27 - '2015'!#REF!</f>
        <v>#REF!</v>
      </c>
      <c r="L37" s="58" t="e">
        <f>L27 - '2015'!#REF!</f>
        <v>#REF!</v>
      </c>
      <c r="M37" s="58" t="str">
        <f>IF(G37="","",M27-((1/'Proto 2013'!#REF!)*1000000))</f>
        <v/>
      </c>
      <c r="N37" s="58" t="str">
        <f>IF(H37="","",N27-((1/'Proto 2013'!#REF!)*1000000))</f>
        <v/>
      </c>
      <c r="O37" s="58" t="str">
        <f>IF(I37="","",O27-((1/'Proto 2013'!#REF!)*1000000))</f>
        <v/>
      </c>
    </row>
    <row r="38" spans="1:15" x14ac:dyDescent="0.25">
      <c r="A38" s="54" t="s">
        <v>13</v>
      </c>
      <c r="B38" s="54" t="s">
        <v>14</v>
      </c>
      <c r="C38" s="54" t="s">
        <v>10</v>
      </c>
      <c r="D38" s="59">
        <f>IF(D28="","",(D28-'2016'!D193)/'2016'!D193)</f>
        <v>-7.494589402524135E-2</v>
      </c>
      <c r="E38" s="59">
        <f>IF(E28="","",(E28-'2016'!E193)/'2016'!E193)</f>
        <v>-4.6649703138252757E-2</v>
      </c>
      <c r="F38" s="59">
        <f>IF(F28="","",(F28-'2016'!F193)/'2016'!F193)</f>
        <v>-1.6352648418059012E-2</v>
      </c>
      <c r="G38" s="59" t="str">
        <f>IF(G28="","",(G28-'2014'!#REF!)/'2014'!#REF!)</f>
        <v/>
      </c>
      <c r="H38" s="59" t="str">
        <f>IF(H28="","",(H28-'2014'!#REF!)/'2014'!#REF!)</f>
        <v/>
      </c>
      <c r="I38" s="59" t="str">
        <f>IF(I28="","",(I28-'2014'!#REF!)/'2014'!#REF!)</f>
        <v/>
      </c>
      <c r="J38" s="58" t="e">
        <f>J28 - '2015'!#REF!</f>
        <v>#REF!</v>
      </c>
      <c r="K38" s="58" t="e">
        <f>K28 - '2015'!#REF!</f>
        <v>#REF!</v>
      </c>
      <c r="L38" s="58" t="e">
        <f>L28 - '2015'!#REF!</f>
        <v>#REF!</v>
      </c>
      <c r="M38" s="58" t="str">
        <f>IF(G38="","",M28-((1/'Proto 2013'!#REF!)*1000000))</f>
        <v/>
      </c>
      <c r="N38" s="58" t="str">
        <f>IF(H38="","",N28-((1/'Proto 2013'!#REF!)*1000000))</f>
        <v/>
      </c>
      <c r="O38" s="58" t="str">
        <f>IF(I38="","",O28-((1/'Proto 2013'!#REF!)*1000000))</f>
        <v/>
      </c>
    </row>
    <row r="39" spans="1:15" x14ac:dyDescent="0.25">
      <c r="A39" s="54" t="s">
        <v>15</v>
      </c>
      <c r="B39" s="54" t="s">
        <v>14</v>
      </c>
      <c r="C39" s="54" t="s">
        <v>12</v>
      </c>
      <c r="D39" s="59">
        <f>IF(D29="","",(D29-'2016'!D194)/'2016'!D194)</f>
        <v>-0.19858695652173913</v>
      </c>
      <c r="E39" s="59">
        <f>IF(E29="","",(E29-'2016'!E194)/'2016'!E194)</f>
        <v>-8.4624211130235223E-3</v>
      </c>
      <c r="F39" s="59">
        <f>IF(F29="","",(F29-'2016'!F194)/'2016'!F194)</f>
        <v>1.6604177825388325E-2</v>
      </c>
      <c r="G39" s="59" t="str">
        <f>IF(G29="","",(G29-'2014'!#REF!)/'2014'!#REF!)</f>
        <v/>
      </c>
      <c r="H39" s="59" t="str">
        <f>IF(H29="","",(H29-'2014'!#REF!)/'2014'!#REF!)</f>
        <v/>
      </c>
      <c r="I39" s="59" t="str">
        <f>IF(I29="","",(I29-'2014'!#REF!)/'2014'!#REF!)</f>
        <v/>
      </c>
      <c r="J39" s="58" t="e">
        <f>J29 - '2015'!#REF!</f>
        <v>#REF!</v>
      </c>
      <c r="K39" s="58" t="e">
        <f>K29 - '2015'!#REF!</f>
        <v>#REF!</v>
      </c>
      <c r="L39" s="58" t="e">
        <f>L29 - '2015'!#REF!</f>
        <v>#REF!</v>
      </c>
      <c r="M39" s="58" t="str">
        <f>IF(G39="","",M29-((1/'Proto 2013'!#REF!)*1000000))</f>
        <v/>
      </c>
      <c r="N39" s="58" t="str">
        <f>IF(H39="","",N29-((1/'Proto 2013'!#REF!)*1000000))</f>
        <v/>
      </c>
      <c r="O39" s="58" t="str">
        <f>IF(I39="","",O29-((1/'Proto 2013'!#REF!)*1000000))</f>
        <v/>
      </c>
    </row>
    <row r="40" spans="1:15" x14ac:dyDescent="0.25">
      <c r="A40" s="54" t="s">
        <v>16</v>
      </c>
      <c r="B40" s="54" t="s">
        <v>17</v>
      </c>
      <c r="C40" s="54" t="s">
        <v>12</v>
      </c>
      <c r="D40" s="59">
        <f>IF(D30="","",(D30-'2016'!D195)/'2016'!D195)</f>
        <v>1.9610159480212639E-2</v>
      </c>
      <c r="E40" s="59" t="e">
        <f>IF(E30="","",(E30-'2016'!E195)/'2016'!E195)</f>
        <v>#VALUE!</v>
      </c>
      <c r="F40" s="59" t="e">
        <f>IF(F30="","",(F30-'2016'!F195)/'2016'!F195)</f>
        <v>#VALUE!</v>
      </c>
      <c r="G40" s="59" t="str">
        <f>IF(G30="","",(G30-'2014'!#REF!)/'2014'!#REF!)</f>
        <v/>
      </c>
      <c r="H40" s="59" t="str">
        <f>IF(H30="","",(H30-'2014'!#REF!)/'2014'!#REF!)</f>
        <v/>
      </c>
      <c r="I40" s="59" t="str">
        <f>IF(I30="","",(I30-'2014'!#REF!)/'2014'!#REF!)</f>
        <v/>
      </c>
      <c r="J40" s="58" t="e">
        <f>J30 - '2015'!#REF!</f>
        <v>#REF!</v>
      </c>
      <c r="K40" s="58" t="e">
        <f>K30 - '2015'!#REF!</f>
        <v>#VALUE!</v>
      </c>
      <c r="L40" s="58" t="e">
        <f>L30 - '2015'!#REF!</f>
        <v>#VALUE!</v>
      </c>
      <c r="M40" s="58" t="str">
        <f>IF(G40="","",M30-((1/'Proto 2013'!#REF!)*1000000))</f>
        <v/>
      </c>
      <c r="N40" s="58" t="str">
        <f>IF(H40="","",N30-((1/'Proto 2013'!#REF!)*1000000))</f>
        <v/>
      </c>
      <c r="O40" s="58" t="str">
        <f>IF(I40="","",O30-((1/'Proto 2013'!#REF!)*1000000))</f>
        <v/>
      </c>
    </row>
    <row r="41" spans="1:15" x14ac:dyDescent="0.25">
      <c r="A41" s="54" t="s">
        <v>18</v>
      </c>
      <c r="B41" s="54" t="s">
        <v>19</v>
      </c>
      <c r="C41" s="54" t="s">
        <v>12</v>
      </c>
      <c r="D41" s="59" t="e">
        <f>IF(D31="","",(D31-'2016'!D196)/'2016'!D196)</f>
        <v>#VALUE!</v>
      </c>
      <c r="E41" s="59" t="e">
        <f>IF(E31="","",(E31-'2016'!E196)/'2016'!E196)</f>
        <v>#VALUE!</v>
      </c>
      <c r="F41" s="59" t="e">
        <f>IF(F31="","",(F31-'2016'!F196)/'2016'!F196)</f>
        <v>#VALUE!</v>
      </c>
      <c r="G41" s="59" t="str">
        <f>IF(G31="","",(G31-'2014'!#REF!)/'2014'!#REF!)</f>
        <v/>
      </c>
      <c r="H41" s="59" t="str">
        <f>IF(H31="","",(H31-'2014'!#REF!)/'2014'!#REF!)</f>
        <v/>
      </c>
      <c r="I41" s="59" t="str">
        <f>IF(I31="","",(I31-'2014'!#REF!)/'2014'!#REF!)</f>
        <v/>
      </c>
      <c r="J41" s="58" t="e">
        <f>J31 - '2015'!#REF!</f>
        <v>#VALUE!</v>
      </c>
      <c r="K41" s="58" t="e">
        <f>K31 - '2015'!#REF!</f>
        <v>#VALUE!</v>
      </c>
      <c r="L41" s="58" t="e">
        <f>L31 - '2015'!#REF!</f>
        <v>#VALUE!</v>
      </c>
      <c r="M41" s="58" t="str">
        <f>IF(G41="","",M31-((1/'Proto 2013'!#REF!)*1000000))</f>
        <v/>
      </c>
      <c r="N41" s="58" t="str">
        <f>IF(H41="","",N31-((1/'Proto 2013'!#REF!)*1000000))</f>
        <v/>
      </c>
      <c r="O41" s="58" t="str">
        <f>IF(I41="","",O31-((1/'Proto 2013'!#REF!)*1000000))</f>
        <v/>
      </c>
    </row>
    <row r="43" spans="1:15" ht="18.75" x14ac:dyDescent="0.25">
      <c r="A43" s="150" t="s">
        <v>90</v>
      </c>
      <c r="B43" s="151"/>
      <c r="C43" s="151"/>
      <c r="D43" s="151"/>
      <c r="E43" s="151"/>
      <c r="F43" s="151"/>
      <c r="G43" s="151"/>
      <c r="H43" s="151"/>
      <c r="I43" s="151"/>
      <c r="J43" s="151"/>
      <c r="K43" s="151"/>
      <c r="L43" s="151"/>
      <c r="M43" s="151"/>
      <c r="N43" s="151"/>
      <c r="O43" s="152"/>
    </row>
    <row r="44" spans="1:15" ht="15.75" x14ac:dyDescent="0.25">
      <c r="A44" s="153" t="s">
        <v>96</v>
      </c>
      <c r="B44" s="135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54"/>
    </row>
    <row r="45" spans="1:15" x14ac:dyDescent="0.25">
      <c r="A45" s="138" t="s">
        <v>2</v>
      </c>
      <c r="B45" s="138"/>
      <c r="C45" s="138"/>
      <c r="D45" s="139" t="s">
        <v>3</v>
      </c>
      <c r="E45" s="139"/>
      <c r="F45" s="139"/>
      <c r="G45" s="139"/>
      <c r="H45" s="139"/>
      <c r="I45" s="139"/>
      <c r="J45" s="139" t="s">
        <v>4</v>
      </c>
      <c r="K45" s="139"/>
      <c r="L45" s="139"/>
      <c r="M45" s="139"/>
      <c r="N45" s="139"/>
      <c r="O45" s="139"/>
    </row>
    <row r="46" spans="1:15" x14ac:dyDescent="0.25">
      <c r="A46" s="51" t="s">
        <v>5</v>
      </c>
      <c r="B46" s="51" t="s">
        <v>6</v>
      </c>
      <c r="C46" s="51" t="s">
        <v>7</v>
      </c>
      <c r="D46" s="52">
        <v>1</v>
      </c>
      <c r="E46" s="52">
        <v>4</v>
      </c>
      <c r="F46" s="52">
        <v>16</v>
      </c>
      <c r="G46" s="53">
        <v>32</v>
      </c>
      <c r="H46" s="53">
        <v>64</v>
      </c>
      <c r="I46" s="53">
        <v>80</v>
      </c>
      <c r="J46" s="53">
        <v>1</v>
      </c>
      <c r="K46" s="53">
        <v>4</v>
      </c>
      <c r="L46" s="53">
        <v>16</v>
      </c>
      <c r="M46" s="53">
        <v>32</v>
      </c>
      <c r="N46" s="53">
        <v>64</v>
      </c>
      <c r="O46" s="53">
        <v>80</v>
      </c>
    </row>
    <row r="47" spans="1:15" x14ac:dyDescent="0.25">
      <c r="A47" s="54" t="s">
        <v>8</v>
      </c>
      <c r="B47" s="54" t="s">
        <v>9</v>
      </c>
      <c r="C47" s="55" t="s">
        <v>10</v>
      </c>
      <c r="D47" s="60">
        <v>37345</v>
      </c>
      <c r="E47" s="60">
        <v>20386</v>
      </c>
      <c r="F47" s="60">
        <v>6324</v>
      </c>
      <c r="G47" s="57"/>
      <c r="H47" s="56"/>
      <c r="I47" s="56"/>
      <c r="J47" s="58">
        <f>IF(D47="","",(1/D47)*1000000)</f>
        <v>26.777346364975234</v>
      </c>
      <c r="K47" s="58">
        <f t="shared" ref="K47:K52" si="8">IF(E47="","",(1/E47)*1000000)</f>
        <v>49.053271853232616</v>
      </c>
      <c r="L47" s="58">
        <f t="shared" ref="L47:L52" si="9">IF(F47="","",(1/F47)*1000000)</f>
        <v>158.12776723592663</v>
      </c>
      <c r="M47" s="58" t="str">
        <f t="shared" ref="M47:M52" si="10">IF(G47="","",(1/G47)*1000000)</f>
        <v/>
      </c>
      <c r="N47" s="58" t="str">
        <f t="shared" ref="N47:N52" si="11">IF(H47="","",(1/H47)*1000000)</f>
        <v/>
      </c>
      <c r="O47" s="58" t="str">
        <f t="shared" ref="O47:O52" si="12">IF(I47="","",(1/I47)*1000000)</f>
        <v/>
      </c>
    </row>
    <row r="48" spans="1:15" x14ac:dyDescent="0.25">
      <c r="A48" s="54" t="s">
        <v>11</v>
      </c>
      <c r="B48" s="54" t="s">
        <v>9</v>
      </c>
      <c r="C48" s="55" t="s">
        <v>12</v>
      </c>
      <c r="D48" s="60">
        <v>9293</v>
      </c>
      <c r="E48" s="60">
        <v>7520</v>
      </c>
      <c r="F48" s="60">
        <v>4093</v>
      </c>
      <c r="G48" s="57"/>
      <c r="H48" s="56"/>
      <c r="I48" s="56"/>
      <c r="J48" s="58">
        <f t="shared" ref="J48:J52" si="13">IF(D48="","",(1/D48)*1000000)</f>
        <v>107.60787689658883</v>
      </c>
      <c r="K48" s="58">
        <f t="shared" si="8"/>
        <v>132.97872340425533</v>
      </c>
      <c r="L48" s="58">
        <f t="shared" si="9"/>
        <v>244.31956999755681</v>
      </c>
      <c r="M48" s="58" t="str">
        <f t="shared" si="10"/>
        <v/>
      </c>
      <c r="N48" s="58" t="str">
        <f t="shared" si="11"/>
        <v/>
      </c>
      <c r="O48" s="58" t="str">
        <f t="shared" si="12"/>
        <v/>
      </c>
    </row>
    <row r="49" spans="1:15" x14ac:dyDescent="0.25">
      <c r="A49" s="54" t="s">
        <v>13</v>
      </c>
      <c r="B49" s="54" t="s">
        <v>14</v>
      </c>
      <c r="C49" s="55" t="s">
        <v>10</v>
      </c>
      <c r="D49" s="60">
        <v>38041</v>
      </c>
      <c r="E49" s="60">
        <v>17099</v>
      </c>
      <c r="F49" s="60">
        <v>5580</v>
      </c>
      <c r="G49" s="57"/>
      <c r="H49" s="56"/>
      <c r="I49" s="56"/>
      <c r="J49" s="58">
        <f t="shared" si="13"/>
        <v>26.287426723798006</v>
      </c>
      <c r="K49" s="58">
        <f t="shared" si="8"/>
        <v>58.482952219428036</v>
      </c>
      <c r="L49" s="58">
        <f t="shared" si="9"/>
        <v>179.21146953405017</v>
      </c>
      <c r="M49" s="58" t="str">
        <f t="shared" si="10"/>
        <v/>
      </c>
      <c r="N49" s="58" t="str">
        <f t="shared" si="11"/>
        <v/>
      </c>
      <c r="O49" s="58" t="str">
        <f t="shared" si="12"/>
        <v/>
      </c>
    </row>
    <row r="50" spans="1:15" x14ac:dyDescent="0.25">
      <c r="A50" s="54" t="s">
        <v>15</v>
      </c>
      <c r="B50" s="54" t="s">
        <v>14</v>
      </c>
      <c r="C50" s="55" t="s">
        <v>12</v>
      </c>
      <c r="D50" s="60">
        <v>8746</v>
      </c>
      <c r="E50" s="60">
        <v>6675</v>
      </c>
      <c r="F50" s="60">
        <v>3754</v>
      </c>
      <c r="G50" s="57"/>
      <c r="H50" s="56"/>
      <c r="I50" s="56"/>
      <c r="J50" s="58">
        <f t="shared" si="13"/>
        <v>114.33798307797851</v>
      </c>
      <c r="K50" s="58">
        <f t="shared" si="8"/>
        <v>149.81273408239701</v>
      </c>
      <c r="L50" s="58">
        <f t="shared" si="9"/>
        <v>266.38252530633991</v>
      </c>
      <c r="M50" s="58" t="str">
        <f t="shared" si="10"/>
        <v/>
      </c>
      <c r="N50" s="58" t="str">
        <f t="shared" si="11"/>
        <v/>
      </c>
      <c r="O50" s="58" t="str">
        <f t="shared" si="12"/>
        <v/>
      </c>
    </row>
    <row r="51" spans="1:15" x14ac:dyDescent="0.25">
      <c r="A51" s="54" t="s">
        <v>16</v>
      </c>
      <c r="B51" s="54" t="s">
        <v>17</v>
      </c>
      <c r="C51" s="55" t="s">
        <v>12</v>
      </c>
      <c r="D51" s="60">
        <v>8749</v>
      </c>
      <c r="E51" s="60" t="s">
        <v>93</v>
      </c>
      <c r="F51" s="60" t="s">
        <v>93</v>
      </c>
      <c r="G51" s="57"/>
      <c r="H51" s="56"/>
      <c r="I51" s="56"/>
      <c r="J51" s="58">
        <f t="shared" si="13"/>
        <v>114.29877700308607</v>
      </c>
      <c r="K51" s="58" t="e">
        <f t="shared" si="8"/>
        <v>#VALUE!</v>
      </c>
      <c r="L51" s="58" t="e">
        <f t="shared" si="9"/>
        <v>#VALUE!</v>
      </c>
      <c r="M51" s="58" t="str">
        <f t="shared" si="10"/>
        <v/>
      </c>
      <c r="N51" s="58" t="str">
        <f t="shared" si="11"/>
        <v/>
      </c>
      <c r="O51" s="58" t="str">
        <f t="shared" si="12"/>
        <v/>
      </c>
    </row>
    <row r="52" spans="1:15" x14ac:dyDescent="0.25">
      <c r="A52" s="54" t="s">
        <v>18</v>
      </c>
      <c r="B52" s="54" t="s">
        <v>19</v>
      </c>
      <c r="C52" s="55" t="s">
        <v>12</v>
      </c>
      <c r="D52" s="60" t="s">
        <v>93</v>
      </c>
      <c r="E52" s="60" t="s">
        <v>93</v>
      </c>
      <c r="F52" s="60" t="s">
        <v>93</v>
      </c>
      <c r="G52" s="57"/>
      <c r="H52" s="56"/>
      <c r="I52" s="56"/>
      <c r="J52" s="58" t="e">
        <f t="shared" si="13"/>
        <v>#VALUE!</v>
      </c>
      <c r="K52" s="58" t="e">
        <f t="shared" si="8"/>
        <v>#VALUE!</v>
      </c>
      <c r="L52" s="58" t="e">
        <f t="shared" si="9"/>
        <v>#VALUE!</v>
      </c>
      <c r="M52" s="58" t="str">
        <f t="shared" si="10"/>
        <v/>
      </c>
      <c r="N52" s="58" t="str">
        <f t="shared" si="11"/>
        <v/>
      </c>
      <c r="O52" s="58" t="str">
        <f t="shared" si="12"/>
        <v/>
      </c>
    </row>
    <row r="53" spans="1:15" x14ac:dyDescent="0.25">
      <c r="A53" s="143" t="s">
        <v>99</v>
      </c>
      <c r="B53" s="143"/>
      <c r="C53" s="143"/>
      <c r="D53" s="143"/>
      <c r="E53" s="143"/>
      <c r="F53" s="143"/>
      <c r="G53" s="143" t="s">
        <v>100</v>
      </c>
      <c r="H53" s="143"/>
      <c r="I53" s="61"/>
      <c r="J53" s="61"/>
      <c r="K53" s="61"/>
      <c r="L53" s="61"/>
      <c r="M53" s="61"/>
      <c r="N53" s="61"/>
      <c r="O53" s="61"/>
    </row>
    <row r="54" spans="1:15" ht="18.75" x14ac:dyDescent="0.3">
      <c r="A54" s="148" t="s">
        <v>89</v>
      </c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9"/>
    </row>
    <row r="55" spans="1:15" x14ac:dyDescent="0.25">
      <c r="A55" s="138" t="s">
        <v>2</v>
      </c>
      <c r="B55" s="138"/>
      <c r="C55" s="138"/>
      <c r="D55" s="139" t="s">
        <v>20</v>
      </c>
      <c r="E55" s="139"/>
      <c r="F55" s="139"/>
      <c r="G55" s="139"/>
      <c r="H55" s="139"/>
      <c r="I55" s="139"/>
      <c r="J55" s="139" t="s">
        <v>23</v>
      </c>
      <c r="K55" s="139"/>
      <c r="L55" s="139"/>
      <c r="M55" s="139"/>
      <c r="N55" s="139"/>
      <c r="O55" s="139"/>
    </row>
    <row r="56" spans="1:15" x14ac:dyDescent="0.25">
      <c r="A56" s="51" t="s">
        <v>5</v>
      </c>
      <c r="B56" s="51" t="s">
        <v>6</v>
      </c>
      <c r="C56" s="51" t="s">
        <v>7</v>
      </c>
      <c r="D56" s="53">
        <v>1</v>
      </c>
      <c r="E56" s="53">
        <v>4</v>
      </c>
      <c r="F56" s="53">
        <v>16</v>
      </c>
      <c r="G56" s="53">
        <v>32</v>
      </c>
      <c r="H56" s="53">
        <v>64</v>
      </c>
      <c r="I56" s="53">
        <v>80</v>
      </c>
      <c r="J56" s="53">
        <v>1</v>
      </c>
      <c r="K56" s="53">
        <v>4</v>
      </c>
      <c r="L56" s="53">
        <v>16</v>
      </c>
      <c r="M56" s="53">
        <v>32</v>
      </c>
      <c r="N56" s="53">
        <v>64</v>
      </c>
      <c r="O56" s="53">
        <v>80</v>
      </c>
    </row>
    <row r="57" spans="1:15" x14ac:dyDescent="0.25">
      <c r="A57" s="54" t="s">
        <v>8</v>
      </c>
      <c r="B57" s="54" t="s">
        <v>9</v>
      </c>
      <c r="C57" s="54" t="s">
        <v>10</v>
      </c>
      <c r="D57" s="59">
        <f>IF(D47="","",(D47-'2016'!D191)/'2016'!D191)</f>
        <v>-0.12471288613884592</v>
      </c>
      <c r="E57" s="59">
        <f>IF(E47="","",(E47-'2016'!E191)/'2016'!E191)</f>
        <v>8.5689939819992539E-2</v>
      </c>
      <c r="F57" s="59">
        <f>IF(F47="","",(F47-'2016'!F191)/'2016'!F191)</f>
        <v>-1.0018785222291797E-2</v>
      </c>
      <c r="G57" s="59" t="str">
        <f>IF(G47="","",(G47-'2014'!#REF!)/'2014'!#REF!)</f>
        <v/>
      </c>
      <c r="H57" s="59" t="str">
        <f>IF(H47="","",(H47-'2014'!#REF!)/'2014'!#REF!)</f>
        <v/>
      </c>
      <c r="I57" s="58" t="str">
        <f>IF(I47="","",(I47-'2014'!#REF!)/'2014'!#REF!)</f>
        <v/>
      </c>
      <c r="J57" s="58" t="e">
        <f>J47 - '2015'!#REF!</f>
        <v>#REF!</v>
      </c>
      <c r="K57" s="58" t="e">
        <f>K47 - '2015'!#REF!</f>
        <v>#REF!</v>
      </c>
      <c r="L57" s="58" t="e">
        <f>L47 - '2015'!#REF!</f>
        <v>#REF!</v>
      </c>
      <c r="M57" s="58" t="str">
        <f>IF(G57="","",M47-((1/'Proto 2013'!#REF!)*1000000))</f>
        <v/>
      </c>
      <c r="N57" s="58" t="str">
        <f>IF(H57="","",N47-((1/'Proto 2013'!#REF!)*1000000))</f>
        <v/>
      </c>
      <c r="O57" s="58" t="str">
        <f>IF(I57="","",O47-((1/'Proto 2013'!#REF!)*1000000))</f>
        <v/>
      </c>
    </row>
    <row r="58" spans="1:15" x14ac:dyDescent="0.25">
      <c r="A58" s="54" t="s">
        <v>11</v>
      </c>
      <c r="B58" s="54" t="s">
        <v>9</v>
      </c>
      <c r="C58" s="54" t="s">
        <v>12</v>
      </c>
      <c r="D58" s="59">
        <f>IF(D48="","",(D48-'2016'!D192)/'2016'!D192)</f>
        <v>-2.7725465578572923E-2</v>
      </c>
      <c r="E58" s="59">
        <f>IF(E48="","",(E48-'2016'!E192)/'2016'!E192)</f>
        <v>-1.6736401673640166E-2</v>
      </c>
      <c r="F58" s="59">
        <f>IF(F48="","",(F48-'2016'!F192)/'2016'!F192)</f>
        <v>-2.1047596268835206E-2</v>
      </c>
      <c r="G58" s="59" t="str">
        <f>IF(G48="","",(G48-'2014'!#REF!)/'2014'!#REF!)</f>
        <v/>
      </c>
      <c r="H58" s="59" t="str">
        <f>IF(H48="","",(H48-'2014'!#REF!)/'2014'!#REF!)</f>
        <v/>
      </c>
      <c r="I58" s="59" t="str">
        <f>IF(I48="","",(I48-'2014'!#REF!)/'2014'!#REF!)</f>
        <v/>
      </c>
      <c r="J58" s="58" t="e">
        <f>J48 - '2015'!#REF!</f>
        <v>#REF!</v>
      </c>
      <c r="K58" s="58" t="e">
        <f>K48 - '2015'!#REF!</f>
        <v>#REF!</v>
      </c>
      <c r="L58" s="58" t="e">
        <f>L48 - '2015'!#REF!</f>
        <v>#REF!</v>
      </c>
      <c r="M58" s="58" t="str">
        <f>IF(G58="","",M48-((1/'Proto 2013'!#REF!)*1000000))</f>
        <v/>
      </c>
      <c r="N58" s="58" t="str">
        <f>IF(H58="","",N48-((1/'Proto 2013'!#REF!)*1000000))</f>
        <v/>
      </c>
      <c r="O58" s="58" t="str">
        <f>IF(I58="","",O48-((1/'Proto 2013'!#REF!)*1000000))</f>
        <v/>
      </c>
    </row>
    <row r="59" spans="1:15" x14ac:dyDescent="0.25">
      <c r="A59" s="54" t="s">
        <v>13</v>
      </c>
      <c r="B59" s="54" t="s">
        <v>14</v>
      </c>
      <c r="C59" s="54" t="s">
        <v>10</v>
      </c>
      <c r="D59" s="59">
        <f>IF(D49="","",(D49-'2016'!D193)/'2016'!D193)</f>
        <v>-7.494589402524135E-2</v>
      </c>
      <c r="E59" s="59">
        <f>IF(E49="","",(E49-'2016'!E193)/'2016'!E193)</f>
        <v>-3.3135425501837713E-2</v>
      </c>
      <c r="F59" s="59">
        <f>IF(F49="","",(F49-'2016'!F193)/'2016'!F193)</f>
        <v>-8.1763242090295059E-3</v>
      </c>
      <c r="G59" s="59" t="str">
        <f>IF(G49="","",(G49-'2014'!#REF!)/'2014'!#REF!)</f>
        <v/>
      </c>
      <c r="H59" s="59" t="str">
        <f>IF(H49="","",(H49-'2014'!#REF!)/'2014'!#REF!)</f>
        <v/>
      </c>
      <c r="I59" s="59" t="str">
        <f>IF(I49="","",(I49-'2014'!#REF!)/'2014'!#REF!)</f>
        <v/>
      </c>
      <c r="J59" s="58" t="e">
        <f>J49 - '2015'!#REF!</f>
        <v>#REF!</v>
      </c>
      <c r="K59" s="58" t="e">
        <f>K49 - '2015'!#REF!</f>
        <v>#REF!</v>
      </c>
      <c r="L59" s="58" t="e">
        <f>L49 - '2015'!#REF!</f>
        <v>#REF!</v>
      </c>
      <c r="M59" s="58" t="str">
        <f>IF(G59="","",M49-((1/'Proto 2013'!#REF!)*1000000))</f>
        <v/>
      </c>
      <c r="N59" s="58" t="str">
        <f>IF(H59="","",N49-((1/'Proto 2013'!#REF!)*1000000))</f>
        <v/>
      </c>
      <c r="O59" s="58" t="str">
        <f>IF(I59="","",O49-((1/'Proto 2013'!#REF!)*1000000))</f>
        <v/>
      </c>
    </row>
    <row r="60" spans="1:15" x14ac:dyDescent="0.25">
      <c r="A60" s="54" t="s">
        <v>15</v>
      </c>
      <c r="B60" s="54" t="s">
        <v>14</v>
      </c>
      <c r="C60" s="54" t="s">
        <v>12</v>
      </c>
      <c r="D60" s="59">
        <f>IF(D50="","",(D50-'2016'!D194)/'2016'!D194)</f>
        <v>-4.9347826086956523E-2</v>
      </c>
      <c r="E60" s="59">
        <f>IF(E50="","",(E50-'2016'!E194)/'2016'!E194)</f>
        <v>-4.2598967297762476E-2</v>
      </c>
      <c r="F60" s="59">
        <f>IF(F50="","",(F50-'2016'!F194)/'2016'!F194)</f>
        <v>5.3561863952865559E-3</v>
      </c>
      <c r="G60" s="59" t="str">
        <f>IF(G50="","",(G50-'2014'!#REF!)/'2014'!#REF!)</f>
        <v/>
      </c>
      <c r="H60" s="59" t="str">
        <f>IF(H50="","",(H50-'2014'!#REF!)/'2014'!#REF!)</f>
        <v/>
      </c>
      <c r="I60" s="59" t="str">
        <f>IF(I50="","",(I50-'2014'!#REF!)/'2014'!#REF!)</f>
        <v/>
      </c>
      <c r="J60" s="58" t="e">
        <f>J50 - '2015'!#REF!</f>
        <v>#REF!</v>
      </c>
      <c r="K60" s="58" t="e">
        <f>K50 - '2015'!#REF!</f>
        <v>#REF!</v>
      </c>
      <c r="L60" s="58" t="e">
        <f>L50 - '2015'!#REF!</f>
        <v>#REF!</v>
      </c>
      <c r="M60" s="58" t="str">
        <f>IF(G60="","",M50-((1/'Proto 2013'!#REF!)*1000000))</f>
        <v/>
      </c>
      <c r="N60" s="58" t="str">
        <f>IF(H60="","",N50-((1/'Proto 2013'!#REF!)*1000000))</f>
        <v/>
      </c>
      <c r="O60" s="58" t="str">
        <f>IF(I60="","",O50-((1/'Proto 2013'!#REF!)*1000000))</f>
        <v/>
      </c>
    </row>
    <row r="61" spans="1:15" x14ac:dyDescent="0.25">
      <c r="A61" s="54" t="s">
        <v>16</v>
      </c>
      <c r="B61" s="54" t="s">
        <v>17</v>
      </c>
      <c r="C61" s="54" t="s">
        <v>12</v>
      </c>
      <c r="D61" s="59">
        <f>IF(D51="","",(D51-'2016'!D195)/'2016'!D195)</f>
        <v>3.3549911399881865E-2</v>
      </c>
      <c r="E61" s="59" t="e">
        <f>IF(E51="","",(E51-'2016'!E195)/'2016'!E195)</f>
        <v>#VALUE!</v>
      </c>
      <c r="F61" s="59" t="e">
        <f>IF(F51="","",(F51-'2016'!F195)/'2016'!F195)</f>
        <v>#VALUE!</v>
      </c>
      <c r="G61" s="59" t="str">
        <f>IF(G51="","",(G51-'2014'!#REF!)/'2014'!#REF!)</f>
        <v/>
      </c>
      <c r="H61" s="59" t="str">
        <f>IF(H51="","",(H51-'2014'!#REF!)/'2014'!#REF!)</f>
        <v/>
      </c>
      <c r="I61" s="59" t="str">
        <f>IF(I51="","",(I51-'2014'!#REF!)/'2014'!#REF!)</f>
        <v/>
      </c>
      <c r="J61" s="58" t="e">
        <f>J51 - '2015'!#REF!</f>
        <v>#REF!</v>
      </c>
      <c r="K61" s="58" t="e">
        <f>K51 - '2015'!#REF!</f>
        <v>#VALUE!</v>
      </c>
      <c r="L61" s="58" t="e">
        <f>L51 - '2015'!#REF!</f>
        <v>#VALUE!</v>
      </c>
      <c r="M61" s="58" t="str">
        <f>IF(G61="","",M51-((1/'Proto 2013'!#REF!)*1000000))</f>
        <v/>
      </c>
      <c r="N61" s="58" t="str">
        <f>IF(H61="","",N51-((1/'Proto 2013'!#REF!)*1000000))</f>
        <v/>
      </c>
      <c r="O61" s="58" t="str">
        <f>IF(I61="","",O51-((1/'Proto 2013'!#REF!)*1000000))</f>
        <v/>
      </c>
    </row>
    <row r="62" spans="1:15" x14ac:dyDescent="0.25">
      <c r="A62" s="54" t="s">
        <v>18</v>
      </c>
      <c r="B62" s="54" t="s">
        <v>19</v>
      </c>
      <c r="C62" s="54" t="s">
        <v>12</v>
      </c>
      <c r="D62" s="59" t="e">
        <f>IF(D52="","",(D52-'2016'!D196)/'2016'!D196)</f>
        <v>#VALUE!</v>
      </c>
      <c r="E62" s="59" t="e">
        <f>IF(E52="","",(E52-'2016'!E196)/'2016'!E196)</f>
        <v>#VALUE!</v>
      </c>
      <c r="F62" s="59" t="e">
        <f>IF(F52="","",(F52-'2016'!F196)/'2016'!F196)</f>
        <v>#VALUE!</v>
      </c>
      <c r="G62" s="59" t="str">
        <f>IF(G52="","",(G52-'2014'!#REF!)/'2014'!#REF!)</f>
        <v/>
      </c>
      <c r="H62" s="59" t="str">
        <f>IF(H52="","",(H52-'2014'!#REF!)/'2014'!#REF!)</f>
        <v/>
      </c>
      <c r="I62" s="59" t="str">
        <f>IF(I52="","",(I52-'2014'!#REF!)/'2014'!#REF!)</f>
        <v/>
      </c>
      <c r="J62" s="58" t="e">
        <f>J52 - '2015'!#REF!</f>
        <v>#VALUE!</v>
      </c>
      <c r="K62" s="58" t="e">
        <f>K52 - '2015'!#REF!</f>
        <v>#VALUE!</v>
      </c>
      <c r="L62" s="58" t="e">
        <f>L52 - '2015'!#REF!</f>
        <v>#VALUE!</v>
      </c>
      <c r="M62" s="58" t="str">
        <f>IF(G62="","",M52-((1/'Proto 2013'!#REF!)*1000000))</f>
        <v/>
      </c>
      <c r="N62" s="58" t="str">
        <f>IF(H62="","",N52-((1/'Proto 2013'!#REF!)*1000000))</f>
        <v/>
      </c>
      <c r="O62" s="58" t="str">
        <f>IF(I62="","",O52-((1/'Proto 2013'!#REF!)*1000000))</f>
        <v/>
      </c>
    </row>
    <row r="64" spans="1:15" ht="18.75" x14ac:dyDescent="0.25">
      <c r="A64" s="150" t="s">
        <v>90</v>
      </c>
      <c r="B64" s="151"/>
      <c r="C64" s="151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2"/>
    </row>
    <row r="65" spans="1:15" ht="15.75" x14ac:dyDescent="0.25">
      <c r="A65" s="153" t="s">
        <v>97</v>
      </c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54"/>
    </row>
    <row r="66" spans="1:15" x14ac:dyDescent="0.25">
      <c r="A66" s="138" t="s">
        <v>2</v>
      </c>
      <c r="B66" s="138"/>
      <c r="C66" s="138"/>
      <c r="D66" s="139" t="s">
        <v>3</v>
      </c>
      <c r="E66" s="139"/>
      <c r="F66" s="139"/>
      <c r="G66" s="139"/>
      <c r="H66" s="139"/>
      <c r="I66" s="139"/>
      <c r="J66" s="139" t="s">
        <v>4</v>
      </c>
      <c r="K66" s="139"/>
      <c r="L66" s="139"/>
      <c r="M66" s="139"/>
      <c r="N66" s="139"/>
      <c r="O66" s="139"/>
    </row>
    <row r="67" spans="1:15" x14ac:dyDescent="0.25">
      <c r="A67" s="51" t="s">
        <v>5</v>
      </c>
      <c r="B67" s="51" t="s">
        <v>6</v>
      </c>
      <c r="C67" s="51" t="s">
        <v>7</v>
      </c>
      <c r="D67" s="52">
        <v>1</v>
      </c>
      <c r="E67" s="52">
        <v>4</v>
      </c>
      <c r="F67" s="52">
        <v>16</v>
      </c>
      <c r="G67" s="53">
        <v>32</v>
      </c>
      <c r="H67" s="53">
        <v>64</v>
      </c>
      <c r="I67" s="53">
        <v>80</v>
      </c>
      <c r="J67" s="53">
        <v>1</v>
      </c>
      <c r="K67" s="53">
        <v>4</v>
      </c>
      <c r="L67" s="53">
        <v>16</v>
      </c>
      <c r="M67" s="53">
        <v>32</v>
      </c>
      <c r="N67" s="53">
        <v>64</v>
      </c>
      <c r="O67" s="53">
        <v>80</v>
      </c>
    </row>
    <row r="68" spans="1:15" x14ac:dyDescent="0.25">
      <c r="A68" s="54" t="s">
        <v>8</v>
      </c>
      <c r="B68" s="54" t="s">
        <v>9</v>
      </c>
      <c r="C68" s="55" t="s">
        <v>10</v>
      </c>
      <c r="D68" s="60">
        <v>38628</v>
      </c>
      <c r="E68" s="60">
        <v>18777</v>
      </c>
      <c r="F68" s="60">
        <v>6217</v>
      </c>
      <c r="G68" s="57"/>
      <c r="H68" s="56"/>
      <c r="I68" s="56"/>
      <c r="J68" s="58">
        <f>IF(D68="","",(1/D68)*1000000)</f>
        <v>25.887956922439681</v>
      </c>
      <c r="K68" s="58">
        <f t="shared" ref="K68:K73" si="14">IF(E68="","",(1/E68)*1000000)</f>
        <v>53.256643766309843</v>
      </c>
      <c r="L68" s="58">
        <f t="shared" ref="L68:L73" si="15">IF(F68="","",(1/F68)*1000000)</f>
        <v>160.84928422068523</v>
      </c>
      <c r="M68" s="58" t="str">
        <f t="shared" ref="M68:M73" si="16">IF(G68="","",(1/G68)*1000000)</f>
        <v/>
      </c>
      <c r="N68" s="58" t="str">
        <f t="shared" ref="N68:N73" si="17">IF(H68="","",(1/H68)*1000000)</f>
        <v/>
      </c>
      <c r="O68" s="58" t="str">
        <f t="shared" ref="O68:O73" si="18">IF(I68="","",(1/I68)*1000000)</f>
        <v/>
      </c>
    </row>
    <row r="69" spans="1:15" x14ac:dyDescent="0.25">
      <c r="A69" s="54" t="s">
        <v>11</v>
      </c>
      <c r="B69" s="54" t="s">
        <v>9</v>
      </c>
      <c r="C69" s="55" t="s">
        <v>12</v>
      </c>
      <c r="D69" s="60">
        <v>8847</v>
      </c>
      <c r="E69" s="60">
        <v>6675</v>
      </c>
      <c r="F69" s="60">
        <v>4119</v>
      </c>
      <c r="G69" s="57"/>
      <c r="H69" s="56"/>
      <c r="I69" s="56"/>
      <c r="J69" s="58">
        <f t="shared" ref="J69:J73" si="19">IF(D69="","",(1/D69)*1000000)</f>
        <v>113.03266644060133</v>
      </c>
      <c r="K69" s="58">
        <f t="shared" si="14"/>
        <v>149.81273408239701</v>
      </c>
      <c r="L69" s="58">
        <f t="shared" si="15"/>
        <v>242.77737314882253</v>
      </c>
      <c r="M69" s="58" t="str">
        <f t="shared" si="16"/>
        <v/>
      </c>
      <c r="N69" s="58" t="str">
        <f t="shared" si="17"/>
        <v/>
      </c>
      <c r="O69" s="58" t="str">
        <f t="shared" si="18"/>
        <v/>
      </c>
    </row>
    <row r="70" spans="1:15" x14ac:dyDescent="0.25">
      <c r="A70" s="54" t="s">
        <v>13</v>
      </c>
      <c r="B70" s="54" t="s">
        <v>14</v>
      </c>
      <c r="C70" s="55" t="s">
        <v>10</v>
      </c>
      <c r="D70" s="60">
        <v>40910</v>
      </c>
      <c r="E70" s="60">
        <v>17030</v>
      </c>
      <c r="F70" s="60">
        <v>5541</v>
      </c>
      <c r="G70" s="57"/>
      <c r="H70" s="56"/>
      <c r="I70" s="56"/>
      <c r="J70" s="58">
        <f t="shared" si="19"/>
        <v>24.443901246638962</v>
      </c>
      <c r="K70" s="58">
        <f t="shared" si="14"/>
        <v>58.719906048150321</v>
      </c>
      <c r="L70" s="58">
        <f t="shared" si="15"/>
        <v>180.47283883775492</v>
      </c>
      <c r="M70" s="58" t="str">
        <f t="shared" si="16"/>
        <v/>
      </c>
      <c r="N70" s="58" t="str">
        <f t="shared" si="17"/>
        <v/>
      </c>
      <c r="O70" s="58" t="str">
        <f t="shared" si="18"/>
        <v/>
      </c>
    </row>
    <row r="71" spans="1:15" x14ac:dyDescent="0.25">
      <c r="A71" s="54" t="s">
        <v>15</v>
      </c>
      <c r="B71" s="54" t="s">
        <v>14</v>
      </c>
      <c r="C71" s="55" t="s">
        <v>12</v>
      </c>
      <c r="D71" s="60">
        <v>8631</v>
      </c>
      <c r="E71" s="60">
        <v>6912</v>
      </c>
      <c r="F71" s="60">
        <v>3782</v>
      </c>
      <c r="G71" s="57"/>
      <c r="H71" s="56"/>
      <c r="I71" s="56"/>
      <c r="J71" s="58">
        <f t="shared" si="19"/>
        <v>115.86142973004287</v>
      </c>
      <c r="K71" s="58">
        <f t="shared" si="14"/>
        <v>144.67592592592592</v>
      </c>
      <c r="L71" s="58">
        <f t="shared" si="15"/>
        <v>264.41036488630357</v>
      </c>
      <c r="M71" s="58" t="str">
        <f t="shared" si="16"/>
        <v/>
      </c>
      <c r="N71" s="58" t="str">
        <f t="shared" si="17"/>
        <v/>
      </c>
      <c r="O71" s="58" t="str">
        <f t="shared" si="18"/>
        <v/>
      </c>
    </row>
    <row r="72" spans="1:15" x14ac:dyDescent="0.25">
      <c r="A72" s="54" t="s">
        <v>16</v>
      </c>
      <c r="B72" s="54" t="s">
        <v>17</v>
      </c>
      <c r="C72" s="55" t="s">
        <v>12</v>
      </c>
      <c r="D72" s="60">
        <v>8604</v>
      </c>
      <c r="E72" s="60" t="s">
        <v>93</v>
      </c>
      <c r="F72" s="60" t="s">
        <v>93</v>
      </c>
      <c r="G72" s="57"/>
      <c r="H72" s="56"/>
      <c r="I72" s="56"/>
      <c r="J72" s="58">
        <f t="shared" si="19"/>
        <v>116.22501162250116</v>
      </c>
      <c r="K72" s="58" t="e">
        <f t="shared" si="14"/>
        <v>#VALUE!</v>
      </c>
      <c r="L72" s="58" t="e">
        <f t="shared" si="15"/>
        <v>#VALUE!</v>
      </c>
      <c r="M72" s="58" t="str">
        <f t="shared" si="16"/>
        <v/>
      </c>
      <c r="N72" s="58" t="str">
        <f t="shared" si="17"/>
        <v/>
      </c>
      <c r="O72" s="58" t="str">
        <f t="shared" si="18"/>
        <v/>
      </c>
    </row>
    <row r="73" spans="1:15" x14ac:dyDescent="0.25">
      <c r="A73" s="54" t="s">
        <v>18</v>
      </c>
      <c r="B73" s="54" t="s">
        <v>19</v>
      </c>
      <c r="C73" s="55" t="s">
        <v>12</v>
      </c>
      <c r="D73" s="60" t="s">
        <v>93</v>
      </c>
      <c r="E73" s="60" t="s">
        <v>93</v>
      </c>
      <c r="F73" s="60" t="s">
        <v>93</v>
      </c>
      <c r="G73" s="57"/>
      <c r="H73" s="56"/>
      <c r="I73" s="56"/>
      <c r="J73" s="58" t="e">
        <f t="shared" si="19"/>
        <v>#VALUE!</v>
      </c>
      <c r="K73" s="58" t="e">
        <f t="shared" si="14"/>
        <v>#VALUE!</v>
      </c>
      <c r="L73" s="58" t="e">
        <f t="shared" si="15"/>
        <v>#VALUE!</v>
      </c>
      <c r="M73" s="58" t="str">
        <f t="shared" si="16"/>
        <v/>
      </c>
      <c r="N73" s="58" t="str">
        <f t="shared" si="17"/>
        <v/>
      </c>
      <c r="O73" s="58" t="str">
        <f t="shared" si="18"/>
        <v/>
      </c>
    </row>
    <row r="74" spans="1:15" x14ac:dyDescent="0.25">
      <c r="A74" s="143" t="s">
        <v>101</v>
      </c>
      <c r="B74" s="143"/>
      <c r="C74" s="143"/>
      <c r="D74" s="143"/>
      <c r="E74" s="143"/>
      <c r="F74" s="143"/>
      <c r="G74" s="143" t="s">
        <v>102</v>
      </c>
      <c r="H74" s="143"/>
      <c r="I74" s="61"/>
      <c r="J74" s="61"/>
      <c r="K74" s="61"/>
      <c r="L74" s="61"/>
      <c r="M74" s="61"/>
      <c r="N74" s="61"/>
      <c r="O74" s="61"/>
    </row>
    <row r="75" spans="1:15" ht="18.75" x14ac:dyDescent="0.3">
      <c r="A75" s="148" t="s">
        <v>89</v>
      </c>
      <c r="B75" s="145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9"/>
    </row>
    <row r="76" spans="1:15" x14ac:dyDescent="0.25">
      <c r="A76" s="138" t="s">
        <v>2</v>
      </c>
      <c r="B76" s="138"/>
      <c r="C76" s="138"/>
      <c r="D76" s="139" t="s">
        <v>20</v>
      </c>
      <c r="E76" s="139"/>
      <c r="F76" s="139"/>
      <c r="G76" s="139"/>
      <c r="H76" s="139"/>
      <c r="I76" s="139"/>
      <c r="J76" s="139" t="s">
        <v>23</v>
      </c>
      <c r="K76" s="139"/>
      <c r="L76" s="139"/>
      <c r="M76" s="139"/>
      <c r="N76" s="139"/>
      <c r="O76" s="139"/>
    </row>
    <row r="77" spans="1:15" x14ac:dyDescent="0.25">
      <c r="A77" s="51" t="s">
        <v>5</v>
      </c>
      <c r="B77" s="51" t="s">
        <v>6</v>
      </c>
      <c r="C77" s="51" t="s">
        <v>7</v>
      </c>
      <c r="D77" s="53">
        <v>1</v>
      </c>
      <c r="E77" s="53">
        <v>4</v>
      </c>
      <c r="F77" s="53">
        <v>16</v>
      </c>
      <c r="G77" s="53">
        <v>32</v>
      </c>
      <c r="H77" s="53">
        <v>64</v>
      </c>
      <c r="I77" s="53">
        <v>80</v>
      </c>
      <c r="J77" s="53">
        <v>1</v>
      </c>
      <c r="K77" s="53">
        <v>4</v>
      </c>
      <c r="L77" s="53">
        <v>16</v>
      </c>
      <c r="M77" s="53">
        <v>32</v>
      </c>
      <c r="N77" s="53">
        <v>64</v>
      </c>
      <c r="O77" s="53">
        <v>80</v>
      </c>
    </row>
    <row r="78" spans="1:15" x14ac:dyDescent="0.25">
      <c r="A78" s="54" t="s">
        <v>8</v>
      </c>
      <c r="B78" s="54" t="s">
        <v>9</v>
      </c>
      <c r="C78" s="54" t="s">
        <v>10</v>
      </c>
      <c r="D78" s="59">
        <f>IF(D68="","",(D68-'2016'!D191)/'2016'!D191)</f>
        <v>-9.4642103782871606E-2</v>
      </c>
      <c r="E78" s="59">
        <f>IF(E68="","",(E68-'2016'!E191)/'2016'!E191)</f>
        <v>0</v>
      </c>
      <c r="F78" s="59">
        <f>IF(F68="","",(F68-'2016'!F191)/'2016'!F191)</f>
        <v>-2.6768941765810895E-2</v>
      </c>
      <c r="G78" s="59" t="str">
        <f>IF(G68="","",(G68-'2014'!#REF!)/'2014'!#REF!)</f>
        <v/>
      </c>
      <c r="H78" s="59" t="str">
        <f>IF(H68="","",(H68-'2014'!#REF!)/'2014'!#REF!)</f>
        <v/>
      </c>
      <c r="I78" s="58" t="str">
        <f>IF(I68="","",(I68-'2014'!#REF!)/'2014'!#REF!)</f>
        <v/>
      </c>
      <c r="J78" s="58" t="e">
        <f>J68 - '2015'!#REF!</f>
        <v>#REF!</v>
      </c>
      <c r="K78" s="58" t="e">
        <f>K68 - '2015'!#REF!</f>
        <v>#REF!</v>
      </c>
      <c r="L78" s="58" t="e">
        <f>L68 - '2015'!#REF!</f>
        <v>#REF!</v>
      </c>
      <c r="M78" s="58" t="str">
        <f>IF(G78="","",M68-((1/'Proto 2013'!#REF!)*1000000))</f>
        <v/>
      </c>
      <c r="N78" s="58" t="str">
        <f>IF(H78="","",N68-((1/'Proto 2013'!#REF!)*1000000))</f>
        <v/>
      </c>
      <c r="O78" s="58" t="str">
        <f>IF(I78="","",O68-((1/'Proto 2013'!#REF!)*1000000))</f>
        <v/>
      </c>
    </row>
    <row r="79" spans="1:15" x14ac:dyDescent="0.25">
      <c r="A79" s="54" t="s">
        <v>11</v>
      </c>
      <c r="B79" s="54" t="s">
        <v>9</v>
      </c>
      <c r="C79" s="54" t="s">
        <v>12</v>
      </c>
      <c r="D79" s="59">
        <f>IF(D69="","",(D69-'2016'!D192)/'2016'!D192)</f>
        <v>-7.4387947269303201E-2</v>
      </c>
      <c r="E79" s="59">
        <f>IF(E69="","",(E69-'2016'!E192)/'2016'!E192)</f>
        <v>-0.12722280334728034</v>
      </c>
      <c r="F79" s="59">
        <f>IF(F69="","",(F69-'2016'!F192)/'2016'!F192)</f>
        <v>-1.4828988280315715E-2</v>
      </c>
      <c r="G79" s="59" t="str">
        <f>IF(G69="","",(G69-'2014'!#REF!)/'2014'!#REF!)</f>
        <v/>
      </c>
      <c r="H79" s="59" t="str">
        <f>IF(H69="","",(H69-'2014'!#REF!)/'2014'!#REF!)</f>
        <v/>
      </c>
      <c r="I79" s="59" t="str">
        <f>IF(I69="","",(I69-'2014'!#REF!)/'2014'!#REF!)</f>
        <v/>
      </c>
      <c r="J79" s="58" t="e">
        <f>J69 - '2015'!#REF!</f>
        <v>#REF!</v>
      </c>
      <c r="K79" s="58" t="e">
        <f>K69 - '2015'!#REF!</f>
        <v>#REF!</v>
      </c>
      <c r="L79" s="58" t="e">
        <f>L69 - '2015'!#REF!</f>
        <v>#REF!</v>
      </c>
      <c r="M79" s="58" t="str">
        <f>IF(G79="","",M69-((1/'Proto 2013'!#REF!)*1000000))</f>
        <v/>
      </c>
      <c r="N79" s="58" t="str">
        <f>IF(H79="","",N69-((1/'Proto 2013'!#REF!)*1000000))</f>
        <v/>
      </c>
      <c r="O79" s="58" t="str">
        <f>IF(I79="","",O69-((1/'Proto 2013'!#REF!)*1000000))</f>
        <v/>
      </c>
    </row>
    <row r="80" spans="1:15" x14ac:dyDescent="0.25">
      <c r="A80" s="54" t="s">
        <v>13</v>
      </c>
      <c r="B80" s="54" t="s">
        <v>14</v>
      </c>
      <c r="C80" s="54" t="s">
        <v>10</v>
      </c>
      <c r="D80" s="59">
        <f>IF(D70="","",(D70-'2016'!D193)/'2016'!D193)</f>
        <v>-5.1795832016146683E-3</v>
      </c>
      <c r="E80" s="59">
        <f>IF(E70="","",(E70-'2016'!E193)/'2016'!E193)</f>
        <v>-3.7037037037037035E-2</v>
      </c>
      <c r="F80" s="59">
        <f>IF(F70="","",(F70-'2016'!F193)/'2016'!F193)</f>
        <v>-1.510842516885887E-2</v>
      </c>
      <c r="G80" s="59" t="str">
        <f>IF(G70="","",(G70-'2014'!#REF!)/'2014'!#REF!)</f>
        <v/>
      </c>
      <c r="H80" s="59" t="str">
        <f>IF(H70="","",(H70-'2014'!#REF!)/'2014'!#REF!)</f>
        <v/>
      </c>
      <c r="I80" s="59" t="str">
        <f>IF(I70="","",(I70-'2014'!#REF!)/'2014'!#REF!)</f>
        <v/>
      </c>
      <c r="J80" s="58" t="e">
        <f>J70 - '2015'!#REF!</f>
        <v>#REF!</v>
      </c>
      <c r="K80" s="58" t="e">
        <f>K70 - '2015'!#REF!</f>
        <v>#REF!</v>
      </c>
      <c r="L80" s="58" t="e">
        <f>L70 - '2015'!#REF!</f>
        <v>#REF!</v>
      </c>
      <c r="M80" s="58" t="str">
        <f>IF(G80="","",M70-((1/'Proto 2013'!#REF!)*1000000))</f>
        <v/>
      </c>
      <c r="N80" s="58" t="str">
        <f>IF(H80="","",N70-((1/'Proto 2013'!#REF!)*1000000))</f>
        <v/>
      </c>
      <c r="O80" s="58" t="str">
        <f>IF(I80="","",O70-((1/'Proto 2013'!#REF!)*1000000))</f>
        <v/>
      </c>
    </row>
    <row r="81" spans="1:15" x14ac:dyDescent="0.25">
      <c r="A81" s="54" t="s">
        <v>15</v>
      </c>
      <c r="B81" s="54" t="s">
        <v>14</v>
      </c>
      <c r="C81" s="54" t="s">
        <v>12</v>
      </c>
      <c r="D81" s="59">
        <f>IF(D71="","",(D71-'2016'!D194)/'2016'!D194)</f>
        <v>-6.184782608695652E-2</v>
      </c>
      <c r="E81" s="59">
        <f>IF(E71="","",(E71-'2016'!E194)/'2016'!E194)</f>
        <v>-8.6058519793459545E-3</v>
      </c>
      <c r="F81" s="59">
        <f>IF(F71="","",(F71-'2016'!F194)/'2016'!F194)</f>
        <v>1.2854847348687734E-2</v>
      </c>
      <c r="G81" s="59" t="str">
        <f>IF(G71="","",(G71-'2014'!#REF!)/'2014'!#REF!)</f>
        <v/>
      </c>
      <c r="H81" s="59" t="str">
        <f>IF(H71="","",(H71-'2014'!#REF!)/'2014'!#REF!)</f>
        <v/>
      </c>
      <c r="I81" s="59" t="str">
        <f>IF(I71="","",(I71-'2014'!#REF!)/'2014'!#REF!)</f>
        <v/>
      </c>
      <c r="J81" s="58" t="e">
        <f>J71 - '2015'!#REF!</f>
        <v>#REF!</v>
      </c>
      <c r="K81" s="58" t="e">
        <f>K71 - '2015'!#REF!</f>
        <v>#REF!</v>
      </c>
      <c r="L81" s="58" t="e">
        <f>L71 - '2015'!#REF!</f>
        <v>#REF!</v>
      </c>
      <c r="M81" s="58" t="str">
        <f>IF(G81="","",M71-((1/'Proto 2013'!#REF!)*1000000))</f>
        <v/>
      </c>
      <c r="N81" s="58" t="str">
        <f>IF(H81="","",N71-((1/'Proto 2013'!#REF!)*1000000))</f>
        <v/>
      </c>
      <c r="O81" s="58" t="str">
        <f>IF(I81="","",O71-((1/'Proto 2013'!#REF!)*1000000))</f>
        <v/>
      </c>
    </row>
    <row r="82" spans="1:15" x14ac:dyDescent="0.25">
      <c r="A82" s="54" t="s">
        <v>16</v>
      </c>
      <c r="B82" s="54" t="s">
        <v>17</v>
      </c>
      <c r="C82" s="54" t="s">
        <v>12</v>
      </c>
      <c r="D82" s="59">
        <f>IF(D72="","",(D72-'2016'!D195)/'2016'!D195)</f>
        <v>1.6420555227406972E-2</v>
      </c>
      <c r="E82" s="59" t="e">
        <f>IF(E72="","",(E72-'2016'!E195)/'2016'!E195)</f>
        <v>#VALUE!</v>
      </c>
      <c r="F82" s="59" t="e">
        <f>IF(F72="","",(F72-'2016'!F195)/'2016'!F195)</f>
        <v>#VALUE!</v>
      </c>
      <c r="G82" s="59" t="str">
        <f>IF(G72="","",(G72-'2014'!#REF!)/'2014'!#REF!)</f>
        <v/>
      </c>
      <c r="H82" s="59" t="str">
        <f>IF(H72="","",(H72-'2014'!#REF!)/'2014'!#REF!)</f>
        <v/>
      </c>
      <c r="I82" s="59" t="str">
        <f>IF(I72="","",(I72-'2014'!#REF!)/'2014'!#REF!)</f>
        <v/>
      </c>
      <c r="J82" s="58" t="e">
        <f>J72 - '2015'!#REF!</f>
        <v>#REF!</v>
      </c>
      <c r="K82" s="58" t="e">
        <f>K72 - '2015'!#REF!</f>
        <v>#VALUE!</v>
      </c>
      <c r="L82" s="58" t="e">
        <f>L72 - '2015'!#REF!</f>
        <v>#VALUE!</v>
      </c>
      <c r="M82" s="58" t="str">
        <f>IF(G82="","",M72-((1/'Proto 2013'!#REF!)*1000000))</f>
        <v/>
      </c>
      <c r="N82" s="58" t="str">
        <f>IF(H82="","",N72-((1/'Proto 2013'!#REF!)*1000000))</f>
        <v/>
      </c>
      <c r="O82" s="58" t="str">
        <f>IF(I82="","",O72-((1/'Proto 2013'!#REF!)*1000000))</f>
        <v/>
      </c>
    </row>
    <row r="83" spans="1:15" x14ac:dyDescent="0.25">
      <c r="A83" s="54" t="s">
        <v>18</v>
      </c>
      <c r="B83" s="54" t="s">
        <v>19</v>
      </c>
      <c r="C83" s="54" t="s">
        <v>12</v>
      </c>
      <c r="D83" s="59" t="e">
        <f>IF(D73="","",(D73-'2016'!D196)/'2016'!D196)</f>
        <v>#VALUE!</v>
      </c>
      <c r="E83" s="59" t="e">
        <f>IF(E73="","",(E73-'2016'!E196)/'2016'!E196)</f>
        <v>#VALUE!</v>
      </c>
      <c r="F83" s="59" t="e">
        <f>IF(F73="","",(F73-'2016'!F196)/'2016'!F196)</f>
        <v>#VALUE!</v>
      </c>
      <c r="G83" s="59" t="str">
        <f>IF(G73="","",(G73-'2014'!#REF!)/'2014'!#REF!)</f>
        <v/>
      </c>
      <c r="H83" s="59" t="str">
        <f>IF(H73="","",(H73-'2014'!#REF!)/'2014'!#REF!)</f>
        <v/>
      </c>
      <c r="I83" s="59" t="str">
        <f>IF(I73="","",(I73-'2014'!#REF!)/'2014'!#REF!)</f>
        <v/>
      </c>
      <c r="J83" s="58" t="e">
        <f>J73 - '2015'!#REF!</f>
        <v>#VALUE!</v>
      </c>
      <c r="K83" s="58" t="e">
        <f>K73 - '2015'!#REF!</f>
        <v>#VALUE!</v>
      </c>
      <c r="L83" s="58" t="e">
        <f>L73 - '2015'!#REF!</f>
        <v>#VALUE!</v>
      </c>
      <c r="M83" s="58" t="str">
        <f>IF(G83="","",M73-((1/'Proto 2013'!#REF!)*1000000))</f>
        <v/>
      </c>
      <c r="N83" s="58" t="str">
        <f>IF(H83="","",N73-((1/'Proto 2013'!#REF!)*1000000))</f>
        <v/>
      </c>
      <c r="O83" s="58" t="str">
        <f>IF(I83="","",O73-((1/'Proto 2013'!#REF!)*1000000))</f>
        <v/>
      </c>
    </row>
    <row r="85" spans="1:15" ht="18.75" x14ac:dyDescent="0.25">
      <c r="A85" s="150" t="s">
        <v>90</v>
      </c>
      <c r="B85" s="151"/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O85" s="152"/>
    </row>
    <row r="86" spans="1:15" ht="15.75" x14ac:dyDescent="0.25">
      <c r="A86" s="153" t="s">
        <v>104</v>
      </c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54"/>
    </row>
    <row r="87" spans="1:15" x14ac:dyDescent="0.25">
      <c r="A87" s="138" t="s">
        <v>2</v>
      </c>
      <c r="B87" s="138"/>
      <c r="C87" s="138"/>
      <c r="D87" s="139" t="s">
        <v>3</v>
      </c>
      <c r="E87" s="139"/>
      <c r="F87" s="139"/>
      <c r="G87" s="139"/>
      <c r="H87" s="139"/>
      <c r="I87" s="139"/>
      <c r="J87" s="139" t="s">
        <v>4</v>
      </c>
      <c r="K87" s="139"/>
      <c r="L87" s="139"/>
      <c r="M87" s="139"/>
      <c r="N87" s="139"/>
      <c r="O87" s="139"/>
    </row>
    <row r="88" spans="1:15" x14ac:dyDescent="0.25">
      <c r="A88" s="51" t="s">
        <v>5</v>
      </c>
      <c r="B88" s="51" t="s">
        <v>6</v>
      </c>
      <c r="C88" s="51" t="s">
        <v>7</v>
      </c>
      <c r="D88" s="52">
        <v>1</v>
      </c>
      <c r="E88" s="52">
        <v>4</v>
      </c>
      <c r="F88" s="52">
        <v>16</v>
      </c>
      <c r="G88" s="53">
        <v>32</v>
      </c>
      <c r="H88" s="53">
        <v>64</v>
      </c>
      <c r="I88" s="53">
        <v>80</v>
      </c>
      <c r="J88" s="53">
        <v>1</v>
      </c>
      <c r="K88" s="53">
        <v>4</v>
      </c>
      <c r="L88" s="53">
        <v>16</v>
      </c>
      <c r="M88" s="53">
        <v>32</v>
      </c>
      <c r="N88" s="53">
        <v>64</v>
      </c>
      <c r="O88" s="53">
        <v>80</v>
      </c>
    </row>
    <row r="89" spans="1:15" x14ac:dyDescent="0.25">
      <c r="A89" s="54" t="s">
        <v>8</v>
      </c>
      <c r="B89" s="54" t="s">
        <v>9</v>
      </c>
      <c r="C89" s="55" t="s">
        <v>10</v>
      </c>
      <c r="D89" s="60">
        <v>42452</v>
      </c>
      <c r="E89" s="60">
        <v>19456</v>
      </c>
      <c r="F89" s="60">
        <v>5715</v>
      </c>
      <c r="G89" s="57"/>
      <c r="H89" s="56"/>
      <c r="I89" s="56"/>
      <c r="J89" s="58">
        <f>IF(D89="","",(1/D89)*1000000)</f>
        <v>23.556016206539152</v>
      </c>
      <c r="K89" s="58">
        <f t="shared" ref="K89:K94" si="20">IF(E89="","",(1/E89)*1000000)</f>
        <v>51.398026315789473</v>
      </c>
      <c r="L89" s="58">
        <f t="shared" ref="L89:L94" si="21">IF(F89="","",(1/F89)*1000000)</f>
        <v>174.97812773403322</v>
      </c>
      <c r="M89" s="58" t="str">
        <f t="shared" ref="M89:M94" si="22">IF(G89="","",(1/G89)*1000000)</f>
        <v/>
      </c>
      <c r="N89" s="58" t="str">
        <f t="shared" ref="N89:N94" si="23">IF(H89="","",(1/H89)*1000000)</f>
        <v/>
      </c>
      <c r="O89" s="58" t="str">
        <f t="shared" ref="O89:O94" si="24">IF(I89="","",(1/I89)*1000000)</f>
        <v/>
      </c>
    </row>
    <row r="90" spans="1:15" x14ac:dyDescent="0.25">
      <c r="A90" s="54" t="s">
        <v>11</v>
      </c>
      <c r="B90" s="54" t="s">
        <v>9</v>
      </c>
      <c r="C90" s="55" t="s">
        <v>12</v>
      </c>
      <c r="D90" s="60">
        <v>9659</v>
      </c>
      <c r="E90" s="60">
        <v>7606</v>
      </c>
      <c r="F90" s="60">
        <v>3992</v>
      </c>
      <c r="G90" s="57"/>
      <c r="H90" s="56"/>
      <c r="I90" s="56"/>
      <c r="J90" s="58">
        <f t="shared" ref="J90:J94" si="25">IF(D90="","",(1/D90)*1000000)</f>
        <v>103.53038616834041</v>
      </c>
      <c r="K90" s="58">
        <f t="shared" si="20"/>
        <v>131.47515119642389</v>
      </c>
      <c r="L90" s="58">
        <f t="shared" si="21"/>
        <v>250.501002004008</v>
      </c>
      <c r="M90" s="58" t="str">
        <f t="shared" si="22"/>
        <v/>
      </c>
      <c r="N90" s="58" t="str">
        <f t="shared" si="23"/>
        <v/>
      </c>
      <c r="O90" s="58" t="str">
        <f t="shared" si="24"/>
        <v/>
      </c>
    </row>
    <row r="91" spans="1:15" x14ac:dyDescent="0.25">
      <c r="A91" s="54" t="s">
        <v>13</v>
      </c>
      <c r="B91" s="54" t="s">
        <v>14</v>
      </c>
      <c r="C91" s="55" t="s">
        <v>10</v>
      </c>
      <c r="D91" s="60">
        <v>43459</v>
      </c>
      <c r="E91" s="60">
        <v>17630</v>
      </c>
      <c r="F91" s="60">
        <v>5637</v>
      </c>
      <c r="G91" s="57"/>
      <c r="H91" s="56"/>
      <c r="I91" s="56"/>
      <c r="J91" s="58">
        <f t="shared" si="25"/>
        <v>23.010193515727469</v>
      </c>
      <c r="K91" s="58">
        <f t="shared" si="20"/>
        <v>56.721497447532613</v>
      </c>
      <c r="L91" s="58">
        <f t="shared" si="21"/>
        <v>177.39932588256164</v>
      </c>
      <c r="M91" s="58" t="str">
        <f t="shared" si="22"/>
        <v/>
      </c>
      <c r="N91" s="58" t="str">
        <f t="shared" si="23"/>
        <v/>
      </c>
      <c r="O91" s="58" t="str">
        <f t="shared" si="24"/>
        <v/>
      </c>
    </row>
    <row r="92" spans="1:15" x14ac:dyDescent="0.25">
      <c r="A92" s="54" t="s">
        <v>15</v>
      </c>
      <c r="B92" s="54" t="s">
        <v>14</v>
      </c>
      <c r="C92" s="55" t="s">
        <v>12</v>
      </c>
      <c r="D92" s="60">
        <v>8962</v>
      </c>
      <c r="E92" s="60">
        <v>7078</v>
      </c>
      <c r="F92" s="60">
        <v>3824</v>
      </c>
      <c r="G92" s="57"/>
      <c r="H92" s="56"/>
      <c r="I92" s="56"/>
      <c r="J92" s="58">
        <f t="shared" si="25"/>
        <v>111.5822361080116</v>
      </c>
      <c r="K92" s="58">
        <f t="shared" si="20"/>
        <v>141.28284826222097</v>
      </c>
      <c r="L92" s="58">
        <f t="shared" si="21"/>
        <v>261.50627615062757</v>
      </c>
      <c r="M92" s="58" t="str">
        <f t="shared" si="22"/>
        <v/>
      </c>
      <c r="N92" s="58" t="str">
        <f t="shared" si="23"/>
        <v/>
      </c>
      <c r="O92" s="58" t="str">
        <f t="shared" si="24"/>
        <v/>
      </c>
    </row>
    <row r="93" spans="1:15" x14ac:dyDescent="0.25">
      <c r="A93" s="54" t="s">
        <v>16</v>
      </c>
      <c r="B93" s="54" t="s">
        <v>17</v>
      </c>
      <c r="C93" s="55" t="s">
        <v>12</v>
      </c>
      <c r="D93" s="60">
        <v>8587</v>
      </c>
      <c r="E93" s="60" t="s">
        <v>93</v>
      </c>
      <c r="F93" s="60" t="s">
        <v>93</v>
      </c>
      <c r="G93" s="57"/>
      <c r="H93" s="56"/>
      <c r="I93" s="56"/>
      <c r="J93" s="58">
        <f t="shared" si="25"/>
        <v>116.45510655642249</v>
      </c>
      <c r="K93" s="58" t="e">
        <f t="shared" si="20"/>
        <v>#VALUE!</v>
      </c>
      <c r="L93" s="58" t="e">
        <f t="shared" si="21"/>
        <v>#VALUE!</v>
      </c>
      <c r="M93" s="58" t="str">
        <f t="shared" si="22"/>
        <v/>
      </c>
      <c r="N93" s="58" t="str">
        <f t="shared" si="23"/>
        <v/>
      </c>
      <c r="O93" s="58" t="str">
        <f t="shared" si="24"/>
        <v/>
      </c>
    </row>
    <row r="94" spans="1:15" x14ac:dyDescent="0.25">
      <c r="A94" s="54" t="s">
        <v>18</v>
      </c>
      <c r="B94" s="54" t="s">
        <v>19</v>
      </c>
      <c r="C94" s="55" t="s">
        <v>12</v>
      </c>
      <c r="D94" s="60" t="s">
        <v>93</v>
      </c>
      <c r="E94" s="60" t="s">
        <v>93</v>
      </c>
      <c r="F94" s="60" t="s">
        <v>93</v>
      </c>
      <c r="G94" s="57"/>
      <c r="H94" s="56"/>
      <c r="I94" s="56"/>
      <c r="J94" s="58" t="e">
        <f t="shared" si="25"/>
        <v>#VALUE!</v>
      </c>
      <c r="K94" s="58" t="e">
        <f t="shared" si="20"/>
        <v>#VALUE!</v>
      </c>
      <c r="L94" s="58" t="e">
        <f t="shared" si="21"/>
        <v>#VALUE!</v>
      </c>
      <c r="M94" s="58" t="str">
        <f t="shared" si="22"/>
        <v/>
      </c>
      <c r="N94" s="58" t="str">
        <f t="shared" si="23"/>
        <v/>
      </c>
      <c r="O94" s="58" t="str">
        <f t="shared" si="24"/>
        <v/>
      </c>
    </row>
    <row r="95" spans="1:15" x14ac:dyDescent="0.25">
      <c r="A95" s="143" t="s">
        <v>105</v>
      </c>
      <c r="B95" s="143"/>
      <c r="C95" s="143"/>
      <c r="D95" s="143"/>
      <c r="E95" s="143"/>
      <c r="F95" s="143"/>
      <c r="G95" s="143" t="s">
        <v>102</v>
      </c>
      <c r="H95" s="143"/>
      <c r="I95" s="61"/>
      <c r="J95" s="61"/>
      <c r="K95" s="61"/>
      <c r="L95" s="61"/>
      <c r="M95" s="61"/>
      <c r="N95" s="61"/>
      <c r="O95" s="61"/>
    </row>
    <row r="96" spans="1:15" ht="18.75" x14ac:dyDescent="0.3">
      <c r="A96" s="148" t="s">
        <v>89</v>
      </c>
      <c r="B96" s="145"/>
      <c r="C96" s="145"/>
      <c r="D96" s="145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9"/>
    </row>
    <row r="97" spans="1:15" x14ac:dyDescent="0.25">
      <c r="A97" s="138" t="s">
        <v>2</v>
      </c>
      <c r="B97" s="138"/>
      <c r="C97" s="138"/>
      <c r="D97" s="139" t="s">
        <v>20</v>
      </c>
      <c r="E97" s="139"/>
      <c r="F97" s="139"/>
      <c r="G97" s="139"/>
      <c r="H97" s="139"/>
      <c r="I97" s="139"/>
      <c r="J97" s="139" t="s">
        <v>23</v>
      </c>
      <c r="K97" s="139"/>
      <c r="L97" s="139"/>
      <c r="M97" s="139"/>
      <c r="N97" s="139"/>
      <c r="O97" s="139"/>
    </row>
    <row r="98" spans="1:15" x14ac:dyDescent="0.25">
      <c r="A98" s="51" t="s">
        <v>5</v>
      </c>
      <c r="B98" s="51" t="s">
        <v>6</v>
      </c>
      <c r="C98" s="51" t="s">
        <v>7</v>
      </c>
      <c r="D98" s="53">
        <v>1</v>
      </c>
      <c r="E98" s="53">
        <v>4</v>
      </c>
      <c r="F98" s="53">
        <v>16</v>
      </c>
      <c r="G98" s="53">
        <v>32</v>
      </c>
      <c r="H98" s="53">
        <v>64</v>
      </c>
      <c r="I98" s="53">
        <v>80</v>
      </c>
      <c r="J98" s="53">
        <v>1</v>
      </c>
      <c r="K98" s="53">
        <v>4</v>
      </c>
      <c r="L98" s="53">
        <v>16</v>
      </c>
      <c r="M98" s="53">
        <v>32</v>
      </c>
      <c r="N98" s="53">
        <v>64</v>
      </c>
      <c r="O98" s="53">
        <v>80</v>
      </c>
    </row>
    <row r="99" spans="1:15" x14ac:dyDescent="0.25">
      <c r="A99" s="54" t="s">
        <v>8</v>
      </c>
      <c r="B99" s="54" t="s">
        <v>9</v>
      </c>
      <c r="C99" s="54" t="s">
        <v>10</v>
      </c>
      <c r="D99" s="59">
        <f>IF(D89="","",(D89-'2016'!D191)/'2016'!D191)</f>
        <v>-5.015703370365162E-3</v>
      </c>
      <c r="E99" s="59">
        <f>IF(E89="","",(E89-'2016'!E191)/'2016'!E191)</f>
        <v>3.6161261117324386E-2</v>
      </c>
      <c r="F99" s="59">
        <f>IF(F89="","",(F89-'2016'!F191)/'2016'!F191)</f>
        <v>-0.10535378835316218</v>
      </c>
      <c r="G99" s="59" t="str">
        <f>IF(G89="","",(G89-'2014'!#REF!)/'2014'!#REF!)</f>
        <v/>
      </c>
      <c r="H99" s="59" t="str">
        <f>IF(H89="","",(H89-'2014'!#REF!)/'2014'!#REF!)</f>
        <v/>
      </c>
      <c r="I99" s="58" t="str">
        <f>IF(I89="","",(I89-'2014'!#REF!)/'2014'!#REF!)</f>
        <v/>
      </c>
      <c r="J99" s="58" t="e">
        <f>J89 - '2015'!#REF!</f>
        <v>#REF!</v>
      </c>
      <c r="K99" s="58" t="e">
        <f>K89 - '2015'!#REF!</f>
        <v>#REF!</v>
      </c>
      <c r="L99" s="58" t="e">
        <f>L89 - '2015'!#REF!</f>
        <v>#REF!</v>
      </c>
      <c r="M99" s="58" t="str">
        <f>IF(G99="","",M89-((1/'Proto 2013'!#REF!)*1000000))</f>
        <v/>
      </c>
      <c r="N99" s="58" t="str">
        <f>IF(H99="","",N89-((1/'Proto 2013'!#REF!)*1000000))</f>
        <v/>
      </c>
      <c r="O99" s="58" t="str">
        <f>IF(I99="","",O89-((1/'Proto 2013'!#REF!)*1000000))</f>
        <v/>
      </c>
    </row>
    <row r="100" spans="1:15" x14ac:dyDescent="0.25">
      <c r="A100" s="54" t="s">
        <v>11</v>
      </c>
      <c r="B100" s="54" t="s">
        <v>9</v>
      </c>
      <c r="C100" s="54" t="s">
        <v>12</v>
      </c>
      <c r="D100" s="59">
        <f>IF(D90="","",(D90-'2016'!D192)/'2016'!D192)</f>
        <v>1.0567064239380624E-2</v>
      </c>
      <c r="E100" s="59">
        <f>IF(E90="","",(E90-'2016'!E192)/'2016'!E192)</f>
        <v>-5.4916317991631795E-3</v>
      </c>
      <c r="F100" s="59">
        <f>IF(F90="","",(F90-'2016'!F192)/'2016'!F192)</f>
        <v>-4.5204496531930163E-2</v>
      </c>
      <c r="G100" s="59" t="str">
        <f>IF(G90="","",(G90-'2014'!#REF!)/'2014'!#REF!)</f>
        <v/>
      </c>
      <c r="H100" s="59" t="str">
        <f>IF(H90="","",(H90-'2014'!#REF!)/'2014'!#REF!)</f>
        <v/>
      </c>
      <c r="I100" s="59" t="str">
        <f>IF(I90="","",(I90-'2014'!#REF!)/'2014'!#REF!)</f>
        <v/>
      </c>
      <c r="J100" s="58" t="e">
        <f>J90 - '2015'!#REF!</f>
        <v>#REF!</v>
      </c>
      <c r="K100" s="58" t="e">
        <f>K90 - '2015'!#REF!</f>
        <v>#REF!</v>
      </c>
      <c r="L100" s="58" t="e">
        <f>L90 - '2015'!#REF!</f>
        <v>#REF!</v>
      </c>
      <c r="M100" s="58" t="str">
        <f>IF(G100="","",M90-((1/'Proto 2013'!#REF!)*1000000))</f>
        <v/>
      </c>
      <c r="N100" s="58" t="str">
        <f>IF(H100="","",N90-((1/'Proto 2013'!#REF!)*1000000))</f>
        <v/>
      </c>
      <c r="O100" s="58" t="str">
        <f>IF(I100="","",O90-((1/'Proto 2013'!#REF!)*1000000))</f>
        <v/>
      </c>
    </row>
    <row r="101" spans="1:15" x14ac:dyDescent="0.25">
      <c r="A101" s="54" t="s">
        <v>13</v>
      </c>
      <c r="B101" s="54" t="s">
        <v>14</v>
      </c>
      <c r="C101" s="54" t="s">
        <v>10</v>
      </c>
      <c r="D101" s="59">
        <f>IF(D91="","",(D91-'2016'!D193)/'2016'!D193)</f>
        <v>5.680519417357683E-2</v>
      </c>
      <c r="E101" s="59">
        <f>IF(E91="","",(E91-'2016'!E193)/'2016'!E193)</f>
        <v>-3.1099802092168505E-3</v>
      </c>
      <c r="F101" s="59">
        <f>IF(F91="","",(F91-'2016'!F193)/'2016'!F193)</f>
        <v>1.9552079630287948E-3</v>
      </c>
      <c r="G101" s="59" t="str">
        <f>IF(G91="","",(G91-'2014'!#REF!)/'2014'!#REF!)</f>
        <v/>
      </c>
      <c r="H101" s="59" t="str">
        <f>IF(H91="","",(H91-'2014'!#REF!)/'2014'!#REF!)</f>
        <v/>
      </c>
      <c r="I101" s="59" t="str">
        <f>IF(I91="","",(I91-'2014'!#REF!)/'2014'!#REF!)</f>
        <v/>
      </c>
      <c r="J101" s="58" t="e">
        <f>J91 - '2015'!#REF!</f>
        <v>#REF!</v>
      </c>
      <c r="K101" s="58" t="e">
        <f>K91 - '2015'!#REF!</f>
        <v>#REF!</v>
      </c>
      <c r="L101" s="58" t="e">
        <f>L91 - '2015'!#REF!</f>
        <v>#REF!</v>
      </c>
      <c r="M101" s="58" t="str">
        <f>IF(G101="","",M91-((1/'Proto 2013'!#REF!)*1000000))</f>
        <v/>
      </c>
      <c r="N101" s="58" t="str">
        <f>IF(H101="","",N91-((1/'Proto 2013'!#REF!)*1000000))</f>
        <v/>
      </c>
      <c r="O101" s="58" t="str">
        <f>IF(I101="","",O91-((1/'Proto 2013'!#REF!)*1000000))</f>
        <v/>
      </c>
    </row>
    <row r="102" spans="1:15" x14ac:dyDescent="0.25">
      <c r="A102" s="54" t="s">
        <v>15</v>
      </c>
      <c r="B102" s="54" t="s">
        <v>14</v>
      </c>
      <c r="C102" s="54" t="s">
        <v>12</v>
      </c>
      <c r="D102" s="59">
        <f>IF(D92="","",(D92-'2016'!D194)/'2016'!D194)</f>
        <v>-2.5869565217391303E-2</v>
      </c>
      <c r="E102" s="59">
        <f>IF(E92="","",(E92-'2016'!E194)/'2016'!E194)</f>
        <v>1.5203671830177854E-2</v>
      </c>
      <c r="F102" s="59">
        <f>IF(F92="","",(F92-'2016'!F194)/'2016'!F194)</f>
        <v>2.4102838778789503E-2</v>
      </c>
      <c r="G102" s="59" t="str">
        <f>IF(G92="","",(G92-'2014'!#REF!)/'2014'!#REF!)</f>
        <v/>
      </c>
      <c r="H102" s="59" t="str">
        <f>IF(H92="","",(H92-'2014'!#REF!)/'2014'!#REF!)</f>
        <v/>
      </c>
      <c r="I102" s="59" t="str">
        <f>IF(I92="","",(I92-'2014'!#REF!)/'2014'!#REF!)</f>
        <v/>
      </c>
      <c r="J102" s="58" t="e">
        <f>J92 - '2015'!#REF!</f>
        <v>#REF!</v>
      </c>
      <c r="K102" s="58" t="e">
        <f>K92 - '2015'!#REF!</f>
        <v>#REF!</v>
      </c>
      <c r="L102" s="58" t="e">
        <f>L92 - '2015'!#REF!</f>
        <v>#REF!</v>
      </c>
      <c r="M102" s="58" t="str">
        <f>IF(G102="","",M92-((1/'Proto 2013'!#REF!)*1000000))</f>
        <v/>
      </c>
      <c r="N102" s="58" t="str">
        <f>IF(H102="","",N92-((1/'Proto 2013'!#REF!)*1000000))</f>
        <v/>
      </c>
      <c r="O102" s="58" t="str">
        <f>IF(I102="","",O92-((1/'Proto 2013'!#REF!)*1000000))</f>
        <v/>
      </c>
    </row>
    <row r="103" spans="1:15" x14ac:dyDescent="0.25">
      <c r="A103" s="54" t="s">
        <v>16</v>
      </c>
      <c r="B103" s="54" t="s">
        <v>17</v>
      </c>
      <c r="C103" s="54" t="s">
        <v>12</v>
      </c>
      <c r="D103" s="59">
        <f>IF(D93="","",(D93-'2016'!D195)/'2016'!D195)</f>
        <v>1.4412285883047844E-2</v>
      </c>
      <c r="E103" s="59" t="e">
        <f>IF(E93="","",(E93-'2016'!E195)/'2016'!E195)</f>
        <v>#VALUE!</v>
      </c>
      <c r="F103" s="59" t="e">
        <f>IF(F93="","",(F93-'2016'!F195)/'2016'!F195)</f>
        <v>#VALUE!</v>
      </c>
      <c r="G103" s="59" t="str">
        <f>IF(G93="","",(G93-'2014'!#REF!)/'2014'!#REF!)</f>
        <v/>
      </c>
      <c r="H103" s="59" t="str">
        <f>IF(H93="","",(H93-'2014'!#REF!)/'2014'!#REF!)</f>
        <v/>
      </c>
      <c r="I103" s="59" t="str">
        <f>IF(I93="","",(I93-'2014'!#REF!)/'2014'!#REF!)</f>
        <v/>
      </c>
      <c r="J103" s="58" t="e">
        <f>J93 - '2015'!#REF!</f>
        <v>#REF!</v>
      </c>
      <c r="K103" s="58" t="e">
        <f>K93 - '2015'!#REF!</f>
        <v>#VALUE!</v>
      </c>
      <c r="L103" s="58" t="e">
        <f>L93 - '2015'!#REF!</f>
        <v>#VALUE!</v>
      </c>
      <c r="M103" s="58" t="str">
        <f>IF(G103="","",M93-((1/'Proto 2013'!#REF!)*1000000))</f>
        <v/>
      </c>
      <c r="N103" s="58" t="str">
        <f>IF(H103="","",N93-((1/'Proto 2013'!#REF!)*1000000))</f>
        <v/>
      </c>
      <c r="O103" s="58" t="str">
        <f>IF(I103="","",O93-((1/'Proto 2013'!#REF!)*1000000))</f>
        <v/>
      </c>
    </row>
    <row r="104" spans="1:15" x14ac:dyDescent="0.25">
      <c r="A104" s="54" t="s">
        <v>18</v>
      </c>
      <c r="B104" s="54" t="s">
        <v>19</v>
      </c>
      <c r="C104" s="54" t="s">
        <v>12</v>
      </c>
      <c r="D104" s="59" t="e">
        <f>IF(D94="","",(D94-'2016'!D196)/'2016'!D196)</f>
        <v>#VALUE!</v>
      </c>
      <c r="E104" s="59" t="e">
        <f>IF(E94="","",(E94-'2016'!E196)/'2016'!E196)</f>
        <v>#VALUE!</v>
      </c>
      <c r="F104" s="59" t="e">
        <f>IF(F94="","",(F94-'2016'!F196)/'2016'!F196)</f>
        <v>#VALUE!</v>
      </c>
      <c r="G104" s="59" t="str">
        <f>IF(G94="","",(G94-'2014'!#REF!)/'2014'!#REF!)</f>
        <v/>
      </c>
      <c r="H104" s="59" t="str">
        <f>IF(H94="","",(H94-'2014'!#REF!)/'2014'!#REF!)</f>
        <v/>
      </c>
      <c r="I104" s="59" t="str">
        <f>IF(I94="","",(I94-'2014'!#REF!)/'2014'!#REF!)</f>
        <v/>
      </c>
      <c r="J104" s="58" t="e">
        <f>J94 - '2015'!#REF!</f>
        <v>#VALUE!</v>
      </c>
      <c r="K104" s="58" t="e">
        <f>K94 - '2015'!#REF!</f>
        <v>#VALUE!</v>
      </c>
      <c r="L104" s="58" t="e">
        <f>L94 - '2015'!#REF!</f>
        <v>#VALUE!</v>
      </c>
      <c r="M104" s="58" t="str">
        <f>IF(G104="","",M94-((1/'Proto 2013'!#REF!)*1000000))</f>
        <v/>
      </c>
      <c r="N104" s="58" t="str">
        <f>IF(H104="","",N94-((1/'Proto 2013'!#REF!)*1000000))</f>
        <v/>
      </c>
      <c r="O104" s="58" t="str">
        <f>IF(I104="","",O94-((1/'Proto 2013'!#REF!)*1000000))</f>
        <v/>
      </c>
    </row>
    <row r="106" spans="1:15" ht="18.75" x14ac:dyDescent="0.25">
      <c r="A106" s="150" t="s">
        <v>90</v>
      </c>
      <c r="B106" s="151"/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52"/>
    </row>
    <row r="107" spans="1:15" ht="15.75" x14ac:dyDescent="0.25">
      <c r="A107" s="153" t="s">
        <v>106</v>
      </c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54"/>
    </row>
    <row r="108" spans="1:15" x14ac:dyDescent="0.25">
      <c r="A108" s="138" t="s">
        <v>2</v>
      </c>
      <c r="B108" s="138"/>
      <c r="C108" s="138"/>
      <c r="D108" s="139" t="s">
        <v>3</v>
      </c>
      <c r="E108" s="139"/>
      <c r="F108" s="139"/>
      <c r="G108" s="139"/>
      <c r="H108" s="139"/>
      <c r="I108" s="139"/>
      <c r="J108" s="139" t="s">
        <v>4</v>
      </c>
      <c r="K108" s="139"/>
      <c r="L108" s="139"/>
      <c r="M108" s="139"/>
      <c r="N108" s="139"/>
      <c r="O108" s="139"/>
    </row>
    <row r="109" spans="1:15" x14ac:dyDescent="0.25">
      <c r="A109" s="51" t="s">
        <v>5</v>
      </c>
      <c r="B109" s="51" t="s">
        <v>6</v>
      </c>
      <c r="C109" s="51" t="s">
        <v>7</v>
      </c>
      <c r="D109" s="52">
        <v>1</v>
      </c>
      <c r="E109" s="52">
        <v>4</v>
      </c>
      <c r="F109" s="52">
        <v>16</v>
      </c>
      <c r="G109" s="53">
        <v>32</v>
      </c>
      <c r="H109" s="53">
        <v>64</v>
      </c>
      <c r="I109" s="53">
        <v>80</v>
      </c>
      <c r="J109" s="53">
        <v>1</v>
      </c>
      <c r="K109" s="53">
        <v>4</v>
      </c>
      <c r="L109" s="53">
        <v>16</v>
      </c>
      <c r="M109" s="53">
        <v>32</v>
      </c>
      <c r="N109" s="53">
        <v>64</v>
      </c>
      <c r="O109" s="53">
        <v>80</v>
      </c>
    </row>
    <row r="110" spans="1:15" x14ac:dyDescent="0.25">
      <c r="A110" s="54" t="s">
        <v>8</v>
      </c>
      <c r="B110" s="54" t="s">
        <v>9</v>
      </c>
      <c r="C110" s="55" t="s">
        <v>10</v>
      </c>
      <c r="D110" s="60">
        <v>25857</v>
      </c>
      <c r="E110" s="60">
        <v>20740</v>
      </c>
      <c r="F110" s="60">
        <v>6367</v>
      </c>
      <c r="G110" s="57"/>
      <c r="H110" s="56"/>
      <c r="I110" s="56"/>
      <c r="J110" s="58">
        <f>IF(D110="","",(1/D110)*1000000)</f>
        <v>38.674246819043198</v>
      </c>
      <c r="K110" s="58">
        <f t="shared" ref="K110:K115" si="26">IF(E110="","",(1/E110)*1000000)</f>
        <v>48.216007714561236</v>
      </c>
      <c r="L110" s="58">
        <f t="shared" ref="L110:L115" si="27">IF(F110="","",(1/F110)*1000000)</f>
        <v>157.05983979896342</v>
      </c>
      <c r="M110" s="58" t="str">
        <f t="shared" ref="M110:M115" si="28">IF(G110="","",(1/G110)*1000000)</f>
        <v/>
      </c>
      <c r="N110" s="58" t="str">
        <f t="shared" ref="N110:N115" si="29">IF(H110="","",(1/H110)*1000000)</f>
        <v/>
      </c>
      <c r="O110" s="58" t="str">
        <f t="shared" ref="O110:O115" si="30">IF(I110="","",(1/I110)*1000000)</f>
        <v/>
      </c>
    </row>
    <row r="111" spans="1:15" x14ac:dyDescent="0.25">
      <c r="A111" s="54" t="s">
        <v>11</v>
      </c>
      <c r="B111" s="54" t="s">
        <v>9</v>
      </c>
      <c r="C111" s="55" t="s">
        <v>12</v>
      </c>
      <c r="D111" s="60">
        <v>9564</v>
      </c>
      <c r="E111" s="60">
        <v>7705</v>
      </c>
      <c r="F111" s="60">
        <v>4117</v>
      </c>
      <c r="G111" s="57"/>
      <c r="H111" s="56"/>
      <c r="I111" s="56"/>
      <c r="J111" s="58">
        <f t="shared" ref="J111:J115" si="31">IF(D111="","",(1/D111)*1000000)</f>
        <v>104.55876202425763</v>
      </c>
      <c r="K111" s="58">
        <f t="shared" si="26"/>
        <v>129.78585334198573</v>
      </c>
      <c r="L111" s="58">
        <f t="shared" si="27"/>
        <v>242.89531212047609</v>
      </c>
      <c r="M111" s="58" t="str">
        <f t="shared" si="28"/>
        <v/>
      </c>
      <c r="N111" s="58" t="str">
        <f t="shared" si="29"/>
        <v/>
      </c>
      <c r="O111" s="58" t="str">
        <f t="shared" si="30"/>
        <v/>
      </c>
    </row>
    <row r="112" spans="1:15" x14ac:dyDescent="0.25">
      <c r="A112" s="54" t="s">
        <v>13</v>
      </c>
      <c r="B112" s="54" t="s">
        <v>14</v>
      </c>
      <c r="C112" s="55" t="s">
        <v>10</v>
      </c>
      <c r="D112" s="60">
        <v>39423</v>
      </c>
      <c r="E112" s="60">
        <v>17773</v>
      </c>
      <c r="F112" s="60">
        <v>5590</v>
      </c>
      <c r="G112" s="57"/>
      <c r="H112" s="56"/>
      <c r="I112" s="56"/>
      <c r="J112" s="58">
        <f t="shared" si="31"/>
        <v>25.365903152981762</v>
      </c>
      <c r="K112" s="58">
        <f t="shared" si="26"/>
        <v>56.265121251336296</v>
      </c>
      <c r="L112" s="58">
        <f t="shared" si="27"/>
        <v>178.89087656529517</v>
      </c>
      <c r="M112" s="58" t="str">
        <f t="shared" si="28"/>
        <v/>
      </c>
      <c r="N112" s="58" t="str">
        <f t="shared" si="29"/>
        <v/>
      </c>
      <c r="O112" s="58" t="str">
        <f t="shared" si="30"/>
        <v/>
      </c>
    </row>
    <row r="113" spans="1:15" x14ac:dyDescent="0.25">
      <c r="A113" s="54" t="s">
        <v>15</v>
      </c>
      <c r="B113" s="54" t="s">
        <v>14</v>
      </c>
      <c r="C113" s="55" t="s">
        <v>12</v>
      </c>
      <c r="D113" s="60">
        <v>8982</v>
      </c>
      <c r="E113" s="60">
        <v>6992</v>
      </c>
      <c r="F113" s="60">
        <v>3830</v>
      </c>
      <c r="G113" s="57"/>
      <c r="H113" s="56"/>
      <c r="I113" s="56"/>
      <c r="J113" s="58">
        <f t="shared" si="31"/>
        <v>111.33377866844801</v>
      </c>
      <c r="K113" s="58">
        <f t="shared" si="26"/>
        <v>143.02059496567506</v>
      </c>
      <c r="L113" s="58">
        <f t="shared" si="27"/>
        <v>261.09660574412533</v>
      </c>
      <c r="M113" s="58" t="str">
        <f t="shared" si="28"/>
        <v/>
      </c>
      <c r="N113" s="58" t="str">
        <f t="shared" si="29"/>
        <v/>
      </c>
      <c r="O113" s="58" t="str">
        <f t="shared" si="30"/>
        <v/>
      </c>
    </row>
    <row r="114" spans="1:15" x14ac:dyDescent="0.25">
      <c r="A114" s="54" t="s">
        <v>16</v>
      </c>
      <c r="B114" s="54" t="s">
        <v>17</v>
      </c>
      <c r="C114" s="55" t="s">
        <v>12</v>
      </c>
      <c r="D114" s="60">
        <v>8674</v>
      </c>
      <c r="E114" s="60" t="s">
        <v>93</v>
      </c>
      <c r="F114" s="60" t="s">
        <v>93</v>
      </c>
      <c r="G114" s="57"/>
      <c r="H114" s="56"/>
      <c r="I114" s="56"/>
      <c r="J114" s="58">
        <f t="shared" si="31"/>
        <v>115.28706479133042</v>
      </c>
      <c r="K114" s="58" t="e">
        <f t="shared" si="26"/>
        <v>#VALUE!</v>
      </c>
      <c r="L114" s="58" t="e">
        <f t="shared" si="27"/>
        <v>#VALUE!</v>
      </c>
      <c r="M114" s="58" t="str">
        <f t="shared" si="28"/>
        <v/>
      </c>
      <c r="N114" s="58" t="str">
        <f t="shared" si="29"/>
        <v/>
      </c>
      <c r="O114" s="58" t="str">
        <f t="shared" si="30"/>
        <v/>
      </c>
    </row>
    <row r="115" spans="1:15" x14ac:dyDescent="0.25">
      <c r="A115" s="54" t="s">
        <v>18</v>
      </c>
      <c r="B115" s="54" t="s">
        <v>19</v>
      </c>
      <c r="C115" s="55" t="s">
        <v>12</v>
      </c>
      <c r="D115" s="60" t="s">
        <v>93</v>
      </c>
      <c r="E115" s="60" t="s">
        <v>93</v>
      </c>
      <c r="F115" s="60" t="s">
        <v>93</v>
      </c>
      <c r="G115" s="57"/>
      <c r="H115" s="56"/>
      <c r="I115" s="56"/>
      <c r="J115" s="58" t="e">
        <f t="shared" si="31"/>
        <v>#VALUE!</v>
      </c>
      <c r="K115" s="58" t="e">
        <f t="shared" si="26"/>
        <v>#VALUE!</v>
      </c>
      <c r="L115" s="58" t="e">
        <f t="shared" si="27"/>
        <v>#VALUE!</v>
      </c>
      <c r="M115" s="58" t="str">
        <f t="shared" si="28"/>
        <v/>
      </c>
      <c r="N115" s="58" t="str">
        <f t="shared" si="29"/>
        <v/>
      </c>
      <c r="O115" s="58" t="str">
        <f t="shared" si="30"/>
        <v/>
      </c>
    </row>
    <row r="116" spans="1:15" x14ac:dyDescent="0.25">
      <c r="A116" s="143" t="s">
        <v>107</v>
      </c>
      <c r="B116" s="143"/>
      <c r="C116" s="143"/>
      <c r="D116" s="143"/>
      <c r="E116" s="143"/>
      <c r="F116" s="143"/>
      <c r="G116" s="143" t="s">
        <v>102</v>
      </c>
      <c r="H116" s="143"/>
      <c r="I116" s="61"/>
      <c r="J116" s="61"/>
      <c r="K116" s="61"/>
      <c r="L116" s="61"/>
      <c r="M116" s="61"/>
      <c r="N116" s="61"/>
      <c r="O116" s="61"/>
    </row>
    <row r="117" spans="1:15" ht="18.75" x14ac:dyDescent="0.3">
      <c r="A117" s="148" t="s">
        <v>89</v>
      </c>
      <c r="B117" s="145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9"/>
    </row>
    <row r="118" spans="1:15" x14ac:dyDescent="0.25">
      <c r="A118" s="138" t="s">
        <v>2</v>
      </c>
      <c r="B118" s="138"/>
      <c r="C118" s="138"/>
      <c r="D118" s="139" t="s">
        <v>20</v>
      </c>
      <c r="E118" s="139"/>
      <c r="F118" s="139"/>
      <c r="G118" s="139"/>
      <c r="H118" s="139"/>
      <c r="I118" s="139"/>
      <c r="J118" s="139" t="s">
        <v>23</v>
      </c>
      <c r="K118" s="139"/>
      <c r="L118" s="139"/>
      <c r="M118" s="139"/>
      <c r="N118" s="139"/>
      <c r="O118" s="139"/>
    </row>
    <row r="119" spans="1:15" x14ac:dyDescent="0.25">
      <c r="A119" s="51" t="s">
        <v>5</v>
      </c>
      <c r="B119" s="51" t="s">
        <v>6</v>
      </c>
      <c r="C119" s="51" t="s">
        <v>7</v>
      </c>
      <c r="D119" s="53">
        <v>1</v>
      </c>
      <c r="E119" s="53">
        <v>4</v>
      </c>
      <c r="F119" s="53">
        <v>16</v>
      </c>
      <c r="G119" s="53">
        <v>32</v>
      </c>
      <c r="H119" s="53">
        <v>64</v>
      </c>
      <c r="I119" s="53">
        <v>80</v>
      </c>
      <c r="J119" s="53">
        <v>1</v>
      </c>
      <c r="K119" s="53">
        <v>4</v>
      </c>
      <c r="L119" s="53">
        <v>16</v>
      </c>
      <c r="M119" s="53">
        <v>32</v>
      </c>
      <c r="N119" s="53">
        <v>64</v>
      </c>
      <c r="O119" s="53">
        <v>80</v>
      </c>
    </row>
    <row r="120" spans="1:15" x14ac:dyDescent="0.25">
      <c r="A120" s="54" t="s">
        <v>8</v>
      </c>
      <c r="B120" s="54" t="s">
        <v>9</v>
      </c>
      <c r="C120" s="54" t="s">
        <v>10</v>
      </c>
      <c r="D120" s="59">
        <f>IF(D110="","",(D110-'2016'!D191)/'2016'!D191)</f>
        <v>-0.39396709323583179</v>
      </c>
      <c r="E120" s="59">
        <f>IF(E110="","",(E110-'2016'!E191)/'2016'!E191)</f>
        <v>0.10454279171326623</v>
      </c>
      <c r="F120" s="59">
        <f>IF(F110="","",(F110-'2016'!F191)/'2016'!F191)</f>
        <v>-3.2874139010644959E-3</v>
      </c>
      <c r="G120" s="59" t="str">
        <f>IF(G110="","",(G110-'2014'!#REF!)/'2014'!#REF!)</f>
        <v/>
      </c>
      <c r="H120" s="59" t="str">
        <f>IF(H110="","",(H110-'2014'!#REF!)/'2014'!#REF!)</f>
        <v/>
      </c>
      <c r="I120" s="58" t="str">
        <f>IF(I110="","",(I110-'2014'!#REF!)/'2014'!#REF!)</f>
        <v/>
      </c>
      <c r="J120" s="58" t="e">
        <f>J110 - '2015'!#REF!</f>
        <v>#REF!</v>
      </c>
      <c r="K120" s="58" t="e">
        <f>K110 - '2015'!#REF!</f>
        <v>#REF!</v>
      </c>
      <c r="L120" s="58" t="e">
        <f>L110 - '2015'!#REF!</f>
        <v>#REF!</v>
      </c>
      <c r="M120" s="58" t="str">
        <f>IF(G120="","",M110-((1/'Proto 2013'!#REF!)*1000000))</f>
        <v/>
      </c>
      <c r="N120" s="58" t="str">
        <f>IF(H120="","",N110-((1/'Proto 2013'!#REF!)*1000000))</f>
        <v/>
      </c>
      <c r="O120" s="58" t="str">
        <f>IF(I120="","",O110-((1/'Proto 2013'!#REF!)*1000000))</f>
        <v/>
      </c>
    </row>
    <row r="121" spans="1:15" x14ac:dyDescent="0.25">
      <c r="A121" s="54" t="s">
        <v>11</v>
      </c>
      <c r="B121" s="54" t="s">
        <v>9</v>
      </c>
      <c r="C121" s="54" t="s">
        <v>12</v>
      </c>
      <c r="D121" s="59">
        <f>IF(D111="","",(D111-'2016'!D192)/'2016'!D192)</f>
        <v>6.2774639045825491E-4</v>
      </c>
      <c r="E121" s="59">
        <f>IF(E111="","",(E111-'2016'!E192)/'2016'!E192)</f>
        <v>7.4529288702928874E-3</v>
      </c>
      <c r="F121" s="59">
        <f>IF(F111="","",(F111-'2016'!F192)/'2016'!F192)</f>
        <v>-1.530734274097106E-2</v>
      </c>
      <c r="G121" s="59" t="str">
        <f>IF(G111="","",(G111-'2014'!#REF!)/'2014'!#REF!)</f>
        <v/>
      </c>
      <c r="H121" s="59" t="str">
        <f>IF(H111="","",(H111-'2014'!#REF!)/'2014'!#REF!)</f>
        <v/>
      </c>
      <c r="I121" s="59" t="str">
        <f>IF(I111="","",(I111-'2014'!#REF!)/'2014'!#REF!)</f>
        <v/>
      </c>
      <c r="J121" s="58" t="e">
        <f>J111 - '2015'!#REF!</f>
        <v>#REF!</v>
      </c>
      <c r="K121" s="58" t="e">
        <f>K111 - '2015'!#REF!</f>
        <v>#REF!</v>
      </c>
      <c r="L121" s="58" t="e">
        <f>L111 - '2015'!#REF!</f>
        <v>#REF!</v>
      </c>
      <c r="M121" s="58" t="str">
        <f>IF(G121="","",M111-((1/'Proto 2013'!#REF!)*1000000))</f>
        <v/>
      </c>
      <c r="N121" s="58" t="str">
        <f>IF(H121="","",N111-((1/'Proto 2013'!#REF!)*1000000))</f>
        <v/>
      </c>
      <c r="O121" s="58" t="str">
        <f>IF(I121="","",O111-((1/'Proto 2013'!#REF!)*1000000))</f>
        <v/>
      </c>
    </row>
    <row r="122" spans="1:15" x14ac:dyDescent="0.25">
      <c r="A122" s="54" t="s">
        <v>13</v>
      </c>
      <c r="B122" s="54" t="s">
        <v>14</v>
      </c>
      <c r="C122" s="54" t="s">
        <v>10</v>
      </c>
      <c r="D122" s="59">
        <f>IF(D112="","",(D112-'2016'!D193)/'2016'!D193)</f>
        <v>-4.1339396444811903E-2</v>
      </c>
      <c r="E122" s="59">
        <f>IF(E112="","",(E112-'2016'!E193)/'2016'!E193)</f>
        <v>4.9759683347469609E-3</v>
      </c>
      <c r="F122" s="59">
        <f>IF(F112="","",(F112-'2016'!F193)/'2016'!F193)</f>
        <v>-6.3988624244578742E-3</v>
      </c>
      <c r="G122" s="59" t="str">
        <f>IF(G112="","",(G112-'2014'!#REF!)/'2014'!#REF!)</f>
        <v/>
      </c>
      <c r="H122" s="59" t="str">
        <f>IF(H112="","",(H112-'2014'!#REF!)/'2014'!#REF!)</f>
        <v/>
      </c>
      <c r="I122" s="59" t="str">
        <f>IF(I112="","",(I112-'2014'!#REF!)/'2014'!#REF!)</f>
        <v/>
      </c>
      <c r="J122" s="58" t="e">
        <f>J112 - '2015'!#REF!</f>
        <v>#REF!</v>
      </c>
      <c r="K122" s="58" t="e">
        <f>K112 - '2015'!#REF!</f>
        <v>#REF!</v>
      </c>
      <c r="L122" s="58" t="e">
        <f>L112 - '2015'!#REF!</f>
        <v>#REF!</v>
      </c>
      <c r="M122" s="58" t="str">
        <f>IF(G122="","",M112-((1/'Proto 2013'!#REF!)*1000000))</f>
        <v/>
      </c>
      <c r="N122" s="58" t="str">
        <f>IF(H122="","",N112-((1/'Proto 2013'!#REF!)*1000000))</f>
        <v/>
      </c>
      <c r="O122" s="58" t="str">
        <f>IF(I122="","",O112-((1/'Proto 2013'!#REF!)*1000000))</f>
        <v/>
      </c>
    </row>
    <row r="123" spans="1:15" x14ac:dyDescent="0.25">
      <c r="A123" s="54" t="s">
        <v>15</v>
      </c>
      <c r="B123" s="54" t="s">
        <v>14</v>
      </c>
      <c r="C123" s="54" t="s">
        <v>12</v>
      </c>
      <c r="D123" s="59">
        <f>IF(D113="","",(D113-'2016'!D194)/'2016'!D194)</f>
        <v>-2.3695652173913045E-2</v>
      </c>
      <c r="E123" s="59">
        <f>IF(E113="","",(E113-'2016'!E194)/'2016'!E194)</f>
        <v>2.8686173264486519E-3</v>
      </c>
      <c r="F123" s="59">
        <f>IF(F113="","",(F113-'2016'!F194)/'2016'!F194)</f>
        <v>2.5709694697375468E-2</v>
      </c>
      <c r="G123" s="59" t="str">
        <f>IF(G113="","",(G113-'2014'!#REF!)/'2014'!#REF!)</f>
        <v/>
      </c>
      <c r="H123" s="59" t="str">
        <f>IF(H113="","",(H113-'2014'!#REF!)/'2014'!#REF!)</f>
        <v/>
      </c>
      <c r="I123" s="59" t="str">
        <f>IF(I113="","",(I113-'2014'!#REF!)/'2014'!#REF!)</f>
        <v/>
      </c>
      <c r="J123" s="58" t="e">
        <f>J113 - '2015'!#REF!</f>
        <v>#REF!</v>
      </c>
      <c r="K123" s="58" t="e">
        <f>K113 - '2015'!#REF!</f>
        <v>#REF!</v>
      </c>
      <c r="L123" s="58" t="e">
        <f>L113 - '2015'!#REF!</f>
        <v>#REF!</v>
      </c>
      <c r="M123" s="58" t="str">
        <f>IF(G123="","",M113-((1/'Proto 2013'!#REF!)*1000000))</f>
        <v/>
      </c>
      <c r="N123" s="58" t="str">
        <f>IF(H123="","",N113-((1/'Proto 2013'!#REF!)*1000000))</f>
        <v/>
      </c>
      <c r="O123" s="58" t="str">
        <f>IF(I123="","",O113-((1/'Proto 2013'!#REF!)*1000000))</f>
        <v/>
      </c>
    </row>
    <row r="124" spans="1:15" x14ac:dyDescent="0.25">
      <c r="A124" s="54" t="s">
        <v>16</v>
      </c>
      <c r="B124" s="54" t="s">
        <v>17</v>
      </c>
      <c r="C124" s="54" t="s">
        <v>12</v>
      </c>
      <c r="D124" s="59">
        <f>IF(D114="","",(D114-'2016'!D195)/'2016'!D195)</f>
        <v>2.4689899586532782E-2</v>
      </c>
      <c r="E124" s="59" t="e">
        <f>IF(E114="","",(E114-'2016'!E195)/'2016'!E195)</f>
        <v>#VALUE!</v>
      </c>
      <c r="F124" s="59" t="e">
        <f>IF(F114="","",(F114-'2016'!F195)/'2016'!F195)</f>
        <v>#VALUE!</v>
      </c>
      <c r="G124" s="59" t="str">
        <f>IF(G114="","",(G114-'2014'!#REF!)/'2014'!#REF!)</f>
        <v/>
      </c>
      <c r="H124" s="59" t="str">
        <f>IF(H114="","",(H114-'2014'!#REF!)/'2014'!#REF!)</f>
        <v/>
      </c>
      <c r="I124" s="59" t="str">
        <f>IF(I114="","",(I114-'2014'!#REF!)/'2014'!#REF!)</f>
        <v/>
      </c>
      <c r="J124" s="58" t="e">
        <f>J114 - '2015'!#REF!</f>
        <v>#REF!</v>
      </c>
      <c r="K124" s="58" t="e">
        <f>K114 - '2015'!#REF!</f>
        <v>#VALUE!</v>
      </c>
      <c r="L124" s="58" t="e">
        <f>L114 - '2015'!#REF!</f>
        <v>#VALUE!</v>
      </c>
      <c r="M124" s="58" t="str">
        <f>IF(G124="","",M114-((1/'Proto 2013'!#REF!)*1000000))</f>
        <v/>
      </c>
      <c r="N124" s="58" t="str">
        <f>IF(H124="","",N114-((1/'Proto 2013'!#REF!)*1000000))</f>
        <v/>
      </c>
      <c r="O124" s="58" t="str">
        <f>IF(I124="","",O114-((1/'Proto 2013'!#REF!)*1000000))</f>
        <v/>
      </c>
    </row>
    <row r="125" spans="1:15" x14ac:dyDescent="0.25">
      <c r="A125" s="54" t="s">
        <v>18</v>
      </c>
      <c r="B125" s="54" t="s">
        <v>19</v>
      </c>
      <c r="C125" s="54" t="s">
        <v>12</v>
      </c>
      <c r="D125" s="59" t="e">
        <f>IF(D115="","",(D115-'2016'!D196)/'2016'!D196)</f>
        <v>#VALUE!</v>
      </c>
      <c r="E125" s="59" t="e">
        <f>IF(E115="","",(E115-'2016'!E196)/'2016'!E196)</f>
        <v>#VALUE!</v>
      </c>
      <c r="F125" s="59" t="e">
        <f>IF(F115="","",(F115-'2016'!F196)/'2016'!F196)</f>
        <v>#VALUE!</v>
      </c>
      <c r="G125" s="59" t="str">
        <f>IF(G115="","",(G115-'2014'!#REF!)/'2014'!#REF!)</f>
        <v/>
      </c>
      <c r="H125" s="59" t="str">
        <f>IF(H115="","",(H115-'2014'!#REF!)/'2014'!#REF!)</f>
        <v/>
      </c>
      <c r="I125" s="59" t="str">
        <f>IF(I115="","",(I115-'2014'!#REF!)/'2014'!#REF!)</f>
        <v/>
      </c>
      <c r="J125" s="58" t="e">
        <f>J115 - '2015'!#REF!</f>
        <v>#VALUE!</v>
      </c>
      <c r="K125" s="58" t="e">
        <f>K115 - '2015'!#REF!</f>
        <v>#VALUE!</v>
      </c>
      <c r="L125" s="58" t="e">
        <f>L115 - '2015'!#REF!</f>
        <v>#VALUE!</v>
      </c>
      <c r="M125" s="58" t="str">
        <f>IF(G125="","",M115-((1/'Proto 2013'!#REF!)*1000000))</f>
        <v/>
      </c>
      <c r="N125" s="58" t="str">
        <f>IF(H125="","",N115-((1/'Proto 2013'!#REF!)*1000000))</f>
        <v/>
      </c>
      <c r="O125" s="58" t="str">
        <f>IF(I125="","",O115-((1/'Proto 2013'!#REF!)*1000000))</f>
        <v/>
      </c>
    </row>
    <row r="127" spans="1:15" ht="18.75" x14ac:dyDescent="0.25">
      <c r="A127" s="150" t="s">
        <v>90</v>
      </c>
      <c r="B127" s="151"/>
      <c r="C127" s="151"/>
      <c r="D127" s="151"/>
      <c r="E127" s="151"/>
      <c r="F127" s="151"/>
      <c r="G127" s="151"/>
      <c r="H127" s="151"/>
      <c r="I127" s="151"/>
      <c r="J127" s="151"/>
      <c r="K127" s="151"/>
      <c r="L127" s="151"/>
      <c r="M127" s="151"/>
      <c r="N127" s="151"/>
      <c r="O127" s="152"/>
    </row>
    <row r="128" spans="1:15" ht="15.75" x14ac:dyDescent="0.25">
      <c r="A128" s="153" t="s">
        <v>108</v>
      </c>
      <c r="B128" s="135"/>
      <c r="C128" s="135"/>
      <c r="D128" s="135"/>
      <c r="E128" s="135"/>
      <c r="F128" s="135"/>
      <c r="G128" s="135"/>
      <c r="H128" s="135"/>
      <c r="I128" s="135"/>
      <c r="J128" s="135"/>
      <c r="K128" s="135"/>
      <c r="L128" s="135"/>
      <c r="M128" s="135"/>
      <c r="N128" s="135"/>
      <c r="O128" s="154"/>
    </row>
    <row r="129" spans="1:15" x14ac:dyDescent="0.25">
      <c r="A129" s="138" t="s">
        <v>2</v>
      </c>
      <c r="B129" s="138"/>
      <c r="C129" s="138"/>
      <c r="D129" s="139" t="s">
        <v>3</v>
      </c>
      <c r="E129" s="139"/>
      <c r="F129" s="139"/>
      <c r="G129" s="139"/>
      <c r="H129" s="139"/>
      <c r="I129" s="139"/>
      <c r="J129" s="139" t="s">
        <v>4</v>
      </c>
      <c r="K129" s="139"/>
      <c r="L129" s="139"/>
      <c r="M129" s="139"/>
      <c r="N129" s="139"/>
      <c r="O129" s="139"/>
    </row>
    <row r="130" spans="1:15" x14ac:dyDescent="0.25">
      <c r="A130" s="51" t="s">
        <v>5</v>
      </c>
      <c r="B130" s="51" t="s">
        <v>6</v>
      </c>
      <c r="C130" s="51" t="s">
        <v>7</v>
      </c>
      <c r="D130" s="52">
        <v>1</v>
      </c>
      <c r="E130" s="52">
        <v>4</v>
      </c>
      <c r="F130" s="52">
        <v>16</v>
      </c>
      <c r="G130" s="53">
        <v>32</v>
      </c>
      <c r="H130" s="53">
        <v>64</v>
      </c>
      <c r="I130" s="53">
        <v>80</v>
      </c>
      <c r="J130" s="53">
        <v>1</v>
      </c>
      <c r="K130" s="53">
        <v>4</v>
      </c>
      <c r="L130" s="53">
        <v>16</v>
      </c>
      <c r="M130" s="53">
        <v>32</v>
      </c>
      <c r="N130" s="53">
        <v>64</v>
      </c>
      <c r="O130" s="53">
        <v>80</v>
      </c>
    </row>
    <row r="131" spans="1:15" x14ac:dyDescent="0.25">
      <c r="A131" s="54" t="s">
        <v>8</v>
      </c>
      <c r="B131" s="54" t="s">
        <v>9</v>
      </c>
      <c r="C131" s="55" t="s">
        <v>10</v>
      </c>
      <c r="D131" s="60">
        <v>42666</v>
      </c>
      <c r="E131" s="60">
        <v>20637</v>
      </c>
      <c r="F131" s="60">
        <v>6324</v>
      </c>
      <c r="G131" s="57"/>
      <c r="H131" s="56"/>
      <c r="I131" s="56"/>
      <c r="J131" s="58">
        <f>IF(D131="","",(1/D131)*1000000)</f>
        <v>23.437866216659636</v>
      </c>
      <c r="K131" s="58">
        <f t="shared" ref="K131:K136" si="32">IF(E131="","",(1/E131)*1000000)</f>
        <v>48.456655521635902</v>
      </c>
      <c r="L131" s="58">
        <f t="shared" ref="L131:L136" si="33">IF(F131="","",(1/F131)*1000000)</f>
        <v>158.12776723592663</v>
      </c>
      <c r="M131" s="58" t="str">
        <f t="shared" ref="M131:M136" si="34">IF(G131="","",(1/G131)*1000000)</f>
        <v/>
      </c>
      <c r="N131" s="58" t="str">
        <f t="shared" ref="N131:N136" si="35">IF(H131="","",(1/H131)*1000000)</f>
        <v/>
      </c>
      <c r="O131" s="58" t="str">
        <f t="shared" ref="O131:O136" si="36">IF(I131="","",(1/I131)*1000000)</f>
        <v/>
      </c>
    </row>
    <row r="132" spans="1:15" x14ac:dyDescent="0.25">
      <c r="A132" s="54" t="s">
        <v>11</v>
      </c>
      <c r="B132" s="54" t="s">
        <v>9</v>
      </c>
      <c r="C132" s="55" t="s">
        <v>12</v>
      </c>
      <c r="D132" s="60">
        <v>9740</v>
      </c>
      <c r="E132" s="60">
        <v>7449</v>
      </c>
      <c r="F132" s="60">
        <v>4129</v>
      </c>
      <c r="G132" s="57"/>
      <c r="H132" s="56"/>
      <c r="I132" s="56"/>
      <c r="J132" s="58">
        <f t="shared" ref="J132:J136" si="37">IF(D132="","",(1/D132)*1000000)</f>
        <v>102.6694045174538</v>
      </c>
      <c r="K132" s="58">
        <f t="shared" si="32"/>
        <v>134.24620754463686</v>
      </c>
      <c r="L132" s="58">
        <f t="shared" si="33"/>
        <v>242.1893921046258</v>
      </c>
      <c r="M132" s="58" t="str">
        <f t="shared" si="34"/>
        <v/>
      </c>
      <c r="N132" s="58" t="str">
        <f t="shared" si="35"/>
        <v/>
      </c>
      <c r="O132" s="58" t="str">
        <f t="shared" si="36"/>
        <v/>
      </c>
    </row>
    <row r="133" spans="1:15" x14ac:dyDescent="0.25">
      <c r="A133" s="54" t="s">
        <v>13</v>
      </c>
      <c r="B133" s="54" t="s">
        <v>14</v>
      </c>
      <c r="C133" s="55" t="s">
        <v>10</v>
      </c>
      <c r="D133" s="60">
        <v>26417</v>
      </c>
      <c r="E133" s="60">
        <v>17201</v>
      </c>
      <c r="F133" s="60">
        <v>5451</v>
      </c>
      <c r="G133" s="57"/>
      <c r="H133" s="56"/>
      <c r="I133" s="56"/>
      <c r="J133" s="58">
        <f t="shared" si="37"/>
        <v>37.854411931710636</v>
      </c>
      <c r="K133" s="58">
        <f t="shared" si="32"/>
        <v>58.136154874716588</v>
      </c>
      <c r="L133" s="58">
        <f t="shared" si="33"/>
        <v>183.452577508714</v>
      </c>
      <c r="M133" s="58" t="str">
        <f t="shared" si="34"/>
        <v/>
      </c>
      <c r="N133" s="58" t="str">
        <f t="shared" si="35"/>
        <v/>
      </c>
      <c r="O133" s="58" t="str">
        <f t="shared" si="36"/>
        <v/>
      </c>
    </row>
    <row r="134" spans="1:15" x14ac:dyDescent="0.25">
      <c r="A134" s="54" t="s">
        <v>15</v>
      </c>
      <c r="B134" s="54" t="s">
        <v>14</v>
      </c>
      <c r="C134" s="55" t="s">
        <v>12</v>
      </c>
      <c r="D134" s="60">
        <v>9452</v>
      </c>
      <c r="E134" s="60">
        <v>6338</v>
      </c>
      <c r="F134" s="60">
        <v>3861</v>
      </c>
      <c r="G134" s="57"/>
      <c r="H134" s="56"/>
      <c r="I134" s="56"/>
      <c r="J134" s="58">
        <f t="shared" si="37"/>
        <v>105.79771476936098</v>
      </c>
      <c r="K134" s="58">
        <f t="shared" si="32"/>
        <v>157.7784790154623</v>
      </c>
      <c r="L134" s="58">
        <f t="shared" si="33"/>
        <v>259.00025900025901</v>
      </c>
      <c r="M134" s="58" t="str">
        <f t="shared" si="34"/>
        <v/>
      </c>
      <c r="N134" s="58" t="str">
        <f t="shared" si="35"/>
        <v/>
      </c>
      <c r="O134" s="58" t="str">
        <f t="shared" si="36"/>
        <v/>
      </c>
    </row>
    <row r="135" spans="1:15" x14ac:dyDescent="0.25">
      <c r="A135" s="54" t="s">
        <v>16</v>
      </c>
      <c r="B135" s="54" t="s">
        <v>17</v>
      </c>
      <c r="C135" s="55" t="s">
        <v>12</v>
      </c>
      <c r="D135" s="60">
        <v>8616</v>
      </c>
      <c r="E135" s="60" t="s">
        <v>93</v>
      </c>
      <c r="F135" s="60" t="s">
        <v>93</v>
      </c>
      <c r="G135" s="57"/>
      <c r="H135" s="56"/>
      <c r="I135" s="56"/>
      <c r="J135" s="58">
        <f t="shared" si="37"/>
        <v>116.06313834726092</v>
      </c>
      <c r="K135" s="58" t="e">
        <f t="shared" si="32"/>
        <v>#VALUE!</v>
      </c>
      <c r="L135" s="58" t="e">
        <f t="shared" si="33"/>
        <v>#VALUE!</v>
      </c>
      <c r="M135" s="58" t="str">
        <f t="shared" si="34"/>
        <v/>
      </c>
      <c r="N135" s="58" t="str">
        <f t="shared" si="35"/>
        <v/>
      </c>
      <c r="O135" s="58" t="str">
        <f t="shared" si="36"/>
        <v/>
      </c>
    </row>
    <row r="136" spans="1:15" x14ac:dyDescent="0.25">
      <c r="A136" s="54" t="s">
        <v>18</v>
      </c>
      <c r="B136" s="54" t="s">
        <v>19</v>
      </c>
      <c r="C136" s="55" t="s">
        <v>12</v>
      </c>
      <c r="D136" s="60" t="s">
        <v>93</v>
      </c>
      <c r="E136" s="60" t="s">
        <v>93</v>
      </c>
      <c r="F136" s="60" t="s">
        <v>93</v>
      </c>
      <c r="G136" s="57"/>
      <c r="H136" s="56"/>
      <c r="I136" s="56"/>
      <c r="J136" s="58" t="e">
        <f t="shared" si="37"/>
        <v>#VALUE!</v>
      </c>
      <c r="K136" s="58" t="e">
        <f t="shared" si="32"/>
        <v>#VALUE!</v>
      </c>
      <c r="L136" s="58" t="e">
        <f t="shared" si="33"/>
        <v>#VALUE!</v>
      </c>
      <c r="M136" s="58" t="str">
        <f t="shared" si="34"/>
        <v/>
      </c>
      <c r="N136" s="58" t="str">
        <f t="shared" si="35"/>
        <v/>
      </c>
      <c r="O136" s="58" t="str">
        <f t="shared" si="36"/>
        <v/>
      </c>
    </row>
    <row r="137" spans="1:15" x14ac:dyDescent="0.25">
      <c r="A137" s="143" t="s">
        <v>109</v>
      </c>
      <c r="B137" s="143"/>
      <c r="C137" s="143"/>
      <c r="D137" s="143"/>
      <c r="E137" s="143"/>
      <c r="F137" s="143"/>
      <c r="G137" s="143" t="s">
        <v>102</v>
      </c>
      <c r="H137" s="143"/>
      <c r="I137" s="61"/>
      <c r="J137" s="61"/>
      <c r="K137" s="61"/>
      <c r="L137" s="61"/>
      <c r="M137" s="61"/>
      <c r="N137" s="61"/>
      <c r="O137" s="61"/>
    </row>
    <row r="138" spans="1:15" ht="18.75" x14ac:dyDescent="0.3">
      <c r="A138" s="148" t="s">
        <v>89</v>
      </c>
      <c r="B138" s="145"/>
      <c r="C138" s="145"/>
      <c r="D138" s="145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9"/>
    </row>
    <row r="139" spans="1:15" x14ac:dyDescent="0.25">
      <c r="A139" s="138" t="s">
        <v>2</v>
      </c>
      <c r="B139" s="138"/>
      <c r="C139" s="138"/>
      <c r="D139" s="139" t="s">
        <v>20</v>
      </c>
      <c r="E139" s="139"/>
      <c r="F139" s="139"/>
      <c r="G139" s="139"/>
      <c r="H139" s="139"/>
      <c r="I139" s="139"/>
      <c r="J139" s="139" t="s">
        <v>23</v>
      </c>
      <c r="K139" s="139"/>
      <c r="L139" s="139"/>
      <c r="M139" s="139"/>
      <c r="N139" s="139"/>
      <c r="O139" s="139"/>
    </row>
    <row r="140" spans="1:15" x14ac:dyDescent="0.25">
      <c r="A140" s="51" t="s">
        <v>5</v>
      </c>
      <c r="B140" s="51" t="s">
        <v>6</v>
      </c>
      <c r="C140" s="51" t="s">
        <v>7</v>
      </c>
      <c r="D140" s="53">
        <v>1</v>
      </c>
      <c r="E140" s="53">
        <v>4</v>
      </c>
      <c r="F140" s="53">
        <v>16</v>
      </c>
      <c r="G140" s="53">
        <v>32</v>
      </c>
      <c r="H140" s="53">
        <v>64</v>
      </c>
      <c r="I140" s="53">
        <v>80</v>
      </c>
      <c r="J140" s="53">
        <v>1</v>
      </c>
      <c r="K140" s="53">
        <v>4</v>
      </c>
      <c r="L140" s="53">
        <v>16</v>
      </c>
      <c r="M140" s="53">
        <v>32</v>
      </c>
      <c r="N140" s="53">
        <v>64</v>
      </c>
      <c r="O140" s="53">
        <v>80</v>
      </c>
    </row>
    <row r="141" spans="1:15" x14ac:dyDescent="0.25">
      <c r="A141" s="54" t="s">
        <v>8</v>
      </c>
      <c r="B141" s="54" t="s">
        <v>9</v>
      </c>
      <c r="C141" s="54" t="s">
        <v>10</v>
      </c>
      <c r="D141" s="59">
        <f>IF(D131="","",(D131-'2016'!D191)/'2016'!D191)</f>
        <v>0</v>
      </c>
      <c r="E141" s="59">
        <f>IF(E131="","",(E131-'2016'!E191)/'2016'!E191)</f>
        <v>9.9057357405336319E-2</v>
      </c>
      <c r="F141" s="59">
        <f>IF(F131="","",(F131-'2016'!F191)/'2016'!F191)</f>
        <v>-1.0018785222291797E-2</v>
      </c>
      <c r="G141" s="59" t="str">
        <f>IF(G131="","",(G131-'2014'!#REF!)/'2014'!#REF!)</f>
        <v/>
      </c>
      <c r="H141" s="59" t="str">
        <f>IF(H131="","",(H131-'2014'!#REF!)/'2014'!#REF!)</f>
        <v/>
      </c>
      <c r="I141" s="58" t="str">
        <f>IF(I131="","",(I131-'2014'!#REF!)/'2014'!#REF!)</f>
        <v/>
      </c>
      <c r="J141" s="58"/>
      <c r="K141" s="58"/>
      <c r="L141" s="58"/>
      <c r="M141" s="58" t="str">
        <f>IF(G141="","",M131-((1/'Proto 2013'!#REF!)*1000000))</f>
        <v/>
      </c>
      <c r="N141" s="58" t="str">
        <f>IF(H141="","",N131-((1/'Proto 2013'!#REF!)*1000000))</f>
        <v/>
      </c>
      <c r="O141" s="58" t="str">
        <f>IF(I141="","",O131-((1/'Proto 2013'!#REF!)*1000000))</f>
        <v/>
      </c>
    </row>
    <row r="142" spans="1:15" x14ac:dyDescent="0.25">
      <c r="A142" s="54" t="s">
        <v>11</v>
      </c>
      <c r="B142" s="54" t="s">
        <v>9</v>
      </c>
      <c r="C142" s="54" t="s">
        <v>12</v>
      </c>
      <c r="D142" s="59">
        <f>IF(D132="","",(D132-'2016'!D192)/'2016'!D192)</f>
        <v>1.9041640510567063E-2</v>
      </c>
      <c r="E142" s="59">
        <f>IF(E132="","",(E132-'2016'!E192)/'2016'!E192)</f>
        <v>-2.6019874476987448E-2</v>
      </c>
      <c r="F142" s="59">
        <f>IF(F132="","",(F132-'2016'!F192)/'2016'!F192)</f>
        <v>-1.2437215977038986E-2</v>
      </c>
      <c r="G142" s="59" t="str">
        <f>IF(G132="","",(G132-'2014'!#REF!)/'2014'!#REF!)</f>
        <v/>
      </c>
      <c r="H142" s="59" t="str">
        <f>IF(H132="","",(H132-'2014'!#REF!)/'2014'!#REF!)</f>
        <v/>
      </c>
      <c r="I142" s="59" t="str">
        <f>IF(I132="","",(I132-'2014'!#REF!)/'2014'!#REF!)</f>
        <v/>
      </c>
      <c r="J142" s="58"/>
      <c r="K142" s="58"/>
      <c r="L142" s="58"/>
      <c r="M142" s="58" t="str">
        <f>IF(G142="","",M132-((1/'Proto 2013'!#REF!)*1000000))</f>
        <v/>
      </c>
      <c r="N142" s="58" t="str">
        <f>IF(H142="","",N132-((1/'Proto 2013'!#REF!)*1000000))</f>
        <v/>
      </c>
      <c r="O142" s="58" t="str">
        <f>IF(I142="","",O132-((1/'Proto 2013'!#REF!)*1000000))</f>
        <v/>
      </c>
    </row>
    <row r="143" spans="1:15" x14ac:dyDescent="0.25">
      <c r="A143" s="54" t="s">
        <v>13</v>
      </c>
      <c r="B143" s="54" t="s">
        <v>14</v>
      </c>
      <c r="C143" s="54" t="s">
        <v>10</v>
      </c>
      <c r="D143" s="59">
        <f>IF(D133="","",(D133-'2016'!D193)/'2016'!D193)</f>
        <v>-0.35761009653964937</v>
      </c>
      <c r="E143" s="59">
        <f>IF(E133="","",(E133-'2016'!E193)/'2016'!E193)</f>
        <v>-2.7367825841108286E-2</v>
      </c>
      <c r="F143" s="59">
        <f>IF(F133="","",(F133-'2016'!F193)/'2016'!F193)</f>
        <v>-3.1105581230003555E-2</v>
      </c>
      <c r="G143" s="59" t="str">
        <f>IF(G133="","",(G133-'2014'!#REF!)/'2014'!#REF!)</f>
        <v/>
      </c>
      <c r="H143" s="59" t="str">
        <f>IF(H133="","",(H133-'2014'!#REF!)/'2014'!#REF!)</f>
        <v/>
      </c>
      <c r="I143" s="59" t="str">
        <f>IF(I133="","",(I133-'2014'!#REF!)/'2014'!#REF!)</f>
        <v/>
      </c>
      <c r="J143" s="58"/>
      <c r="K143" s="58"/>
      <c r="L143" s="58"/>
      <c r="M143" s="58" t="str">
        <f>IF(G143="","",M133-((1/'Proto 2013'!#REF!)*1000000))</f>
        <v/>
      </c>
      <c r="N143" s="58" t="str">
        <f>IF(H143="","",N133-((1/'Proto 2013'!#REF!)*1000000))</f>
        <v/>
      </c>
      <c r="O143" s="58" t="str">
        <f>IF(I143="","",O133-((1/'Proto 2013'!#REF!)*1000000))</f>
        <v/>
      </c>
    </row>
    <row r="144" spans="1:15" x14ac:dyDescent="0.25">
      <c r="A144" s="54" t="s">
        <v>15</v>
      </c>
      <c r="B144" s="54" t="s">
        <v>14</v>
      </c>
      <c r="C144" s="54" t="s">
        <v>12</v>
      </c>
      <c r="D144" s="59">
        <f>IF(D134="","",(D134-'2016'!D194)/'2016'!D194)</f>
        <v>2.7391304347826086E-2</v>
      </c>
      <c r="E144" s="59">
        <f>IF(E134="","",(E134-'2016'!E194)/'2016'!E194)</f>
        <v>-9.0935169248422265E-2</v>
      </c>
      <c r="F144" s="59">
        <f>IF(F134="","",(F134-'2016'!F194)/'2016'!F194)</f>
        <v>3.4011783610069631E-2</v>
      </c>
      <c r="G144" s="59" t="str">
        <f>IF(G134="","",(G134-'2014'!#REF!)/'2014'!#REF!)</f>
        <v/>
      </c>
      <c r="H144" s="59" t="str">
        <f>IF(H134="","",(H134-'2014'!#REF!)/'2014'!#REF!)</f>
        <v/>
      </c>
      <c r="I144" s="59" t="str">
        <f>IF(I134="","",(I134-'2014'!#REF!)/'2014'!#REF!)</f>
        <v/>
      </c>
      <c r="J144" s="58"/>
      <c r="K144" s="58"/>
      <c r="L144" s="58"/>
      <c r="M144" s="58" t="str">
        <f>IF(G144="","",M134-((1/'Proto 2013'!#REF!)*1000000))</f>
        <v/>
      </c>
      <c r="N144" s="58" t="str">
        <f>IF(H144="","",N134-((1/'Proto 2013'!#REF!)*1000000))</f>
        <v/>
      </c>
      <c r="O144" s="58" t="str">
        <f>IF(I144="","",O134-((1/'Proto 2013'!#REF!)*1000000))</f>
        <v/>
      </c>
    </row>
    <row r="145" spans="1:15" x14ac:dyDescent="0.25">
      <c r="A145" s="54" t="s">
        <v>16</v>
      </c>
      <c r="B145" s="54" t="s">
        <v>17</v>
      </c>
      <c r="C145" s="54" t="s">
        <v>12</v>
      </c>
      <c r="D145" s="59">
        <f>IF(D135="","",(D135-'2016'!D195)/'2016'!D195)</f>
        <v>1.7838157117542823E-2</v>
      </c>
      <c r="E145" s="59" t="e">
        <f>IF(E135="","",(E135-'2016'!E195)/'2016'!E195)</f>
        <v>#VALUE!</v>
      </c>
      <c r="F145" s="59" t="e">
        <f>IF(F135="","",(F135-'2016'!F195)/'2016'!F195)</f>
        <v>#VALUE!</v>
      </c>
      <c r="G145" s="59" t="str">
        <f>IF(G135="","",(G135-'2014'!#REF!)/'2014'!#REF!)</f>
        <v/>
      </c>
      <c r="H145" s="59" t="str">
        <f>IF(H135="","",(H135-'2014'!#REF!)/'2014'!#REF!)</f>
        <v/>
      </c>
      <c r="I145" s="59" t="str">
        <f>IF(I135="","",(I135-'2014'!#REF!)/'2014'!#REF!)</f>
        <v/>
      </c>
      <c r="J145" s="58"/>
      <c r="K145" s="58"/>
      <c r="L145" s="58"/>
      <c r="M145" s="58" t="str">
        <f>IF(G145="","",M135-((1/'Proto 2013'!#REF!)*1000000))</f>
        <v/>
      </c>
      <c r="N145" s="58" t="str">
        <f>IF(H145="","",N135-((1/'Proto 2013'!#REF!)*1000000))</f>
        <v/>
      </c>
      <c r="O145" s="58" t="str">
        <f>IF(I145="","",O135-((1/'Proto 2013'!#REF!)*1000000))</f>
        <v/>
      </c>
    </row>
    <row r="146" spans="1:15" x14ac:dyDescent="0.25">
      <c r="A146" s="54" t="s">
        <v>18</v>
      </c>
      <c r="B146" s="54" t="s">
        <v>19</v>
      </c>
      <c r="C146" s="54" t="s">
        <v>12</v>
      </c>
      <c r="D146" s="59" t="e">
        <f>IF(D136="","",(D136-'2016'!D196)/'2016'!D196)</f>
        <v>#VALUE!</v>
      </c>
      <c r="E146" s="59" t="e">
        <f>IF(E136="","",(E136-'2016'!E196)/'2016'!E196)</f>
        <v>#VALUE!</v>
      </c>
      <c r="F146" s="59" t="e">
        <f>IF(F136="","",(F136-'2016'!F196)/'2016'!F196)</f>
        <v>#VALUE!</v>
      </c>
      <c r="G146" s="59" t="str">
        <f>IF(G136="","",(G136-'2014'!#REF!)/'2014'!#REF!)</f>
        <v/>
      </c>
      <c r="H146" s="59" t="str">
        <f>IF(H136="","",(H136-'2014'!#REF!)/'2014'!#REF!)</f>
        <v/>
      </c>
      <c r="I146" s="59" t="str">
        <f>IF(I136="","",(I136-'2014'!#REF!)/'2014'!#REF!)</f>
        <v/>
      </c>
      <c r="J146" s="58"/>
      <c r="K146" s="58"/>
      <c r="L146" s="58"/>
      <c r="M146" s="58" t="str">
        <f>IF(G146="","",M136-((1/'Proto 2013'!#REF!)*1000000))</f>
        <v/>
      </c>
      <c r="N146" s="58" t="str">
        <f>IF(H146="","",N136-((1/'Proto 2013'!#REF!)*1000000))</f>
        <v/>
      </c>
      <c r="O146" s="58" t="str">
        <f>IF(I146="","",O136-((1/'Proto 2013'!#REF!)*1000000))</f>
        <v/>
      </c>
    </row>
    <row r="147" spans="1:15" ht="15.75" thickBot="1" x14ac:dyDescent="0.3"/>
    <row r="148" spans="1:15" ht="18.75" x14ac:dyDescent="0.25">
      <c r="A148" s="131" t="s">
        <v>90</v>
      </c>
      <c r="B148" s="132"/>
      <c r="C148" s="132"/>
      <c r="D148" s="132"/>
      <c r="E148" s="132"/>
      <c r="F148" s="132"/>
      <c r="G148" s="132"/>
      <c r="H148" s="132"/>
      <c r="I148" s="132"/>
      <c r="J148" s="132"/>
      <c r="K148" s="132"/>
      <c r="L148" s="132"/>
      <c r="M148" s="132"/>
      <c r="N148" s="132"/>
      <c r="O148" s="133"/>
    </row>
    <row r="149" spans="1:15" ht="15.75" x14ac:dyDescent="0.25">
      <c r="A149" s="134" t="s">
        <v>110</v>
      </c>
      <c r="B149" s="135"/>
      <c r="C149" s="135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6"/>
    </row>
    <row r="150" spans="1:15" x14ac:dyDescent="0.25">
      <c r="A150" s="137" t="s">
        <v>2</v>
      </c>
      <c r="B150" s="138"/>
      <c r="C150" s="138"/>
      <c r="D150" s="139" t="s">
        <v>3</v>
      </c>
      <c r="E150" s="139"/>
      <c r="F150" s="139"/>
      <c r="G150" s="139"/>
      <c r="H150" s="139"/>
      <c r="I150" s="139"/>
      <c r="J150" s="139" t="s">
        <v>4</v>
      </c>
      <c r="K150" s="139"/>
      <c r="L150" s="139"/>
      <c r="M150" s="139"/>
      <c r="N150" s="139"/>
      <c r="O150" s="140"/>
    </row>
    <row r="151" spans="1:15" x14ac:dyDescent="0.25">
      <c r="A151" s="62" t="s">
        <v>5</v>
      </c>
      <c r="B151" s="51" t="s">
        <v>6</v>
      </c>
      <c r="C151" s="51" t="s">
        <v>7</v>
      </c>
      <c r="D151" s="52">
        <v>1</v>
      </c>
      <c r="E151" s="52">
        <v>4</v>
      </c>
      <c r="F151" s="52">
        <v>16</v>
      </c>
      <c r="G151" s="53">
        <v>32</v>
      </c>
      <c r="H151" s="53">
        <v>64</v>
      </c>
      <c r="I151" s="53">
        <v>80</v>
      </c>
      <c r="J151" s="53">
        <v>1</v>
      </c>
      <c r="K151" s="53">
        <v>4</v>
      </c>
      <c r="L151" s="53">
        <v>16</v>
      </c>
      <c r="M151" s="53">
        <v>32</v>
      </c>
      <c r="N151" s="53">
        <v>64</v>
      </c>
      <c r="O151" s="63">
        <v>80</v>
      </c>
    </row>
    <row r="152" spans="1:15" x14ac:dyDescent="0.25">
      <c r="A152" s="64" t="s">
        <v>8</v>
      </c>
      <c r="B152" s="54" t="s">
        <v>9</v>
      </c>
      <c r="C152" s="55" t="s">
        <v>10</v>
      </c>
      <c r="D152" s="60">
        <v>35555</v>
      </c>
      <c r="E152" s="60">
        <v>17284</v>
      </c>
      <c r="F152" s="60">
        <v>5715</v>
      </c>
      <c r="G152" s="57"/>
      <c r="H152" s="56"/>
      <c r="I152" s="56"/>
      <c r="J152" s="58">
        <f>IF(D152="","",(1/D152)*1000000)</f>
        <v>28.125439459991561</v>
      </c>
      <c r="K152" s="58">
        <f t="shared" ref="K152:K157" si="38">IF(E152="","",(1/E152)*1000000)</f>
        <v>57.856977551492712</v>
      </c>
      <c r="L152" s="58">
        <f t="shared" ref="L152:L157" si="39">IF(F152="","",(1/F152)*1000000)</f>
        <v>174.97812773403322</v>
      </c>
      <c r="M152" s="58" t="str">
        <f t="shared" ref="M152:M157" si="40">IF(G152="","",(1/G152)*1000000)</f>
        <v/>
      </c>
      <c r="N152" s="58" t="str">
        <f t="shared" ref="N152:N157" si="41">IF(H152="","",(1/H152)*1000000)</f>
        <v/>
      </c>
      <c r="O152" s="65" t="str">
        <f t="shared" ref="O152:O157" si="42">IF(I152="","",(1/I152)*1000000)</f>
        <v/>
      </c>
    </row>
    <row r="153" spans="1:15" x14ac:dyDescent="0.25">
      <c r="A153" s="64" t="s">
        <v>11</v>
      </c>
      <c r="B153" s="54" t="s">
        <v>9</v>
      </c>
      <c r="C153" s="55" t="s">
        <v>12</v>
      </c>
      <c r="D153" s="60">
        <v>9487</v>
      </c>
      <c r="E153" s="60">
        <v>7558</v>
      </c>
      <c r="F153" s="60">
        <v>4069</v>
      </c>
      <c r="G153" s="57"/>
      <c r="H153" s="56"/>
      <c r="I153" s="56"/>
      <c r="J153" s="58">
        <f t="shared" ref="J153:J157" si="43">IF(D153="","",(1/D153)*1000000)</f>
        <v>105.40739959945188</v>
      </c>
      <c r="K153" s="58">
        <f t="shared" si="38"/>
        <v>132.31013495633763</v>
      </c>
      <c r="L153" s="58">
        <f t="shared" si="39"/>
        <v>245.76062914721061</v>
      </c>
      <c r="M153" s="58" t="str">
        <f t="shared" si="40"/>
        <v/>
      </c>
      <c r="N153" s="58" t="str">
        <f t="shared" si="41"/>
        <v/>
      </c>
      <c r="O153" s="65" t="str">
        <f t="shared" si="42"/>
        <v/>
      </c>
    </row>
    <row r="154" spans="1:15" x14ac:dyDescent="0.25">
      <c r="A154" s="64" t="s">
        <v>13</v>
      </c>
      <c r="B154" s="54" t="s">
        <v>14</v>
      </c>
      <c r="C154" s="55" t="s">
        <v>10</v>
      </c>
      <c r="D154" s="60">
        <v>39621</v>
      </c>
      <c r="E154" s="60">
        <v>16692</v>
      </c>
      <c r="F154" s="60">
        <v>5533</v>
      </c>
      <c r="G154" s="57"/>
      <c r="H154" s="56"/>
      <c r="I154" s="56"/>
      <c r="J154" s="58">
        <f t="shared" si="43"/>
        <v>25.23914085964514</v>
      </c>
      <c r="K154" s="58">
        <f t="shared" si="38"/>
        <v>59.908938413611317</v>
      </c>
      <c r="L154" s="58">
        <f t="shared" si="39"/>
        <v>180.7337791433219</v>
      </c>
      <c r="M154" s="58" t="str">
        <f t="shared" si="40"/>
        <v/>
      </c>
      <c r="N154" s="58" t="str">
        <f t="shared" si="41"/>
        <v/>
      </c>
      <c r="O154" s="65" t="str">
        <f t="shared" si="42"/>
        <v/>
      </c>
    </row>
    <row r="155" spans="1:15" x14ac:dyDescent="0.25">
      <c r="A155" s="64" t="s">
        <v>15</v>
      </c>
      <c r="B155" s="54" t="s">
        <v>14</v>
      </c>
      <c r="C155" s="55" t="s">
        <v>12</v>
      </c>
      <c r="D155" s="60">
        <v>9062</v>
      </c>
      <c r="E155" s="60">
        <v>6794</v>
      </c>
      <c r="F155" s="60">
        <v>3555</v>
      </c>
      <c r="G155" s="57"/>
      <c r="H155" s="56"/>
      <c r="I155" s="56"/>
      <c r="J155" s="58">
        <f t="shared" si="43"/>
        <v>110.35091591260208</v>
      </c>
      <c r="K155" s="58">
        <f t="shared" si="38"/>
        <v>147.18869590815427</v>
      </c>
      <c r="L155" s="58">
        <f t="shared" si="39"/>
        <v>281.29395218002816</v>
      </c>
      <c r="M155" s="58" t="str">
        <f t="shared" si="40"/>
        <v/>
      </c>
      <c r="N155" s="58" t="str">
        <f t="shared" si="41"/>
        <v/>
      </c>
      <c r="O155" s="65" t="str">
        <f t="shared" si="42"/>
        <v/>
      </c>
    </row>
    <row r="156" spans="1:15" x14ac:dyDescent="0.25">
      <c r="A156" s="64" t="s">
        <v>16</v>
      </c>
      <c r="B156" s="54" t="s">
        <v>17</v>
      </c>
      <c r="C156" s="55" t="s">
        <v>12</v>
      </c>
      <c r="D156" s="60">
        <v>8550</v>
      </c>
      <c r="E156" s="60" t="s">
        <v>93</v>
      </c>
      <c r="F156" s="60" t="s">
        <v>93</v>
      </c>
      <c r="G156" s="57"/>
      <c r="H156" s="56"/>
      <c r="I156" s="56"/>
      <c r="J156" s="58">
        <f t="shared" si="43"/>
        <v>116.95906432748538</v>
      </c>
      <c r="K156" s="58" t="e">
        <f t="shared" si="38"/>
        <v>#VALUE!</v>
      </c>
      <c r="L156" s="58" t="e">
        <f t="shared" si="39"/>
        <v>#VALUE!</v>
      </c>
      <c r="M156" s="58" t="str">
        <f t="shared" si="40"/>
        <v/>
      </c>
      <c r="N156" s="58" t="str">
        <f t="shared" si="41"/>
        <v/>
      </c>
      <c r="O156" s="65" t="str">
        <f t="shared" si="42"/>
        <v/>
      </c>
    </row>
    <row r="157" spans="1:15" x14ac:dyDescent="0.25">
      <c r="A157" s="64" t="s">
        <v>18</v>
      </c>
      <c r="B157" s="54" t="s">
        <v>19</v>
      </c>
      <c r="C157" s="55" t="s">
        <v>12</v>
      </c>
      <c r="D157" s="60" t="s">
        <v>93</v>
      </c>
      <c r="E157" s="60" t="s">
        <v>93</v>
      </c>
      <c r="F157" s="60" t="s">
        <v>93</v>
      </c>
      <c r="G157" s="57"/>
      <c r="H157" s="56"/>
      <c r="I157" s="56"/>
      <c r="J157" s="58" t="e">
        <f t="shared" si="43"/>
        <v>#VALUE!</v>
      </c>
      <c r="K157" s="58" t="e">
        <f t="shared" si="38"/>
        <v>#VALUE!</v>
      </c>
      <c r="L157" s="58" t="e">
        <f t="shared" si="39"/>
        <v>#VALUE!</v>
      </c>
      <c r="M157" s="58" t="str">
        <f t="shared" si="40"/>
        <v/>
      </c>
      <c r="N157" s="58" t="str">
        <f t="shared" si="41"/>
        <v/>
      </c>
      <c r="O157" s="65" t="str">
        <f t="shared" si="42"/>
        <v/>
      </c>
    </row>
    <row r="158" spans="1:15" x14ac:dyDescent="0.25">
      <c r="A158" s="147" t="s">
        <v>111</v>
      </c>
      <c r="B158" s="143"/>
      <c r="C158" s="143"/>
      <c r="D158" s="143"/>
      <c r="E158" s="143"/>
      <c r="F158" s="143"/>
      <c r="G158" s="143" t="s">
        <v>102</v>
      </c>
      <c r="H158" s="143"/>
      <c r="I158" s="61"/>
      <c r="J158" s="61"/>
      <c r="K158" s="61"/>
      <c r="L158" s="61"/>
      <c r="M158" s="61"/>
      <c r="N158" s="61"/>
      <c r="O158" s="66"/>
    </row>
    <row r="159" spans="1:15" ht="18.75" x14ac:dyDescent="0.3">
      <c r="A159" s="144" t="s">
        <v>89</v>
      </c>
      <c r="B159" s="145"/>
      <c r="C159" s="145"/>
      <c r="D159" s="145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6"/>
    </row>
    <row r="160" spans="1:15" x14ac:dyDescent="0.25">
      <c r="A160" s="137" t="s">
        <v>2</v>
      </c>
      <c r="B160" s="138"/>
      <c r="C160" s="138"/>
      <c r="D160" s="139" t="s">
        <v>20</v>
      </c>
      <c r="E160" s="139"/>
      <c r="F160" s="139"/>
      <c r="G160" s="139"/>
      <c r="H160" s="139"/>
      <c r="I160" s="139"/>
      <c r="J160" s="139" t="s">
        <v>23</v>
      </c>
      <c r="K160" s="139"/>
      <c r="L160" s="139"/>
      <c r="M160" s="139"/>
      <c r="N160" s="139"/>
      <c r="O160" s="140"/>
    </row>
    <row r="161" spans="1:15" x14ac:dyDescent="0.25">
      <c r="A161" s="62" t="s">
        <v>5</v>
      </c>
      <c r="B161" s="51" t="s">
        <v>6</v>
      </c>
      <c r="C161" s="51" t="s">
        <v>7</v>
      </c>
      <c r="D161" s="53">
        <v>1</v>
      </c>
      <c r="E161" s="53">
        <v>4</v>
      </c>
      <c r="F161" s="53">
        <v>16</v>
      </c>
      <c r="G161" s="53">
        <v>32</v>
      </c>
      <c r="H161" s="53">
        <v>64</v>
      </c>
      <c r="I161" s="53">
        <v>80</v>
      </c>
      <c r="J161" s="53">
        <v>1</v>
      </c>
      <c r="K161" s="53">
        <v>4</v>
      </c>
      <c r="L161" s="53">
        <v>16</v>
      </c>
      <c r="M161" s="53">
        <v>32</v>
      </c>
      <c r="N161" s="53">
        <v>64</v>
      </c>
      <c r="O161" s="63">
        <v>80</v>
      </c>
    </row>
    <row r="162" spans="1:15" x14ac:dyDescent="0.25">
      <c r="A162" s="64" t="s">
        <v>8</v>
      </c>
      <c r="B162" s="54" t="s">
        <v>9</v>
      </c>
      <c r="C162" s="54" t="s">
        <v>10</v>
      </c>
      <c r="D162" s="59">
        <f>IF(D152="","",(D152-'2016'!D191)/'2016'!D191)</f>
        <v>-0.16666666666666666</v>
      </c>
      <c r="E162" s="59">
        <f>IF(E152="","",(E152-'2016'!E191)/'2016'!E191)</f>
        <v>-7.9512169143100608E-2</v>
      </c>
      <c r="F162" s="59">
        <f>IF(F152="","",(F152-'2016'!F191)/'2016'!F191)</f>
        <v>-0.10535378835316218</v>
      </c>
      <c r="G162" s="59" t="str">
        <f>IF(G152="","",(G152-'2014'!#REF!)/'2014'!#REF!)</f>
        <v/>
      </c>
      <c r="H162" s="59" t="str">
        <f>IF(H152="","",(H152-'2014'!#REF!)/'2014'!#REF!)</f>
        <v/>
      </c>
      <c r="I162" s="58" t="str">
        <f>IF(I152="","",(I152-'2014'!#REF!)/'2014'!#REF!)</f>
        <v/>
      </c>
      <c r="J162" s="58"/>
      <c r="K162" s="58"/>
      <c r="L162" s="58"/>
      <c r="M162" s="58" t="str">
        <f>IF(G162="","",M152-((1/'Proto 2013'!#REF!)*1000000))</f>
        <v/>
      </c>
      <c r="N162" s="58" t="str">
        <f>IF(H162="","",N152-((1/'Proto 2013'!#REF!)*1000000))</f>
        <v/>
      </c>
      <c r="O162" s="65" t="str">
        <f>IF(I162="","",O152-((1/'Proto 2013'!#REF!)*1000000))</f>
        <v/>
      </c>
    </row>
    <row r="163" spans="1:15" x14ac:dyDescent="0.25">
      <c r="A163" s="64" t="s">
        <v>11</v>
      </c>
      <c r="B163" s="54" t="s">
        <v>9</v>
      </c>
      <c r="C163" s="54" t="s">
        <v>12</v>
      </c>
      <c r="D163" s="59">
        <f>IF(D153="","",(D153-'2016'!D192)/'2016'!D192)</f>
        <v>-7.428332287089349E-3</v>
      </c>
      <c r="E163" s="59">
        <f>IF(E153="","",(E153-'2016'!E192)/'2016'!E192)</f>
        <v>-1.1767782426778242E-2</v>
      </c>
      <c r="F163" s="59">
        <f>IF(F153="","",(F153-'2016'!F192)/'2016'!F192)</f>
        <v>-2.6787849796699355E-2</v>
      </c>
      <c r="G163" s="59" t="str">
        <f>IF(G153="","",(G153-'2014'!#REF!)/'2014'!#REF!)</f>
        <v/>
      </c>
      <c r="H163" s="59" t="str">
        <f>IF(H153="","",(H153-'2014'!#REF!)/'2014'!#REF!)</f>
        <v/>
      </c>
      <c r="I163" s="59" t="str">
        <f>IF(I153="","",(I153-'2014'!#REF!)/'2014'!#REF!)</f>
        <v/>
      </c>
      <c r="J163" s="58"/>
      <c r="K163" s="58"/>
      <c r="L163" s="58"/>
      <c r="M163" s="58" t="str">
        <f>IF(G163="","",M153-((1/'Proto 2013'!#REF!)*1000000))</f>
        <v/>
      </c>
      <c r="N163" s="58" t="str">
        <f>IF(H163="","",N153-((1/'Proto 2013'!#REF!)*1000000))</f>
        <v/>
      </c>
      <c r="O163" s="65" t="str">
        <f>IF(I163="","",O153-((1/'Proto 2013'!#REF!)*1000000))</f>
        <v/>
      </c>
    </row>
    <row r="164" spans="1:15" x14ac:dyDescent="0.25">
      <c r="A164" s="64" t="s">
        <v>13</v>
      </c>
      <c r="B164" s="54" t="s">
        <v>14</v>
      </c>
      <c r="C164" s="54" t="s">
        <v>10</v>
      </c>
      <c r="D164" s="59">
        <f>IF(D154="","",(D154-'2016'!D193)/'2016'!D193)</f>
        <v>-3.6524572623592634E-2</v>
      </c>
      <c r="E164" s="59">
        <f>IF(E154="","",(E154-'2016'!E193)/'2016'!E193)</f>
        <v>-5.6149279050042411E-2</v>
      </c>
      <c r="F164" s="59">
        <f>IF(F154="","",(F154-'2016'!F193)/'2016'!F193)</f>
        <v>-1.6530394596516174E-2</v>
      </c>
      <c r="G164" s="59" t="str">
        <f>IF(G154="","",(G154-'2014'!#REF!)/'2014'!#REF!)</f>
        <v/>
      </c>
      <c r="H164" s="59" t="str">
        <f>IF(H154="","",(H154-'2014'!#REF!)/'2014'!#REF!)</f>
        <v/>
      </c>
      <c r="I164" s="59" t="str">
        <f>IF(I154="","",(I154-'2014'!#REF!)/'2014'!#REF!)</f>
        <v/>
      </c>
      <c r="J164" s="58"/>
      <c r="K164" s="58"/>
      <c r="L164" s="58"/>
      <c r="M164" s="58" t="str">
        <f>IF(G164="","",M154-((1/'Proto 2013'!#REF!)*1000000))</f>
        <v/>
      </c>
      <c r="N164" s="58" t="str">
        <f>IF(H164="","",N154-((1/'Proto 2013'!#REF!)*1000000))</f>
        <v/>
      </c>
      <c r="O164" s="65" t="str">
        <f>IF(I164="","",O154-((1/'Proto 2013'!#REF!)*1000000))</f>
        <v/>
      </c>
    </row>
    <row r="165" spans="1:15" x14ac:dyDescent="0.25">
      <c r="A165" s="64" t="s">
        <v>15</v>
      </c>
      <c r="B165" s="54" t="s">
        <v>14</v>
      </c>
      <c r="C165" s="54" t="s">
        <v>12</v>
      </c>
      <c r="D165" s="59">
        <f>IF(D155="","",(D155-'2016'!D194)/'2016'!D194)</f>
        <v>-1.4999999999999999E-2</v>
      </c>
      <c r="E165" s="59">
        <f>IF(E155="","",(E155-'2016'!E194)/'2016'!E194)</f>
        <v>-2.5530694205393001E-2</v>
      </c>
      <c r="F165" s="59">
        <f>IF(F155="","",(F155-'2016'!F194)/'2016'!F194)</f>
        <v>-4.7937868237814679E-2</v>
      </c>
      <c r="G165" s="59" t="str">
        <f>IF(G155="","",(G155-'2014'!#REF!)/'2014'!#REF!)</f>
        <v/>
      </c>
      <c r="H165" s="59" t="str">
        <f>IF(H155="","",(H155-'2014'!#REF!)/'2014'!#REF!)</f>
        <v/>
      </c>
      <c r="I165" s="59" t="str">
        <f>IF(I155="","",(I155-'2014'!#REF!)/'2014'!#REF!)</f>
        <v/>
      </c>
      <c r="J165" s="58"/>
      <c r="K165" s="58"/>
      <c r="L165" s="58"/>
      <c r="M165" s="58" t="str">
        <f>IF(G165="","",M155-((1/'Proto 2013'!#REF!)*1000000))</f>
        <v/>
      </c>
      <c r="N165" s="58" t="str">
        <f>IF(H165="","",N155-((1/'Proto 2013'!#REF!)*1000000))</f>
        <v/>
      </c>
      <c r="O165" s="65" t="str">
        <f>IF(I165="","",O155-((1/'Proto 2013'!#REF!)*1000000))</f>
        <v/>
      </c>
    </row>
    <row r="166" spans="1:15" x14ac:dyDescent="0.25">
      <c r="A166" s="64" t="s">
        <v>16</v>
      </c>
      <c r="B166" s="54" t="s">
        <v>17</v>
      </c>
      <c r="C166" s="54" t="s">
        <v>12</v>
      </c>
      <c r="D166" s="59">
        <f>IF(D156="","",(D156-'2016'!D195)/'2016'!D195)</f>
        <v>1.004134672179563E-2</v>
      </c>
      <c r="E166" s="59" t="e">
        <f>IF(E156="","",(E156-'2016'!E195)/'2016'!E195)</f>
        <v>#VALUE!</v>
      </c>
      <c r="F166" s="59" t="e">
        <f>IF(F156="","",(F156-'2016'!F195)/'2016'!F195)</f>
        <v>#VALUE!</v>
      </c>
      <c r="G166" s="59" t="str">
        <f>IF(G156="","",(G156-'2014'!#REF!)/'2014'!#REF!)</f>
        <v/>
      </c>
      <c r="H166" s="59" t="str">
        <f>IF(H156="","",(H156-'2014'!#REF!)/'2014'!#REF!)</f>
        <v/>
      </c>
      <c r="I166" s="59" t="str">
        <f>IF(I156="","",(I156-'2014'!#REF!)/'2014'!#REF!)</f>
        <v/>
      </c>
      <c r="J166" s="58"/>
      <c r="K166" s="58"/>
      <c r="L166" s="58"/>
      <c r="M166" s="58" t="str">
        <f>IF(G166="","",M156-((1/'Proto 2013'!#REF!)*1000000))</f>
        <v/>
      </c>
      <c r="N166" s="58" t="str">
        <f>IF(H166="","",N156-((1/'Proto 2013'!#REF!)*1000000))</f>
        <v/>
      </c>
      <c r="O166" s="65" t="str">
        <f>IF(I166="","",O156-((1/'Proto 2013'!#REF!)*1000000))</f>
        <v/>
      </c>
    </row>
    <row r="167" spans="1:15" x14ac:dyDescent="0.25">
      <c r="A167" s="64" t="s">
        <v>18</v>
      </c>
      <c r="B167" s="54" t="s">
        <v>19</v>
      </c>
      <c r="C167" s="54" t="s">
        <v>12</v>
      </c>
      <c r="D167" s="59" t="e">
        <f>IF(D157="","",(D157-'2016'!D196)/'2016'!D196)</f>
        <v>#VALUE!</v>
      </c>
      <c r="E167" s="59" t="e">
        <f>IF(E157="","",(E157-'2016'!E196)/'2016'!E196)</f>
        <v>#VALUE!</v>
      </c>
      <c r="F167" s="59" t="e">
        <f>IF(F157="","",(F157-'2016'!F196)/'2016'!F196)</f>
        <v>#VALUE!</v>
      </c>
      <c r="G167" s="59" t="str">
        <f>IF(G157="","",(G157-'2014'!#REF!)/'2014'!#REF!)</f>
        <v/>
      </c>
      <c r="H167" s="59" t="str">
        <f>IF(H157="","",(H157-'2014'!#REF!)/'2014'!#REF!)</f>
        <v/>
      </c>
      <c r="I167" s="59" t="str">
        <f>IF(I157="","",(I157-'2014'!#REF!)/'2014'!#REF!)</f>
        <v/>
      </c>
      <c r="J167" s="58"/>
      <c r="K167" s="58"/>
      <c r="L167" s="58"/>
      <c r="M167" s="58" t="str">
        <f>IF(G167="","",M157-((1/'Proto 2013'!#REF!)*1000000))</f>
        <v/>
      </c>
      <c r="N167" s="58" t="str">
        <f>IF(H167="","",N157-((1/'Proto 2013'!#REF!)*1000000))</f>
        <v/>
      </c>
      <c r="O167" s="65" t="str">
        <f>IF(I167="","",O157-((1/'Proto 2013'!#REF!)*1000000))</f>
        <v/>
      </c>
    </row>
    <row r="168" spans="1:15" ht="15.75" thickBot="1" x14ac:dyDescent="0.3">
      <c r="A168" s="67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9"/>
    </row>
    <row r="169" spans="1:15" ht="18.75" x14ac:dyDescent="0.25">
      <c r="A169" s="131" t="s">
        <v>90</v>
      </c>
      <c r="B169" s="132"/>
      <c r="C169" s="132"/>
      <c r="D169" s="132"/>
      <c r="E169" s="132"/>
      <c r="F169" s="132"/>
      <c r="G169" s="132"/>
      <c r="H169" s="132"/>
      <c r="I169" s="132"/>
      <c r="J169" s="132"/>
      <c r="K169" s="132"/>
      <c r="L169" s="132"/>
      <c r="M169" s="132"/>
      <c r="N169" s="132"/>
      <c r="O169" s="133"/>
    </row>
    <row r="170" spans="1:15" ht="15.75" x14ac:dyDescent="0.25">
      <c r="A170" s="134" t="s">
        <v>113</v>
      </c>
      <c r="B170" s="135"/>
      <c r="C170" s="135"/>
      <c r="D170" s="135"/>
      <c r="E170" s="135"/>
      <c r="F170" s="135"/>
      <c r="G170" s="135"/>
      <c r="H170" s="135"/>
      <c r="I170" s="135"/>
      <c r="J170" s="135"/>
      <c r="K170" s="135"/>
      <c r="L170" s="135"/>
      <c r="M170" s="135"/>
      <c r="N170" s="135"/>
      <c r="O170" s="136"/>
    </row>
    <row r="171" spans="1:15" x14ac:dyDescent="0.25">
      <c r="A171" s="137" t="s">
        <v>2</v>
      </c>
      <c r="B171" s="138"/>
      <c r="C171" s="138"/>
      <c r="D171" s="139" t="s">
        <v>3</v>
      </c>
      <c r="E171" s="139"/>
      <c r="F171" s="139"/>
      <c r="G171" s="139"/>
      <c r="H171" s="139"/>
      <c r="I171" s="139"/>
      <c r="J171" s="139" t="s">
        <v>4</v>
      </c>
      <c r="K171" s="139"/>
      <c r="L171" s="139"/>
      <c r="M171" s="139"/>
      <c r="N171" s="139"/>
      <c r="O171" s="140"/>
    </row>
    <row r="172" spans="1:15" x14ac:dyDescent="0.25">
      <c r="A172" s="62" t="s">
        <v>5</v>
      </c>
      <c r="B172" s="51" t="s">
        <v>6</v>
      </c>
      <c r="C172" s="51" t="s">
        <v>7</v>
      </c>
      <c r="D172" s="52">
        <v>1</v>
      </c>
      <c r="E172" s="52">
        <v>4</v>
      </c>
      <c r="F172" s="52">
        <v>16</v>
      </c>
      <c r="G172" s="53">
        <v>32</v>
      </c>
      <c r="H172" s="53">
        <v>64</v>
      </c>
      <c r="I172" s="53">
        <v>80</v>
      </c>
      <c r="J172" s="53">
        <v>1</v>
      </c>
      <c r="K172" s="53">
        <v>4</v>
      </c>
      <c r="L172" s="53">
        <v>16</v>
      </c>
      <c r="M172" s="53">
        <v>32</v>
      </c>
      <c r="N172" s="53">
        <v>64</v>
      </c>
      <c r="O172" s="63">
        <v>80</v>
      </c>
    </row>
    <row r="173" spans="1:15" x14ac:dyDescent="0.25">
      <c r="A173" s="64" t="s">
        <v>8</v>
      </c>
      <c r="B173" s="54" t="s">
        <v>9</v>
      </c>
      <c r="C173" s="55" t="s">
        <v>10</v>
      </c>
      <c r="D173" s="60">
        <v>29629</v>
      </c>
      <c r="E173" s="60">
        <v>21268</v>
      </c>
      <c r="F173" s="60">
        <v>5715</v>
      </c>
      <c r="G173" s="57"/>
      <c r="H173" s="56"/>
      <c r="I173" s="56"/>
      <c r="J173" s="58">
        <f>IF(D173="","",(1/D173)*1000000)</f>
        <v>33.750717202740553</v>
      </c>
      <c r="K173" s="58">
        <f t="shared" ref="K173:K178" si="44">IF(E173="","",(1/E173)*1000000)</f>
        <v>47.018995674252402</v>
      </c>
      <c r="L173" s="58">
        <f t="shared" ref="L173:L178" si="45">IF(F173="","",(1/F173)*1000000)</f>
        <v>174.97812773403322</v>
      </c>
      <c r="M173" s="58" t="str">
        <f t="shared" ref="M173:M178" si="46">IF(G173="","",(1/G173)*1000000)</f>
        <v/>
      </c>
      <c r="N173" s="58" t="str">
        <f t="shared" ref="N173:N178" si="47">IF(H173="","",(1/H173)*1000000)</f>
        <v/>
      </c>
      <c r="O173" s="65" t="str">
        <f t="shared" ref="O173:O178" si="48">IF(I173="","",(1/I173)*1000000)</f>
        <v/>
      </c>
    </row>
    <row r="174" spans="1:15" x14ac:dyDescent="0.25">
      <c r="A174" s="64" t="s">
        <v>11</v>
      </c>
      <c r="B174" s="54" t="s">
        <v>9</v>
      </c>
      <c r="C174" s="55" t="s">
        <v>12</v>
      </c>
      <c r="D174" s="60">
        <v>9645</v>
      </c>
      <c r="E174" s="60">
        <v>7442</v>
      </c>
      <c r="F174" s="60">
        <v>4149</v>
      </c>
      <c r="G174" s="57"/>
      <c r="H174" s="56"/>
      <c r="I174" s="56"/>
      <c r="J174" s="58">
        <f t="shared" ref="J174:J178" si="49">IF(D174="","",(1/D174)*1000000)</f>
        <v>103.68066355624676</v>
      </c>
      <c r="K174" s="58">
        <f t="shared" si="44"/>
        <v>134.3724805159903</v>
      </c>
      <c r="L174" s="58">
        <f t="shared" si="45"/>
        <v>241.02193299590263</v>
      </c>
      <c r="M174" s="58" t="str">
        <f t="shared" si="46"/>
        <v/>
      </c>
      <c r="N174" s="58" t="str">
        <f t="shared" si="47"/>
        <v/>
      </c>
      <c r="O174" s="65" t="str">
        <f t="shared" si="48"/>
        <v/>
      </c>
    </row>
    <row r="175" spans="1:15" x14ac:dyDescent="0.25">
      <c r="A175" s="64" t="s">
        <v>13</v>
      </c>
      <c r="B175" s="54" t="s">
        <v>14</v>
      </c>
      <c r="C175" s="55" t="s">
        <v>10</v>
      </c>
      <c r="D175" s="60">
        <v>39956</v>
      </c>
      <c r="E175" s="60">
        <v>16609</v>
      </c>
      <c r="F175" s="60">
        <v>5637</v>
      </c>
      <c r="G175" s="57"/>
      <c r="H175" s="56"/>
      <c r="I175" s="56"/>
      <c r="J175" s="58">
        <f t="shared" si="49"/>
        <v>25.027530283311641</v>
      </c>
      <c r="K175" s="58">
        <f t="shared" si="44"/>
        <v>60.208320789933168</v>
      </c>
      <c r="L175" s="58">
        <f t="shared" si="45"/>
        <v>177.39932588256164</v>
      </c>
      <c r="M175" s="58" t="str">
        <f t="shared" si="46"/>
        <v/>
      </c>
      <c r="N175" s="58" t="str">
        <f t="shared" si="47"/>
        <v/>
      </c>
      <c r="O175" s="65" t="str">
        <f t="shared" si="48"/>
        <v/>
      </c>
    </row>
    <row r="176" spans="1:15" x14ac:dyDescent="0.25">
      <c r="A176" s="64" t="s">
        <v>15</v>
      </c>
      <c r="B176" s="54" t="s">
        <v>14</v>
      </c>
      <c r="C176" s="55" t="s">
        <v>12</v>
      </c>
      <c r="D176" s="60">
        <v>9200</v>
      </c>
      <c r="E176" s="60">
        <v>6854</v>
      </c>
      <c r="F176" s="60">
        <v>3843</v>
      </c>
      <c r="G176" s="57"/>
      <c r="H176" s="56"/>
      <c r="I176" s="56"/>
      <c r="J176" s="58">
        <f t="shared" si="49"/>
        <v>108.69565217391305</v>
      </c>
      <c r="K176" s="58">
        <f t="shared" si="44"/>
        <v>145.90020426028596</v>
      </c>
      <c r="L176" s="58">
        <f t="shared" si="45"/>
        <v>260.21337496747333</v>
      </c>
      <c r="M176" s="58" t="str">
        <f t="shared" si="46"/>
        <v/>
      </c>
      <c r="N176" s="58" t="str">
        <f t="shared" si="47"/>
        <v/>
      </c>
      <c r="O176" s="65" t="str">
        <f t="shared" si="48"/>
        <v/>
      </c>
    </row>
    <row r="177" spans="1:15" x14ac:dyDescent="0.25">
      <c r="A177" s="64" t="s">
        <v>16</v>
      </c>
      <c r="B177" s="54" t="s">
        <v>17</v>
      </c>
      <c r="C177" s="55" t="s">
        <v>12</v>
      </c>
      <c r="D177" s="60">
        <v>8759</v>
      </c>
      <c r="E177" s="60" t="s">
        <v>93</v>
      </c>
      <c r="F177" s="60" t="s">
        <v>93</v>
      </c>
      <c r="G177" s="57"/>
      <c r="H177" s="56"/>
      <c r="I177" s="56"/>
      <c r="J177" s="58">
        <f t="shared" si="49"/>
        <v>114.16828405069072</v>
      </c>
      <c r="K177" s="58" t="e">
        <f t="shared" si="44"/>
        <v>#VALUE!</v>
      </c>
      <c r="L177" s="58" t="e">
        <f t="shared" si="45"/>
        <v>#VALUE!</v>
      </c>
      <c r="M177" s="58" t="str">
        <f t="shared" si="46"/>
        <v/>
      </c>
      <c r="N177" s="58" t="str">
        <f t="shared" si="47"/>
        <v/>
      </c>
      <c r="O177" s="65" t="str">
        <f t="shared" si="48"/>
        <v/>
      </c>
    </row>
    <row r="178" spans="1:15" x14ac:dyDescent="0.25">
      <c r="A178" s="64" t="s">
        <v>18</v>
      </c>
      <c r="B178" s="54" t="s">
        <v>19</v>
      </c>
      <c r="C178" s="55" t="s">
        <v>12</v>
      </c>
      <c r="D178" s="60" t="s">
        <v>93</v>
      </c>
      <c r="E178" s="60" t="s">
        <v>93</v>
      </c>
      <c r="F178" s="60" t="s">
        <v>93</v>
      </c>
      <c r="G178" s="57"/>
      <c r="H178" s="56"/>
      <c r="I178" s="56"/>
      <c r="J178" s="58" t="e">
        <f t="shared" si="49"/>
        <v>#VALUE!</v>
      </c>
      <c r="K178" s="58" t="e">
        <f t="shared" si="44"/>
        <v>#VALUE!</v>
      </c>
      <c r="L178" s="58" t="e">
        <f t="shared" si="45"/>
        <v>#VALUE!</v>
      </c>
      <c r="M178" s="58" t="str">
        <f t="shared" si="46"/>
        <v/>
      </c>
      <c r="N178" s="58" t="str">
        <f t="shared" si="47"/>
        <v/>
      </c>
      <c r="O178" s="65" t="str">
        <f t="shared" si="48"/>
        <v/>
      </c>
    </row>
    <row r="179" spans="1:15" x14ac:dyDescent="0.25">
      <c r="A179" s="147" t="s">
        <v>112</v>
      </c>
      <c r="B179" s="143"/>
      <c r="C179" s="143"/>
      <c r="D179" s="143"/>
      <c r="E179" s="143"/>
      <c r="F179" s="143"/>
      <c r="G179" s="143" t="s">
        <v>102</v>
      </c>
      <c r="H179" s="143"/>
      <c r="I179" s="61"/>
      <c r="J179" s="61"/>
      <c r="K179" s="61"/>
      <c r="L179" s="61"/>
      <c r="M179" s="61"/>
      <c r="N179" s="61"/>
      <c r="O179" s="66"/>
    </row>
    <row r="180" spans="1:15" ht="18.75" x14ac:dyDescent="0.3">
      <c r="A180" s="144" t="s">
        <v>89</v>
      </c>
      <c r="B180" s="145"/>
      <c r="C180" s="145"/>
      <c r="D180" s="145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6"/>
    </row>
    <row r="181" spans="1:15" x14ac:dyDescent="0.25">
      <c r="A181" s="137" t="s">
        <v>2</v>
      </c>
      <c r="B181" s="138"/>
      <c r="C181" s="138"/>
      <c r="D181" s="139" t="s">
        <v>20</v>
      </c>
      <c r="E181" s="139"/>
      <c r="F181" s="139"/>
      <c r="G181" s="139"/>
      <c r="H181" s="139"/>
      <c r="I181" s="139"/>
      <c r="J181" s="139" t="s">
        <v>23</v>
      </c>
      <c r="K181" s="139"/>
      <c r="L181" s="139"/>
      <c r="M181" s="139"/>
      <c r="N181" s="139"/>
      <c r="O181" s="140"/>
    </row>
    <row r="182" spans="1:15" x14ac:dyDescent="0.25">
      <c r="A182" s="62" t="s">
        <v>5</v>
      </c>
      <c r="B182" s="51" t="s">
        <v>6</v>
      </c>
      <c r="C182" s="51" t="s">
        <v>7</v>
      </c>
      <c r="D182" s="53">
        <v>1</v>
      </c>
      <c r="E182" s="53">
        <v>4</v>
      </c>
      <c r="F182" s="53">
        <v>16</v>
      </c>
      <c r="G182" s="53">
        <v>32</v>
      </c>
      <c r="H182" s="53">
        <v>64</v>
      </c>
      <c r="I182" s="53">
        <v>80</v>
      </c>
      <c r="J182" s="53">
        <v>1</v>
      </c>
      <c r="K182" s="53">
        <v>4</v>
      </c>
      <c r="L182" s="53">
        <v>16</v>
      </c>
      <c r="M182" s="53">
        <v>32</v>
      </c>
      <c r="N182" s="53">
        <v>64</v>
      </c>
      <c r="O182" s="63">
        <v>80</v>
      </c>
    </row>
    <row r="183" spans="1:15" x14ac:dyDescent="0.25">
      <c r="A183" s="64" t="s">
        <v>8</v>
      </c>
      <c r="B183" s="54" t="s">
        <v>9</v>
      </c>
      <c r="C183" s="54" t="s">
        <v>10</v>
      </c>
      <c r="D183" s="59">
        <f>IF(D173="","",(D173-'2016'!D191)/'2016'!D191)</f>
        <v>-0.30555946186659166</v>
      </c>
      <c r="E183" s="59">
        <f>IF(E173="","",(E173-'2016'!E191)/'2016'!E191)</f>
        <v>0.13266229962187784</v>
      </c>
      <c r="F183" s="59">
        <f>IF(F173="","",(F173-'2016'!F191)/'2016'!F191)</f>
        <v>-0.10535378835316218</v>
      </c>
      <c r="G183" s="59" t="str">
        <f>IF(G173="","",(G173-'2014'!#REF!)/'2014'!#REF!)</f>
        <v/>
      </c>
      <c r="H183" s="59" t="str">
        <f>IF(H173="","",(H173-'2014'!#REF!)/'2014'!#REF!)</f>
        <v/>
      </c>
      <c r="I183" s="58" t="str">
        <f>IF(I173="","",(I173-'2014'!#REF!)/'2014'!#REF!)</f>
        <v/>
      </c>
      <c r="J183" s="58"/>
      <c r="K183" s="58"/>
      <c r="L183" s="58"/>
      <c r="M183" s="58" t="str">
        <f>IF(G183="","",M173-((1/'Proto 2013'!#REF!)*1000000))</f>
        <v/>
      </c>
      <c r="N183" s="58" t="str">
        <f>IF(H183="","",N173-((1/'Proto 2013'!#REF!)*1000000))</f>
        <v/>
      </c>
      <c r="O183" s="65" t="str">
        <f>IF(I183="","",O173-((1/'Proto 2013'!#REF!)*1000000))</f>
        <v/>
      </c>
    </row>
    <row r="184" spans="1:15" x14ac:dyDescent="0.25">
      <c r="A184" s="64" t="s">
        <v>11</v>
      </c>
      <c r="B184" s="54" t="s">
        <v>9</v>
      </c>
      <c r="C184" s="54" t="s">
        <v>12</v>
      </c>
      <c r="D184" s="59">
        <f>IF(D174="","",(D174-'2016'!D192)/'2016'!D192)</f>
        <v>9.1023226616446951E-3</v>
      </c>
      <c r="E184" s="59">
        <f>IF(E174="","",(E174-'2016'!E192)/'2016'!E192)</f>
        <v>-2.6935146443514645E-2</v>
      </c>
      <c r="F184" s="59">
        <f>IF(F174="","",(F174-'2016'!F192)/'2016'!F192)</f>
        <v>-7.6536713704855302E-3</v>
      </c>
      <c r="G184" s="59" t="str">
        <f>IF(G174="","",(G174-'2014'!#REF!)/'2014'!#REF!)</f>
        <v/>
      </c>
      <c r="H184" s="59" t="str">
        <f>IF(H174="","",(H174-'2014'!#REF!)/'2014'!#REF!)</f>
        <v/>
      </c>
      <c r="I184" s="59" t="str">
        <f>IF(I174="","",(I174-'2014'!#REF!)/'2014'!#REF!)</f>
        <v/>
      </c>
      <c r="J184" s="58"/>
      <c r="K184" s="58"/>
      <c r="L184" s="58"/>
      <c r="M184" s="58" t="str">
        <f>IF(G184="","",M174-((1/'Proto 2013'!#REF!)*1000000))</f>
        <v/>
      </c>
      <c r="N184" s="58" t="str">
        <f>IF(H184="","",N174-((1/'Proto 2013'!#REF!)*1000000))</f>
        <v/>
      </c>
      <c r="O184" s="65" t="str">
        <f>IF(I184="","",O174-((1/'Proto 2013'!#REF!)*1000000))</f>
        <v/>
      </c>
    </row>
    <row r="185" spans="1:15" x14ac:dyDescent="0.25">
      <c r="A185" s="64" t="s">
        <v>13</v>
      </c>
      <c r="B185" s="54" t="s">
        <v>14</v>
      </c>
      <c r="C185" s="54" t="s">
        <v>10</v>
      </c>
      <c r="D185" s="59">
        <f>IF(D175="","",(D175-'2016'!D193)/'2016'!D193)</f>
        <v>-2.8378279794762054E-2</v>
      </c>
      <c r="E185" s="59">
        <f>IF(E175="","",(E175-'2016'!E193)/'2016'!E193)</f>
        <v>-6.0842521911224204E-2</v>
      </c>
      <c r="F185" s="59">
        <f>IF(F175="","",(F175-'2016'!F193)/'2016'!F193)</f>
        <v>1.9552079630287948E-3</v>
      </c>
      <c r="G185" s="59" t="str">
        <f>IF(G175="","",(G175-'2014'!#REF!)/'2014'!#REF!)</f>
        <v/>
      </c>
      <c r="H185" s="59" t="str">
        <f>IF(H175="","",(H175-'2014'!#REF!)/'2014'!#REF!)</f>
        <v/>
      </c>
      <c r="I185" s="59" t="str">
        <f>IF(I175="","",(I175-'2014'!#REF!)/'2014'!#REF!)</f>
        <v/>
      </c>
      <c r="J185" s="58"/>
      <c r="K185" s="58"/>
      <c r="L185" s="58"/>
      <c r="M185" s="58" t="str">
        <f>IF(G185="","",M175-((1/'Proto 2013'!#REF!)*1000000))</f>
        <v/>
      </c>
      <c r="N185" s="58" t="str">
        <f>IF(H185="","",N175-((1/'Proto 2013'!#REF!)*1000000))</f>
        <v/>
      </c>
      <c r="O185" s="65" t="str">
        <f>IF(I185="","",O175-((1/'Proto 2013'!#REF!)*1000000))</f>
        <v/>
      </c>
    </row>
    <row r="186" spans="1:15" x14ac:dyDescent="0.25">
      <c r="A186" s="64" t="s">
        <v>15</v>
      </c>
      <c r="B186" s="54" t="s">
        <v>14</v>
      </c>
      <c r="C186" s="54" t="s">
        <v>12</v>
      </c>
      <c r="D186" s="59">
        <f>IF(D176="","",(D176-'2016'!D194)/'2016'!D194)</f>
        <v>0</v>
      </c>
      <c r="E186" s="59">
        <f>IF(E176="","",(E176-'2016'!E194)/'2016'!E194)</f>
        <v>-1.6924842226047045E-2</v>
      </c>
      <c r="F186" s="59">
        <f>IF(F176="","",(F176-'2016'!F194)/'2016'!F194)</f>
        <v>2.9191215854311729E-2</v>
      </c>
      <c r="G186" s="59" t="str">
        <f>IF(G176="","",(G176-'2014'!#REF!)/'2014'!#REF!)</f>
        <v/>
      </c>
      <c r="H186" s="59" t="str">
        <f>IF(H176="","",(H176-'2014'!#REF!)/'2014'!#REF!)</f>
        <v/>
      </c>
      <c r="I186" s="59" t="str">
        <f>IF(I176="","",(I176-'2014'!#REF!)/'2014'!#REF!)</f>
        <v/>
      </c>
      <c r="J186" s="58"/>
      <c r="K186" s="58"/>
      <c r="L186" s="58"/>
      <c r="M186" s="58" t="str">
        <f>IF(G186="","",M176-((1/'Proto 2013'!#REF!)*1000000))</f>
        <v/>
      </c>
      <c r="N186" s="58" t="str">
        <f>IF(H186="","",N176-((1/'Proto 2013'!#REF!)*1000000))</f>
        <v/>
      </c>
      <c r="O186" s="65" t="str">
        <f>IF(I186="","",O176-((1/'Proto 2013'!#REF!)*1000000))</f>
        <v/>
      </c>
    </row>
    <row r="187" spans="1:15" x14ac:dyDescent="0.25">
      <c r="A187" s="64" t="s">
        <v>16</v>
      </c>
      <c r="B187" s="54" t="s">
        <v>17</v>
      </c>
      <c r="C187" s="54" t="s">
        <v>12</v>
      </c>
      <c r="D187" s="59">
        <f>IF(D177="","",(D177-'2016'!D195)/'2016'!D195)</f>
        <v>3.4731246308328412E-2</v>
      </c>
      <c r="E187" s="59" t="e">
        <f>IF(E177="","",(E177-'2016'!E195)/'2016'!E195)</f>
        <v>#VALUE!</v>
      </c>
      <c r="F187" s="59" t="e">
        <f>IF(F177="","",(F177-'2016'!F195)/'2016'!F195)</f>
        <v>#VALUE!</v>
      </c>
      <c r="G187" s="59" t="str">
        <f>IF(G177="","",(G177-'2014'!#REF!)/'2014'!#REF!)</f>
        <v/>
      </c>
      <c r="H187" s="59" t="str">
        <f>IF(H177="","",(H177-'2014'!#REF!)/'2014'!#REF!)</f>
        <v/>
      </c>
      <c r="I187" s="59" t="str">
        <f>IF(I177="","",(I177-'2014'!#REF!)/'2014'!#REF!)</f>
        <v/>
      </c>
      <c r="J187" s="58"/>
      <c r="K187" s="58"/>
      <c r="L187" s="58"/>
      <c r="M187" s="58" t="str">
        <f>IF(G187="","",M177-((1/'Proto 2013'!#REF!)*1000000))</f>
        <v/>
      </c>
      <c r="N187" s="58" t="str">
        <f>IF(H187="","",N177-((1/'Proto 2013'!#REF!)*1000000))</f>
        <v/>
      </c>
      <c r="O187" s="65" t="str">
        <f>IF(I187="","",O177-((1/'Proto 2013'!#REF!)*1000000))</f>
        <v/>
      </c>
    </row>
    <row r="188" spans="1:15" x14ac:dyDescent="0.25">
      <c r="A188" s="64" t="s">
        <v>18</v>
      </c>
      <c r="B188" s="54" t="s">
        <v>19</v>
      </c>
      <c r="C188" s="54" t="s">
        <v>12</v>
      </c>
      <c r="D188" s="59" t="e">
        <f>IF(D178="","",(D178-'2016'!D196)/'2016'!D196)</f>
        <v>#VALUE!</v>
      </c>
      <c r="E188" s="59" t="e">
        <f>IF(E178="","",(E178-'2016'!E196)/'2016'!E196)</f>
        <v>#VALUE!</v>
      </c>
      <c r="F188" s="59" t="e">
        <f>IF(F178="","",(F178-'2016'!F196)/'2016'!F196)</f>
        <v>#VALUE!</v>
      </c>
      <c r="G188" s="59" t="str">
        <f>IF(G178="","",(G178-'2014'!#REF!)/'2014'!#REF!)</f>
        <v/>
      </c>
      <c r="H188" s="59" t="str">
        <f>IF(H178="","",(H178-'2014'!#REF!)/'2014'!#REF!)</f>
        <v/>
      </c>
      <c r="I188" s="59" t="str">
        <f>IF(I178="","",(I178-'2014'!#REF!)/'2014'!#REF!)</f>
        <v/>
      </c>
      <c r="J188" s="58"/>
      <c r="K188" s="58"/>
      <c r="L188" s="58"/>
      <c r="M188" s="58" t="str">
        <f>IF(G188="","",M178-((1/'Proto 2013'!#REF!)*1000000))</f>
        <v/>
      </c>
      <c r="N188" s="58" t="str">
        <f>IF(H188="","",N178-((1/'Proto 2013'!#REF!)*1000000))</f>
        <v/>
      </c>
      <c r="O188" s="65" t="str">
        <f>IF(I188="","",O178-((1/'Proto 2013'!#REF!)*1000000))</f>
        <v/>
      </c>
    </row>
    <row r="189" spans="1:15" ht="15.75" thickBot="1" x14ac:dyDescent="0.3">
      <c r="A189" s="67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9"/>
    </row>
    <row r="190" spans="1:15" ht="18.75" x14ac:dyDescent="0.25">
      <c r="A190" s="131" t="s">
        <v>90</v>
      </c>
      <c r="B190" s="132"/>
      <c r="C190" s="132"/>
      <c r="D190" s="132"/>
      <c r="E190" s="132"/>
      <c r="F190" s="132"/>
      <c r="G190" s="132"/>
      <c r="H190" s="132"/>
      <c r="I190" s="132"/>
      <c r="J190" s="132"/>
      <c r="K190" s="132"/>
      <c r="L190" s="132"/>
      <c r="M190" s="132"/>
      <c r="N190" s="132"/>
      <c r="O190" s="133"/>
    </row>
    <row r="191" spans="1:15" ht="15.75" x14ac:dyDescent="0.25">
      <c r="A191" s="134" t="s">
        <v>115</v>
      </c>
      <c r="B191" s="135"/>
      <c r="C191" s="135"/>
      <c r="D191" s="135"/>
      <c r="E191" s="135"/>
      <c r="F191" s="135"/>
      <c r="G191" s="135"/>
      <c r="H191" s="135"/>
      <c r="I191" s="135"/>
      <c r="J191" s="135"/>
      <c r="K191" s="135"/>
      <c r="L191" s="135"/>
      <c r="M191" s="135"/>
      <c r="N191" s="135"/>
      <c r="O191" s="136"/>
    </row>
    <row r="192" spans="1:15" x14ac:dyDescent="0.25">
      <c r="A192" s="137" t="s">
        <v>2</v>
      </c>
      <c r="B192" s="138"/>
      <c r="C192" s="138"/>
      <c r="D192" s="139" t="s">
        <v>3</v>
      </c>
      <c r="E192" s="139"/>
      <c r="F192" s="139"/>
      <c r="G192" s="139"/>
      <c r="H192" s="139"/>
      <c r="I192" s="139"/>
      <c r="J192" s="139" t="s">
        <v>4</v>
      </c>
      <c r="K192" s="139"/>
      <c r="L192" s="139"/>
      <c r="M192" s="139"/>
      <c r="N192" s="139"/>
      <c r="O192" s="140"/>
    </row>
    <row r="193" spans="1:15" x14ac:dyDescent="0.25">
      <c r="A193" s="62" t="s">
        <v>5</v>
      </c>
      <c r="B193" s="51" t="s">
        <v>6</v>
      </c>
      <c r="C193" s="51" t="s">
        <v>7</v>
      </c>
      <c r="D193" s="52">
        <v>1</v>
      </c>
      <c r="E193" s="52">
        <v>4</v>
      </c>
      <c r="F193" s="52">
        <v>16</v>
      </c>
      <c r="G193" s="53">
        <v>32</v>
      </c>
      <c r="H193" s="53">
        <v>64</v>
      </c>
      <c r="I193" s="53">
        <v>80</v>
      </c>
      <c r="J193" s="53">
        <v>1</v>
      </c>
      <c r="K193" s="53">
        <v>4</v>
      </c>
      <c r="L193" s="53">
        <v>16</v>
      </c>
      <c r="M193" s="53">
        <v>32</v>
      </c>
      <c r="N193" s="53">
        <v>64</v>
      </c>
      <c r="O193" s="63">
        <v>80</v>
      </c>
    </row>
    <row r="194" spans="1:15" x14ac:dyDescent="0.25">
      <c r="A194" s="64" t="s">
        <v>8</v>
      </c>
      <c r="B194" s="54" t="s">
        <v>9</v>
      </c>
      <c r="C194" s="55" t="s">
        <v>10</v>
      </c>
      <c r="D194" s="60">
        <v>45612</v>
      </c>
      <c r="E194" s="60">
        <v>18777</v>
      </c>
      <c r="F194" s="60">
        <v>5715</v>
      </c>
      <c r="G194" s="57"/>
      <c r="H194" s="56"/>
      <c r="I194" s="56"/>
      <c r="J194" s="58">
        <f>IF(D194="","",(1/D194)*1000000)</f>
        <v>21.924055073226342</v>
      </c>
      <c r="K194" s="58">
        <f t="shared" ref="K194:K199" si="50">IF(E194="","",(1/E194)*1000000)</f>
        <v>53.256643766309843</v>
      </c>
      <c r="L194" s="58">
        <f t="shared" ref="L194:L199" si="51">IF(F194="","",(1/F194)*1000000)</f>
        <v>174.97812773403322</v>
      </c>
      <c r="M194" s="58" t="str">
        <f t="shared" ref="M194:M199" si="52">IF(G194="","",(1/G194)*1000000)</f>
        <v/>
      </c>
      <c r="N194" s="58" t="str">
        <f t="shared" ref="N194:N199" si="53">IF(H194="","",(1/H194)*1000000)</f>
        <v/>
      </c>
      <c r="O194" s="65" t="str">
        <f t="shared" ref="O194:O199" si="54">IF(I194="","",(1/I194)*1000000)</f>
        <v/>
      </c>
    </row>
    <row r="195" spans="1:15" x14ac:dyDescent="0.25">
      <c r="A195" s="64" t="s">
        <v>11</v>
      </c>
      <c r="B195" s="54" t="s">
        <v>9</v>
      </c>
      <c r="C195" s="55" t="s">
        <v>12</v>
      </c>
      <c r="D195" s="60">
        <v>9120</v>
      </c>
      <c r="E195" s="60">
        <v>7704</v>
      </c>
      <c r="F195" s="60">
        <v>4096</v>
      </c>
      <c r="G195" s="57"/>
      <c r="H195" s="56"/>
      <c r="I195" s="56"/>
      <c r="J195" s="58">
        <f t="shared" ref="J195:J199" si="55">IF(D195="","",(1/D195)*1000000)</f>
        <v>109.64912280701755</v>
      </c>
      <c r="K195" s="58">
        <f t="shared" si="50"/>
        <v>129.80269989615783</v>
      </c>
      <c r="L195" s="58">
        <f t="shared" si="51"/>
        <v>244.140625</v>
      </c>
      <c r="M195" s="58" t="str">
        <f t="shared" si="52"/>
        <v/>
      </c>
      <c r="N195" s="58" t="str">
        <f t="shared" si="53"/>
        <v/>
      </c>
      <c r="O195" s="65" t="str">
        <f t="shared" si="54"/>
        <v/>
      </c>
    </row>
    <row r="196" spans="1:15" x14ac:dyDescent="0.25">
      <c r="A196" s="64" t="s">
        <v>13</v>
      </c>
      <c r="B196" s="54" t="s">
        <v>14</v>
      </c>
      <c r="C196" s="55" t="s">
        <v>10</v>
      </c>
      <c r="D196" s="60">
        <v>37745</v>
      </c>
      <c r="E196" s="60">
        <v>16523</v>
      </c>
      <c r="F196" s="60">
        <v>5562</v>
      </c>
      <c r="G196" s="57"/>
      <c r="H196" s="56"/>
      <c r="I196" s="56"/>
      <c r="J196" s="58">
        <f t="shared" si="55"/>
        <v>26.493575307987811</v>
      </c>
      <c r="K196" s="58">
        <f t="shared" si="50"/>
        <v>60.521697028384679</v>
      </c>
      <c r="L196" s="58">
        <f t="shared" si="51"/>
        <v>179.79144192736425</v>
      </c>
      <c r="M196" s="58" t="str">
        <f t="shared" si="52"/>
        <v/>
      </c>
      <c r="N196" s="58" t="str">
        <f t="shared" si="53"/>
        <v/>
      </c>
      <c r="O196" s="65" t="str">
        <f t="shared" si="54"/>
        <v/>
      </c>
    </row>
    <row r="197" spans="1:15" x14ac:dyDescent="0.25">
      <c r="A197" s="64" t="s">
        <v>15</v>
      </c>
      <c r="B197" s="54" t="s">
        <v>14</v>
      </c>
      <c r="C197" s="55" t="s">
        <v>12</v>
      </c>
      <c r="D197" s="60">
        <v>8010</v>
      </c>
      <c r="E197" s="60">
        <v>7054</v>
      </c>
      <c r="F197" s="60">
        <v>3817</v>
      </c>
      <c r="G197" s="57"/>
      <c r="H197" s="56"/>
      <c r="I197" s="56"/>
      <c r="J197" s="58">
        <f t="shared" si="55"/>
        <v>124.84394506866417</v>
      </c>
      <c r="K197" s="58">
        <f t="shared" si="50"/>
        <v>141.76353841791891</v>
      </c>
      <c r="L197" s="58">
        <f t="shared" si="51"/>
        <v>261.98585276395079</v>
      </c>
      <c r="M197" s="58" t="str">
        <f t="shared" si="52"/>
        <v/>
      </c>
      <c r="N197" s="58" t="str">
        <f t="shared" si="53"/>
        <v/>
      </c>
      <c r="O197" s="65" t="str">
        <f t="shared" si="54"/>
        <v/>
      </c>
    </row>
    <row r="198" spans="1:15" x14ac:dyDescent="0.25">
      <c r="A198" s="64" t="s">
        <v>16</v>
      </c>
      <c r="B198" s="54" t="s">
        <v>17</v>
      </c>
      <c r="C198" s="55" t="s">
        <v>12</v>
      </c>
      <c r="D198" s="60">
        <v>8594</v>
      </c>
      <c r="E198" s="60">
        <v>6281</v>
      </c>
      <c r="F198" s="60">
        <v>3843</v>
      </c>
      <c r="G198" s="57"/>
      <c r="H198" s="56"/>
      <c r="I198" s="56"/>
      <c r="J198" s="58">
        <f t="shared" si="55"/>
        <v>116.36025133814289</v>
      </c>
      <c r="K198" s="58">
        <f t="shared" si="50"/>
        <v>159.21031682853049</v>
      </c>
      <c r="L198" s="58">
        <f t="shared" si="51"/>
        <v>260.21337496747333</v>
      </c>
      <c r="M198" s="58" t="str">
        <f t="shared" si="52"/>
        <v/>
      </c>
      <c r="N198" s="58" t="str">
        <f t="shared" si="53"/>
        <v/>
      </c>
      <c r="O198" s="65" t="str">
        <f t="shared" si="54"/>
        <v/>
      </c>
    </row>
    <row r="199" spans="1:15" x14ac:dyDescent="0.25">
      <c r="A199" s="64" t="s">
        <v>18</v>
      </c>
      <c r="B199" s="54" t="s">
        <v>19</v>
      </c>
      <c r="C199" s="55" t="s">
        <v>12</v>
      </c>
      <c r="D199" s="60">
        <v>8010</v>
      </c>
      <c r="E199" s="60">
        <v>6612</v>
      </c>
      <c r="F199" s="60">
        <v>3822</v>
      </c>
      <c r="G199" s="57"/>
      <c r="H199" s="56"/>
      <c r="I199" s="56"/>
      <c r="J199" s="58">
        <f t="shared" si="55"/>
        <v>124.84394506866417</v>
      </c>
      <c r="K199" s="58">
        <f t="shared" si="50"/>
        <v>151.24016938898973</v>
      </c>
      <c r="L199" s="58">
        <f t="shared" si="51"/>
        <v>261.64311878597596</v>
      </c>
      <c r="M199" s="58" t="str">
        <f t="shared" si="52"/>
        <v/>
      </c>
      <c r="N199" s="58" t="str">
        <f t="shared" si="53"/>
        <v/>
      </c>
      <c r="O199" s="65" t="str">
        <f t="shared" si="54"/>
        <v/>
      </c>
    </row>
    <row r="200" spans="1:15" x14ac:dyDescent="0.25">
      <c r="A200" s="147" t="s">
        <v>116</v>
      </c>
      <c r="B200" s="143"/>
      <c r="C200" s="143"/>
      <c r="D200" s="143"/>
      <c r="E200" s="143"/>
      <c r="F200" s="143"/>
      <c r="G200" s="143" t="s">
        <v>102</v>
      </c>
      <c r="H200" s="143"/>
      <c r="I200" s="61"/>
      <c r="J200" s="61"/>
      <c r="K200" s="61"/>
      <c r="L200" s="61"/>
      <c r="M200" s="61"/>
      <c r="N200" s="61"/>
      <c r="O200" s="66"/>
    </row>
    <row r="201" spans="1:15" ht="18.75" x14ac:dyDescent="0.3">
      <c r="A201" s="144" t="s">
        <v>89</v>
      </c>
      <c r="B201" s="145"/>
      <c r="C201" s="145"/>
      <c r="D201" s="145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6"/>
    </row>
    <row r="202" spans="1:15" x14ac:dyDescent="0.25">
      <c r="A202" s="137" t="s">
        <v>2</v>
      </c>
      <c r="B202" s="138"/>
      <c r="C202" s="138"/>
      <c r="D202" s="139" t="s">
        <v>20</v>
      </c>
      <c r="E202" s="139"/>
      <c r="F202" s="139"/>
      <c r="G202" s="139"/>
      <c r="H202" s="139"/>
      <c r="I202" s="139"/>
      <c r="J202" s="139" t="s">
        <v>23</v>
      </c>
      <c r="K202" s="139"/>
      <c r="L202" s="139"/>
      <c r="M202" s="139"/>
      <c r="N202" s="139"/>
      <c r="O202" s="140"/>
    </row>
    <row r="203" spans="1:15" x14ac:dyDescent="0.25">
      <c r="A203" s="62" t="s">
        <v>5</v>
      </c>
      <c r="B203" s="51" t="s">
        <v>6</v>
      </c>
      <c r="C203" s="51" t="s">
        <v>7</v>
      </c>
      <c r="D203" s="53">
        <v>1</v>
      </c>
      <c r="E203" s="53">
        <v>4</v>
      </c>
      <c r="F203" s="53">
        <v>16</v>
      </c>
      <c r="G203" s="53">
        <v>32</v>
      </c>
      <c r="H203" s="53">
        <v>64</v>
      </c>
      <c r="I203" s="53">
        <v>80</v>
      </c>
      <c r="J203" s="53">
        <v>1</v>
      </c>
      <c r="K203" s="53">
        <v>4</v>
      </c>
      <c r="L203" s="53">
        <v>16</v>
      </c>
      <c r="M203" s="53">
        <v>32</v>
      </c>
      <c r="N203" s="53">
        <v>64</v>
      </c>
      <c r="O203" s="63">
        <v>80</v>
      </c>
    </row>
    <row r="204" spans="1:15" x14ac:dyDescent="0.25">
      <c r="A204" s="64" t="s">
        <v>8</v>
      </c>
      <c r="B204" s="54" t="s">
        <v>9</v>
      </c>
      <c r="C204" s="54" t="s">
        <v>10</v>
      </c>
      <c r="D204" s="59">
        <f>IF(D194="","",(D194-'2016'!D191)/'2016'!D191)</f>
        <v>6.9047953874279283E-2</v>
      </c>
      <c r="E204" s="59">
        <f>IF(E194="","",(E194-'2016'!E191)/'2016'!E191)</f>
        <v>0</v>
      </c>
      <c r="F204" s="59">
        <f>IF(F194="","",(F194-'2016'!F191)/'2016'!F191)</f>
        <v>-0.10535378835316218</v>
      </c>
      <c r="G204" s="59" t="str">
        <f>IF(G194="","",(G194-'2014'!#REF!)/'2014'!#REF!)</f>
        <v/>
      </c>
      <c r="H204" s="59" t="str">
        <f>IF(H194="","",(H194-'2014'!#REF!)/'2014'!#REF!)</f>
        <v/>
      </c>
      <c r="I204" s="58" t="str">
        <f>IF(I194="","",(I194-'2014'!#REF!)/'2014'!#REF!)</f>
        <v/>
      </c>
      <c r="J204" s="58"/>
      <c r="K204" s="58"/>
      <c r="L204" s="58"/>
      <c r="M204" s="58" t="str">
        <f>IF(G204="","",M194-((1/'Proto 2013'!#REF!)*1000000))</f>
        <v/>
      </c>
      <c r="N204" s="58" t="str">
        <f>IF(H204="","",N194-((1/'Proto 2013'!#REF!)*1000000))</f>
        <v/>
      </c>
      <c r="O204" s="65" t="str">
        <f>IF(I204="","",O194-((1/'Proto 2013'!#REF!)*1000000))</f>
        <v/>
      </c>
    </row>
    <row r="205" spans="1:15" x14ac:dyDescent="0.25">
      <c r="A205" s="64" t="s">
        <v>11</v>
      </c>
      <c r="B205" s="54" t="s">
        <v>9</v>
      </c>
      <c r="C205" s="54" t="s">
        <v>12</v>
      </c>
      <c r="D205" s="59">
        <f>IF(D195="","",(D195-'2016'!D192)/'2016'!D192)</f>
        <v>-4.5825486503452605E-2</v>
      </c>
      <c r="E205" s="59">
        <f>IF(E195="","",(E195-'2016'!E192)/'2016'!E192)</f>
        <v>7.3221757322175732E-3</v>
      </c>
      <c r="F205" s="59">
        <f>IF(F195="","",(F195-'2016'!F192)/'2016'!F192)</f>
        <v>-2.0330064577852188E-2</v>
      </c>
      <c r="G205" s="59" t="str">
        <f>IF(G195="","",(G195-'2014'!#REF!)/'2014'!#REF!)</f>
        <v/>
      </c>
      <c r="H205" s="59" t="str">
        <f>IF(H195="","",(H195-'2014'!#REF!)/'2014'!#REF!)</f>
        <v/>
      </c>
      <c r="I205" s="59" t="str">
        <f>IF(I195="","",(I195-'2014'!#REF!)/'2014'!#REF!)</f>
        <v/>
      </c>
      <c r="J205" s="58"/>
      <c r="K205" s="58"/>
      <c r="L205" s="58"/>
      <c r="M205" s="58" t="str">
        <f>IF(G205="","",M195-((1/'Proto 2013'!#REF!)*1000000))</f>
        <v/>
      </c>
      <c r="N205" s="58" t="str">
        <f>IF(H205="","",N195-((1/'Proto 2013'!#REF!)*1000000))</f>
        <v/>
      </c>
      <c r="O205" s="65" t="str">
        <f>IF(I205="","",O195-((1/'Proto 2013'!#REF!)*1000000))</f>
        <v/>
      </c>
    </row>
    <row r="206" spans="1:15" x14ac:dyDescent="0.25">
      <c r="A206" s="64" t="s">
        <v>13</v>
      </c>
      <c r="B206" s="54" t="s">
        <v>14</v>
      </c>
      <c r="C206" s="54" t="s">
        <v>10</v>
      </c>
      <c r="D206" s="59">
        <f>IF(D196="","",(D196-'2016'!D193)/'2016'!D193)</f>
        <v>-8.2143812465043889E-2</v>
      </c>
      <c r="E206" s="59">
        <f>IF(E196="","",(E196-'2016'!E193)/'2016'!E193)</f>
        <v>-6.5705400056545099E-2</v>
      </c>
      <c r="F206" s="59">
        <f>IF(F196="","",(F196-'2016'!F193)/'2016'!F193)</f>
        <v>-1.1375755421258443E-2</v>
      </c>
      <c r="G206" s="59" t="str">
        <f>IF(G196="","",(G196-'2014'!#REF!)/'2014'!#REF!)</f>
        <v/>
      </c>
      <c r="H206" s="59" t="str">
        <f>IF(H196="","",(H196-'2014'!#REF!)/'2014'!#REF!)</f>
        <v/>
      </c>
      <c r="I206" s="59" t="str">
        <f>IF(I196="","",(I196-'2014'!#REF!)/'2014'!#REF!)</f>
        <v/>
      </c>
      <c r="J206" s="58"/>
      <c r="K206" s="58"/>
      <c r="L206" s="58"/>
      <c r="M206" s="58" t="str">
        <f>IF(G206="","",M196-((1/'Proto 2013'!#REF!)*1000000))</f>
        <v/>
      </c>
      <c r="N206" s="58" t="str">
        <f>IF(H206="","",N196-((1/'Proto 2013'!#REF!)*1000000))</f>
        <v/>
      </c>
      <c r="O206" s="65" t="str">
        <f>IF(I206="","",O196-((1/'Proto 2013'!#REF!)*1000000))</f>
        <v/>
      </c>
    </row>
    <row r="207" spans="1:15" x14ac:dyDescent="0.25">
      <c r="A207" s="64" t="s">
        <v>15</v>
      </c>
      <c r="B207" s="54" t="s">
        <v>14</v>
      </c>
      <c r="C207" s="54" t="s">
        <v>12</v>
      </c>
      <c r="D207" s="59">
        <f>IF(D197="","",(D197-'2016'!D194)/'2016'!D194)</f>
        <v>-0.12934782608695652</v>
      </c>
      <c r="E207" s="59">
        <f>IF(E197="","",(E197-'2016'!E194)/'2016'!E194)</f>
        <v>1.1761331038439472E-2</v>
      </c>
      <c r="F207" s="59">
        <f>IF(F197="","",(F197-'2016'!F194)/'2016'!F194)</f>
        <v>2.2228173540439208E-2</v>
      </c>
      <c r="G207" s="59" t="str">
        <f>IF(G197="","",(G197-'2014'!#REF!)/'2014'!#REF!)</f>
        <v/>
      </c>
      <c r="H207" s="59" t="str">
        <f>IF(H197="","",(H197-'2014'!#REF!)/'2014'!#REF!)</f>
        <v/>
      </c>
      <c r="I207" s="59" t="str">
        <f>IF(I197="","",(I197-'2014'!#REF!)/'2014'!#REF!)</f>
        <v/>
      </c>
      <c r="J207" s="58"/>
      <c r="K207" s="58"/>
      <c r="L207" s="58"/>
      <c r="M207" s="58" t="str">
        <f>IF(G207="","",M197-((1/'Proto 2013'!#REF!)*1000000))</f>
        <v/>
      </c>
      <c r="N207" s="58" t="str">
        <f>IF(H207="","",N197-((1/'Proto 2013'!#REF!)*1000000))</f>
        <v/>
      </c>
      <c r="O207" s="65" t="str">
        <f>IF(I207="","",O197-((1/'Proto 2013'!#REF!)*1000000))</f>
        <v/>
      </c>
    </row>
    <row r="208" spans="1:15" x14ac:dyDescent="0.25">
      <c r="A208" s="64" t="s">
        <v>16</v>
      </c>
      <c r="B208" s="54" t="s">
        <v>17</v>
      </c>
      <c r="C208" s="54" t="s">
        <v>12</v>
      </c>
      <c r="D208" s="59">
        <f>IF(D198="","",(D198-'2016'!D195)/'2016'!D195)</f>
        <v>1.5239220318960425E-2</v>
      </c>
      <c r="E208" s="59">
        <f>IF(E198="","",(E198-'2016'!E195)/'2016'!E195)</f>
        <v>-0.13329653649786119</v>
      </c>
      <c r="F208" s="59">
        <f>IF(F198="","",(F198-'2016'!F195)/'2016'!F195)</f>
        <v>-2.6349125918419054E-2</v>
      </c>
      <c r="G208" s="59" t="str">
        <f>IF(G198="","",(G198-'2014'!#REF!)/'2014'!#REF!)</f>
        <v/>
      </c>
      <c r="H208" s="59" t="str">
        <f>IF(H198="","",(H198-'2014'!#REF!)/'2014'!#REF!)</f>
        <v/>
      </c>
      <c r="I208" s="59" t="str">
        <f>IF(I198="","",(I198-'2014'!#REF!)/'2014'!#REF!)</f>
        <v/>
      </c>
      <c r="J208" s="58"/>
      <c r="K208" s="58"/>
      <c r="L208" s="58"/>
      <c r="M208" s="58" t="str">
        <f>IF(G208="","",M198-((1/'Proto 2013'!#REF!)*1000000))</f>
        <v/>
      </c>
      <c r="N208" s="58" t="str">
        <f>IF(H208="","",N198-((1/'Proto 2013'!#REF!)*1000000))</f>
        <v/>
      </c>
      <c r="O208" s="65" t="str">
        <f>IF(I208="","",O198-((1/'Proto 2013'!#REF!)*1000000))</f>
        <v/>
      </c>
    </row>
    <row r="209" spans="1:15" ht="15.75" thickBot="1" x14ac:dyDescent="0.3">
      <c r="A209" s="70" t="s">
        <v>18</v>
      </c>
      <c r="B209" s="71" t="s">
        <v>19</v>
      </c>
      <c r="C209" s="71" t="s">
        <v>12</v>
      </c>
      <c r="D209" s="72">
        <f>IF(D199="","",(D199-'2016'!D196)/'2016'!D196)</f>
        <v>0</v>
      </c>
      <c r="E209" s="72">
        <f>IF(E199="","",(E199-'2016'!E196)/'2016'!E196)</f>
        <v>-9.4382022471910104E-3</v>
      </c>
      <c r="F209" s="72">
        <f>IF(F199="","",(F199-'2016'!F196)/'2016'!F196)</f>
        <v>-3.9939713639788994E-2</v>
      </c>
      <c r="G209" s="72" t="str">
        <f>IF(G199="","",(G199-'2014'!#REF!)/'2014'!#REF!)</f>
        <v/>
      </c>
      <c r="H209" s="72" t="str">
        <f>IF(H199="","",(H199-'2014'!#REF!)/'2014'!#REF!)</f>
        <v/>
      </c>
      <c r="I209" s="72" t="str">
        <f>IF(I199="","",(I199-'2014'!#REF!)/'2014'!#REF!)</f>
        <v/>
      </c>
      <c r="J209" s="73"/>
      <c r="K209" s="73"/>
      <c r="L209" s="73"/>
      <c r="M209" s="73" t="str">
        <f>IF(G209="","",M199-((1/'Proto 2013'!#REF!)*1000000))</f>
        <v/>
      </c>
      <c r="N209" s="73" t="str">
        <f>IF(H209="","",N199-((1/'Proto 2013'!#REF!)*1000000))</f>
        <v/>
      </c>
      <c r="O209" s="74" t="str">
        <f>IF(I209="","",O199-((1/'Proto 2013'!#REF!)*1000000))</f>
        <v/>
      </c>
    </row>
    <row r="210" spans="1:15" ht="18.75" x14ac:dyDescent="0.25">
      <c r="A210" s="131" t="s">
        <v>90</v>
      </c>
      <c r="B210" s="132"/>
      <c r="C210" s="132"/>
      <c r="D210" s="132"/>
      <c r="E210" s="132"/>
      <c r="F210" s="132"/>
      <c r="G210" s="132"/>
      <c r="H210" s="132"/>
      <c r="I210" s="132"/>
      <c r="J210" s="132"/>
      <c r="K210" s="132"/>
      <c r="L210" s="132"/>
      <c r="M210" s="132"/>
      <c r="N210" s="132"/>
      <c r="O210" s="133"/>
    </row>
    <row r="211" spans="1:15" ht="15.75" x14ac:dyDescent="0.25">
      <c r="A211" s="134" t="s">
        <v>117</v>
      </c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6"/>
    </row>
    <row r="212" spans="1:15" x14ac:dyDescent="0.25">
      <c r="A212" s="137" t="s">
        <v>2</v>
      </c>
      <c r="B212" s="138"/>
      <c r="C212" s="138"/>
      <c r="D212" s="139" t="s">
        <v>3</v>
      </c>
      <c r="E212" s="139"/>
      <c r="F212" s="139"/>
      <c r="G212" s="139"/>
      <c r="H212" s="139"/>
      <c r="I212" s="139"/>
      <c r="J212" s="139" t="s">
        <v>4</v>
      </c>
      <c r="K212" s="139"/>
      <c r="L212" s="139"/>
      <c r="M212" s="139"/>
      <c r="N212" s="139"/>
      <c r="O212" s="140"/>
    </row>
    <row r="213" spans="1:15" x14ac:dyDescent="0.25">
      <c r="A213" s="62" t="s">
        <v>5</v>
      </c>
      <c r="B213" s="51" t="s">
        <v>6</v>
      </c>
      <c r="C213" s="51" t="s">
        <v>7</v>
      </c>
      <c r="D213" s="52">
        <v>1</v>
      </c>
      <c r="E213" s="52">
        <v>4</v>
      </c>
      <c r="F213" s="52">
        <v>16</v>
      </c>
      <c r="G213" s="53">
        <v>32</v>
      </c>
      <c r="H213" s="53">
        <v>64</v>
      </c>
      <c r="I213" s="53">
        <v>80</v>
      </c>
      <c r="J213" s="53">
        <v>1</v>
      </c>
      <c r="K213" s="53">
        <v>4</v>
      </c>
      <c r="L213" s="53">
        <v>16</v>
      </c>
      <c r="M213" s="53">
        <v>32</v>
      </c>
      <c r="N213" s="53">
        <v>64</v>
      </c>
      <c r="O213" s="63">
        <v>80</v>
      </c>
    </row>
    <row r="214" spans="1:15" x14ac:dyDescent="0.25">
      <c r="A214" s="64" t="s">
        <v>8</v>
      </c>
      <c r="B214" s="54" t="s">
        <v>9</v>
      </c>
      <c r="C214" s="55" t="s">
        <v>10</v>
      </c>
      <c r="D214" s="60">
        <v>21419</v>
      </c>
      <c r="E214" s="60">
        <v>13040</v>
      </c>
      <c r="F214" s="60">
        <v>5003</v>
      </c>
      <c r="G214" s="57"/>
      <c r="H214" s="56"/>
      <c r="I214" s="56"/>
      <c r="J214" s="58">
        <f>IF(D214="","",(1/D214)*1000000)</f>
        <v>46.687520425790183</v>
      </c>
      <c r="K214" s="58">
        <f t="shared" ref="K214:K219" si="56">IF(E214="","",(1/E214)*1000000)</f>
        <v>76.687116564417181</v>
      </c>
      <c r="L214" s="58">
        <f t="shared" ref="L214:L219" si="57">IF(F214="","",(1/F214)*1000000)</f>
        <v>199.8800719568259</v>
      </c>
      <c r="M214" s="58" t="str">
        <f t="shared" ref="M214:M219" si="58">IF(G214="","",(1/G214)*1000000)</f>
        <v/>
      </c>
      <c r="N214" s="58" t="str">
        <f t="shared" ref="N214:N219" si="59">IF(H214="","",(1/H214)*1000000)</f>
        <v/>
      </c>
      <c r="O214" s="65" t="str">
        <f t="shared" ref="O214:O219" si="60">IF(I214="","",(1/I214)*1000000)</f>
        <v/>
      </c>
    </row>
    <row r="215" spans="1:15" x14ac:dyDescent="0.25">
      <c r="A215" s="64" t="s">
        <v>11</v>
      </c>
      <c r="B215" s="54" t="s">
        <v>9</v>
      </c>
      <c r="C215" s="55" t="s">
        <v>12</v>
      </c>
      <c r="D215" s="60">
        <v>7143</v>
      </c>
      <c r="E215" s="60">
        <v>5993</v>
      </c>
      <c r="F215" s="60">
        <v>3468</v>
      </c>
      <c r="G215" s="57"/>
      <c r="H215" s="56"/>
      <c r="I215" s="56"/>
      <c r="J215" s="58">
        <f t="shared" ref="J215:J219" si="61">IF(D215="","",(1/D215)*1000000)</f>
        <v>139.99720005599889</v>
      </c>
      <c r="K215" s="58">
        <f t="shared" si="56"/>
        <v>166.86133822793258</v>
      </c>
      <c r="L215" s="58">
        <f t="shared" si="57"/>
        <v>288.35063437139564</v>
      </c>
      <c r="M215" s="58" t="str">
        <f t="shared" si="58"/>
        <v/>
      </c>
      <c r="N215" s="58" t="str">
        <f t="shared" si="59"/>
        <v/>
      </c>
      <c r="O215" s="65" t="str">
        <f t="shared" si="60"/>
        <v/>
      </c>
    </row>
    <row r="216" spans="1:15" x14ac:dyDescent="0.25">
      <c r="A216" s="64" t="s">
        <v>13</v>
      </c>
      <c r="B216" s="54" t="s">
        <v>14</v>
      </c>
      <c r="C216" s="55" t="s">
        <v>10</v>
      </c>
      <c r="D216" s="60">
        <v>18345</v>
      </c>
      <c r="E216" s="60">
        <v>10451</v>
      </c>
      <c r="F216" s="60">
        <v>4402</v>
      </c>
      <c r="G216" s="57"/>
      <c r="H216" s="56"/>
      <c r="I216" s="56"/>
      <c r="J216" s="58">
        <f t="shared" si="61"/>
        <v>54.510765876260564</v>
      </c>
      <c r="K216" s="58">
        <f t="shared" si="56"/>
        <v>95.684623481006597</v>
      </c>
      <c r="L216" s="58">
        <f t="shared" si="57"/>
        <v>227.16946842344387</v>
      </c>
      <c r="M216" s="58" t="str">
        <f t="shared" si="58"/>
        <v/>
      </c>
      <c r="N216" s="58" t="str">
        <f t="shared" si="59"/>
        <v/>
      </c>
      <c r="O216" s="65" t="str">
        <f t="shared" si="60"/>
        <v/>
      </c>
    </row>
    <row r="217" spans="1:15" x14ac:dyDescent="0.25">
      <c r="A217" s="64" t="s">
        <v>15</v>
      </c>
      <c r="B217" s="54" t="s">
        <v>14</v>
      </c>
      <c r="C217" s="55" t="s">
        <v>12</v>
      </c>
      <c r="D217" s="60">
        <v>6916</v>
      </c>
      <c r="E217" s="60">
        <v>5617</v>
      </c>
      <c r="F217" s="60">
        <v>3219</v>
      </c>
      <c r="G217" s="57"/>
      <c r="H217" s="56"/>
      <c r="I217" s="56"/>
      <c r="J217" s="58">
        <f t="shared" si="61"/>
        <v>144.59224985540774</v>
      </c>
      <c r="K217" s="58">
        <f t="shared" si="56"/>
        <v>178.03097739006589</v>
      </c>
      <c r="L217" s="58">
        <f t="shared" si="57"/>
        <v>310.65548306927616</v>
      </c>
      <c r="M217" s="58" t="str">
        <f t="shared" si="58"/>
        <v/>
      </c>
      <c r="N217" s="58" t="str">
        <f t="shared" si="59"/>
        <v/>
      </c>
      <c r="O217" s="65" t="str">
        <f t="shared" si="60"/>
        <v/>
      </c>
    </row>
    <row r="218" spans="1:15" x14ac:dyDescent="0.25">
      <c r="A218" s="64" t="s">
        <v>16</v>
      </c>
      <c r="B218" s="54" t="s">
        <v>17</v>
      </c>
      <c r="C218" s="55" t="s">
        <v>12</v>
      </c>
      <c r="D218" s="60">
        <v>8588</v>
      </c>
      <c r="E218" s="60">
        <v>5378</v>
      </c>
      <c r="F218" s="60">
        <v>3451</v>
      </c>
      <c r="G218" s="57"/>
      <c r="H218" s="56"/>
      <c r="I218" s="56"/>
      <c r="J218" s="58">
        <f t="shared" si="61"/>
        <v>116.44154634373545</v>
      </c>
      <c r="K218" s="58">
        <f t="shared" si="56"/>
        <v>185.94272963927111</v>
      </c>
      <c r="L218" s="58">
        <f t="shared" si="57"/>
        <v>289.77108084613155</v>
      </c>
      <c r="M218" s="58" t="str">
        <f t="shared" si="58"/>
        <v/>
      </c>
      <c r="N218" s="58" t="str">
        <f t="shared" si="59"/>
        <v/>
      </c>
      <c r="O218" s="65" t="str">
        <f t="shared" si="60"/>
        <v/>
      </c>
    </row>
    <row r="219" spans="1:15" x14ac:dyDescent="0.25">
      <c r="A219" s="64" t="s">
        <v>18</v>
      </c>
      <c r="B219" s="54" t="s">
        <v>19</v>
      </c>
      <c r="C219" s="55" t="s">
        <v>12</v>
      </c>
      <c r="D219" s="60">
        <v>8415</v>
      </c>
      <c r="E219" s="60">
        <v>6389</v>
      </c>
      <c r="F219" s="60">
        <v>3837</v>
      </c>
      <c r="G219" s="57"/>
      <c r="H219" s="56"/>
      <c r="I219" s="56"/>
      <c r="J219" s="58">
        <f t="shared" si="61"/>
        <v>118.83541295306001</v>
      </c>
      <c r="K219" s="58">
        <f t="shared" si="56"/>
        <v>156.51901706057285</v>
      </c>
      <c r="L219" s="58">
        <f t="shared" si="57"/>
        <v>260.62027625749283</v>
      </c>
      <c r="M219" s="58" t="str">
        <f t="shared" si="58"/>
        <v/>
      </c>
      <c r="N219" s="58" t="str">
        <f t="shared" si="59"/>
        <v/>
      </c>
      <c r="O219" s="65" t="str">
        <f t="shared" si="60"/>
        <v/>
      </c>
    </row>
    <row r="220" spans="1:15" x14ac:dyDescent="0.25">
      <c r="A220" s="147" t="s">
        <v>118</v>
      </c>
      <c r="B220" s="143"/>
      <c r="C220" s="143"/>
      <c r="D220" s="143"/>
      <c r="E220" s="143"/>
      <c r="F220" s="143"/>
      <c r="G220" s="143"/>
      <c r="H220" s="143"/>
      <c r="I220" s="61"/>
      <c r="J220" s="61"/>
      <c r="K220" s="61"/>
      <c r="L220" s="61"/>
      <c r="M220" s="61"/>
      <c r="N220" s="61"/>
      <c r="O220" s="66"/>
    </row>
    <row r="221" spans="1:15" ht="18.75" x14ac:dyDescent="0.3">
      <c r="A221" s="144" t="s">
        <v>89</v>
      </c>
      <c r="B221" s="145"/>
      <c r="C221" s="145"/>
      <c r="D221" s="145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6"/>
    </row>
    <row r="222" spans="1:15" x14ac:dyDescent="0.25">
      <c r="A222" s="137" t="s">
        <v>2</v>
      </c>
      <c r="B222" s="138"/>
      <c r="C222" s="138"/>
      <c r="D222" s="139" t="s">
        <v>20</v>
      </c>
      <c r="E222" s="139"/>
      <c r="F222" s="139"/>
      <c r="G222" s="139"/>
      <c r="H222" s="139"/>
      <c r="I222" s="139"/>
      <c r="J222" s="139" t="s">
        <v>23</v>
      </c>
      <c r="K222" s="139"/>
      <c r="L222" s="139"/>
      <c r="M222" s="139"/>
      <c r="N222" s="139"/>
      <c r="O222" s="140"/>
    </row>
    <row r="223" spans="1:15" x14ac:dyDescent="0.25">
      <c r="A223" s="62" t="s">
        <v>5</v>
      </c>
      <c r="B223" s="51" t="s">
        <v>6</v>
      </c>
      <c r="C223" s="51" t="s">
        <v>7</v>
      </c>
      <c r="D223" s="53">
        <v>1</v>
      </c>
      <c r="E223" s="53">
        <v>4</v>
      </c>
      <c r="F223" s="53">
        <v>16</v>
      </c>
      <c r="G223" s="53">
        <v>32</v>
      </c>
      <c r="H223" s="53">
        <v>64</v>
      </c>
      <c r="I223" s="53">
        <v>80</v>
      </c>
      <c r="J223" s="53">
        <v>1</v>
      </c>
      <c r="K223" s="53">
        <v>4</v>
      </c>
      <c r="L223" s="53">
        <v>16</v>
      </c>
      <c r="M223" s="53">
        <v>32</v>
      </c>
      <c r="N223" s="53">
        <v>64</v>
      </c>
      <c r="O223" s="63">
        <v>80</v>
      </c>
    </row>
    <row r="224" spans="1:15" x14ac:dyDescent="0.25">
      <c r="A224" s="64" t="s">
        <v>8</v>
      </c>
      <c r="B224" s="54" t="s">
        <v>9</v>
      </c>
      <c r="C224" s="54" t="s">
        <v>10</v>
      </c>
      <c r="D224" s="59">
        <f>IF(D214="","",(D214-'2016'!D191)/'2016'!D191)</f>
        <v>-0.49798434350536724</v>
      </c>
      <c r="E224" s="59">
        <f>IF(E214="","",(E214-'2016'!E191)/'2016'!E191)</f>
        <v>-0.30553336528731961</v>
      </c>
      <c r="F224" s="59">
        <f>IF(F214="","",(F214-'2016'!F191)/'2016'!F191)</f>
        <v>-0.21681277395115842</v>
      </c>
      <c r="G224" s="59" t="str">
        <f>IF(G214="","",(G214-'2014'!#REF!)/'2014'!#REF!)</f>
        <v/>
      </c>
      <c r="H224" s="59" t="str">
        <f>IF(H214="","",(H214-'2014'!#REF!)/'2014'!#REF!)</f>
        <v/>
      </c>
      <c r="I224" s="58" t="str">
        <f>IF(I214="","",(I214-'2014'!#REF!)/'2014'!#REF!)</f>
        <v/>
      </c>
      <c r="J224" s="58"/>
      <c r="K224" s="58"/>
      <c r="L224" s="58"/>
      <c r="M224" s="58" t="str">
        <f>IF(G224="","",M214-((1/'Proto 2013'!#REF!)*1000000))</f>
        <v/>
      </c>
      <c r="N224" s="58" t="str">
        <f>IF(H224="","",N214-((1/'Proto 2013'!#REF!)*1000000))</f>
        <v/>
      </c>
      <c r="O224" s="65" t="str">
        <f>IF(I224="","",O214-((1/'Proto 2013'!#REF!)*1000000))</f>
        <v/>
      </c>
    </row>
    <row r="225" spans="1:15" x14ac:dyDescent="0.25">
      <c r="A225" s="64" t="s">
        <v>11</v>
      </c>
      <c r="B225" s="54" t="s">
        <v>9</v>
      </c>
      <c r="C225" s="54" t="s">
        <v>12</v>
      </c>
      <c r="D225" s="59">
        <f>IF(D215="","",(D215-'2016'!D192)/'2016'!D192)</f>
        <v>-0.25266792215944756</v>
      </c>
      <c r="E225" s="59">
        <f>IF(E215="","",(E215-'2016'!E192)/'2016'!E192)</f>
        <v>-0.21639644351464435</v>
      </c>
      <c r="F225" s="59">
        <f>IF(F215="","",(F215-'2016'!F192)/'2016'!F192)</f>
        <v>-0.17053336522363072</v>
      </c>
      <c r="G225" s="59" t="str">
        <f>IF(G215="","",(G215-'2014'!#REF!)/'2014'!#REF!)</f>
        <v/>
      </c>
      <c r="H225" s="59" t="str">
        <f>IF(H215="","",(H215-'2014'!#REF!)/'2014'!#REF!)</f>
        <v/>
      </c>
      <c r="I225" s="59" t="str">
        <f>IF(I215="","",(I215-'2014'!#REF!)/'2014'!#REF!)</f>
        <v/>
      </c>
      <c r="J225" s="58"/>
      <c r="K225" s="58"/>
      <c r="L225" s="58"/>
      <c r="M225" s="58" t="str">
        <f>IF(G225="","",M215-((1/'Proto 2013'!#REF!)*1000000))</f>
        <v/>
      </c>
      <c r="N225" s="58" t="str">
        <f>IF(H225="","",N215-((1/'Proto 2013'!#REF!)*1000000))</f>
        <v/>
      </c>
      <c r="O225" s="65" t="str">
        <f>IF(I225="","",O215-((1/'Proto 2013'!#REF!)*1000000))</f>
        <v/>
      </c>
    </row>
    <row r="226" spans="1:15" x14ac:dyDescent="0.25">
      <c r="A226" s="64" t="s">
        <v>13</v>
      </c>
      <c r="B226" s="54" t="s">
        <v>14</v>
      </c>
      <c r="C226" s="54" t="s">
        <v>10</v>
      </c>
      <c r="D226" s="59">
        <f>IF(D216="","",(D216-'2016'!D193)/'2016'!D193)</f>
        <v>-0.55389927777642678</v>
      </c>
      <c r="E226" s="59">
        <f>IF(E216="","",(E216-'2016'!E193)/'2016'!E193)</f>
        <v>-0.40904721515408538</v>
      </c>
      <c r="F226" s="59">
        <f>IF(F216="","",(F216-'2016'!F193)/'2016'!F193)</f>
        <v>-0.21756132243156773</v>
      </c>
      <c r="G226" s="59" t="str">
        <f>IF(G216="","",(G216-'2014'!#REF!)/'2014'!#REF!)</f>
        <v/>
      </c>
      <c r="H226" s="59" t="str">
        <f>IF(H216="","",(H216-'2014'!#REF!)/'2014'!#REF!)</f>
        <v/>
      </c>
      <c r="I226" s="59" t="str">
        <f>IF(I216="","",(I216-'2014'!#REF!)/'2014'!#REF!)</f>
        <v/>
      </c>
      <c r="J226" s="58"/>
      <c r="K226" s="58"/>
      <c r="L226" s="58"/>
      <c r="M226" s="58" t="str">
        <f>IF(G226="","",M216-((1/'Proto 2013'!#REF!)*1000000))</f>
        <v/>
      </c>
      <c r="N226" s="58" t="str">
        <f>IF(H226="","",N216-((1/'Proto 2013'!#REF!)*1000000))</f>
        <v/>
      </c>
      <c r="O226" s="65" t="str">
        <f>IF(I226="","",O216-((1/'Proto 2013'!#REF!)*1000000))</f>
        <v/>
      </c>
    </row>
    <row r="227" spans="1:15" x14ac:dyDescent="0.25">
      <c r="A227" s="64" t="s">
        <v>15</v>
      </c>
      <c r="B227" s="54" t="s">
        <v>14</v>
      </c>
      <c r="C227" s="54" t="s">
        <v>12</v>
      </c>
      <c r="D227" s="59">
        <f>IF(D217="","",(D217-'2016'!D194)/'2016'!D194)</f>
        <v>-0.2482608695652174</v>
      </c>
      <c r="E227" s="59">
        <f>IF(E217="","",(E217-'2016'!E194)/'2016'!E194)</f>
        <v>-0.19434882386689617</v>
      </c>
      <c r="F227" s="59">
        <f>IF(F217="","",(F217-'2016'!F194)/'2016'!F194)</f>
        <v>-0.1379217996786288</v>
      </c>
      <c r="G227" s="59" t="str">
        <f>IF(G217="","",(G217-'2014'!#REF!)/'2014'!#REF!)</f>
        <v/>
      </c>
      <c r="H227" s="59" t="str">
        <f>IF(H217="","",(H217-'2014'!#REF!)/'2014'!#REF!)</f>
        <v/>
      </c>
      <c r="I227" s="59" t="str">
        <f>IF(I217="","",(I217-'2014'!#REF!)/'2014'!#REF!)</f>
        <v/>
      </c>
      <c r="J227" s="58"/>
      <c r="K227" s="58"/>
      <c r="L227" s="58"/>
      <c r="M227" s="58" t="str">
        <f>IF(G227="","",M217-((1/'Proto 2013'!#REF!)*1000000))</f>
        <v/>
      </c>
      <c r="N227" s="58" t="str">
        <f>IF(H227="","",N217-((1/'Proto 2013'!#REF!)*1000000))</f>
        <v/>
      </c>
      <c r="O227" s="65" t="str">
        <f>IF(I227="","",O217-((1/'Proto 2013'!#REF!)*1000000))</f>
        <v/>
      </c>
    </row>
    <row r="228" spans="1:15" x14ac:dyDescent="0.25">
      <c r="A228" s="64" t="s">
        <v>16</v>
      </c>
      <c r="B228" s="54" t="s">
        <v>17</v>
      </c>
      <c r="C228" s="54" t="s">
        <v>12</v>
      </c>
      <c r="D228" s="59">
        <f>IF(D218="","",(D218-'2016'!D195)/'2016'!D195)</f>
        <v>1.4530419373892498E-2</v>
      </c>
      <c r="E228" s="59">
        <f>IF(E218="","",(E218-'2016'!E195)/'2016'!E195)</f>
        <v>-0.2578998206154271</v>
      </c>
      <c r="F228" s="59">
        <f>IF(F218="","",(F218-'2016'!F195)/'2016'!F195)</f>
        <v>-0.12566506207246009</v>
      </c>
      <c r="G228" s="59" t="str">
        <f>IF(G218="","",(G218-'2014'!#REF!)/'2014'!#REF!)</f>
        <v/>
      </c>
      <c r="H228" s="59" t="str">
        <f>IF(H218="","",(H218-'2014'!#REF!)/'2014'!#REF!)</f>
        <v/>
      </c>
      <c r="I228" s="59" t="str">
        <f>IF(I218="","",(I218-'2014'!#REF!)/'2014'!#REF!)</f>
        <v/>
      </c>
      <c r="J228" s="58"/>
      <c r="K228" s="58"/>
      <c r="L228" s="58"/>
      <c r="M228" s="58" t="str">
        <f>IF(G228="","",M218-((1/'Proto 2013'!#REF!)*1000000))</f>
        <v/>
      </c>
      <c r="N228" s="58" t="str">
        <f>IF(H228="","",N218-((1/'Proto 2013'!#REF!)*1000000))</f>
        <v/>
      </c>
      <c r="O228" s="65" t="str">
        <f>IF(I228="","",O218-((1/'Proto 2013'!#REF!)*1000000))</f>
        <v/>
      </c>
    </row>
    <row r="229" spans="1:15" ht="15.75" thickBot="1" x14ac:dyDescent="0.3">
      <c r="A229" s="70" t="s">
        <v>18</v>
      </c>
      <c r="B229" s="71" t="s">
        <v>19</v>
      </c>
      <c r="C229" s="71" t="s">
        <v>12</v>
      </c>
      <c r="D229" s="59">
        <f>IF(D219="","",(D219-'2016'!D196)/'2016'!D196)</f>
        <v>5.0561797752808987E-2</v>
      </c>
      <c r="E229" s="59">
        <f>IF(E219="","",(E219-'2016'!E196)/'2016'!E196)</f>
        <v>-4.2846441947565546E-2</v>
      </c>
      <c r="F229" s="59">
        <f>IF(F219="","",(F219-'2016'!F196)/'2016'!F196)</f>
        <v>-3.6171816126601357E-2</v>
      </c>
      <c r="G229" s="72" t="str">
        <f>IF(G219="","",(G219-'2014'!#REF!)/'2014'!#REF!)</f>
        <v/>
      </c>
      <c r="H229" s="72" t="str">
        <f>IF(H219="","",(H219-'2014'!#REF!)/'2014'!#REF!)</f>
        <v/>
      </c>
      <c r="I229" s="72" t="str">
        <f>IF(I219="","",(I219-'2014'!#REF!)/'2014'!#REF!)</f>
        <v/>
      </c>
      <c r="J229" s="73"/>
      <c r="K229" s="73"/>
      <c r="L229" s="73"/>
      <c r="M229" s="73" t="str">
        <f>IF(G229="","",M219-((1/'Proto 2013'!#REF!)*1000000))</f>
        <v/>
      </c>
      <c r="N229" s="73" t="str">
        <f>IF(H229="","",N219-((1/'Proto 2013'!#REF!)*1000000))</f>
        <v/>
      </c>
      <c r="O229" s="74" t="str">
        <f>IF(I229="","",O219-((1/'Proto 2013'!#REF!)*1000000))</f>
        <v/>
      </c>
    </row>
    <row r="230" spans="1:15" ht="18.75" x14ac:dyDescent="0.25">
      <c r="A230" s="131" t="s">
        <v>90</v>
      </c>
      <c r="B230" s="132"/>
      <c r="C230" s="132"/>
      <c r="D230" s="132"/>
      <c r="E230" s="132"/>
      <c r="F230" s="132"/>
      <c r="G230" s="132"/>
      <c r="H230" s="132"/>
      <c r="I230" s="132"/>
      <c r="J230" s="132"/>
      <c r="K230" s="132"/>
      <c r="L230" s="132"/>
      <c r="M230" s="132"/>
      <c r="N230" s="132"/>
      <c r="O230" s="133"/>
    </row>
    <row r="231" spans="1:15" ht="15.75" x14ac:dyDescent="0.25">
      <c r="A231" s="134" t="s">
        <v>119</v>
      </c>
      <c r="B231" s="135"/>
      <c r="C231" s="135"/>
      <c r="D231" s="135"/>
      <c r="E231" s="135"/>
      <c r="F231" s="135"/>
      <c r="G231" s="135"/>
      <c r="H231" s="135"/>
      <c r="I231" s="135"/>
      <c r="J231" s="135"/>
      <c r="K231" s="135"/>
      <c r="L231" s="135"/>
      <c r="M231" s="135"/>
      <c r="N231" s="135"/>
      <c r="O231" s="136"/>
    </row>
    <row r="232" spans="1:15" x14ac:dyDescent="0.25">
      <c r="A232" s="137" t="s">
        <v>2</v>
      </c>
      <c r="B232" s="138"/>
      <c r="C232" s="138"/>
      <c r="D232" s="139" t="s">
        <v>3</v>
      </c>
      <c r="E232" s="139"/>
      <c r="F232" s="139"/>
      <c r="G232" s="139"/>
      <c r="H232" s="139"/>
      <c r="I232" s="139"/>
      <c r="J232" s="139" t="s">
        <v>4</v>
      </c>
      <c r="K232" s="139"/>
      <c r="L232" s="139"/>
      <c r="M232" s="139"/>
      <c r="N232" s="139"/>
      <c r="O232" s="140"/>
    </row>
    <row r="233" spans="1:15" x14ac:dyDescent="0.25">
      <c r="A233" s="62" t="s">
        <v>5</v>
      </c>
      <c r="B233" s="51" t="s">
        <v>6</v>
      </c>
      <c r="C233" s="51" t="s">
        <v>7</v>
      </c>
      <c r="D233" s="52">
        <v>1</v>
      </c>
      <c r="E233" s="52">
        <v>4</v>
      </c>
      <c r="F233" s="52">
        <v>16</v>
      </c>
      <c r="G233" s="53">
        <v>32</v>
      </c>
      <c r="H233" s="53">
        <v>64</v>
      </c>
      <c r="I233" s="53">
        <v>80</v>
      </c>
      <c r="J233" s="53">
        <v>1</v>
      </c>
      <c r="K233" s="53">
        <v>4</v>
      </c>
      <c r="L233" s="53">
        <v>16</v>
      </c>
      <c r="M233" s="53">
        <v>32</v>
      </c>
      <c r="N233" s="53">
        <v>64</v>
      </c>
      <c r="O233" s="63">
        <v>80</v>
      </c>
    </row>
    <row r="234" spans="1:15" x14ac:dyDescent="0.25">
      <c r="A234" s="64" t="s">
        <v>8</v>
      </c>
      <c r="B234" s="54" t="s">
        <v>9</v>
      </c>
      <c r="C234" s="55" t="s">
        <v>10</v>
      </c>
      <c r="D234" s="60">
        <v>20576</v>
      </c>
      <c r="E234" s="60">
        <v>13214</v>
      </c>
      <c r="F234" s="60">
        <v>5003</v>
      </c>
      <c r="G234" s="57"/>
      <c r="H234" s="56"/>
      <c r="I234" s="56"/>
      <c r="J234" s="58">
        <f>IF(D234="","",(1/D234)*1000000)</f>
        <v>48.600311041990672</v>
      </c>
      <c r="K234" s="58">
        <f t="shared" ref="K234:K239" si="62">IF(E234="","",(1/E234)*1000000)</f>
        <v>75.677311941879822</v>
      </c>
      <c r="L234" s="58">
        <f t="shared" ref="L234:L239" si="63">IF(F234="","",(1/F234)*1000000)</f>
        <v>199.8800719568259</v>
      </c>
      <c r="M234" s="58" t="str">
        <f t="shared" ref="M234:M239" si="64">IF(G234="","",(1/G234)*1000000)</f>
        <v/>
      </c>
      <c r="N234" s="58" t="str">
        <f t="shared" ref="N234:N239" si="65">IF(H234="","",(1/H234)*1000000)</f>
        <v/>
      </c>
      <c r="O234" s="65" t="str">
        <f t="shared" ref="O234:O239" si="66">IF(I234="","",(1/I234)*1000000)</f>
        <v/>
      </c>
    </row>
    <row r="235" spans="1:15" x14ac:dyDescent="0.25">
      <c r="A235" s="64" t="s">
        <v>11</v>
      </c>
      <c r="B235" s="54" t="s">
        <v>9</v>
      </c>
      <c r="C235" s="55" t="s">
        <v>12</v>
      </c>
      <c r="D235" s="60">
        <v>7143</v>
      </c>
      <c r="E235" s="60">
        <v>6048</v>
      </c>
      <c r="F235" s="60">
        <v>3517</v>
      </c>
      <c r="G235" s="57"/>
      <c r="H235" s="56"/>
      <c r="I235" s="56"/>
      <c r="J235" s="58">
        <f t="shared" ref="J235:J239" si="67">IF(D235="","",(1/D235)*1000000)</f>
        <v>139.99720005599889</v>
      </c>
      <c r="K235" s="58">
        <f t="shared" si="62"/>
        <v>165.34391534391534</v>
      </c>
      <c r="L235" s="58">
        <f t="shared" si="63"/>
        <v>284.33323855558712</v>
      </c>
      <c r="M235" s="58" t="str">
        <f t="shared" si="64"/>
        <v/>
      </c>
      <c r="N235" s="58" t="str">
        <f t="shared" si="65"/>
        <v/>
      </c>
      <c r="O235" s="65" t="str">
        <f t="shared" si="66"/>
        <v/>
      </c>
    </row>
    <row r="236" spans="1:15" x14ac:dyDescent="0.25">
      <c r="A236" s="64" t="s">
        <v>13</v>
      </c>
      <c r="B236" s="54" t="s">
        <v>14</v>
      </c>
      <c r="C236" s="55" t="s">
        <v>10</v>
      </c>
      <c r="D236" s="60">
        <v>19955</v>
      </c>
      <c r="E236" s="60">
        <v>10617</v>
      </c>
      <c r="F236" s="60">
        <v>4481</v>
      </c>
      <c r="G236" s="57"/>
      <c r="H236" s="56"/>
      <c r="I236" s="56"/>
      <c r="J236" s="58">
        <f t="shared" si="67"/>
        <v>50.112753695815584</v>
      </c>
      <c r="K236" s="58">
        <f t="shared" si="62"/>
        <v>94.188565508147306</v>
      </c>
      <c r="L236" s="58">
        <f t="shared" si="63"/>
        <v>223.1644722160232</v>
      </c>
      <c r="M236" s="58" t="str">
        <f t="shared" si="64"/>
        <v/>
      </c>
      <c r="N236" s="58" t="str">
        <f t="shared" si="65"/>
        <v/>
      </c>
      <c r="O236" s="65" t="str">
        <f t="shared" si="66"/>
        <v/>
      </c>
    </row>
    <row r="237" spans="1:15" x14ac:dyDescent="0.25">
      <c r="A237" s="64" t="s">
        <v>15</v>
      </c>
      <c r="B237" s="54" t="s">
        <v>14</v>
      </c>
      <c r="C237" s="55" t="s">
        <v>12</v>
      </c>
      <c r="D237" s="60">
        <v>6970</v>
      </c>
      <c r="E237" s="60">
        <v>5378</v>
      </c>
      <c r="F237" s="60">
        <v>3223</v>
      </c>
      <c r="G237" s="57"/>
      <c r="H237" s="56"/>
      <c r="I237" s="56"/>
      <c r="J237" s="58">
        <f t="shared" si="67"/>
        <v>143.47202295552367</v>
      </c>
      <c r="K237" s="58">
        <f t="shared" si="62"/>
        <v>185.94272963927111</v>
      </c>
      <c r="L237" s="58">
        <f t="shared" si="63"/>
        <v>310.26993484331365</v>
      </c>
      <c r="M237" s="58" t="str">
        <f t="shared" si="64"/>
        <v/>
      </c>
      <c r="N237" s="58" t="str">
        <f t="shared" si="65"/>
        <v/>
      </c>
      <c r="O237" s="65" t="str">
        <f t="shared" si="66"/>
        <v/>
      </c>
    </row>
    <row r="238" spans="1:15" x14ac:dyDescent="0.25">
      <c r="A238" s="64" t="s">
        <v>16</v>
      </c>
      <c r="B238" s="54" t="s">
        <v>17</v>
      </c>
      <c r="C238" s="55" t="s">
        <v>12</v>
      </c>
      <c r="D238" s="60">
        <v>8587</v>
      </c>
      <c r="E238" s="60">
        <v>5923</v>
      </c>
      <c r="F238" s="60">
        <v>3334</v>
      </c>
      <c r="G238" s="57"/>
      <c r="H238" s="56"/>
      <c r="I238" s="56"/>
      <c r="J238" s="58">
        <f t="shared" si="67"/>
        <v>116.45510655642249</v>
      </c>
      <c r="K238" s="58">
        <f t="shared" si="62"/>
        <v>168.83336147222693</v>
      </c>
      <c r="L238" s="58">
        <f t="shared" si="63"/>
        <v>299.94001199760044</v>
      </c>
      <c r="M238" s="58" t="str">
        <f t="shared" si="64"/>
        <v/>
      </c>
      <c r="N238" s="58" t="str">
        <f t="shared" si="65"/>
        <v/>
      </c>
      <c r="O238" s="65" t="str">
        <f t="shared" si="66"/>
        <v/>
      </c>
    </row>
    <row r="239" spans="1:15" x14ac:dyDescent="0.25">
      <c r="A239" s="64" t="s">
        <v>18</v>
      </c>
      <c r="B239" s="54" t="s">
        <v>19</v>
      </c>
      <c r="C239" s="55" t="s">
        <v>12</v>
      </c>
      <c r="D239" s="60">
        <v>8586</v>
      </c>
      <c r="E239" s="60">
        <v>6750</v>
      </c>
      <c r="F239" s="60">
        <v>3895</v>
      </c>
      <c r="G239" s="57"/>
      <c r="H239" s="56"/>
      <c r="I239" s="56"/>
      <c r="J239" s="58">
        <f t="shared" si="67"/>
        <v>116.46866992778943</v>
      </c>
      <c r="K239" s="58">
        <f t="shared" si="62"/>
        <v>148.14814814814815</v>
      </c>
      <c r="L239" s="58">
        <f t="shared" si="63"/>
        <v>256.73940949935815</v>
      </c>
      <c r="M239" s="58" t="str">
        <f t="shared" si="64"/>
        <v/>
      </c>
      <c r="N239" s="58" t="str">
        <f t="shared" si="65"/>
        <v/>
      </c>
      <c r="O239" s="65" t="str">
        <f t="shared" si="66"/>
        <v/>
      </c>
    </row>
    <row r="240" spans="1:15" x14ac:dyDescent="0.25">
      <c r="A240" s="147" t="s">
        <v>120</v>
      </c>
      <c r="B240" s="143"/>
      <c r="C240" s="143"/>
      <c r="D240" s="143"/>
      <c r="E240" s="143"/>
      <c r="F240" s="143"/>
      <c r="G240" s="143"/>
      <c r="H240" s="143"/>
      <c r="I240" s="61"/>
      <c r="J240" s="61"/>
      <c r="K240" s="61"/>
      <c r="L240" s="61"/>
      <c r="M240" s="61"/>
      <c r="N240" s="61"/>
      <c r="O240" s="66"/>
    </row>
    <row r="241" spans="1:15" ht="18.75" x14ac:dyDescent="0.3">
      <c r="A241" s="144" t="s">
        <v>89</v>
      </c>
      <c r="B241" s="145"/>
      <c r="C241" s="145"/>
      <c r="D241" s="145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6"/>
    </row>
    <row r="242" spans="1:15" x14ac:dyDescent="0.25">
      <c r="A242" s="137" t="s">
        <v>2</v>
      </c>
      <c r="B242" s="138"/>
      <c r="C242" s="138"/>
      <c r="D242" s="139" t="s">
        <v>20</v>
      </c>
      <c r="E242" s="139"/>
      <c r="F242" s="139"/>
      <c r="G242" s="139"/>
      <c r="H242" s="139"/>
      <c r="I242" s="139"/>
      <c r="J242" s="139" t="s">
        <v>23</v>
      </c>
      <c r="K242" s="139"/>
      <c r="L242" s="139"/>
      <c r="M242" s="139"/>
      <c r="N242" s="139"/>
      <c r="O242" s="140"/>
    </row>
    <row r="243" spans="1:15" x14ac:dyDescent="0.25">
      <c r="A243" s="62" t="s">
        <v>5</v>
      </c>
      <c r="B243" s="51" t="s">
        <v>6</v>
      </c>
      <c r="C243" s="51" t="s">
        <v>7</v>
      </c>
      <c r="D243" s="53">
        <v>1</v>
      </c>
      <c r="E243" s="53">
        <v>4</v>
      </c>
      <c r="F243" s="53">
        <v>16</v>
      </c>
      <c r="G243" s="53">
        <v>32</v>
      </c>
      <c r="H243" s="53">
        <v>64</v>
      </c>
      <c r="I243" s="53">
        <v>80</v>
      </c>
      <c r="J243" s="53">
        <v>1</v>
      </c>
      <c r="K243" s="53">
        <v>4</v>
      </c>
      <c r="L243" s="53">
        <v>16</v>
      </c>
      <c r="M243" s="53">
        <v>32</v>
      </c>
      <c r="N243" s="53">
        <v>64</v>
      </c>
      <c r="O243" s="63">
        <v>80</v>
      </c>
    </row>
    <row r="244" spans="1:15" x14ac:dyDescent="0.25">
      <c r="A244" s="64" t="s">
        <v>8</v>
      </c>
      <c r="B244" s="54" t="s">
        <v>9</v>
      </c>
      <c r="C244" s="54" t="s">
        <v>10</v>
      </c>
      <c r="D244" s="59">
        <f>IF(D234="","",(D234-'2016'!D191)/'2016'!D191)</f>
        <v>-0.51774246472601138</v>
      </c>
      <c r="E244" s="59">
        <f>IF(E234="","",(E234-'2016'!E191)/'2016'!E191)</f>
        <v>-0.29626670927198168</v>
      </c>
      <c r="F244" s="59">
        <f>IF(F234="","",(F234-'2016'!F191)/'2016'!F191)</f>
        <v>-0.21681277395115842</v>
      </c>
      <c r="G244" s="59" t="str">
        <f>IF(G234="","",(G234-'2014'!#REF!)/'2014'!#REF!)</f>
        <v/>
      </c>
      <c r="H244" s="59" t="str">
        <f>IF(H234="","",(H234-'2014'!#REF!)/'2014'!#REF!)</f>
        <v/>
      </c>
      <c r="I244" s="58" t="str">
        <f>IF(I234="","",(I234-'2014'!#REF!)/'2014'!#REF!)</f>
        <v/>
      </c>
      <c r="J244" s="58"/>
      <c r="K244" s="58"/>
      <c r="L244" s="58"/>
      <c r="M244" s="58" t="str">
        <f>IF(G244="","",M234-((1/'Proto 2013'!#REF!)*1000000))</f>
        <v/>
      </c>
      <c r="N244" s="58" t="str">
        <f>IF(H244="","",N234-((1/'Proto 2013'!#REF!)*1000000))</f>
        <v/>
      </c>
      <c r="O244" s="65" t="str">
        <f>IF(I244="","",O234-((1/'Proto 2013'!#REF!)*1000000))</f>
        <v/>
      </c>
    </row>
    <row r="245" spans="1:15" x14ac:dyDescent="0.25">
      <c r="A245" s="64" t="s">
        <v>11</v>
      </c>
      <c r="B245" s="54" t="s">
        <v>9</v>
      </c>
      <c r="C245" s="54" t="s">
        <v>12</v>
      </c>
      <c r="D245" s="59">
        <f>IF(D235="","",(D235-'2016'!D192)/'2016'!D192)</f>
        <v>-0.25266792215944756</v>
      </c>
      <c r="E245" s="59">
        <f>IF(E235="","",(E235-'2016'!E192)/'2016'!E192)</f>
        <v>-0.20920502092050208</v>
      </c>
      <c r="F245" s="59">
        <f>IF(F235="","",(F235-'2016'!F192)/'2016'!F192)</f>
        <v>-0.15881368093757475</v>
      </c>
      <c r="G245" s="59" t="str">
        <f>IF(G235="","",(G235-'2014'!#REF!)/'2014'!#REF!)</f>
        <v/>
      </c>
      <c r="H245" s="59" t="str">
        <f>IF(H235="","",(H235-'2014'!#REF!)/'2014'!#REF!)</f>
        <v/>
      </c>
      <c r="I245" s="59" t="str">
        <f>IF(I235="","",(I235-'2014'!#REF!)/'2014'!#REF!)</f>
        <v/>
      </c>
      <c r="J245" s="58"/>
      <c r="K245" s="58"/>
      <c r="L245" s="58"/>
      <c r="M245" s="58" t="str">
        <f>IF(G245="","",M235-((1/'Proto 2013'!#REF!)*1000000))</f>
        <v/>
      </c>
      <c r="N245" s="58" t="str">
        <f>IF(H245="","",N235-((1/'Proto 2013'!#REF!)*1000000))</f>
        <v/>
      </c>
      <c r="O245" s="65" t="str">
        <f>IF(I245="","",O235-((1/'Proto 2013'!#REF!)*1000000))</f>
        <v/>
      </c>
    </row>
    <row r="246" spans="1:15" x14ac:dyDescent="0.25">
      <c r="A246" s="64" t="s">
        <v>13</v>
      </c>
      <c r="B246" s="54" t="s">
        <v>14</v>
      </c>
      <c r="C246" s="54" t="s">
        <v>10</v>
      </c>
      <c r="D246" s="59">
        <f>IF(D236="","",(D236-'2016'!D193)/'2016'!D193)</f>
        <v>-0.51474843761398725</v>
      </c>
      <c r="E246" s="59">
        <f>IF(E236="","",(E236-'2016'!E193)/'2016'!E193)</f>
        <v>-0.39966072943172182</v>
      </c>
      <c r="F246" s="59">
        <f>IF(F236="","",(F236-'2016'!F193)/'2016'!F193)</f>
        <v>-0.20351937433345182</v>
      </c>
      <c r="G246" s="59" t="str">
        <f>IF(G236="","",(G236-'2014'!#REF!)/'2014'!#REF!)</f>
        <v/>
      </c>
      <c r="H246" s="59" t="str">
        <f>IF(H236="","",(H236-'2014'!#REF!)/'2014'!#REF!)</f>
        <v/>
      </c>
      <c r="I246" s="59" t="str">
        <f>IF(I236="","",(I236-'2014'!#REF!)/'2014'!#REF!)</f>
        <v/>
      </c>
      <c r="J246" s="58"/>
      <c r="K246" s="58"/>
      <c r="L246" s="58"/>
      <c r="M246" s="58" t="str">
        <f>IF(G246="","",M236-((1/'Proto 2013'!#REF!)*1000000))</f>
        <v/>
      </c>
      <c r="N246" s="58" t="str">
        <f>IF(H246="","",N236-((1/'Proto 2013'!#REF!)*1000000))</f>
        <v/>
      </c>
      <c r="O246" s="65" t="str">
        <f>IF(I246="","",O236-((1/'Proto 2013'!#REF!)*1000000))</f>
        <v/>
      </c>
    </row>
    <row r="247" spans="1:15" x14ac:dyDescent="0.25">
      <c r="A247" s="64" t="s">
        <v>15</v>
      </c>
      <c r="B247" s="54" t="s">
        <v>14</v>
      </c>
      <c r="C247" s="54" t="s">
        <v>12</v>
      </c>
      <c r="D247" s="59">
        <f>IF(D237="","",(D237-'2016'!D194)/'2016'!D194)</f>
        <v>-0.24239130434782608</v>
      </c>
      <c r="E247" s="59">
        <f>IF(E237="","",(E237-'2016'!E194)/'2016'!E194)</f>
        <v>-0.22862880091795754</v>
      </c>
      <c r="F247" s="59">
        <f>IF(F237="","",(F237-'2016'!F194)/'2016'!F194)</f>
        <v>-0.1368505623995715</v>
      </c>
      <c r="G247" s="59" t="str">
        <f>IF(G237="","",(G237-'2014'!#REF!)/'2014'!#REF!)</f>
        <v/>
      </c>
      <c r="H247" s="59" t="str">
        <f>IF(H237="","",(H237-'2014'!#REF!)/'2014'!#REF!)</f>
        <v/>
      </c>
      <c r="I247" s="59" t="str">
        <f>IF(I237="","",(I237-'2014'!#REF!)/'2014'!#REF!)</f>
        <v/>
      </c>
      <c r="J247" s="58"/>
      <c r="K247" s="58"/>
      <c r="L247" s="58"/>
      <c r="M247" s="58" t="str">
        <f>IF(G247="","",M237-((1/'Proto 2013'!#REF!)*1000000))</f>
        <v/>
      </c>
      <c r="N247" s="58" t="str">
        <f>IF(H247="","",N237-((1/'Proto 2013'!#REF!)*1000000))</f>
        <v/>
      </c>
      <c r="O247" s="65" t="str">
        <f>IF(I247="","",O237-((1/'Proto 2013'!#REF!)*1000000))</f>
        <v/>
      </c>
    </row>
    <row r="248" spans="1:15" x14ac:dyDescent="0.25">
      <c r="A248" s="64" t="s">
        <v>16</v>
      </c>
      <c r="B248" s="54" t="s">
        <v>17</v>
      </c>
      <c r="C248" s="54" t="s">
        <v>12</v>
      </c>
      <c r="D248" s="59">
        <f>IF(D238="","",(D238-'2016'!D195)/'2016'!D195)</f>
        <v>1.4412285883047844E-2</v>
      </c>
      <c r="E248" s="59">
        <f>IF(E238="","",(E238-'2016'!E195)/'2016'!E195)</f>
        <v>-0.18269628811922176</v>
      </c>
      <c r="F248" s="59">
        <f>IF(F238="","",(F238-'2016'!F195)/'2016'!F195)</f>
        <v>-0.15530782873068152</v>
      </c>
      <c r="G248" s="59" t="str">
        <f>IF(G238="","",(G238-'2014'!#REF!)/'2014'!#REF!)</f>
        <v/>
      </c>
      <c r="H248" s="59" t="str">
        <f>IF(H238="","",(H238-'2014'!#REF!)/'2014'!#REF!)</f>
        <v/>
      </c>
      <c r="I248" s="59" t="str">
        <f>IF(I238="","",(I238-'2014'!#REF!)/'2014'!#REF!)</f>
        <v/>
      </c>
      <c r="J248" s="58"/>
      <c r="K248" s="58"/>
      <c r="L248" s="58"/>
      <c r="M248" s="58" t="str">
        <f>IF(G248="","",M238-((1/'Proto 2013'!#REF!)*1000000))</f>
        <v/>
      </c>
      <c r="N248" s="58" t="str">
        <f>IF(H248="","",N238-((1/'Proto 2013'!#REF!)*1000000))</f>
        <v/>
      </c>
      <c r="O248" s="65" t="str">
        <f>IF(I248="","",O238-((1/'Proto 2013'!#REF!)*1000000))</f>
        <v/>
      </c>
    </row>
    <row r="249" spans="1:15" ht="15.75" thickBot="1" x14ac:dyDescent="0.3">
      <c r="A249" s="70" t="s">
        <v>18</v>
      </c>
      <c r="B249" s="71" t="s">
        <v>19</v>
      </c>
      <c r="C249" s="71" t="s">
        <v>12</v>
      </c>
      <c r="D249" s="59">
        <f>IF(D239="","",(D239-'2016'!D196)/'2016'!D196)</f>
        <v>7.1910112359550568E-2</v>
      </c>
      <c r="E249" s="59">
        <f>IF(E239="","",(E239-'2016'!E196)/'2016'!E196)</f>
        <v>1.1235955056179775E-2</v>
      </c>
      <c r="F249" s="59">
        <f>IF(F239="","",(F239-'2016'!F196)/'2016'!F196)</f>
        <v>-2.1602612408942477E-2</v>
      </c>
      <c r="G249" s="72" t="str">
        <f>IF(G239="","",(G239-'2014'!#REF!)/'2014'!#REF!)</f>
        <v/>
      </c>
      <c r="H249" s="72" t="str">
        <f>IF(H239="","",(H239-'2014'!#REF!)/'2014'!#REF!)</f>
        <v/>
      </c>
      <c r="I249" s="72" t="str">
        <f>IF(I239="","",(I239-'2014'!#REF!)/'2014'!#REF!)</f>
        <v/>
      </c>
      <c r="J249" s="73"/>
      <c r="K249" s="73"/>
      <c r="L249" s="73"/>
      <c r="M249" s="73" t="str">
        <f>IF(G249="","",M239-((1/'Proto 2013'!#REF!)*1000000))</f>
        <v/>
      </c>
      <c r="N249" s="73" t="str">
        <f>IF(H249="","",N239-((1/'Proto 2013'!#REF!)*1000000))</f>
        <v/>
      </c>
      <c r="O249" s="74" t="str">
        <f>IF(I249="","",O239-((1/'Proto 2013'!#REF!)*1000000))</f>
        <v/>
      </c>
    </row>
    <row r="250" spans="1:15" ht="18.75" x14ac:dyDescent="0.25">
      <c r="A250" s="131" t="s">
        <v>90</v>
      </c>
      <c r="B250" s="132"/>
      <c r="C250" s="132"/>
      <c r="D250" s="132"/>
      <c r="E250" s="132"/>
      <c r="F250" s="132"/>
      <c r="G250" s="132"/>
      <c r="H250" s="132"/>
      <c r="I250" s="132"/>
      <c r="J250" s="132"/>
      <c r="K250" s="132"/>
      <c r="L250" s="132"/>
      <c r="M250" s="132"/>
      <c r="N250" s="132"/>
      <c r="O250" s="133"/>
    </row>
    <row r="251" spans="1:15" ht="15.75" x14ac:dyDescent="0.25">
      <c r="A251" s="134" t="s">
        <v>121</v>
      </c>
      <c r="B251" s="135"/>
      <c r="C251" s="135"/>
      <c r="D251" s="135"/>
      <c r="E251" s="135"/>
      <c r="F251" s="135"/>
      <c r="G251" s="135"/>
      <c r="H251" s="135"/>
      <c r="I251" s="135"/>
      <c r="J251" s="135"/>
      <c r="K251" s="135"/>
      <c r="L251" s="135"/>
      <c r="M251" s="135"/>
      <c r="N251" s="135"/>
      <c r="O251" s="136"/>
    </row>
    <row r="252" spans="1:15" x14ac:dyDescent="0.25">
      <c r="A252" s="137" t="s">
        <v>2</v>
      </c>
      <c r="B252" s="138"/>
      <c r="C252" s="138"/>
      <c r="D252" s="139" t="s">
        <v>3</v>
      </c>
      <c r="E252" s="139"/>
      <c r="F252" s="139"/>
      <c r="G252" s="139"/>
      <c r="H252" s="139"/>
      <c r="I252" s="139"/>
      <c r="J252" s="139" t="s">
        <v>4</v>
      </c>
      <c r="K252" s="139"/>
      <c r="L252" s="139"/>
      <c r="M252" s="139"/>
      <c r="N252" s="139"/>
      <c r="O252" s="140"/>
    </row>
    <row r="253" spans="1:15" x14ac:dyDescent="0.25">
      <c r="A253" s="62" t="s">
        <v>5</v>
      </c>
      <c r="B253" s="51" t="s">
        <v>6</v>
      </c>
      <c r="C253" s="51" t="s">
        <v>7</v>
      </c>
      <c r="D253" s="52">
        <v>1</v>
      </c>
      <c r="E253" s="52">
        <v>4</v>
      </c>
      <c r="F253" s="52">
        <v>16</v>
      </c>
      <c r="G253" s="53">
        <v>32</v>
      </c>
      <c r="H253" s="53">
        <v>64</v>
      </c>
      <c r="I253" s="53">
        <v>80</v>
      </c>
      <c r="J253" s="53">
        <v>1</v>
      </c>
      <c r="K253" s="53">
        <v>4</v>
      </c>
      <c r="L253" s="53">
        <v>16</v>
      </c>
      <c r="M253" s="53">
        <v>32</v>
      </c>
      <c r="N253" s="53">
        <v>64</v>
      </c>
      <c r="O253" s="63">
        <v>80</v>
      </c>
    </row>
    <row r="254" spans="1:15" x14ac:dyDescent="0.25">
      <c r="A254" s="64" t="s">
        <v>8</v>
      </c>
      <c r="B254" s="54" t="s">
        <v>9</v>
      </c>
      <c r="C254" s="55" t="s">
        <v>10</v>
      </c>
      <c r="D254" s="60">
        <v>44814</v>
      </c>
      <c r="E254" s="60">
        <v>20038</v>
      </c>
      <c r="F254" s="60">
        <v>6186</v>
      </c>
      <c r="G254" s="57"/>
      <c r="H254" s="56"/>
      <c r="I254" s="56"/>
      <c r="J254" s="58">
        <f>IF(D254="","",(1/D254)*1000000)</f>
        <v>22.314455304146026</v>
      </c>
      <c r="K254" s="58">
        <f t="shared" ref="K254:K259" si="68">IF(E254="","",(1/E254)*1000000)</f>
        <v>49.905180157700364</v>
      </c>
      <c r="L254" s="58">
        <f t="shared" ref="L254:L259" si="69">IF(F254="","",(1/F254)*1000000)</f>
        <v>161.65535079211122</v>
      </c>
      <c r="M254" s="58" t="str">
        <f t="shared" ref="M254:M259" si="70">IF(G254="","",(1/G254)*1000000)</f>
        <v/>
      </c>
      <c r="N254" s="58" t="str">
        <f t="shared" ref="N254:N259" si="71">IF(H254="","",(1/H254)*1000000)</f>
        <v/>
      </c>
      <c r="O254" s="65" t="str">
        <f t="shared" ref="O254:O259" si="72">IF(I254="","",(1/I254)*1000000)</f>
        <v/>
      </c>
    </row>
    <row r="255" spans="1:15" x14ac:dyDescent="0.25">
      <c r="A255" s="64" t="s">
        <v>11</v>
      </c>
      <c r="B255" s="54" t="s">
        <v>9</v>
      </c>
      <c r="C255" s="55" t="s">
        <v>12</v>
      </c>
      <c r="D255" s="60">
        <v>8010</v>
      </c>
      <c r="E255" s="60">
        <v>7170</v>
      </c>
      <c r="F255" s="60">
        <v>4096</v>
      </c>
      <c r="G255" s="57"/>
      <c r="H255" s="56"/>
      <c r="I255" s="56"/>
      <c r="J255" s="58">
        <f t="shared" ref="J255:J259" si="73">IF(D255="","",(1/D255)*1000000)</f>
        <v>124.84394506866417</v>
      </c>
      <c r="K255" s="58">
        <f t="shared" si="68"/>
        <v>139.47001394700141</v>
      </c>
      <c r="L255" s="58">
        <f t="shared" si="69"/>
        <v>244.140625</v>
      </c>
      <c r="M255" s="58" t="str">
        <f t="shared" si="70"/>
        <v/>
      </c>
      <c r="N255" s="58" t="str">
        <f t="shared" si="71"/>
        <v/>
      </c>
      <c r="O255" s="65" t="str">
        <f t="shared" si="72"/>
        <v/>
      </c>
    </row>
    <row r="256" spans="1:15" x14ac:dyDescent="0.25">
      <c r="A256" s="64" t="s">
        <v>13</v>
      </c>
      <c r="B256" s="54" t="s">
        <v>14</v>
      </c>
      <c r="C256" s="55" t="s">
        <v>10</v>
      </c>
      <c r="D256" s="60">
        <v>36995</v>
      </c>
      <c r="E256" s="60">
        <v>15769</v>
      </c>
      <c r="F256" s="60">
        <v>5470</v>
      </c>
      <c r="G256" s="57"/>
      <c r="H256" s="56"/>
      <c r="I256" s="56"/>
      <c r="J256" s="58">
        <f t="shared" si="73"/>
        <v>27.030679821597516</v>
      </c>
      <c r="K256" s="58">
        <f t="shared" si="68"/>
        <v>63.415562178958716</v>
      </c>
      <c r="L256" s="58">
        <f t="shared" si="69"/>
        <v>182.81535648994517</v>
      </c>
      <c r="M256" s="58" t="str">
        <f t="shared" si="70"/>
        <v/>
      </c>
      <c r="N256" s="58" t="str">
        <f t="shared" si="71"/>
        <v/>
      </c>
      <c r="O256" s="65" t="str">
        <f t="shared" si="72"/>
        <v/>
      </c>
    </row>
    <row r="257" spans="1:15" x14ac:dyDescent="0.25">
      <c r="A257" s="64" t="s">
        <v>15</v>
      </c>
      <c r="B257" s="54" t="s">
        <v>14</v>
      </c>
      <c r="C257" s="55" t="s">
        <v>12</v>
      </c>
      <c r="D257" s="60">
        <v>8631</v>
      </c>
      <c r="E257" s="60">
        <v>6935</v>
      </c>
      <c r="F257" s="60">
        <v>3734</v>
      </c>
      <c r="G257" s="57"/>
      <c r="H257" s="56"/>
      <c r="I257" s="56"/>
      <c r="J257" s="58">
        <f t="shared" si="73"/>
        <v>115.86142973004287</v>
      </c>
      <c r="K257" s="58">
        <f t="shared" si="68"/>
        <v>144.19610670511898</v>
      </c>
      <c r="L257" s="58">
        <f t="shared" si="69"/>
        <v>267.80931976432777</v>
      </c>
      <c r="M257" s="58" t="str">
        <f t="shared" si="70"/>
        <v/>
      </c>
      <c r="N257" s="58" t="str">
        <f t="shared" si="71"/>
        <v/>
      </c>
      <c r="O257" s="65" t="str">
        <f t="shared" si="72"/>
        <v/>
      </c>
    </row>
    <row r="258" spans="1:15" x14ac:dyDescent="0.25">
      <c r="A258" s="64" t="s">
        <v>16</v>
      </c>
      <c r="B258" s="54" t="s">
        <v>17</v>
      </c>
      <c r="C258" s="55" t="s">
        <v>12</v>
      </c>
      <c r="D258" s="60">
        <v>8695</v>
      </c>
      <c r="E258" s="60">
        <v>6675</v>
      </c>
      <c r="F258" s="60">
        <v>3889</v>
      </c>
      <c r="G258" s="57"/>
      <c r="H258" s="56"/>
      <c r="I258" s="56"/>
      <c r="J258" s="58">
        <f t="shared" si="73"/>
        <v>115.00862564692352</v>
      </c>
      <c r="K258" s="58">
        <f t="shared" si="68"/>
        <v>149.81273408239701</v>
      </c>
      <c r="L258" s="58">
        <f t="shared" si="69"/>
        <v>257.13551041398819</v>
      </c>
      <c r="M258" s="58" t="str">
        <f t="shared" si="70"/>
        <v/>
      </c>
      <c r="N258" s="58" t="str">
        <f t="shared" si="71"/>
        <v/>
      </c>
      <c r="O258" s="65" t="str">
        <f t="shared" si="72"/>
        <v/>
      </c>
    </row>
    <row r="259" spans="1:15" x14ac:dyDescent="0.25">
      <c r="A259" s="64" t="s">
        <v>18</v>
      </c>
      <c r="B259" s="54" t="s">
        <v>19</v>
      </c>
      <c r="C259" s="55" t="s">
        <v>12</v>
      </c>
      <c r="D259" s="60">
        <v>8587</v>
      </c>
      <c r="E259" s="60">
        <v>6453</v>
      </c>
      <c r="F259" s="60">
        <v>3734</v>
      </c>
      <c r="G259" s="57"/>
      <c r="H259" s="56"/>
      <c r="I259" s="56"/>
      <c r="J259" s="58">
        <f t="shared" si="73"/>
        <v>116.45510655642249</v>
      </c>
      <c r="K259" s="58">
        <f t="shared" si="68"/>
        <v>154.96668216333489</v>
      </c>
      <c r="L259" s="58">
        <f t="shared" si="69"/>
        <v>267.80931976432777</v>
      </c>
      <c r="M259" s="58" t="str">
        <f t="shared" si="70"/>
        <v/>
      </c>
      <c r="N259" s="58" t="str">
        <f t="shared" si="71"/>
        <v/>
      </c>
      <c r="O259" s="65" t="str">
        <f t="shared" si="72"/>
        <v/>
      </c>
    </row>
    <row r="260" spans="1:15" x14ac:dyDescent="0.25">
      <c r="A260" s="147" t="s">
        <v>122</v>
      </c>
      <c r="B260" s="143"/>
      <c r="C260" s="143"/>
      <c r="D260" s="143"/>
      <c r="E260" s="143"/>
      <c r="F260" s="143"/>
      <c r="G260" s="143"/>
      <c r="H260" s="143"/>
      <c r="I260" s="61"/>
      <c r="J260" s="61"/>
      <c r="K260" s="61"/>
      <c r="L260" s="61"/>
      <c r="M260" s="61"/>
      <c r="N260" s="61"/>
      <c r="O260" s="66"/>
    </row>
    <row r="261" spans="1:15" ht="18.75" x14ac:dyDescent="0.3">
      <c r="A261" s="144" t="s">
        <v>89</v>
      </c>
      <c r="B261" s="145"/>
      <c r="C261" s="145"/>
      <c r="D261" s="145"/>
      <c r="E261" s="145"/>
      <c r="F261" s="145"/>
      <c r="G261" s="145"/>
      <c r="H261" s="145"/>
      <c r="I261" s="145"/>
      <c r="J261" s="145"/>
      <c r="K261" s="145"/>
      <c r="L261" s="145"/>
      <c r="M261" s="145"/>
      <c r="N261" s="145"/>
      <c r="O261" s="146"/>
    </row>
    <row r="262" spans="1:15" x14ac:dyDescent="0.25">
      <c r="A262" s="137" t="s">
        <v>2</v>
      </c>
      <c r="B262" s="138"/>
      <c r="C262" s="138"/>
      <c r="D262" s="139" t="s">
        <v>20</v>
      </c>
      <c r="E262" s="139"/>
      <c r="F262" s="139"/>
      <c r="G262" s="139"/>
      <c r="H262" s="139"/>
      <c r="I262" s="139"/>
      <c r="J262" s="139" t="s">
        <v>23</v>
      </c>
      <c r="K262" s="139"/>
      <c r="L262" s="139"/>
      <c r="M262" s="139"/>
      <c r="N262" s="139"/>
      <c r="O262" s="140"/>
    </row>
    <row r="263" spans="1:15" x14ac:dyDescent="0.25">
      <c r="A263" s="62" t="s">
        <v>5</v>
      </c>
      <c r="B263" s="51" t="s">
        <v>6</v>
      </c>
      <c r="C263" s="51" t="s">
        <v>7</v>
      </c>
      <c r="D263" s="53">
        <v>1</v>
      </c>
      <c r="E263" s="53">
        <v>4</v>
      </c>
      <c r="F263" s="53">
        <v>16</v>
      </c>
      <c r="G263" s="53">
        <v>32</v>
      </c>
      <c r="H263" s="53">
        <v>64</v>
      </c>
      <c r="I263" s="53">
        <v>80</v>
      </c>
      <c r="J263" s="53">
        <v>1</v>
      </c>
      <c r="K263" s="53">
        <v>4</v>
      </c>
      <c r="L263" s="53">
        <v>16</v>
      </c>
      <c r="M263" s="53">
        <v>32</v>
      </c>
      <c r="N263" s="53">
        <v>64</v>
      </c>
      <c r="O263" s="63">
        <v>80</v>
      </c>
    </row>
    <row r="264" spans="1:15" x14ac:dyDescent="0.25">
      <c r="A264" s="64" t="s">
        <v>8</v>
      </c>
      <c r="B264" s="54" t="s">
        <v>9</v>
      </c>
      <c r="C264" s="54" t="s">
        <v>10</v>
      </c>
      <c r="D264" s="59">
        <f>IF(D254="","",(D254-'2016'!D191)/'2016'!D191)</f>
        <v>5.0344536633384895E-2</v>
      </c>
      <c r="E264" s="59">
        <f>IF(E254="","",(E254-'2016'!E191)/'2016'!E191)</f>
        <v>6.715662778931672E-2</v>
      </c>
      <c r="F264" s="59">
        <f>IF(F254="","",(F254-'2016'!F191)/'2016'!F191)</f>
        <v>-3.1621790857858482E-2</v>
      </c>
      <c r="G264" s="59" t="str">
        <f>IF(G254="","",(G254-'2014'!#REF!)/'2014'!#REF!)</f>
        <v/>
      </c>
      <c r="H264" s="59" t="str">
        <f>IF(H254="","",(H254-'2014'!#REF!)/'2014'!#REF!)</f>
        <v/>
      </c>
      <c r="I264" s="58" t="str">
        <f>IF(I254="","",(I254-'2014'!#REF!)/'2014'!#REF!)</f>
        <v/>
      </c>
      <c r="J264" s="58"/>
      <c r="K264" s="58"/>
      <c r="L264" s="58"/>
      <c r="M264" s="58" t="str">
        <f>IF(G264="","",M254-((1/'Proto 2013'!#REF!)*1000000))</f>
        <v/>
      </c>
      <c r="N264" s="58" t="str">
        <f>IF(H264="","",N254-((1/'Proto 2013'!#REF!)*1000000))</f>
        <v/>
      </c>
      <c r="O264" s="65" t="str">
        <f>IF(I264="","",O254-((1/'Proto 2013'!#REF!)*1000000))</f>
        <v/>
      </c>
    </row>
    <row r="265" spans="1:15" x14ac:dyDescent="0.25">
      <c r="A265" s="64" t="s">
        <v>11</v>
      </c>
      <c r="B265" s="54" t="s">
        <v>9</v>
      </c>
      <c r="C265" s="54" t="s">
        <v>12</v>
      </c>
      <c r="D265" s="59">
        <f>IF(D255="","",(D255-'2016'!D192)/'2016'!D192)</f>
        <v>-0.16195856873822975</v>
      </c>
      <c r="E265" s="59">
        <f>IF(E255="","",(E255-'2016'!E192)/'2016'!E192)</f>
        <v>-6.25E-2</v>
      </c>
      <c r="F265" s="59">
        <f>IF(F255="","",(F255-'2016'!F192)/'2016'!F192)</f>
        <v>-2.0330064577852188E-2</v>
      </c>
      <c r="G265" s="59" t="str">
        <f>IF(G255="","",(G255-'2014'!#REF!)/'2014'!#REF!)</f>
        <v/>
      </c>
      <c r="H265" s="59" t="str">
        <f>IF(H255="","",(H255-'2014'!#REF!)/'2014'!#REF!)</f>
        <v/>
      </c>
      <c r="I265" s="59" t="str">
        <f>IF(I255="","",(I255-'2014'!#REF!)/'2014'!#REF!)</f>
        <v/>
      </c>
      <c r="J265" s="58"/>
      <c r="K265" s="58"/>
      <c r="L265" s="58"/>
      <c r="M265" s="58" t="str">
        <f>IF(G265="","",M255-((1/'Proto 2013'!#REF!)*1000000))</f>
        <v/>
      </c>
      <c r="N265" s="58" t="str">
        <f>IF(H265="","",N255-((1/'Proto 2013'!#REF!)*1000000))</f>
        <v/>
      </c>
      <c r="O265" s="65" t="str">
        <f>IF(I265="","",O255-((1/'Proto 2013'!#REF!)*1000000))</f>
        <v/>
      </c>
    </row>
    <row r="266" spans="1:15" x14ac:dyDescent="0.25">
      <c r="A266" s="64" t="s">
        <v>13</v>
      </c>
      <c r="B266" s="54" t="s">
        <v>14</v>
      </c>
      <c r="C266" s="54" t="s">
        <v>10</v>
      </c>
      <c r="D266" s="59">
        <f>IF(D256="","",(D256-'2016'!D193)/'2016'!D193)</f>
        <v>-0.10038178148481385</v>
      </c>
      <c r="E266" s="59">
        <f>IF(E256="","",(E256-'2016'!E193)/'2016'!E193)</f>
        <v>-0.10834040147017246</v>
      </c>
      <c r="F266" s="59">
        <f>IF(F256="","",(F256-'2016'!F193)/'2016'!F193)</f>
        <v>-2.7728403839317455E-2</v>
      </c>
      <c r="G266" s="59" t="str">
        <f>IF(G256="","",(G256-'2014'!#REF!)/'2014'!#REF!)</f>
        <v/>
      </c>
      <c r="H266" s="59" t="str">
        <f>IF(H256="","",(H256-'2014'!#REF!)/'2014'!#REF!)</f>
        <v/>
      </c>
      <c r="I266" s="59" t="str">
        <f>IF(I256="","",(I256-'2014'!#REF!)/'2014'!#REF!)</f>
        <v/>
      </c>
      <c r="J266" s="58"/>
      <c r="K266" s="58"/>
      <c r="L266" s="58"/>
      <c r="M266" s="58" t="str">
        <f>IF(G266="","",M256-((1/'Proto 2013'!#REF!)*1000000))</f>
        <v/>
      </c>
      <c r="N266" s="58" t="str">
        <f>IF(H266="","",N256-((1/'Proto 2013'!#REF!)*1000000))</f>
        <v/>
      </c>
      <c r="O266" s="65" t="str">
        <f>IF(I266="","",O256-((1/'Proto 2013'!#REF!)*1000000))</f>
        <v/>
      </c>
    </row>
    <row r="267" spans="1:15" x14ac:dyDescent="0.25">
      <c r="A267" s="64" t="s">
        <v>15</v>
      </c>
      <c r="B267" s="54" t="s">
        <v>14</v>
      </c>
      <c r="C267" s="54" t="s">
        <v>12</v>
      </c>
      <c r="D267" s="59">
        <f>IF(D257="","",(D257-'2016'!D194)/'2016'!D194)</f>
        <v>-6.184782608695652E-2</v>
      </c>
      <c r="E267" s="59">
        <f>IF(E257="","",(E257-'2016'!E194)/'2016'!E194)</f>
        <v>-5.3069420539300057E-3</v>
      </c>
      <c r="F267" s="59">
        <f>IF(F257="","",(F257-'2016'!F194)/'2016'!F194)</f>
        <v>0</v>
      </c>
      <c r="G267" s="59" t="str">
        <f>IF(G257="","",(G257-'2014'!#REF!)/'2014'!#REF!)</f>
        <v/>
      </c>
      <c r="H267" s="59" t="str">
        <f>IF(H257="","",(H257-'2014'!#REF!)/'2014'!#REF!)</f>
        <v/>
      </c>
      <c r="I267" s="59" t="str">
        <f>IF(I257="","",(I257-'2014'!#REF!)/'2014'!#REF!)</f>
        <v/>
      </c>
      <c r="J267" s="58"/>
      <c r="K267" s="58"/>
      <c r="L267" s="58"/>
      <c r="M267" s="58" t="str">
        <f>IF(G267="","",M257-((1/'Proto 2013'!#REF!)*1000000))</f>
        <v/>
      </c>
      <c r="N267" s="58" t="str">
        <f>IF(H267="","",N257-((1/'Proto 2013'!#REF!)*1000000))</f>
        <v/>
      </c>
      <c r="O267" s="65" t="str">
        <f>IF(I267="","",O257-((1/'Proto 2013'!#REF!)*1000000))</f>
        <v/>
      </c>
    </row>
    <row r="268" spans="1:15" x14ac:dyDescent="0.25">
      <c r="A268" s="64" t="s">
        <v>16</v>
      </c>
      <c r="B268" s="54" t="s">
        <v>17</v>
      </c>
      <c r="C268" s="54" t="s">
        <v>12</v>
      </c>
      <c r="D268" s="59">
        <f>IF(D258="","",(D258-'2016'!D195)/'2016'!D195)</f>
        <v>2.7170702894270527E-2</v>
      </c>
      <c r="E268" s="59">
        <f>IF(E258="","",(E258-'2016'!E195)/'2016'!E195)</f>
        <v>-7.892921208776045E-2</v>
      </c>
      <c r="F268" s="59">
        <f>IF(F258="","",(F258-'2016'!F195)/'2016'!F195)</f>
        <v>-1.4694704839118318E-2</v>
      </c>
      <c r="G268" s="59" t="str">
        <f>IF(G258="","",(G258-'2014'!#REF!)/'2014'!#REF!)</f>
        <v/>
      </c>
      <c r="H268" s="59" t="str">
        <f>IF(H258="","",(H258-'2014'!#REF!)/'2014'!#REF!)</f>
        <v/>
      </c>
      <c r="I268" s="59" t="str">
        <f>IF(I258="","",(I258-'2014'!#REF!)/'2014'!#REF!)</f>
        <v/>
      </c>
      <c r="J268" s="58"/>
      <c r="K268" s="58"/>
      <c r="L268" s="58"/>
      <c r="M268" s="58" t="str">
        <f>IF(G268="","",M258-((1/'Proto 2013'!#REF!)*1000000))</f>
        <v/>
      </c>
      <c r="N268" s="58" t="str">
        <f>IF(H268="","",N258-((1/'Proto 2013'!#REF!)*1000000))</f>
        <v/>
      </c>
      <c r="O268" s="65" t="str">
        <f>IF(I268="","",O258-((1/'Proto 2013'!#REF!)*1000000))</f>
        <v/>
      </c>
    </row>
    <row r="269" spans="1:15" ht="15.75" thickBot="1" x14ac:dyDescent="0.3">
      <c r="A269" s="70" t="s">
        <v>18</v>
      </c>
      <c r="B269" s="71" t="s">
        <v>19</v>
      </c>
      <c r="C269" s="71" t="s">
        <v>12</v>
      </c>
      <c r="D269" s="59">
        <f>IF(D259="","",(D259-'2016'!D196)/'2016'!D196)</f>
        <v>7.203495630461923E-2</v>
      </c>
      <c r="E269" s="59">
        <f>IF(E259="","",(E259-'2016'!E196)/'2016'!E196)</f>
        <v>-3.3258426966292137E-2</v>
      </c>
      <c r="F269" s="59">
        <f>IF(F259="","",(F259-'2016'!F196)/'2016'!F196)</f>
        <v>-6.2044712383823163E-2</v>
      </c>
      <c r="G269" s="72" t="str">
        <f>IF(G259="","",(G259-'2014'!#REF!)/'2014'!#REF!)</f>
        <v/>
      </c>
      <c r="H269" s="72" t="str">
        <f>IF(H259="","",(H259-'2014'!#REF!)/'2014'!#REF!)</f>
        <v/>
      </c>
      <c r="I269" s="72" t="str">
        <f>IF(I259="","",(I259-'2014'!#REF!)/'2014'!#REF!)</f>
        <v/>
      </c>
      <c r="J269" s="73"/>
      <c r="K269" s="73"/>
      <c r="L269" s="73"/>
      <c r="M269" s="73" t="str">
        <f>IF(G269="","",M259-((1/'Proto 2013'!#REF!)*1000000))</f>
        <v/>
      </c>
      <c r="N269" s="73" t="str">
        <f>IF(H269="","",N259-((1/'Proto 2013'!#REF!)*1000000))</f>
        <v/>
      </c>
      <c r="O269" s="74" t="str">
        <f>IF(I269="","",O259-((1/'Proto 2013'!#REF!)*1000000))</f>
        <v/>
      </c>
    </row>
    <row r="270" spans="1:15" ht="18.75" x14ac:dyDescent="0.25">
      <c r="A270" s="131" t="s">
        <v>90</v>
      </c>
      <c r="B270" s="132"/>
      <c r="C270" s="132"/>
      <c r="D270" s="132"/>
      <c r="E270" s="132"/>
      <c r="F270" s="132"/>
      <c r="G270" s="132"/>
      <c r="H270" s="132"/>
      <c r="I270" s="132"/>
      <c r="J270" s="132"/>
      <c r="K270" s="132"/>
      <c r="L270" s="132"/>
      <c r="M270" s="132"/>
      <c r="N270" s="132"/>
      <c r="O270" s="133"/>
    </row>
    <row r="271" spans="1:15" ht="15.75" x14ac:dyDescent="0.25">
      <c r="A271" s="134" t="s">
        <v>123</v>
      </c>
      <c r="B271" s="135"/>
      <c r="C271" s="135"/>
      <c r="D271" s="135"/>
      <c r="E271" s="135"/>
      <c r="F271" s="135"/>
      <c r="G271" s="135"/>
      <c r="H271" s="135"/>
      <c r="I271" s="135"/>
      <c r="J271" s="135"/>
      <c r="K271" s="135"/>
      <c r="L271" s="135"/>
      <c r="M271" s="135"/>
      <c r="N271" s="135"/>
      <c r="O271" s="136"/>
    </row>
    <row r="272" spans="1:15" x14ac:dyDescent="0.25">
      <c r="A272" s="137" t="s">
        <v>2</v>
      </c>
      <c r="B272" s="138"/>
      <c r="C272" s="138"/>
      <c r="D272" s="139" t="s">
        <v>3</v>
      </c>
      <c r="E272" s="139"/>
      <c r="F272" s="139"/>
      <c r="G272" s="139"/>
      <c r="H272" s="139"/>
      <c r="I272" s="139"/>
      <c r="J272" s="139" t="s">
        <v>4</v>
      </c>
      <c r="K272" s="139"/>
      <c r="L272" s="139"/>
      <c r="M272" s="139"/>
      <c r="N272" s="139"/>
      <c r="O272" s="140"/>
    </row>
    <row r="273" spans="1:15" x14ac:dyDescent="0.25">
      <c r="A273" s="62" t="s">
        <v>5</v>
      </c>
      <c r="B273" s="51" t="s">
        <v>6</v>
      </c>
      <c r="C273" s="51" t="s">
        <v>7</v>
      </c>
      <c r="D273" s="52">
        <v>1</v>
      </c>
      <c r="E273" s="52">
        <v>4</v>
      </c>
      <c r="F273" s="52">
        <v>16</v>
      </c>
      <c r="G273" s="53">
        <v>32</v>
      </c>
      <c r="H273" s="53">
        <v>64</v>
      </c>
      <c r="I273" s="53">
        <v>80</v>
      </c>
      <c r="J273" s="53">
        <v>1</v>
      </c>
      <c r="K273" s="53">
        <v>4</v>
      </c>
      <c r="L273" s="53">
        <v>16</v>
      </c>
      <c r="M273" s="53">
        <v>32</v>
      </c>
      <c r="N273" s="53">
        <v>64</v>
      </c>
      <c r="O273" s="63">
        <v>80</v>
      </c>
    </row>
    <row r="274" spans="1:15" x14ac:dyDescent="0.25">
      <c r="A274" s="64" t="s">
        <v>8</v>
      </c>
      <c r="B274" s="54" t="s">
        <v>9</v>
      </c>
      <c r="C274" s="55" t="s">
        <v>10</v>
      </c>
      <c r="D274" s="60">
        <v>35555</v>
      </c>
      <c r="E274" s="60">
        <v>19745</v>
      </c>
      <c r="F274" s="60">
        <v>4763</v>
      </c>
      <c r="G274" s="57"/>
      <c r="H274" s="56"/>
      <c r="I274" s="56"/>
      <c r="J274" s="58">
        <f>IF(D274="","",(1/D274)*1000000)</f>
        <v>28.125439459991561</v>
      </c>
      <c r="K274" s="58">
        <f t="shared" ref="K274:K279" si="74">IF(E274="","",(1/E274)*1000000)</f>
        <v>50.645733096986582</v>
      </c>
      <c r="L274" s="58">
        <f t="shared" ref="L274:L279" si="75">IF(F274="","",(1/F274)*1000000)</f>
        <v>209.95171110644552</v>
      </c>
      <c r="M274" s="58" t="str">
        <f t="shared" ref="M274:M279" si="76">IF(G274="","",(1/G274)*1000000)</f>
        <v/>
      </c>
      <c r="N274" s="58" t="str">
        <f t="shared" ref="N274:N279" si="77">IF(H274="","",(1/H274)*1000000)</f>
        <v/>
      </c>
      <c r="O274" s="65" t="str">
        <f t="shared" ref="O274:O279" si="78">IF(I274="","",(1/I274)*1000000)</f>
        <v/>
      </c>
    </row>
    <row r="275" spans="1:15" x14ac:dyDescent="0.25">
      <c r="A275" s="64" t="s">
        <v>11</v>
      </c>
      <c r="B275" s="54" t="s">
        <v>9</v>
      </c>
      <c r="C275" s="55" t="s">
        <v>12</v>
      </c>
      <c r="D275" s="60">
        <v>10040</v>
      </c>
      <c r="E275" s="60">
        <v>7638</v>
      </c>
      <c r="F275" s="60">
        <v>3963</v>
      </c>
      <c r="G275" s="57"/>
      <c r="H275" s="56"/>
      <c r="I275" s="56"/>
      <c r="J275" s="58">
        <f t="shared" ref="J275:J279" si="79">IF(D275="","",(1/D275)*1000000)</f>
        <v>99.601593625498012</v>
      </c>
      <c r="K275" s="58">
        <f t="shared" si="74"/>
        <v>130.92432573972246</v>
      </c>
      <c r="L275" s="58">
        <f t="shared" si="75"/>
        <v>252.33409033560434</v>
      </c>
      <c r="M275" s="58" t="str">
        <f t="shared" si="76"/>
        <v/>
      </c>
      <c r="N275" s="58" t="str">
        <f t="shared" si="77"/>
        <v/>
      </c>
      <c r="O275" s="65" t="str">
        <f t="shared" si="78"/>
        <v/>
      </c>
    </row>
    <row r="276" spans="1:15" x14ac:dyDescent="0.25">
      <c r="A276" s="64" t="s">
        <v>13</v>
      </c>
      <c r="B276" s="54" t="s">
        <v>14</v>
      </c>
      <c r="C276" s="55" t="s">
        <v>10</v>
      </c>
      <c r="D276" s="60">
        <v>34441</v>
      </c>
      <c r="E276" s="60">
        <v>15977</v>
      </c>
      <c r="F276" s="60">
        <v>5378</v>
      </c>
      <c r="G276" s="57"/>
      <c r="H276" s="56"/>
      <c r="I276" s="56"/>
      <c r="J276" s="58">
        <f t="shared" si="79"/>
        <v>29.035161580674195</v>
      </c>
      <c r="K276" s="58">
        <f t="shared" si="74"/>
        <v>62.589973086311566</v>
      </c>
      <c r="L276" s="58">
        <f t="shared" si="75"/>
        <v>185.94272963927111</v>
      </c>
      <c r="M276" s="58" t="str">
        <f t="shared" si="76"/>
        <v/>
      </c>
      <c r="N276" s="58" t="str">
        <f t="shared" si="77"/>
        <v/>
      </c>
      <c r="O276" s="65" t="str">
        <f t="shared" si="78"/>
        <v/>
      </c>
    </row>
    <row r="277" spans="1:15" x14ac:dyDescent="0.25">
      <c r="A277" s="64" t="s">
        <v>15</v>
      </c>
      <c r="B277" s="54" t="s">
        <v>14</v>
      </c>
      <c r="C277" s="55" t="s">
        <v>12</v>
      </c>
      <c r="D277" s="60">
        <v>8631</v>
      </c>
      <c r="E277" s="60">
        <v>7143</v>
      </c>
      <c r="F277" s="60">
        <v>3742</v>
      </c>
      <c r="G277" s="57"/>
      <c r="H277" s="56"/>
      <c r="I277" s="56"/>
      <c r="J277" s="58">
        <f t="shared" si="79"/>
        <v>115.86142973004287</v>
      </c>
      <c r="K277" s="58">
        <f t="shared" si="74"/>
        <v>139.99720005599889</v>
      </c>
      <c r="L277" s="58">
        <f t="shared" si="75"/>
        <v>267.23677177979687</v>
      </c>
      <c r="M277" s="58" t="str">
        <f t="shared" si="76"/>
        <v/>
      </c>
      <c r="N277" s="58" t="str">
        <f t="shared" si="77"/>
        <v/>
      </c>
      <c r="O277" s="65" t="str">
        <f t="shared" si="78"/>
        <v/>
      </c>
    </row>
    <row r="278" spans="1:15" x14ac:dyDescent="0.25">
      <c r="A278" s="64" t="s">
        <v>16</v>
      </c>
      <c r="B278" s="54" t="s">
        <v>17</v>
      </c>
      <c r="C278" s="55" t="s">
        <v>12</v>
      </c>
      <c r="D278" s="60">
        <v>8548</v>
      </c>
      <c r="E278" s="60">
        <v>6453</v>
      </c>
      <c r="F278" s="60">
        <v>3716</v>
      </c>
      <c r="G278" s="57"/>
      <c r="H278" s="56"/>
      <c r="I278" s="56"/>
      <c r="J278" s="58">
        <f t="shared" si="79"/>
        <v>116.98642957416941</v>
      </c>
      <c r="K278" s="58">
        <f t="shared" si="74"/>
        <v>154.96668216333489</v>
      </c>
      <c r="L278" s="58">
        <f t="shared" si="75"/>
        <v>269.10656620021524</v>
      </c>
      <c r="M278" s="58" t="str">
        <f t="shared" si="76"/>
        <v/>
      </c>
      <c r="N278" s="58" t="str">
        <f t="shared" si="77"/>
        <v/>
      </c>
      <c r="O278" s="65" t="str">
        <f t="shared" si="78"/>
        <v/>
      </c>
    </row>
    <row r="279" spans="1:15" x14ac:dyDescent="0.25">
      <c r="A279" s="64" t="s">
        <v>18</v>
      </c>
      <c r="B279" s="54" t="s">
        <v>19</v>
      </c>
      <c r="C279" s="55" t="s">
        <v>12</v>
      </c>
      <c r="D279" s="60">
        <v>8551</v>
      </c>
      <c r="E279" s="60">
        <v>6732</v>
      </c>
      <c r="F279" s="60">
        <v>3875</v>
      </c>
      <c r="G279" s="57"/>
      <c r="H279" s="56"/>
      <c r="I279" s="56"/>
      <c r="J279" s="58">
        <f t="shared" si="79"/>
        <v>116.94538650450239</v>
      </c>
      <c r="K279" s="58">
        <f t="shared" si="74"/>
        <v>148.54426619132502</v>
      </c>
      <c r="L279" s="58">
        <f t="shared" si="75"/>
        <v>258.06451612903226</v>
      </c>
      <c r="M279" s="58" t="str">
        <f t="shared" si="76"/>
        <v/>
      </c>
      <c r="N279" s="58" t="str">
        <f t="shared" si="77"/>
        <v/>
      </c>
      <c r="O279" s="65" t="str">
        <f t="shared" si="78"/>
        <v/>
      </c>
    </row>
    <row r="280" spans="1:15" x14ac:dyDescent="0.25">
      <c r="A280" s="147" t="s">
        <v>124</v>
      </c>
      <c r="B280" s="143"/>
      <c r="C280" s="143"/>
      <c r="D280" s="143"/>
      <c r="E280" s="143"/>
      <c r="F280" s="143"/>
      <c r="G280" s="143"/>
      <c r="H280" s="143"/>
      <c r="I280" s="61"/>
      <c r="J280" s="61"/>
      <c r="K280" s="61"/>
      <c r="L280" s="61"/>
      <c r="M280" s="61"/>
      <c r="N280" s="61"/>
      <c r="O280" s="66"/>
    </row>
    <row r="281" spans="1:15" ht="18.75" x14ac:dyDescent="0.3">
      <c r="A281" s="144" t="s">
        <v>89</v>
      </c>
      <c r="B281" s="145"/>
      <c r="C281" s="145"/>
      <c r="D281" s="145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6"/>
    </row>
    <row r="282" spans="1:15" x14ac:dyDescent="0.25">
      <c r="A282" s="137" t="s">
        <v>2</v>
      </c>
      <c r="B282" s="138"/>
      <c r="C282" s="138"/>
      <c r="D282" s="139" t="s">
        <v>20</v>
      </c>
      <c r="E282" s="139"/>
      <c r="F282" s="139"/>
      <c r="G282" s="139"/>
      <c r="H282" s="139"/>
      <c r="I282" s="139"/>
      <c r="J282" s="139" t="s">
        <v>23</v>
      </c>
      <c r="K282" s="139"/>
      <c r="L282" s="139"/>
      <c r="M282" s="139"/>
      <c r="N282" s="139"/>
      <c r="O282" s="140"/>
    </row>
    <row r="283" spans="1:15" x14ac:dyDescent="0.25">
      <c r="A283" s="62" t="s">
        <v>5</v>
      </c>
      <c r="B283" s="51" t="s">
        <v>6</v>
      </c>
      <c r="C283" s="51" t="s">
        <v>7</v>
      </c>
      <c r="D283" s="53">
        <v>1</v>
      </c>
      <c r="E283" s="53">
        <v>4</v>
      </c>
      <c r="F283" s="53">
        <v>16</v>
      </c>
      <c r="G283" s="53">
        <v>32</v>
      </c>
      <c r="H283" s="53">
        <v>64</v>
      </c>
      <c r="I283" s="53">
        <v>80</v>
      </c>
      <c r="J283" s="53">
        <v>1</v>
      </c>
      <c r="K283" s="53">
        <v>4</v>
      </c>
      <c r="L283" s="53">
        <v>16</v>
      </c>
      <c r="M283" s="53">
        <v>32</v>
      </c>
      <c r="N283" s="53">
        <v>64</v>
      </c>
      <c r="O283" s="63">
        <v>80</v>
      </c>
    </row>
    <row r="284" spans="1:15" x14ac:dyDescent="0.25">
      <c r="A284" s="64" t="s">
        <v>8</v>
      </c>
      <c r="B284" s="54" t="s">
        <v>9</v>
      </c>
      <c r="C284" s="54" t="s">
        <v>10</v>
      </c>
      <c r="D284" s="59">
        <f>IF(D274="","",(D274-'2016'!D191)/'2016'!D191)</f>
        <v>-0.16666666666666666</v>
      </c>
      <c r="E284" s="59">
        <f>IF(E274="","",(E274-'2016'!E191)/'2016'!E191)</f>
        <v>5.1552431165787935E-2</v>
      </c>
      <c r="F284" s="59">
        <f>IF(F274="","",(F274-'2016'!F191)/'2016'!F191)</f>
        <v>-0.25438321853475265</v>
      </c>
      <c r="G284" s="59" t="str">
        <f>IF(G274="","",(G274-'2014'!#REF!)/'2014'!#REF!)</f>
        <v/>
      </c>
      <c r="H284" s="59" t="str">
        <f>IF(H274="","",(H274-'2014'!#REF!)/'2014'!#REF!)</f>
        <v/>
      </c>
      <c r="I284" s="58" t="str">
        <f>IF(I274="","",(I274-'2014'!#REF!)/'2014'!#REF!)</f>
        <v/>
      </c>
      <c r="J284" s="58"/>
      <c r="K284" s="58"/>
      <c r="L284" s="58"/>
      <c r="M284" s="58" t="str">
        <f>IF(G284="","",M274-((1/'Proto 2013'!#REF!)*1000000))</f>
        <v/>
      </c>
      <c r="N284" s="58" t="str">
        <f>IF(H284="","",N274-((1/'Proto 2013'!#REF!)*1000000))</f>
        <v/>
      </c>
      <c r="O284" s="65" t="str">
        <f>IF(I284="","",O274-((1/'Proto 2013'!#REF!)*1000000))</f>
        <v/>
      </c>
    </row>
    <row r="285" spans="1:15" x14ac:dyDescent="0.25">
      <c r="A285" s="64" t="s">
        <v>11</v>
      </c>
      <c r="B285" s="54" t="s">
        <v>9</v>
      </c>
      <c r="C285" s="54" t="s">
        <v>12</v>
      </c>
      <c r="D285" s="59">
        <f>IF(D275="","",(D275-'2016'!D192)/'2016'!D192)</f>
        <v>5.0428960033479804E-2</v>
      </c>
      <c r="E285" s="59">
        <f>IF(E275="","",(E275-'2016'!E192)/'2016'!E192)</f>
        <v>-1.307531380753138E-3</v>
      </c>
      <c r="F285" s="59">
        <f>IF(F275="","",(F275-'2016'!F192)/'2016'!F192)</f>
        <v>-5.2140636211432674E-2</v>
      </c>
      <c r="G285" s="59" t="str">
        <f>IF(G275="","",(G275-'2014'!#REF!)/'2014'!#REF!)</f>
        <v/>
      </c>
      <c r="H285" s="59" t="str">
        <f>IF(H275="","",(H275-'2014'!#REF!)/'2014'!#REF!)</f>
        <v/>
      </c>
      <c r="I285" s="59" t="str">
        <f>IF(I275="","",(I275-'2014'!#REF!)/'2014'!#REF!)</f>
        <v/>
      </c>
      <c r="J285" s="58"/>
      <c r="K285" s="58"/>
      <c r="L285" s="58"/>
      <c r="M285" s="58" t="str">
        <f>IF(G285="","",M275-((1/'Proto 2013'!#REF!)*1000000))</f>
        <v/>
      </c>
      <c r="N285" s="58" t="str">
        <f>IF(H285="","",N275-((1/'Proto 2013'!#REF!)*1000000))</f>
        <v/>
      </c>
      <c r="O285" s="65" t="str">
        <f>IF(I285="","",O275-((1/'Proto 2013'!#REF!)*1000000))</f>
        <v/>
      </c>
    </row>
    <row r="286" spans="1:15" x14ac:dyDescent="0.25">
      <c r="A286" s="64" t="s">
        <v>13</v>
      </c>
      <c r="B286" s="54" t="s">
        <v>14</v>
      </c>
      <c r="C286" s="54" t="s">
        <v>10</v>
      </c>
      <c r="D286" s="59">
        <f>IF(D276="","",(D276-'2016'!D193)/'2016'!D193)</f>
        <v>-0.16248814532013714</v>
      </c>
      <c r="E286" s="59">
        <f>IF(E276="","",(E276-'2016'!E193)/'2016'!E193)</f>
        <v>-9.6579021769861467E-2</v>
      </c>
      <c r="F286" s="59">
        <f>IF(F276="","",(F276-'2016'!F193)/'2016'!F193)</f>
        <v>-4.408105225737647E-2</v>
      </c>
      <c r="G286" s="59" t="str">
        <f>IF(G276="","",(G276-'2014'!#REF!)/'2014'!#REF!)</f>
        <v/>
      </c>
      <c r="H286" s="59" t="str">
        <f>IF(H276="","",(H276-'2014'!#REF!)/'2014'!#REF!)</f>
        <v/>
      </c>
      <c r="I286" s="59" t="str">
        <f>IF(I276="","",(I276-'2014'!#REF!)/'2014'!#REF!)</f>
        <v/>
      </c>
      <c r="J286" s="58"/>
      <c r="K286" s="58"/>
      <c r="L286" s="58"/>
      <c r="M286" s="58" t="str">
        <f>IF(G286="","",M276-((1/'Proto 2013'!#REF!)*1000000))</f>
        <v/>
      </c>
      <c r="N286" s="58" t="str">
        <f>IF(H286="","",N276-((1/'Proto 2013'!#REF!)*1000000))</f>
        <v/>
      </c>
      <c r="O286" s="65" t="str">
        <f>IF(I286="","",O276-((1/'Proto 2013'!#REF!)*1000000))</f>
        <v/>
      </c>
    </row>
    <row r="287" spans="1:15" x14ac:dyDescent="0.25">
      <c r="A287" s="64" t="s">
        <v>15</v>
      </c>
      <c r="B287" s="54" t="s">
        <v>14</v>
      </c>
      <c r="C287" s="54" t="s">
        <v>12</v>
      </c>
      <c r="D287" s="59">
        <f>IF(D277="","",(D277-'2016'!D194)/'2016'!D194)</f>
        <v>-6.184782608695652E-2</v>
      </c>
      <c r="E287" s="59">
        <f>IF(E277="","",(E277-'2016'!E194)/'2016'!E194)</f>
        <v>2.4526678141135974E-2</v>
      </c>
      <c r="F287" s="59">
        <f>IF(F277="","",(F277-'2016'!F194)/'2016'!F194)</f>
        <v>2.1424745581146223E-3</v>
      </c>
      <c r="G287" s="59" t="str">
        <f>IF(G277="","",(G277-'2014'!#REF!)/'2014'!#REF!)</f>
        <v/>
      </c>
      <c r="H287" s="59" t="str">
        <f>IF(H277="","",(H277-'2014'!#REF!)/'2014'!#REF!)</f>
        <v/>
      </c>
      <c r="I287" s="59" t="str">
        <f>IF(I277="","",(I277-'2014'!#REF!)/'2014'!#REF!)</f>
        <v/>
      </c>
      <c r="J287" s="58"/>
      <c r="K287" s="58"/>
      <c r="L287" s="58"/>
      <c r="M287" s="58" t="str">
        <f>IF(G287="","",M277-((1/'Proto 2013'!#REF!)*1000000))</f>
        <v/>
      </c>
      <c r="N287" s="58" t="str">
        <f>IF(H287="","",N277-((1/'Proto 2013'!#REF!)*1000000))</f>
        <v/>
      </c>
      <c r="O287" s="65" t="str">
        <f>IF(I287="","",O277-((1/'Proto 2013'!#REF!)*1000000))</f>
        <v/>
      </c>
    </row>
    <row r="288" spans="1:15" x14ac:dyDescent="0.25">
      <c r="A288" s="64" t="s">
        <v>16</v>
      </c>
      <c r="B288" s="54" t="s">
        <v>17</v>
      </c>
      <c r="C288" s="54" t="s">
        <v>12</v>
      </c>
      <c r="D288" s="59">
        <f>IF(D278="","",(D278-'2016'!D195)/'2016'!D195)</f>
        <v>9.8050797401063195E-3</v>
      </c>
      <c r="E288" s="59">
        <f>IF(E278="","",(E278-'2016'!E195)/'2016'!E195)</f>
        <v>-0.10956257761832483</v>
      </c>
      <c r="F288" s="59">
        <f>IF(F278="","",(F278-'2016'!F195)/'2016'!F195)</f>
        <v>-5.8525462376488473E-2</v>
      </c>
      <c r="G288" s="59" t="str">
        <f>IF(G278="","",(G278-'2014'!#REF!)/'2014'!#REF!)</f>
        <v/>
      </c>
      <c r="H288" s="59" t="str">
        <f>IF(H278="","",(H278-'2014'!#REF!)/'2014'!#REF!)</f>
        <v/>
      </c>
      <c r="I288" s="59" t="str">
        <f>IF(I278="","",(I278-'2014'!#REF!)/'2014'!#REF!)</f>
        <v/>
      </c>
      <c r="J288" s="58"/>
      <c r="K288" s="58"/>
      <c r="L288" s="58"/>
      <c r="M288" s="58" t="str">
        <f>IF(G288="","",M278-((1/'Proto 2013'!#REF!)*1000000))</f>
        <v/>
      </c>
      <c r="N288" s="58" t="str">
        <f>IF(H288="","",N278-((1/'Proto 2013'!#REF!)*1000000))</f>
        <v/>
      </c>
      <c r="O288" s="65" t="str">
        <f>IF(I288="","",O278-((1/'Proto 2013'!#REF!)*1000000))</f>
        <v/>
      </c>
    </row>
    <row r="289" spans="1:15" ht="15.75" thickBot="1" x14ac:dyDescent="0.3">
      <c r="A289" s="70" t="s">
        <v>18</v>
      </c>
      <c r="B289" s="71" t="s">
        <v>19</v>
      </c>
      <c r="C289" s="71" t="s">
        <v>12</v>
      </c>
      <c r="D289" s="59">
        <f>IF(D279="","",(D279-'2016'!D196)/'2016'!D196)</f>
        <v>6.7540574282147312E-2</v>
      </c>
      <c r="E289" s="59">
        <f>IF(E279="","",(E279-'2016'!E196)/'2016'!E196)</f>
        <v>8.5393258426966299E-3</v>
      </c>
      <c r="F289" s="59">
        <f>IF(F279="","",(F279-'2016'!F196)/'2016'!F196)</f>
        <v>-2.6626475759859332E-2</v>
      </c>
      <c r="G289" s="72" t="str">
        <f>IF(G279="","",(G279-'2014'!#REF!)/'2014'!#REF!)</f>
        <v/>
      </c>
      <c r="H289" s="72" t="str">
        <f>IF(H279="","",(H279-'2014'!#REF!)/'2014'!#REF!)</f>
        <v/>
      </c>
      <c r="I289" s="72" t="str">
        <f>IF(I279="","",(I279-'2014'!#REF!)/'2014'!#REF!)</f>
        <v/>
      </c>
      <c r="J289" s="73"/>
      <c r="K289" s="73"/>
      <c r="L289" s="73"/>
      <c r="M289" s="73" t="str">
        <f>IF(G289="","",M279-((1/'Proto 2013'!#REF!)*1000000))</f>
        <v/>
      </c>
      <c r="N289" s="73" t="str">
        <f>IF(H289="","",N279-((1/'Proto 2013'!#REF!)*1000000))</f>
        <v/>
      </c>
      <c r="O289" s="74" t="str">
        <f>IF(I289="","",O279-((1/'Proto 2013'!#REF!)*1000000))</f>
        <v/>
      </c>
    </row>
    <row r="290" spans="1:15" ht="18.75" x14ac:dyDescent="0.25">
      <c r="A290" s="131" t="s">
        <v>90</v>
      </c>
      <c r="B290" s="132"/>
      <c r="C290" s="132"/>
      <c r="D290" s="132"/>
      <c r="E290" s="132"/>
      <c r="F290" s="132"/>
      <c r="G290" s="132"/>
      <c r="H290" s="132"/>
      <c r="I290" s="132"/>
      <c r="J290" s="132"/>
      <c r="K290" s="132"/>
      <c r="L290" s="132"/>
      <c r="M290" s="132"/>
      <c r="N290" s="132"/>
      <c r="O290" s="133"/>
    </row>
    <row r="291" spans="1:15" ht="15.75" x14ac:dyDescent="0.25">
      <c r="A291" s="134" t="s">
        <v>125</v>
      </c>
      <c r="B291" s="135"/>
      <c r="C291" s="135"/>
      <c r="D291" s="135"/>
      <c r="E291" s="135"/>
      <c r="F291" s="135"/>
      <c r="G291" s="135"/>
      <c r="H291" s="135"/>
      <c r="I291" s="135"/>
      <c r="J291" s="135"/>
      <c r="K291" s="135"/>
      <c r="L291" s="135"/>
      <c r="M291" s="135"/>
      <c r="N291" s="135"/>
      <c r="O291" s="136"/>
    </row>
    <row r="292" spans="1:15" x14ac:dyDescent="0.25">
      <c r="A292" s="137" t="s">
        <v>2</v>
      </c>
      <c r="B292" s="138"/>
      <c r="C292" s="138"/>
      <c r="D292" s="139" t="s">
        <v>3</v>
      </c>
      <c r="E292" s="139"/>
      <c r="F292" s="139"/>
      <c r="G292" s="139"/>
      <c r="H292" s="139"/>
      <c r="I292" s="139"/>
      <c r="J292" s="139" t="s">
        <v>4</v>
      </c>
      <c r="K292" s="139"/>
      <c r="L292" s="139"/>
      <c r="M292" s="139"/>
      <c r="N292" s="139"/>
      <c r="O292" s="140"/>
    </row>
    <row r="293" spans="1:15" x14ac:dyDescent="0.25">
      <c r="A293" s="62" t="s">
        <v>5</v>
      </c>
      <c r="B293" s="51" t="s">
        <v>6</v>
      </c>
      <c r="C293" s="51" t="s">
        <v>7</v>
      </c>
      <c r="D293" s="52">
        <v>1</v>
      </c>
      <c r="E293" s="52">
        <v>4</v>
      </c>
      <c r="F293" s="52">
        <v>16</v>
      </c>
      <c r="G293" s="53">
        <v>32</v>
      </c>
      <c r="H293" s="53">
        <v>64</v>
      </c>
      <c r="I293" s="53">
        <v>80</v>
      </c>
      <c r="J293" s="53">
        <v>1</v>
      </c>
      <c r="K293" s="53">
        <v>4</v>
      </c>
      <c r="L293" s="53">
        <v>16</v>
      </c>
      <c r="M293" s="53">
        <v>32</v>
      </c>
      <c r="N293" s="53">
        <v>64</v>
      </c>
      <c r="O293" s="63">
        <v>80</v>
      </c>
    </row>
    <row r="294" spans="1:15" x14ac:dyDescent="0.25">
      <c r="A294" s="64" t="s">
        <v>8</v>
      </c>
      <c r="B294" s="54" t="s">
        <v>9</v>
      </c>
      <c r="C294" s="55" t="s">
        <v>10</v>
      </c>
      <c r="D294" s="60">
        <v>48030</v>
      </c>
      <c r="E294" s="60">
        <v>18777</v>
      </c>
      <c r="F294" s="60">
        <v>6282</v>
      </c>
      <c r="G294" s="57"/>
      <c r="H294" s="56"/>
      <c r="I294" s="56"/>
      <c r="J294" s="58">
        <f>IF(D294="","",(1/D294)*1000000)</f>
        <v>20.820320632937747</v>
      </c>
      <c r="K294" s="58">
        <f t="shared" ref="K294:K299" si="80">IF(E294="","",(1/E294)*1000000)</f>
        <v>53.256643766309843</v>
      </c>
      <c r="L294" s="58">
        <f t="shared" ref="L294:L299" si="81">IF(F294="","",(1/F294)*1000000)</f>
        <v>159.18497293855461</v>
      </c>
      <c r="M294" s="58" t="str">
        <f t="shared" ref="M294:M299" si="82">IF(G294="","",(1/G294)*1000000)</f>
        <v/>
      </c>
      <c r="N294" s="58" t="str">
        <f t="shared" ref="N294:N299" si="83">IF(H294="","",(1/H294)*1000000)</f>
        <v/>
      </c>
      <c r="O294" s="65" t="str">
        <f t="shared" ref="O294:O299" si="84">IF(I294="","",(1/I294)*1000000)</f>
        <v/>
      </c>
    </row>
    <row r="295" spans="1:15" x14ac:dyDescent="0.25">
      <c r="A295" s="64" t="s">
        <v>11</v>
      </c>
      <c r="B295" s="54" t="s">
        <v>9</v>
      </c>
      <c r="C295" s="55" t="s">
        <v>12</v>
      </c>
      <c r="D295" s="60">
        <v>10083</v>
      </c>
      <c r="E295" s="60">
        <v>7911</v>
      </c>
      <c r="F295" s="60">
        <v>4162</v>
      </c>
      <c r="G295" s="57"/>
      <c r="H295" s="56"/>
      <c r="I295" s="56"/>
      <c r="J295" s="58">
        <f t="shared" ref="J295:J299" si="85">IF(D295="","",(1/D295)*1000000)</f>
        <v>99.176832291976595</v>
      </c>
      <c r="K295" s="58">
        <f t="shared" si="80"/>
        <v>126.40626975097966</v>
      </c>
      <c r="L295" s="58">
        <f t="shared" si="81"/>
        <v>240.26910139356079</v>
      </c>
      <c r="M295" s="58" t="str">
        <f t="shared" si="82"/>
        <v/>
      </c>
      <c r="N295" s="58" t="str">
        <f t="shared" si="83"/>
        <v/>
      </c>
      <c r="O295" s="65" t="str">
        <f t="shared" si="84"/>
        <v/>
      </c>
    </row>
    <row r="296" spans="1:15" x14ac:dyDescent="0.25">
      <c r="A296" s="64" t="s">
        <v>13</v>
      </c>
      <c r="B296" s="54" t="s">
        <v>14</v>
      </c>
      <c r="C296" s="55" t="s">
        <v>10</v>
      </c>
      <c r="D296" s="60">
        <v>34441</v>
      </c>
      <c r="E296" s="60">
        <v>17344</v>
      </c>
      <c r="F296" s="60">
        <v>5534</v>
      </c>
      <c r="G296" s="57"/>
      <c r="H296" s="56"/>
      <c r="I296" s="56"/>
      <c r="J296" s="58">
        <f t="shared" si="85"/>
        <v>29.035161580674195</v>
      </c>
      <c r="K296" s="58">
        <f t="shared" si="80"/>
        <v>57.656826568265679</v>
      </c>
      <c r="L296" s="58">
        <f t="shared" si="81"/>
        <v>180.70112034694617</v>
      </c>
      <c r="M296" s="58" t="str">
        <f t="shared" si="82"/>
        <v/>
      </c>
      <c r="N296" s="58" t="str">
        <f t="shared" si="83"/>
        <v/>
      </c>
      <c r="O296" s="65" t="str">
        <f t="shared" si="84"/>
        <v/>
      </c>
    </row>
    <row r="297" spans="1:15" x14ac:dyDescent="0.25">
      <c r="A297" s="64" t="s">
        <v>15</v>
      </c>
      <c r="B297" s="54" t="s">
        <v>14</v>
      </c>
      <c r="C297" s="55" t="s">
        <v>12</v>
      </c>
      <c r="D297" s="60">
        <v>9369</v>
      </c>
      <c r="E297" s="60">
        <v>7307</v>
      </c>
      <c r="F297" s="60">
        <v>3863</v>
      </c>
      <c r="G297" s="57"/>
      <c r="H297" s="56"/>
      <c r="I297" s="56"/>
      <c r="J297" s="58">
        <f t="shared" si="85"/>
        <v>106.73497705197993</v>
      </c>
      <c r="K297" s="58">
        <f t="shared" si="80"/>
        <v>136.85507048036132</v>
      </c>
      <c r="L297" s="58">
        <f t="shared" si="81"/>
        <v>258.86616619207871</v>
      </c>
      <c r="M297" s="58" t="str">
        <f t="shared" si="82"/>
        <v/>
      </c>
      <c r="N297" s="58" t="str">
        <f t="shared" si="83"/>
        <v/>
      </c>
      <c r="O297" s="65" t="str">
        <f t="shared" si="84"/>
        <v/>
      </c>
    </row>
    <row r="298" spans="1:15" x14ac:dyDescent="0.25">
      <c r="A298" s="64" t="s">
        <v>16</v>
      </c>
      <c r="B298" s="54" t="s">
        <v>17</v>
      </c>
      <c r="C298" s="55" t="s">
        <v>12</v>
      </c>
      <c r="D298" s="60">
        <v>8528</v>
      </c>
      <c r="E298" s="60">
        <v>6650</v>
      </c>
      <c r="F298" s="60">
        <v>3908</v>
      </c>
      <c r="G298" s="57"/>
      <c r="H298" s="56"/>
      <c r="I298" s="56"/>
      <c r="J298" s="58">
        <f t="shared" si="85"/>
        <v>117.26078799249531</v>
      </c>
      <c r="K298" s="58">
        <f t="shared" si="80"/>
        <v>150.37593984962405</v>
      </c>
      <c r="L298" s="58">
        <f t="shared" si="81"/>
        <v>255.88536335721597</v>
      </c>
      <c r="M298" s="58" t="str">
        <f t="shared" si="82"/>
        <v/>
      </c>
      <c r="N298" s="58" t="str">
        <f t="shared" si="83"/>
        <v/>
      </c>
      <c r="O298" s="65" t="str">
        <f t="shared" si="84"/>
        <v/>
      </c>
    </row>
    <row r="299" spans="1:15" x14ac:dyDescent="0.25">
      <c r="A299" s="64" t="s">
        <v>18</v>
      </c>
      <c r="B299" s="54" t="s">
        <v>19</v>
      </c>
      <c r="C299" s="55" t="s">
        <v>12</v>
      </c>
      <c r="D299" s="60">
        <v>8518</v>
      </c>
      <c r="E299" s="60">
        <v>6730</v>
      </c>
      <c r="F299" s="60">
        <v>3849</v>
      </c>
      <c r="G299" s="57"/>
      <c r="H299" s="56"/>
      <c r="I299" s="56"/>
      <c r="J299" s="58">
        <f t="shared" si="85"/>
        <v>117.39845034045551</v>
      </c>
      <c r="K299" s="58">
        <f t="shared" si="80"/>
        <v>148.58841010401187</v>
      </c>
      <c r="L299" s="58">
        <f t="shared" si="81"/>
        <v>259.8077422707197</v>
      </c>
      <c r="M299" s="58" t="str">
        <f t="shared" si="82"/>
        <v/>
      </c>
      <c r="N299" s="58" t="str">
        <f t="shared" si="83"/>
        <v/>
      </c>
      <c r="O299" s="65" t="str">
        <f t="shared" si="84"/>
        <v/>
      </c>
    </row>
    <row r="300" spans="1:15" x14ac:dyDescent="0.25">
      <c r="A300" s="147" t="s">
        <v>126</v>
      </c>
      <c r="B300" s="143"/>
      <c r="C300" s="143"/>
      <c r="D300" s="143"/>
      <c r="E300" s="143"/>
      <c r="F300" s="143"/>
      <c r="G300" s="143"/>
      <c r="H300" s="143"/>
      <c r="I300" s="61"/>
      <c r="J300" s="61"/>
      <c r="K300" s="61"/>
      <c r="L300" s="61"/>
      <c r="M300" s="61"/>
      <c r="N300" s="61"/>
      <c r="O300" s="66"/>
    </row>
    <row r="301" spans="1:15" ht="18.75" x14ac:dyDescent="0.3">
      <c r="A301" s="144" t="s">
        <v>89</v>
      </c>
      <c r="B301" s="145"/>
      <c r="C301" s="145"/>
      <c r="D301" s="145"/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  <c r="O301" s="146"/>
    </row>
    <row r="302" spans="1:15" x14ac:dyDescent="0.25">
      <c r="A302" s="137" t="s">
        <v>2</v>
      </c>
      <c r="B302" s="138"/>
      <c r="C302" s="138"/>
      <c r="D302" s="139" t="s">
        <v>20</v>
      </c>
      <c r="E302" s="139"/>
      <c r="F302" s="139"/>
      <c r="G302" s="139"/>
      <c r="H302" s="139"/>
      <c r="I302" s="139"/>
      <c r="J302" s="139" t="s">
        <v>23</v>
      </c>
      <c r="K302" s="139"/>
      <c r="L302" s="139"/>
      <c r="M302" s="139"/>
      <c r="N302" s="139"/>
      <c r="O302" s="140"/>
    </row>
    <row r="303" spans="1:15" x14ac:dyDescent="0.25">
      <c r="A303" s="62" t="s">
        <v>5</v>
      </c>
      <c r="B303" s="51" t="s">
        <v>6</v>
      </c>
      <c r="C303" s="51" t="s">
        <v>7</v>
      </c>
      <c r="D303" s="53">
        <v>1</v>
      </c>
      <c r="E303" s="53">
        <v>4</v>
      </c>
      <c r="F303" s="53">
        <v>16</v>
      </c>
      <c r="G303" s="53">
        <v>32</v>
      </c>
      <c r="H303" s="53">
        <v>64</v>
      </c>
      <c r="I303" s="53">
        <v>80</v>
      </c>
      <c r="J303" s="53">
        <v>1</v>
      </c>
      <c r="K303" s="53">
        <v>4</v>
      </c>
      <c r="L303" s="53">
        <v>16</v>
      </c>
      <c r="M303" s="53">
        <v>32</v>
      </c>
      <c r="N303" s="53">
        <v>64</v>
      </c>
      <c r="O303" s="63">
        <v>80</v>
      </c>
    </row>
    <row r="304" spans="1:15" x14ac:dyDescent="0.25">
      <c r="A304" s="64" t="s">
        <v>8</v>
      </c>
      <c r="B304" s="54" t="s">
        <v>9</v>
      </c>
      <c r="C304" s="54" t="s">
        <v>10</v>
      </c>
      <c r="D304" s="59">
        <f>IF(D294="","",(D294-'2016'!D191)/'2016'!D191)</f>
        <v>0.12572071438616228</v>
      </c>
      <c r="E304" s="59">
        <f>IF(E294="","",(E294-'2016'!E191)/'2016'!E191)</f>
        <v>0</v>
      </c>
      <c r="F304" s="59">
        <f>IF(F294="","",(F294-'2016'!F191)/'2016'!F191)</f>
        <v>-1.6593613024420788E-2</v>
      </c>
      <c r="G304" s="59" t="str">
        <f>IF(G294="","",(G294-'2014'!#REF!)/'2014'!#REF!)</f>
        <v/>
      </c>
      <c r="H304" s="59" t="str">
        <f>IF(H294="","",(H294-'2014'!#REF!)/'2014'!#REF!)</f>
        <v/>
      </c>
      <c r="I304" s="58" t="str">
        <f>IF(I294="","",(I294-'2014'!#REF!)/'2014'!#REF!)</f>
        <v/>
      </c>
      <c r="J304" s="58"/>
      <c r="K304" s="58"/>
      <c r="L304" s="58"/>
      <c r="M304" s="58" t="str">
        <f>IF(G304="","",M294-((1/'Proto 2013'!#REF!)*1000000))</f>
        <v/>
      </c>
      <c r="N304" s="58" t="str">
        <f>IF(H304="","",N294-((1/'Proto 2013'!#REF!)*1000000))</f>
        <v/>
      </c>
      <c r="O304" s="65" t="str">
        <f>IF(I304="","",O294-((1/'Proto 2013'!#REF!)*1000000))</f>
        <v/>
      </c>
    </row>
    <row r="305" spans="1:15" x14ac:dyDescent="0.25">
      <c r="A305" s="64" t="s">
        <v>11</v>
      </c>
      <c r="B305" s="54" t="s">
        <v>9</v>
      </c>
      <c r="C305" s="54" t="s">
        <v>12</v>
      </c>
      <c r="D305" s="59">
        <f>IF(D295="","",(D295-'2016'!D192)/'2016'!D192)</f>
        <v>5.4927809165097298E-2</v>
      </c>
      <c r="E305" s="59">
        <f>IF(E295="","",(E295-'2016'!E192)/'2016'!E192)</f>
        <v>3.4388075313807533E-2</v>
      </c>
      <c r="F305" s="59">
        <f>IF(F295="","",(F295-'2016'!F192)/'2016'!F192)</f>
        <v>-4.5443673762257837E-3</v>
      </c>
      <c r="G305" s="59" t="str">
        <f>IF(G295="","",(G295-'2014'!#REF!)/'2014'!#REF!)</f>
        <v/>
      </c>
      <c r="H305" s="59" t="str">
        <f>IF(H295="","",(H295-'2014'!#REF!)/'2014'!#REF!)</f>
        <v/>
      </c>
      <c r="I305" s="59" t="str">
        <f>IF(I295="","",(I295-'2014'!#REF!)/'2014'!#REF!)</f>
        <v/>
      </c>
      <c r="J305" s="58"/>
      <c r="K305" s="58"/>
      <c r="L305" s="58"/>
      <c r="M305" s="58" t="str">
        <f>IF(G305="","",M295-((1/'Proto 2013'!#REF!)*1000000))</f>
        <v/>
      </c>
      <c r="N305" s="58" t="str">
        <f>IF(H305="","",N295-((1/'Proto 2013'!#REF!)*1000000))</f>
        <v/>
      </c>
      <c r="O305" s="65" t="str">
        <f>IF(I305="","",O295-((1/'Proto 2013'!#REF!)*1000000))</f>
        <v/>
      </c>
    </row>
    <row r="306" spans="1:15" x14ac:dyDescent="0.25">
      <c r="A306" s="64" t="s">
        <v>13</v>
      </c>
      <c r="B306" s="54" t="s">
        <v>14</v>
      </c>
      <c r="C306" s="54" t="s">
        <v>10</v>
      </c>
      <c r="D306" s="59">
        <f>IF(D296="","",(D296-'2016'!D193)/'2016'!D193)</f>
        <v>-0.16248814532013714</v>
      </c>
      <c r="E306" s="59">
        <f>IF(E296="","",(E296-'2016'!E193)/'2016'!E193)</f>
        <v>-1.9281877297144472E-2</v>
      </c>
      <c r="F306" s="59">
        <f>IF(F296="","",(F296-'2016'!F193)/'2016'!F193)</f>
        <v>-1.6352648418059012E-2</v>
      </c>
      <c r="G306" s="59" t="str">
        <f>IF(G296="","",(G296-'2014'!#REF!)/'2014'!#REF!)</f>
        <v/>
      </c>
      <c r="H306" s="59" t="str">
        <f>IF(H296="","",(H296-'2014'!#REF!)/'2014'!#REF!)</f>
        <v/>
      </c>
      <c r="I306" s="59" t="str">
        <f>IF(I296="","",(I296-'2014'!#REF!)/'2014'!#REF!)</f>
        <v/>
      </c>
      <c r="J306" s="58"/>
      <c r="K306" s="58"/>
      <c r="L306" s="58"/>
      <c r="M306" s="58" t="str">
        <f>IF(G306="","",M296-((1/'Proto 2013'!#REF!)*1000000))</f>
        <v/>
      </c>
      <c r="N306" s="58" t="str">
        <f>IF(H306="","",N296-((1/'Proto 2013'!#REF!)*1000000))</f>
        <v/>
      </c>
      <c r="O306" s="65" t="str">
        <f>IF(I306="","",O296-((1/'Proto 2013'!#REF!)*1000000))</f>
        <v/>
      </c>
    </row>
    <row r="307" spans="1:15" x14ac:dyDescent="0.25">
      <c r="A307" s="64" t="s">
        <v>15</v>
      </c>
      <c r="B307" s="54" t="s">
        <v>14</v>
      </c>
      <c r="C307" s="54" t="s">
        <v>12</v>
      </c>
      <c r="D307" s="59">
        <f>IF(D297="","",(D297-'2016'!D194)/'2016'!D194)</f>
        <v>1.8369565217391304E-2</v>
      </c>
      <c r="E307" s="59">
        <f>IF(E297="","",(E297-'2016'!E194)/'2016'!E194)</f>
        <v>4.8049340218014915E-2</v>
      </c>
      <c r="F307" s="59">
        <f>IF(F297="","",(F297-'2016'!F194)/'2016'!F194)</f>
        <v>3.4547402249598284E-2</v>
      </c>
      <c r="G307" s="59" t="str">
        <f>IF(G297="","",(G297-'2014'!#REF!)/'2014'!#REF!)</f>
        <v/>
      </c>
      <c r="H307" s="59" t="str">
        <f>IF(H297="","",(H297-'2014'!#REF!)/'2014'!#REF!)</f>
        <v/>
      </c>
      <c r="I307" s="59" t="str">
        <f>IF(I297="","",(I297-'2014'!#REF!)/'2014'!#REF!)</f>
        <v/>
      </c>
      <c r="J307" s="58"/>
      <c r="K307" s="58"/>
      <c r="L307" s="58"/>
      <c r="M307" s="58" t="str">
        <f>IF(G307="","",M297-((1/'Proto 2013'!#REF!)*1000000))</f>
        <v/>
      </c>
      <c r="N307" s="58" t="str">
        <f>IF(H307="","",N297-((1/'Proto 2013'!#REF!)*1000000))</f>
        <v/>
      </c>
      <c r="O307" s="65" t="str">
        <f>IF(I307="","",O297-((1/'Proto 2013'!#REF!)*1000000))</f>
        <v/>
      </c>
    </row>
    <row r="308" spans="1:15" x14ac:dyDescent="0.25">
      <c r="A308" s="64" t="s">
        <v>16</v>
      </c>
      <c r="B308" s="54" t="s">
        <v>17</v>
      </c>
      <c r="C308" s="54" t="s">
        <v>12</v>
      </c>
      <c r="D308" s="59">
        <f>IF(D298="","",(D298-'2016'!D195)/'2016'!D195)</f>
        <v>7.4424099232132312E-3</v>
      </c>
      <c r="E308" s="59">
        <f>IF(E298="","",(E298-'2016'!E195)/'2016'!E195)</f>
        <v>-8.2378915413274453E-2</v>
      </c>
      <c r="F308" s="59">
        <f>IF(F298="","",(F298-'2016'!F195)/'2016'!F195)</f>
        <v>-9.8809222194071438E-3</v>
      </c>
      <c r="G308" s="59" t="str">
        <f>IF(G298="","",(G298-'2014'!#REF!)/'2014'!#REF!)</f>
        <v/>
      </c>
      <c r="H308" s="59" t="str">
        <f>IF(H298="","",(H298-'2014'!#REF!)/'2014'!#REF!)</f>
        <v/>
      </c>
      <c r="I308" s="59" t="str">
        <f>IF(I298="","",(I298-'2014'!#REF!)/'2014'!#REF!)</f>
        <v/>
      </c>
      <c r="J308" s="58"/>
      <c r="K308" s="58"/>
      <c r="L308" s="58"/>
      <c r="M308" s="58" t="str">
        <f>IF(G308="","",M298-((1/'Proto 2013'!#REF!)*1000000))</f>
        <v/>
      </c>
      <c r="N308" s="58" t="str">
        <f>IF(H308="","",N298-((1/'Proto 2013'!#REF!)*1000000))</f>
        <v/>
      </c>
      <c r="O308" s="65" t="str">
        <f>IF(I308="","",O298-((1/'Proto 2013'!#REF!)*1000000))</f>
        <v/>
      </c>
    </row>
    <row r="309" spans="1:15" ht="15.75" thickBot="1" x14ac:dyDescent="0.3">
      <c r="A309" s="70" t="s">
        <v>18</v>
      </c>
      <c r="B309" s="71" t="s">
        <v>19</v>
      </c>
      <c r="C309" s="71" t="s">
        <v>12</v>
      </c>
      <c r="D309" s="59">
        <f>IF(D299="","",(D299-'2016'!D196)/'2016'!D196)</f>
        <v>6.3420724094881392E-2</v>
      </c>
      <c r="E309" s="59">
        <f>IF(E299="","",(E299-'2016'!E196)/'2016'!E196)</f>
        <v>8.2397003745318352E-3</v>
      </c>
      <c r="F309" s="59">
        <f>IF(F299="","",(F299-'2016'!F196)/'2016'!F196)</f>
        <v>-3.3157498116051246E-2</v>
      </c>
      <c r="G309" s="72" t="str">
        <f>IF(G299="","",(G299-'2014'!#REF!)/'2014'!#REF!)</f>
        <v/>
      </c>
      <c r="H309" s="72" t="str">
        <f>IF(H299="","",(H299-'2014'!#REF!)/'2014'!#REF!)</f>
        <v/>
      </c>
      <c r="I309" s="72" t="str">
        <f>IF(I299="","",(I299-'2014'!#REF!)/'2014'!#REF!)</f>
        <v/>
      </c>
      <c r="J309" s="73"/>
      <c r="K309" s="73"/>
      <c r="L309" s="73"/>
      <c r="M309" s="73" t="str">
        <f>IF(G309="","",M299-((1/'Proto 2013'!#REF!)*1000000))</f>
        <v/>
      </c>
      <c r="N309" s="73" t="str">
        <f>IF(H309="","",N299-((1/'Proto 2013'!#REF!)*1000000))</f>
        <v/>
      </c>
      <c r="O309" s="74" t="str">
        <f>IF(I309="","",O299-((1/'Proto 2013'!#REF!)*1000000))</f>
        <v/>
      </c>
    </row>
    <row r="310" spans="1:15" ht="15.75" thickBot="1" x14ac:dyDescent="0.3"/>
    <row r="311" spans="1:15" ht="18.75" x14ac:dyDescent="0.25">
      <c r="A311" s="131" t="s">
        <v>90</v>
      </c>
      <c r="B311" s="132"/>
      <c r="C311" s="132"/>
      <c r="D311" s="132"/>
      <c r="E311" s="132"/>
      <c r="F311" s="132"/>
      <c r="G311" s="132"/>
      <c r="H311" s="132"/>
      <c r="I311" s="132"/>
      <c r="J311" s="132"/>
      <c r="K311" s="132"/>
      <c r="L311" s="132"/>
      <c r="M311" s="132"/>
      <c r="N311" s="132"/>
      <c r="O311" s="133"/>
    </row>
    <row r="312" spans="1:15" ht="15.75" x14ac:dyDescent="0.25">
      <c r="A312" s="134" t="s">
        <v>130</v>
      </c>
      <c r="B312" s="135"/>
      <c r="C312" s="135"/>
      <c r="D312" s="135"/>
      <c r="E312" s="135"/>
      <c r="F312" s="135"/>
      <c r="G312" s="135"/>
      <c r="H312" s="135"/>
      <c r="I312" s="135"/>
      <c r="J312" s="135"/>
      <c r="K312" s="135"/>
      <c r="L312" s="135"/>
      <c r="M312" s="135"/>
      <c r="N312" s="135"/>
      <c r="O312" s="136"/>
    </row>
    <row r="313" spans="1:15" x14ac:dyDescent="0.25">
      <c r="A313" s="137" t="s">
        <v>2</v>
      </c>
      <c r="B313" s="138"/>
      <c r="C313" s="138"/>
      <c r="D313" s="139" t="s">
        <v>3</v>
      </c>
      <c r="E313" s="139"/>
      <c r="F313" s="139"/>
      <c r="G313" s="139"/>
      <c r="H313" s="139"/>
      <c r="I313" s="139"/>
      <c r="J313" s="139" t="s">
        <v>4</v>
      </c>
      <c r="K313" s="139"/>
      <c r="L313" s="139"/>
      <c r="M313" s="139"/>
      <c r="N313" s="139"/>
      <c r="O313" s="140"/>
    </row>
    <row r="314" spans="1:15" x14ac:dyDescent="0.25">
      <c r="A314" s="62" t="s">
        <v>5</v>
      </c>
      <c r="B314" s="51" t="s">
        <v>6</v>
      </c>
      <c r="C314" s="51" t="s">
        <v>7</v>
      </c>
      <c r="D314" s="52">
        <v>1</v>
      </c>
      <c r="E314" s="52">
        <v>4</v>
      </c>
      <c r="F314" s="52">
        <v>16</v>
      </c>
      <c r="G314" s="53">
        <v>32</v>
      </c>
      <c r="H314" s="53">
        <v>64</v>
      </c>
      <c r="I314" s="53">
        <v>80</v>
      </c>
      <c r="J314" s="53">
        <v>1</v>
      </c>
      <c r="K314" s="53">
        <v>4</v>
      </c>
      <c r="L314" s="53">
        <v>16</v>
      </c>
      <c r="M314" s="53">
        <v>32</v>
      </c>
      <c r="N314" s="53">
        <v>64</v>
      </c>
      <c r="O314" s="63">
        <v>80</v>
      </c>
    </row>
    <row r="315" spans="1:15" x14ac:dyDescent="0.25">
      <c r="A315" s="64" t="s">
        <v>8</v>
      </c>
      <c r="B315" s="54" t="s">
        <v>9</v>
      </c>
      <c r="C315" s="55" t="s">
        <v>10</v>
      </c>
      <c r="D315" s="60">
        <v>42666</v>
      </c>
      <c r="E315" s="60">
        <v>18777</v>
      </c>
      <c r="F315" s="60">
        <v>5687</v>
      </c>
      <c r="G315" s="57"/>
      <c r="H315" s="56"/>
      <c r="I315" s="56"/>
      <c r="J315" s="58">
        <f>IF(D315="","",(1/D315)*1000000)</f>
        <v>23.437866216659636</v>
      </c>
      <c r="K315" s="58">
        <f t="shared" ref="K315:K320" si="86">IF(E315="","",(1/E315)*1000000)</f>
        <v>53.256643766309843</v>
      </c>
      <c r="L315" s="58">
        <f t="shared" ref="L315:L320" si="87">IF(F315="","",(1/F315)*1000000)</f>
        <v>175.83963425356075</v>
      </c>
      <c r="M315" s="58" t="str">
        <f t="shared" ref="M315:M320" si="88">IF(G315="","",(1/G315)*1000000)</f>
        <v/>
      </c>
      <c r="N315" s="58" t="str">
        <f t="shared" ref="N315:N320" si="89">IF(H315="","",(1/H315)*1000000)</f>
        <v/>
      </c>
      <c r="O315" s="65" t="str">
        <f t="shared" ref="O315:O320" si="90">IF(I315="","",(1/I315)*1000000)</f>
        <v/>
      </c>
    </row>
    <row r="316" spans="1:15" x14ac:dyDescent="0.25">
      <c r="A316" s="64" t="s">
        <v>11</v>
      </c>
      <c r="B316" s="54" t="s">
        <v>9</v>
      </c>
      <c r="C316" s="55" t="s">
        <v>12</v>
      </c>
      <c r="D316" s="60">
        <v>9612</v>
      </c>
      <c r="E316" s="60">
        <v>7743</v>
      </c>
      <c r="F316" s="60">
        <v>4169</v>
      </c>
      <c r="G316" s="57"/>
      <c r="H316" s="56"/>
      <c r="I316" s="56"/>
      <c r="J316" s="58">
        <f t="shared" ref="J316:J320" si="91">IF(D316="","",(1/D316)*1000000)</f>
        <v>104.03662089055348</v>
      </c>
      <c r="K316" s="58">
        <f t="shared" si="86"/>
        <v>129.14890869172154</v>
      </c>
      <c r="L316" s="58">
        <f t="shared" si="87"/>
        <v>239.86567522187576</v>
      </c>
      <c r="M316" s="58" t="str">
        <f t="shared" si="88"/>
        <v/>
      </c>
      <c r="N316" s="58" t="str">
        <f t="shared" si="89"/>
        <v/>
      </c>
      <c r="O316" s="65" t="str">
        <f t="shared" si="90"/>
        <v/>
      </c>
    </row>
    <row r="317" spans="1:15" x14ac:dyDescent="0.25">
      <c r="A317" s="64" t="s">
        <v>13</v>
      </c>
      <c r="B317" s="54" t="s">
        <v>14</v>
      </c>
      <c r="C317" s="55" t="s">
        <v>10</v>
      </c>
      <c r="D317" s="60">
        <v>31701</v>
      </c>
      <c r="E317" s="60">
        <v>15602</v>
      </c>
      <c r="F317" s="60">
        <v>5478</v>
      </c>
      <c r="G317" s="57"/>
      <c r="H317" s="56"/>
      <c r="I317" s="56"/>
      <c r="J317" s="58">
        <f t="shared" si="91"/>
        <v>31.544746222516643</v>
      </c>
      <c r="K317" s="58">
        <f t="shared" si="86"/>
        <v>64.094346878605307</v>
      </c>
      <c r="L317" s="58">
        <f t="shared" si="87"/>
        <v>182.54837531945967</v>
      </c>
      <c r="M317" s="58" t="str">
        <f t="shared" si="88"/>
        <v/>
      </c>
      <c r="N317" s="58" t="str">
        <f t="shared" si="89"/>
        <v/>
      </c>
      <c r="O317" s="65" t="str">
        <f t="shared" si="90"/>
        <v/>
      </c>
    </row>
    <row r="318" spans="1:15" x14ac:dyDescent="0.25">
      <c r="A318" s="64" t="s">
        <v>15</v>
      </c>
      <c r="B318" s="54" t="s">
        <v>14</v>
      </c>
      <c r="C318" s="55" t="s">
        <v>12</v>
      </c>
      <c r="D318" s="60">
        <v>9246</v>
      </c>
      <c r="E318" s="60">
        <v>6675</v>
      </c>
      <c r="F318" s="60">
        <v>3721</v>
      </c>
      <c r="G318" s="57"/>
      <c r="H318" s="56"/>
      <c r="I318" s="56"/>
      <c r="J318" s="58">
        <f t="shared" si="91"/>
        <v>108.15487778498812</v>
      </c>
      <c r="K318" s="58">
        <f t="shared" si="86"/>
        <v>149.81273408239701</v>
      </c>
      <c r="L318" s="58">
        <f t="shared" si="87"/>
        <v>268.74496103198061</v>
      </c>
      <c r="M318" s="58" t="str">
        <f t="shared" si="88"/>
        <v/>
      </c>
      <c r="N318" s="58" t="str">
        <f t="shared" si="89"/>
        <v/>
      </c>
      <c r="O318" s="65" t="str">
        <f t="shared" si="90"/>
        <v/>
      </c>
    </row>
    <row r="319" spans="1:15" x14ac:dyDescent="0.25">
      <c r="A319" s="64" t="s">
        <v>16</v>
      </c>
      <c r="B319" s="54" t="s">
        <v>17</v>
      </c>
      <c r="C319" s="55" t="s">
        <v>12</v>
      </c>
      <c r="D319" s="60">
        <v>8571</v>
      </c>
      <c r="E319" s="60">
        <v>6415</v>
      </c>
      <c r="F319" s="60">
        <v>3817</v>
      </c>
      <c r="G319" s="57"/>
      <c r="H319" s="56"/>
      <c r="I319" s="56"/>
      <c r="J319" s="58">
        <f t="shared" si="91"/>
        <v>116.67250029168125</v>
      </c>
      <c r="K319" s="58">
        <f t="shared" si="86"/>
        <v>155.8846453624318</v>
      </c>
      <c r="L319" s="58">
        <f t="shared" si="87"/>
        <v>261.98585276395079</v>
      </c>
      <c r="M319" s="58" t="str">
        <f t="shared" si="88"/>
        <v/>
      </c>
      <c r="N319" s="58" t="str">
        <f t="shared" si="89"/>
        <v/>
      </c>
      <c r="O319" s="65" t="str">
        <f t="shared" si="90"/>
        <v/>
      </c>
    </row>
    <row r="320" spans="1:15" x14ac:dyDescent="0.25">
      <c r="A320" s="64" t="s">
        <v>18</v>
      </c>
      <c r="B320" s="54" t="s">
        <v>19</v>
      </c>
      <c r="C320" s="55" t="s">
        <v>12</v>
      </c>
      <c r="D320" s="60">
        <v>8571</v>
      </c>
      <c r="E320" s="60">
        <v>6480</v>
      </c>
      <c r="F320" s="60">
        <v>3734</v>
      </c>
      <c r="G320" s="57"/>
      <c r="H320" s="56"/>
      <c r="I320" s="56"/>
      <c r="J320" s="58">
        <f t="shared" si="91"/>
        <v>116.67250029168125</v>
      </c>
      <c r="K320" s="58">
        <f t="shared" si="86"/>
        <v>154.32098765432099</v>
      </c>
      <c r="L320" s="58">
        <f t="shared" si="87"/>
        <v>267.80931976432777</v>
      </c>
      <c r="M320" s="58" t="str">
        <f t="shared" si="88"/>
        <v/>
      </c>
      <c r="N320" s="58" t="str">
        <f t="shared" si="89"/>
        <v/>
      </c>
      <c r="O320" s="65" t="str">
        <f t="shared" si="90"/>
        <v/>
      </c>
    </row>
    <row r="321" spans="1:15" x14ac:dyDescent="0.25">
      <c r="A321" s="147" t="s">
        <v>131</v>
      </c>
      <c r="B321" s="143"/>
      <c r="C321" s="143"/>
      <c r="D321" s="143"/>
      <c r="E321" s="143"/>
      <c r="F321" s="143"/>
      <c r="G321" s="143"/>
      <c r="H321" s="143"/>
      <c r="I321" s="61"/>
      <c r="J321" s="61"/>
      <c r="K321" s="61"/>
      <c r="L321" s="61"/>
      <c r="M321" s="61"/>
      <c r="N321" s="61"/>
      <c r="O321" s="66"/>
    </row>
    <row r="322" spans="1:15" ht="18.75" x14ac:dyDescent="0.3">
      <c r="A322" s="144" t="s">
        <v>89</v>
      </c>
      <c r="B322" s="145"/>
      <c r="C322" s="145"/>
      <c r="D322" s="145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  <c r="O322" s="146"/>
    </row>
    <row r="323" spans="1:15" x14ac:dyDescent="0.25">
      <c r="A323" s="137" t="s">
        <v>2</v>
      </c>
      <c r="B323" s="138"/>
      <c r="C323" s="138"/>
      <c r="D323" s="139" t="s">
        <v>20</v>
      </c>
      <c r="E323" s="139"/>
      <c r="F323" s="139"/>
      <c r="G323" s="139"/>
      <c r="H323" s="139"/>
      <c r="I323" s="139"/>
      <c r="J323" s="139" t="s">
        <v>23</v>
      </c>
      <c r="K323" s="139"/>
      <c r="L323" s="139"/>
      <c r="M323" s="139"/>
      <c r="N323" s="139"/>
      <c r="O323" s="140"/>
    </row>
    <row r="324" spans="1:15" x14ac:dyDescent="0.25">
      <c r="A324" s="62" t="s">
        <v>5</v>
      </c>
      <c r="B324" s="51" t="s">
        <v>6</v>
      </c>
      <c r="C324" s="51" t="s">
        <v>7</v>
      </c>
      <c r="D324" s="53">
        <v>1</v>
      </c>
      <c r="E324" s="53">
        <v>4</v>
      </c>
      <c r="F324" s="53">
        <v>16</v>
      </c>
      <c r="G324" s="53">
        <v>32</v>
      </c>
      <c r="H324" s="53">
        <v>64</v>
      </c>
      <c r="I324" s="53">
        <v>80</v>
      </c>
      <c r="J324" s="53">
        <v>1</v>
      </c>
      <c r="K324" s="53">
        <v>4</v>
      </c>
      <c r="L324" s="53">
        <v>16</v>
      </c>
      <c r="M324" s="53">
        <v>32</v>
      </c>
      <c r="N324" s="53">
        <v>64</v>
      </c>
      <c r="O324" s="63">
        <v>80</v>
      </c>
    </row>
    <row r="325" spans="1:15" x14ac:dyDescent="0.25">
      <c r="A325" s="64" t="s">
        <v>8</v>
      </c>
      <c r="B325" s="54" t="s">
        <v>9</v>
      </c>
      <c r="C325" s="54" t="s">
        <v>10</v>
      </c>
      <c r="D325" s="59">
        <f>IF(D315="","",(D315-'2016'!D191)/'2016'!D191)</f>
        <v>0</v>
      </c>
      <c r="E325" s="59">
        <f>IF(E315="","",(E315-'2016'!E191)/'2016'!E191)</f>
        <v>0</v>
      </c>
      <c r="F325" s="59">
        <f>IF(F315="","",(F315-'2016'!F191)/'2016'!F191)</f>
        <v>-0.10973700688791484</v>
      </c>
      <c r="G325" s="59" t="str">
        <f>IF(G315="","",(G315-'2014'!#REF!)/'2014'!#REF!)</f>
        <v/>
      </c>
      <c r="H325" s="59" t="str">
        <f>IF(H315="","",(H315-'2014'!#REF!)/'2014'!#REF!)</f>
        <v/>
      </c>
      <c r="I325" s="58" t="str">
        <f>IF(I315="","",(I315-'2014'!#REF!)/'2014'!#REF!)</f>
        <v/>
      </c>
      <c r="J325" s="58"/>
      <c r="K325" s="58"/>
      <c r="L325" s="58"/>
      <c r="M325" s="58" t="str">
        <f>IF(G325="","",M315-((1/'Proto 2013'!#REF!)*1000000))</f>
        <v/>
      </c>
      <c r="N325" s="58" t="str">
        <f>IF(H325="","",N315-((1/'Proto 2013'!#REF!)*1000000))</f>
        <v/>
      </c>
      <c r="O325" s="65" t="str">
        <f>IF(I325="","",O315-((1/'Proto 2013'!#REF!)*1000000))</f>
        <v/>
      </c>
    </row>
    <row r="326" spans="1:15" x14ac:dyDescent="0.25">
      <c r="A326" s="64" t="s">
        <v>11</v>
      </c>
      <c r="B326" s="54" t="s">
        <v>9</v>
      </c>
      <c r="C326" s="54" t="s">
        <v>12</v>
      </c>
      <c r="D326" s="59">
        <f>IF(D316="","",(D316-'2016'!D192)/'2016'!D192)</f>
        <v>5.6497175141242938E-3</v>
      </c>
      <c r="E326" s="59">
        <f>IF(E316="","",(E316-'2016'!E192)/'2016'!E192)</f>
        <v>1.2421548117154811E-2</v>
      </c>
      <c r="F326" s="59">
        <f>IF(F316="","",(F316-'2016'!F192)/'2016'!F192)</f>
        <v>-2.8701267639320736E-3</v>
      </c>
      <c r="G326" s="59" t="str">
        <f>IF(G316="","",(G316-'2014'!#REF!)/'2014'!#REF!)</f>
        <v/>
      </c>
      <c r="H326" s="59" t="str">
        <f>IF(H316="","",(H316-'2014'!#REF!)/'2014'!#REF!)</f>
        <v/>
      </c>
      <c r="I326" s="59" t="str">
        <f>IF(I316="","",(I316-'2014'!#REF!)/'2014'!#REF!)</f>
        <v/>
      </c>
      <c r="J326" s="58"/>
      <c r="K326" s="58"/>
      <c r="L326" s="58"/>
      <c r="M326" s="58" t="str">
        <f>IF(G326="","",M316-((1/'Proto 2013'!#REF!)*1000000))</f>
        <v/>
      </c>
      <c r="N326" s="58" t="str">
        <f>IF(H326="","",N316-((1/'Proto 2013'!#REF!)*1000000))</f>
        <v/>
      </c>
      <c r="O326" s="65" t="str">
        <f>IF(I326="","",O316-((1/'Proto 2013'!#REF!)*1000000))</f>
        <v/>
      </c>
    </row>
    <row r="327" spans="1:15" x14ac:dyDescent="0.25">
      <c r="A327" s="64" t="s">
        <v>13</v>
      </c>
      <c r="B327" s="54" t="s">
        <v>14</v>
      </c>
      <c r="C327" s="54" t="s">
        <v>10</v>
      </c>
      <c r="D327" s="59">
        <f>IF(D317="","",(D317-'2016'!D193)/'2016'!D193)</f>
        <v>-0.22911752547236339</v>
      </c>
      <c r="E327" s="59">
        <f>IF(E317="","",(E317-'2016'!E193)/'2016'!E193)</f>
        <v>-0.11778343228724908</v>
      </c>
      <c r="F327" s="59">
        <f>IF(F317="","",(F317-'2016'!F193)/'2016'!F193)</f>
        <v>-2.630643441166015E-2</v>
      </c>
      <c r="G327" s="59" t="str">
        <f>IF(G317="","",(G317-'2014'!#REF!)/'2014'!#REF!)</f>
        <v/>
      </c>
      <c r="H327" s="59" t="str">
        <f>IF(H317="","",(H317-'2014'!#REF!)/'2014'!#REF!)</f>
        <v/>
      </c>
      <c r="I327" s="59" t="str">
        <f>IF(I317="","",(I317-'2014'!#REF!)/'2014'!#REF!)</f>
        <v/>
      </c>
      <c r="J327" s="58"/>
      <c r="K327" s="58"/>
      <c r="L327" s="58"/>
      <c r="M327" s="58" t="str">
        <f>IF(G327="","",M317-((1/'Proto 2013'!#REF!)*1000000))</f>
        <v/>
      </c>
      <c r="N327" s="58" t="str">
        <f>IF(H327="","",N317-((1/'Proto 2013'!#REF!)*1000000))</f>
        <v/>
      </c>
      <c r="O327" s="65" t="str">
        <f>IF(I327="","",O317-((1/'Proto 2013'!#REF!)*1000000))</f>
        <v/>
      </c>
    </row>
    <row r="328" spans="1:15" x14ac:dyDescent="0.25">
      <c r="A328" s="64" t="s">
        <v>15</v>
      </c>
      <c r="B328" s="54" t="s">
        <v>14</v>
      </c>
      <c r="C328" s="54" t="s">
        <v>12</v>
      </c>
      <c r="D328" s="59">
        <f>IF(D318="","",(D318-'2016'!D194)/'2016'!D194)</f>
        <v>5.0000000000000001E-3</v>
      </c>
      <c r="E328" s="59">
        <f>IF(E318="","",(E318-'2016'!E194)/'2016'!E194)</f>
        <v>-4.2598967297762476E-2</v>
      </c>
      <c r="F328" s="59">
        <f>IF(F318="","",(F318-'2016'!F194)/'2016'!F194)</f>
        <v>-3.4815211569362613E-3</v>
      </c>
      <c r="G328" s="59" t="str">
        <f>IF(G318="","",(G318-'2014'!#REF!)/'2014'!#REF!)</f>
        <v/>
      </c>
      <c r="H328" s="59" t="str">
        <f>IF(H318="","",(H318-'2014'!#REF!)/'2014'!#REF!)</f>
        <v/>
      </c>
      <c r="I328" s="59" t="str">
        <f>IF(I318="","",(I318-'2014'!#REF!)/'2014'!#REF!)</f>
        <v/>
      </c>
      <c r="J328" s="58"/>
      <c r="K328" s="58"/>
      <c r="L328" s="58"/>
      <c r="M328" s="58" t="str">
        <f>IF(G328="","",M318-((1/'Proto 2013'!#REF!)*1000000))</f>
        <v/>
      </c>
      <c r="N328" s="58" t="str">
        <f>IF(H328="","",N318-((1/'Proto 2013'!#REF!)*1000000))</f>
        <v/>
      </c>
      <c r="O328" s="65" t="str">
        <f>IF(I328="","",O318-((1/'Proto 2013'!#REF!)*1000000))</f>
        <v/>
      </c>
    </row>
    <row r="329" spans="1:15" x14ac:dyDescent="0.25">
      <c r="A329" s="64" t="s">
        <v>16</v>
      </c>
      <c r="B329" s="54" t="s">
        <v>17</v>
      </c>
      <c r="C329" s="54" t="s">
        <v>12</v>
      </c>
      <c r="D329" s="59">
        <f>IF(D319="","",(D319-'2016'!D195)/'2016'!D195)</f>
        <v>1.2522150029533373E-2</v>
      </c>
      <c r="E329" s="59">
        <f>IF(E319="","",(E319-'2016'!E195)/'2016'!E195)</f>
        <v>-0.11480612667310611</v>
      </c>
      <c r="F329" s="59">
        <f>IF(F319="","",(F319-'2016'!F195)/'2016'!F195)</f>
        <v>-3.2936407398023816E-2</v>
      </c>
      <c r="G329" s="59" t="str">
        <f>IF(G319="","",(G319-'2014'!#REF!)/'2014'!#REF!)</f>
        <v/>
      </c>
      <c r="H329" s="59" t="str">
        <f>IF(H319="","",(H319-'2014'!#REF!)/'2014'!#REF!)</f>
        <v/>
      </c>
      <c r="I329" s="59" t="str">
        <f>IF(I319="","",(I319-'2014'!#REF!)/'2014'!#REF!)</f>
        <v/>
      </c>
      <c r="J329" s="58"/>
      <c r="K329" s="58"/>
      <c r="L329" s="58"/>
      <c r="M329" s="58" t="str">
        <f>IF(G329="","",M319-((1/'Proto 2013'!#REF!)*1000000))</f>
        <v/>
      </c>
      <c r="N329" s="58" t="str">
        <f>IF(H329="","",N319-((1/'Proto 2013'!#REF!)*1000000))</f>
        <v/>
      </c>
      <c r="O329" s="65" t="str">
        <f>IF(I329="","",O319-((1/'Proto 2013'!#REF!)*1000000))</f>
        <v/>
      </c>
    </row>
    <row r="330" spans="1:15" ht="15.75" thickBot="1" x14ac:dyDescent="0.3">
      <c r="A330" s="70" t="s">
        <v>18</v>
      </c>
      <c r="B330" s="71" t="s">
        <v>19</v>
      </c>
      <c r="C330" s="71" t="s">
        <v>12</v>
      </c>
      <c r="D330" s="59">
        <f>IF(D320="","",(D320-'2016'!D196)/'2016'!D196)</f>
        <v>7.0037453183520601E-2</v>
      </c>
      <c r="E330" s="59">
        <f>IF(E320="","",(E320-'2016'!E196)/'2016'!E196)</f>
        <v>-2.9213483146067417E-2</v>
      </c>
      <c r="F330" s="59">
        <f>IF(F320="","",(F320-'2016'!F196)/'2016'!F196)</f>
        <v>-6.2044712383823163E-2</v>
      </c>
      <c r="G330" s="72" t="str">
        <f>IF(G320="","",(G320-'2014'!#REF!)/'2014'!#REF!)</f>
        <v/>
      </c>
      <c r="H330" s="72" t="str">
        <f>IF(H320="","",(H320-'2014'!#REF!)/'2014'!#REF!)</f>
        <v/>
      </c>
      <c r="I330" s="72" t="str">
        <f>IF(I320="","",(I320-'2014'!#REF!)/'2014'!#REF!)</f>
        <v/>
      </c>
      <c r="J330" s="73"/>
      <c r="K330" s="73"/>
      <c r="L330" s="73"/>
      <c r="M330" s="73" t="str">
        <f>IF(G330="","",M320-((1/'Proto 2013'!#REF!)*1000000))</f>
        <v/>
      </c>
      <c r="N330" s="73" t="str">
        <f>IF(H330="","",N320-((1/'Proto 2013'!#REF!)*1000000))</f>
        <v/>
      </c>
      <c r="O330" s="74" t="str">
        <f>IF(I330="","",O320-((1/'Proto 2013'!#REF!)*1000000))</f>
        <v/>
      </c>
    </row>
    <row r="331" spans="1:15" x14ac:dyDescent="0.25">
      <c r="D331" s="59" t="str">
        <f>IF(D321="","",(D321-'2016'!D197)/'2016'!D197)</f>
        <v/>
      </c>
    </row>
    <row r="332" spans="1:15" ht="18.75" x14ac:dyDescent="0.3">
      <c r="A332" s="144" t="s">
        <v>132</v>
      </c>
      <c r="B332" s="145"/>
      <c r="C332" s="145"/>
      <c r="D332" s="145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  <c r="O332" s="146"/>
    </row>
    <row r="333" spans="1:15" x14ac:dyDescent="0.25">
      <c r="A333" s="137" t="s">
        <v>2</v>
      </c>
      <c r="B333" s="138"/>
      <c r="C333" s="138"/>
      <c r="D333" s="139" t="s">
        <v>20</v>
      </c>
      <c r="E333" s="139"/>
      <c r="F333" s="139"/>
      <c r="G333" s="139"/>
      <c r="H333" s="139"/>
      <c r="I333" s="139"/>
      <c r="J333" s="139" t="s">
        <v>23</v>
      </c>
      <c r="K333" s="139"/>
      <c r="L333" s="139"/>
      <c r="M333" s="139"/>
      <c r="N333" s="139"/>
      <c r="O333" s="140"/>
    </row>
    <row r="334" spans="1:15" x14ac:dyDescent="0.25">
      <c r="A334" s="62" t="s">
        <v>5</v>
      </c>
      <c r="B334" s="51" t="s">
        <v>6</v>
      </c>
      <c r="C334" s="51" t="s">
        <v>7</v>
      </c>
      <c r="D334" s="53">
        <v>1</v>
      </c>
      <c r="E334" s="53">
        <v>4</v>
      </c>
      <c r="F334" s="53">
        <v>16</v>
      </c>
      <c r="G334" s="53">
        <v>32</v>
      </c>
      <c r="H334" s="53">
        <v>64</v>
      </c>
      <c r="I334" s="53">
        <v>80</v>
      </c>
      <c r="J334" s="53">
        <v>1</v>
      </c>
      <c r="K334" s="53">
        <v>4</v>
      </c>
      <c r="L334" s="53">
        <v>16</v>
      </c>
      <c r="M334" s="53">
        <v>32</v>
      </c>
      <c r="N334" s="53">
        <v>64</v>
      </c>
      <c r="O334" s="63">
        <v>80</v>
      </c>
    </row>
    <row r="335" spans="1:15" x14ac:dyDescent="0.25">
      <c r="A335" s="64" t="s">
        <v>8</v>
      </c>
      <c r="B335" s="54" t="s">
        <v>9</v>
      </c>
      <c r="C335" s="54" t="s">
        <v>10</v>
      </c>
      <c r="D335" s="59">
        <f>IF(D315="","",(D315-'2016'!D220)/'2016'!D220)</f>
        <v>-0.12135752383698181</v>
      </c>
      <c r="E335" s="59">
        <f>IF(E315="","",(E315-'2016'!E220)/'2016'!E220)</f>
        <v>0</v>
      </c>
      <c r="F335" s="59">
        <f>IF(F315="","",(F315-'2016'!F220)/'2016'!F220)</f>
        <v>-0.10072738772928526</v>
      </c>
      <c r="G335" s="59" t="str">
        <f>IF(G325="","",(G325-'2014'!#REF!)/'2014'!#REF!)</f>
        <v/>
      </c>
      <c r="H335" s="59" t="str">
        <f>IF(H325="","",(H325-'2014'!#REF!)/'2014'!#REF!)</f>
        <v/>
      </c>
      <c r="I335" s="58" t="str">
        <f>IF(I325="","",(I325-'2014'!#REF!)/'2014'!#REF!)</f>
        <v/>
      </c>
      <c r="J335" s="58"/>
      <c r="K335" s="58"/>
      <c r="L335" s="58"/>
      <c r="M335" s="58" t="str">
        <f>IF(G335="","",M325-((1/'Proto 2013'!#REF!)*1000000))</f>
        <v/>
      </c>
      <c r="N335" s="58" t="str">
        <f>IF(H335="","",N325-((1/'Proto 2013'!#REF!)*1000000))</f>
        <v/>
      </c>
      <c r="O335" s="65" t="str">
        <f>IF(I335="","",O325-((1/'Proto 2013'!#REF!)*1000000))</f>
        <v/>
      </c>
    </row>
    <row r="336" spans="1:15" x14ac:dyDescent="0.25">
      <c r="A336" s="64" t="s">
        <v>11</v>
      </c>
      <c r="B336" s="54" t="s">
        <v>9</v>
      </c>
      <c r="C336" s="54" t="s">
        <v>12</v>
      </c>
      <c r="D336" s="59">
        <f>IF(D316="","",(D316-'2016'!D221)/'2016'!D221)</f>
        <v>3.8642297650130549E-3</v>
      </c>
      <c r="E336" s="59">
        <f>IF(E316="","",(E316-'2016'!E221)/'2016'!E221)</f>
        <v>-2.582311168495804E-4</v>
      </c>
      <c r="F336" s="59">
        <f>IF(F316="","",(F316-'2016'!F221)/'2016'!F221)</f>
        <v>3.39781746031746E-2</v>
      </c>
      <c r="G336" s="59" t="str">
        <f>IF(G326="","",(G326-'2014'!#REF!)/'2014'!#REF!)</f>
        <v/>
      </c>
      <c r="H336" s="59" t="str">
        <f>IF(H326="","",(H326-'2014'!#REF!)/'2014'!#REF!)</f>
        <v/>
      </c>
      <c r="I336" s="59" t="str">
        <f>IF(I326="","",(I326-'2014'!#REF!)/'2014'!#REF!)</f>
        <v/>
      </c>
      <c r="J336" s="58"/>
      <c r="K336" s="58"/>
      <c r="L336" s="58"/>
      <c r="M336" s="58" t="str">
        <f>IF(G336="","",M326-((1/'Proto 2013'!#REF!)*1000000))</f>
        <v/>
      </c>
      <c r="N336" s="58" t="str">
        <f>IF(H336="","",N326-((1/'Proto 2013'!#REF!)*1000000))</f>
        <v/>
      </c>
      <c r="O336" s="65" t="str">
        <f>IF(I336="","",O326-((1/'Proto 2013'!#REF!)*1000000))</f>
        <v/>
      </c>
    </row>
    <row r="337" spans="1:15" x14ac:dyDescent="0.25">
      <c r="A337" s="64" t="s">
        <v>13</v>
      </c>
      <c r="B337" s="54" t="s">
        <v>14</v>
      </c>
      <c r="C337" s="54" t="s">
        <v>10</v>
      </c>
      <c r="D337" s="59">
        <f>IF(D317="","",(D317-'2016'!D222)/'2016'!D222)</f>
        <v>-7.9556342731047294E-2</v>
      </c>
      <c r="E337" s="59">
        <f>IF(E317="","",(E317-'2016'!E222)/'2016'!E222)</f>
        <v>-7.3295319553338081E-2</v>
      </c>
      <c r="F337" s="59">
        <f>IF(F317="","",(F317-'2016'!F222)/'2016'!F222)</f>
        <v>-5.266025059015798E-3</v>
      </c>
      <c r="G337" s="59" t="str">
        <f>IF(G327="","",(G327-'2014'!#REF!)/'2014'!#REF!)</f>
        <v/>
      </c>
      <c r="H337" s="59" t="str">
        <f>IF(H327="","",(H327-'2014'!#REF!)/'2014'!#REF!)</f>
        <v/>
      </c>
      <c r="I337" s="59" t="str">
        <f>IF(I327="","",(I327-'2014'!#REF!)/'2014'!#REF!)</f>
        <v/>
      </c>
      <c r="J337" s="58"/>
      <c r="K337" s="58"/>
      <c r="L337" s="58"/>
      <c r="M337" s="58" t="str">
        <f>IF(G337="","",M327-((1/'Proto 2013'!#REF!)*1000000))</f>
        <v/>
      </c>
      <c r="N337" s="58" t="str">
        <f>IF(H337="","",N327-((1/'Proto 2013'!#REF!)*1000000))</f>
        <v/>
      </c>
      <c r="O337" s="65" t="str">
        <f>IF(I337="","",O327-((1/'Proto 2013'!#REF!)*1000000))</f>
        <v/>
      </c>
    </row>
    <row r="338" spans="1:15" x14ac:dyDescent="0.25">
      <c r="A338" s="64" t="s">
        <v>15</v>
      </c>
      <c r="B338" s="54" t="s">
        <v>14</v>
      </c>
      <c r="C338" s="54" t="s">
        <v>12</v>
      </c>
      <c r="D338" s="59">
        <f>IF(D318="","",(D318-'2016'!D223)/'2016'!D223)</f>
        <v>5.056243608680832E-2</v>
      </c>
      <c r="E338" s="59">
        <f>IF(E318="","",(E318-'2016'!E223)/'2016'!E223)</f>
        <v>-4.3285079547083272E-2</v>
      </c>
      <c r="F338" s="59">
        <f>IF(F318="","",(F318-'2016'!F223)/'2016'!F223)</f>
        <v>-1.3520678685047719E-2</v>
      </c>
      <c r="G338" s="59" t="str">
        <f>IF(G328="","",(G328-'2014'!#REF!)/'2014'!#REF!)</f>
        <v/>
      </c>
      <c r="H338" s="59" t="str">
        <f>IF(H328="","",(H328-'2014'!#REF!)/'2014'!#REF!)</f>
        <v/>
      </c>
      <c r="I338" s="59" t="str">
        <f>IF(I328="","",(I328-'2014'!#REF!)/'2014'!#REF!)</f>
        <v/>
      </c>
      <c r="J338" s="58"/>
      <c r="K338" s="58"/>
      <c r="L338" s="58"/>
      <c r="M338" s="58" t="str">
        <f>IF(G338="","",M328-((1/'Proto 2013'!#REF!)*1000000))</f>
        <v/>
      </c>
      <c r="N338" s="58" t="str">
        <f>IF(H338="","",N328-((1/'Proto 2013'!#REF!)*1000000))</f>
        <v/>
      </c>
      <c r="O338" s="65" t="str">
        <f>IF(I338="","",O328-((1/'Proto 2013'!#REF!)*1000000))</f>
        <v/>
      </c>
    </row>
    <row r="339" spans="1:15" x14ac:dyDescent="0.25">
      <c r="A339" s="64" t="s">
        <v>16</v>
      </c>
      <c r="B339" s="54" t="s">
        <v>17</v>
      </c>
      <c r="C339" s="54" t="s">
        <v>12</v>
      </c>
      <c r="D339" s="59">
        <f>IF(D319="","",(D319-'2016'!D224)/'2016'!D224)</f>
        <v>-2.424863387978142E-2</v>
      </c>
      <c r="E339" s="59">
        <f>IF(E319="","",(E319-'2016'!E224)/'2016'!E224)</f>
        <v>-3.895131086142322E-2</v>
      </c>
      <c r="F339" s="59">
        <f>IF(F319="","",(F319-'2016'!F224)/'2016'!F224)</f>
        <v>-3.2936407398023816E-2</v>
      </c>
      <c r="G339" s="59" t="str">
        <f>IF(G329="","",(G329-'2014'!#REF!)/'2014'!#REF!)</f>
        <v/>
      </c>
      <c r="H339" s="59" t="str">
        <f>IF(H329="","",(H329-'2014'!#REF!)/'2014'!#REF!)</f>
        <v/>
      </c>
      <c r="I339" s="59" t="str">
        <f>IF(I329="","",(I329-'2014'!#REF!)/'2014'!#REF!)</f>
        <v/>
      </c>
      <c r="J339" s="58"/>
      <c r="K339" s="58"/>
      <c r="L339" s="58"/>
      <c r="M339" s="58" t="str">
        <f>IF(G339="","",M329-((1/'Proto 2013'!#REF!)*1000000))</f>
        <v/>
      </c>
      <c r="N339" s="58" t="str">
        <f>IF(H339="","",N329-((1/'Proto 2013'!#REF!)*1000000))</f>
        <v/>
      </c>
      <c r="O339" s="65" t="str">
        <f>IF(I339="","",O329-((1/'Proto 2013'!#REF!)*1000000))</f>
        <v/>
      </c>
    </row>
    <row r="340" spans="1:15" ht="15.75" thickBot="1" x14ac:dyDescent="0.3">
      <c r="A340" s="70" t="s">
        <v>18</v>
      </c>
      <c r="B340" s="71" t="s">
        <v>19</v>
      </c>
      <c r="C340" s="71" t="s">
        <v>12</v>
      </c>
      <c r="D340" s="59">
        <f>IF(D320="","",(D320-'2016'!D225)/'2016'!D225)</f>
        <v>-1.9336384439359269E-2</v>
      </c>
      <c r="E340" s="59">
        <f>IF(E320="","",(E320-'2016'!E225)/'2016'!E225)</f>
        <v>-0.11220715166461159</v>
      </c>
      <c r="F340" s="59">
        <f>IF(F320="","",(F320-'2016'!F225)/'2016'!F225)</f>
        <v>-6.6266566641660418E-2</v>
      </c>
      <c r="G340" s="72" t="str">
        <f>IF(G330="","",(G330-'2014'!#REF!)/'2014'!#REF!)</f>
        <v/>
      </c>
      <c r="H340" s="72" t="str">
        <f>IF(H330="","",(H330-'2014'!#REF!)/'2014'!#REF!)</f>
        <v/>
      </c>
      <c r="I340" s="72" t="str">
        <f>IF(I330="","",(I330-'2014'!#REF!)/'2014'!#REF!)</f>
        <v/>
      </c>
      <c r="J340" s="73"/>
      <c r="K340" s="73"/>
      <c r="L340" s="73"/>
      <c r="M340" s="73" t="str">
        <f>IF(G340="","",M330-((1/'Proto 2013'!#REF!)*1000000))</f>
        <v/>
      </c>
      <c r="N340" s="73" t="str">
        <f>IF(H340="","",N330-((1/'Proto 2013'!#REF!)*1000000))</f>
        <v/>
      </c>
      <c r="O340" s="74" t="str">
        <f>IF(I340="","",O330-((1/'Proto 2013'!#REF!)*1000000))</f>
        <v/>
      </c>
    </row>
    <row r="341" spans="1:15" ht="18.75" x14ac:dyDescent="0.25">
      <c r="A341" s="131" t="s">
        <v>90</v>
      </c>
      <c r="B341" s="132"/>
      <c r="C341" s="132"/>
      <c r="D341" s="132"/>
      <c r="E341" s="132"/>
      <c r="F341" s="132"/>
      <c r="G341" s="132"/>
      <c r="H341" s="132"/>
      <c r="I341" s="132"/>
      <c r="J341" s="132"/>
      <c r="K341" s="132"/>
      <c r="L341" s="132"/>
      <c r="M341" s="132"/>
      <c r="N341" s="132"/>
      <c r="O341" s="133"/>
    </row>
    <row r="342" spans="1:15" ht="15.75" x14ac:dyDescent="0.25">
      <c r="A342" s="134" t="s">
        <v>134</v>
      </c>
      <c r="B342" s="135"/>
      <c r="C342" s="135"/>
      <c r="D342" s="135"/>
      <c r="E342" s="135"/>
      <c r="F342" s="135"/>
      <c r="G342" s="135"/>
      <c r="H342" s="135"/>
      <c r="I342" s="135"/>
      <c r="J342" s="135"/>
      <c r="K342" s="135"/>
      <c r="L342" s="135"/>
      <c r="M342" s="135"/>
      <c r="N342" s="135"/>
      <c r="O342" s="136"/>
    </row>
    <row r="343" spans="1:15" x14ac:dyDescent="0.25">
      <c r="A343" s="137" t="s">
        <v>2</v>
      </c>
      <c r="B343" s="138"/>
      <c r="C343" s="138"/>
      <c r="D343" s="139" t="s">
        <v>3</v>
      </c>
      <c r="E343" s="139"/>
      <c r="F343" s="139"/>
      <c r="G343" s="139"/>
      <c r="H343" s="139"/>
      <c r="I343" s="139"/>
      <c r="J343" s="139" t="s">
        <v>4</v>
      </c>
      <c r="K343" s="139"/>
      <c r="L343" s="139"/>
      <c r="M343" s="139"/>
      <c r="N343" s="139"/>
      <c r="O343" s="140"/>
    </row>
    <row r="344" spans="1:15" x14ac:dyDescent="0.25">
      <c r="A344" s="62" t="s">
        <v>5</v>
      </c>
      <c r="B344" s="51" t="s">
        <v>6</v>
      </c>
      <c r="C344" s="51" t="s">
        <v>7</v>
      </c>
      <c r="D344" s="52">
        <v>1</v>
      </c>
      <c r="E344" s="52">
        <v>4</v>
      </c>
      <c r="F344" s="52">
        <v>16</v>
      </c>
      <c r="G344" s="53">
        <v>32</v>
      </c>
      <c r="H344" s="53">
        <v>64</v>
      </c>
      <c r="I344" s="53">
        <v>80</v>
      </c>
      <c r="J344" s="53">
        <v>1</v>
      </c>
      <c r="K344" s="53">
        <v>4</v>
      </c>
      <c r="L344" s="53">
        <v>16</v>
      </c>
      <c r="M344" s="53">
        <v>32</v>
      </c>
      <c r="N344" s="53">
        <v>64</v>
      </c>
      <c r="O344" s="63">
        <v>80</v>
      </c>
    </row>
    <row r="345" spans="1:15" x14ac:dyDescent="0.25">
      <c r="A345" s="64" t="s">
        <v>8</v>
      </c>
      <c r="B345" s="54" t="s">
        <v>9</v>
      </c>
      <c r="C345" s="55" t="s">
        <v>10</v>
      </c>
      <c r="D345" s="60">
        <v>38628</v>
      </c>
      <c r="E345" s="60">
        <v>18777</v>
      </c>
      <c r="F345" s="60">
        <v>5687</v>
      </c>
      <c r="G345" s="57"/>
      <c r="H345" s="56"/>
      <c r="I345" s="56"/>
      <c r="J345" s="58">
        <f>IF(D345="","",(1/D345)*1000000)</f>
        <v>25.887956922439681</v>
      </c>
      <c r="K345" s="58">
        <f t="shared" ref="K345:K350" si="92">IF(E345="","",(1/E345)*1000000)</f>
        <v>53.256643766309843</v>
      </c>
      <c r="L345" s="58">
        <f t="shared" ref="L345:L350" si="93">IF(F345="","",(1/F345)*1000000)</f>
        <v>175.83963425356075</v>
      </c>
      <c r="M345" s="58" t="str">
        <f t="shared" ref="M345:M350" si="94">IF(G345="","",(1/G345)*1000000)</f>
        <v/>
      </c>
      <c r="N345" s="58" t="str">
        <f t="shared" ref="N345:N350" si="95">IF(H345="","",(1/H345)*1000000)</f>
        <v/>
      </c>
      <c r="O345" s="65" t="str">
        <f t="shared" ref="O345:O350" si="96">IF(I345="","",(1/I345)*1000000)</f>
        <v/>
      </c>
    </row>
    <row r="346" spans="1:15" x14ac:dyDescent="0.25">
      <c r="A346" s="64" t="s">
        <v>11</v>
      </c>
      <c r="B346" s="54" t="s">
        <v>9</v>
      </c>
      <c r="C346" s="55" t="s">
        <v>12</v>
      </c>
      <c r="D346" s="60">
        <v>9820</v>
      </c>
      <c r="E346" s="60">
        <v>7514</v>
      </c>
      <c r="F346" s="60">
        <v>4128</v>
      </c>
      <c r="G346" s="57"/>
      <c r="H346" s="56"/>
      <c r="I346" s="56"/>
      <c r="J346" s="58">
        <f t="shared" ref="J346:J350" si="97">IF(D346="","",(1/D346)*1000000)</f>
        <v>101.83299389002038</v>
      </c>
      <c r="K346" s="58">
        <f t="shared" si="92"/>
        <v>133.08490817141336</v>
      </c>
      <c r="L346" s="58">
        <f t="shared" si="93"/>
        <v>242.24806201550388</v>
      </c>
      <c r="M346" s="58" t="str">
        <f t="shared" si="94"/>
        <v/>
      </c>
      <c r="N346" s="58" t="str">
        <f t="shared" si="95"/>
        <v/>
      </c>
      <c r="O346" s="65" t="str">
        <f t="shared" si="96"/>
        <v/>
      </c>
    </row>
    <row r="347" spans="1:15" x14ac:dyDescent="0.25">
      <c r="A347" s="64" t="s">
        <v>13</v>
      </c>
      <c r="B347" s="54" t="s">
        <v>14</v>
      </c>
      <c r="C347" s="55" t="s">
        <v>10</v>
      </c>
      <c r="D347" s="60">
        <v>37579</v>
      </c>
      <c r="E347" s="60">
        <v>17841</v>
      </c>
      <c r="F347" s="60">
        <v>5580</v>
      </c>
      <c r="G347" s="57"/>
      <c r="H347" s="56"/>
      <c r="I347" s="56"/>
      <c r="J347" s="58">
        <f t="shared" si="97"/>
        <v>26.610606987945395</v>
      </c>
      <c r="K347" s="58">
        <f t="shared" si="92"/>
        <v>56.050669805504171</v>
      </c>
      <c r="L347" s="58">
        <f t="shared" si="93"/>
        <v>179.21146953405017</v>
      </c>
      <c r="M347" s="58" t="str">
        <f t="shared" si="94"/>
        <v/>
      </c>
      <c r="N347" s="58" t="str">
        <f t="shared" si="95"/>
        <v/>
      </c>
      <c r="O347" s="65" t="str">
        <f t="shared" si="96"/>
        <v/>
      </c>
    </row>
    <row r="348" spans="1:15" x14ac:dyDescent="0.25">
      <c r="A348" s="64" t="s">
        <v>15</v>
      </c>
      <c r="B348" s="54" t="s">
        <v>14</v>
      </c>
      <c r="C348" s="55" t="s">
        <v>12</v>
      </c>
      <c r="D348" s="60">
        <v>8839</v>
      </c>
      <c r="E348" s="60">
        <v>6683</v>
      </c>
      <c r="F348" s="60">
        <v>3856</v>
      </c>
      <c r="G348" s="57"/>
      <c r="H348" s="56"/>
      <c r="I348" s="56"/>
      <c r="J348" s="58">
        <f t="shared" si="97"/>
        <v>113.13497001923294</v>
      </c>
      <c r="K348" s="58">
        <f t="shared" si="92"/>
        <v>149.63339817447255</v>
      </c>
      <c r="L348" s="58">
        <f t="shared" si="93"/>
        <v>259.33609958506224</v>
      </c>
      <c r="M348" s="58" t="str">
        <f t="shared" si="94"/>
        <v/>
      </c>
      <c r="N348" s="58" t="str">
        <f t="shared" si="95"/>
        <v/>
      </c>
      <c r="O348" s="65" t="str">
        <f t="shared" si="96"/>
        <v/>
      </c>
    </row>
    <row r="349" spans="1:15" x14ac:dyDescent="0.25">
      <c r="A349" s="64" t="s">
        <v>16</v>
      </c>
      <c r="B349" s="54" t="s">
        <v>17</v>
      </c>
      <c r="C349" s="55" t="s">
        <v>12</v>
      </c>
      <c r="D349" s="60">
        <v>8551</v>
      </c>
      <c r="E349" s="60">
        <v>6684</v>
      </c>
      <c r="F349" s="60">
        <v>3856</v>
      </c>
      <c r="G349" s="57"/>
      <c r="H349" s="56"/>
      <c r="I349" s="56"/>
      <c r="J349" s="58">
        <f t="shared" si="97"/>
        <v>116.94538650450239</v>
      </c>
      <c r="K349" s="58">
        <f t="shared" si="92"/>
        <v>149.61101137043687</v>
      </c>
      <c r="L349" s="58">
        <f t="shared" si="93"/>
        <v>259.33609958506224</v>
      </c>
      <c r="M349" s="58" t="str">
        <f t="shared" si="94"/>
        <v/>
      </c>
      <c r="N349" s="58" t="str">
        <f t="shared" si="95"/>
        <v/>
      </c>
      <c r="O349" s="65" t="str">
        <f t="shared" si="96"/>
        <v/>
      </c>
    </row>
    <row r="350" spans="1:15" x14ac:dyDescent="0.25">
      <c r="A350" s="64" t="s">
        <v>18</v>
      </c>
      <c r="B350" s="54" t="s">
        <v>19</v>
      </c>
      <c r="C350" s="55" t="s">
        <v>12</v>
      </c>
      <c r="D350" s="60">
        <v>8550</v>
      </c>
      <c r="E350" s="60">
        <v>6764</v>
      </c>
      <c r="F350" s="60">
        <v>3805</v>
      </c>
      <c r="G350" s="57"/>
      <c r="H350" s="56"/>
      <c r="I350" s="56"/>
      <c r="J350" s="58">
        <f t="shared" si="97"/>
        <v>116.95906432748538</v>
      </c>
      <c r="K350" s="58">
        <f t="shared" si="92"/>
        <v>147.84151389710232</v>
      </c>
      <c r="L350" s="58">
        <f t="shared" si="93"/>
        <v>262.81208935611039</v>
      </c>
      <c r="M350" s="58" t="str">
        <f t="shared" si="94"/>
        <v/>
      </c>
      <c r="N350" s="58" t="str">
        <f t="shared" si="95"/>
        <v/>
      </c>
      <c r="O350" s="65" t="str">
        <f t="shared" si="96"/>
        <v/>
      </c>
    </row>
    <row r="351" spans="1:15" x14ac:dyDescent="0.25">
      <c r="A351" s="147" t="s">
        <v>135</v>
      </c>
      <c r="B351" s="143"/>
      <c r="C351" s="143"/>
      <c r="D351" s="143"/>
      <c r="E351" s="143"/>
      <c r="F351" s="143"/>
      <c r="G351" s="143"/>
      <c r="H351" s="143"/>
      <c r="I351" s="61"/>
      <c r="J351" s="61"/>
      <c r="K351" s="61"/>
      <c r="L351" s="61"/>
      <c r="M351" s="61"/>
      <c r="N351" s="61"/>
      <c r="O351" s="66"/>
    </row>
    <row r="352" spans="1:15" ht="18.75" x14ac:dyDescent="0.3">
      <c r="A352" s="144" t="s">
        <v>89</v>
      </c>
      <c r="B352" s="145"/>
      <c r="C352" s="145"/>
      <c r="D352" s="145"/>
      <c r="E352" s="145"/>
      <c r="F352" s="145"/>
      <c r="G352" s="145"/>
      <c r="H352" s="145"/>
      <c r="I352" s="145"/>
      <c r="J352" s="145"/>
      <c r="K352" s="145"/>
      <c r="L352" s="145"/>
      <c r="M352" s="145"/>
      <c r="N352" s="145"/>
      <c r="O352" s="146"/>
    </row>
    <row r="353" spans="1:15" x14ac:dyDescent="0.25">
      <c r="A353" s="137" t="s">
        <v>2</v>
      </c>
      <c r="B353" s="138"/>
      <c r="C353" s="138"/>
      <c r="D353" s="139" t="s">
        <v>20</v>
      </c>
      <c r="E353" s="139"/>
      <c r="F353" s="139"/>
      <c r="G353" s="139"/>
      <c r="H353" s="139"/>
      <c r="I353" s="139"/>
      <c r="J353" s="139" t="s">
        <v>23</v>
      </c>
      <c r="K353" s="139"/>
      <c r="L353" s="139"/>
      <c r="M353" s="139"/>
      <c r="N353" s="139"/>
      <c r="O353" s="140"/>
    </row>
    <row r="354" spans="1:15" x14ac:dyDescent="0.25">
      <c r="A354" s="62" t="s">
        <v>5</v>
      </c>
      <c r="B354" s="51" t="s">
        <v>6</v>
      </c>
      <c r="C354" s="51" t="s">
        <v>7</v>
      </c>
      <c r="D354" s="53">
        <v>1</v>
      </c>
      <c r="E354" s="53">
        <v>4</v>
      </c>
      <c r="F354" s="53">
        <v>16</v>
      </c>
      <c r="G354" s="53">
        <v>32</v>
      </c>
      <c r="H354" s="53">
        <v>64</v>
      </c>
      <c r="I354" s="53">
        <v>80</v>
      </c>
      <c r="J354" s="53">
        <v>1</v>
      </c>
      <c r="K354" s="53">
        <v>4</v>
      </c>
      <c r="L354" s="53">
        <v>16</v>
      </c>
      <c r="M354" s="53">
        <v>32</v>
      </c>
      <c r="N354" s="53">
        <v>64</v>
      </c>
      <c r="O354" s="63">
        <v>80</v>
      </c>
    </row>
    <row r="355" spans="1:15" x14ac:dyDescent="0.25">
      <c r="A355" s="64" t="s">
        <v>8</v>
      </c>
      <c r="B355" s="54" t="s">
        <v>9</v>
      </c>
      <c r="C355" s="54" t="s">
        <v>10</v>
      </c>
      <c r="D355" s="59">
        <f>IF(D345="","",(D345-'2016'!D191)/'2016'!D191)</f>
        <v>-9.4642103782871606E-2</v>
      </c>
      <c r="E355" s="59">
        <f>IF(E345="","",(E345-'2016'!E191)/'2016'!E191)</f>
        <v>0</v>
      </c>
      <c r="F355" s="59">
        <f>IF(F345="","",(F345-'2016'!F191)/'2016'!F191)</f>
        <v>-0.10973700688791484</v>
      </c>
      <c r="G355" s="59" t="str">
        <f>IF(G345="","",(G345-'2014'!#REF!)/'2014'!#REF!)</f>
        <v/>
      </c>
      <c r="H355" s="59" t="str">
        <f>IF(H345="","",(H345-'2014'!#REF!)/'2014'!#REF!)</f>
        <v/>
      </c>
      <c r="I355" s="58" t="str">
        <f>IF(I345="","",(I345-'2014'!#REF!)/'2014'!#REF!)</f>
        <v/>
      </c>
      <c r="J355" s="58"/>
      <c r="K355" s="58"/>
      <c r="L355" s="58"/>
      <c r="M355" s="58" t="str">
        <f>IF(G355="","",M345-((1/'Proto 2013'!#REF!)*1000000))</f>
        <v/>
      </c>
      <c r="N355" s="58" t="str">
        <f>IF(H355="","",N345-((1/'Proto 2013'!#REF!)*1000000))</f>
        <v/>
      </c>
      <c r="O355" s="65" t="str">
        <f>IF(I355="","",O345-((1/'Proto 2013'!#REF!)*1000000))</f>
        <v/>
      </c>
    </row>
    <row r="356" spans="1:15" x14ac:dyDescent="0.25">
      <c r="A356" s="64" t="s">
        <v>11</v>
      </c>
      <c r="B356" s="54" t="s">
        <v>9</v>
      </c>
      <c r="C356" s="54" t="s">
        <v>12</v>
      </c>
      <c r="D356" s="59">
        <f>IF(D346="","",(D346-'2016'!D192)/'2016'!D192)</f>
        <v>2.7411592383343796E-2</v>
      </c>
      <c r="E356" s="59">
        <f>IF(E346="","",(E346-'2016'!E192)/'2016'!E192)</f>
        <v>-1.7520920502092051E-2</v>
      </c>
      <c r="F356" s="59">
        <f>IF(F346="","",(F346-'2016'!F192)/'2016'!F192)</f>
        <v>-1.2676393207366658E-2</v>
      </c>
      <c r="G356" s="59" t="str">
        <f>IF(G346="","",(G346-'2014'!#REF!)/'2014'!#REF!)</f>
        <v/>
      </c>
      <c r="H356" s="59" t="str">
        <f>IF(H346="","",(H346-'2014'!#REF!)/'2014'!#REF!)</f>
        <v/>
      </c>
      <c r="I356" s="59" t="str">
        <f>IF(I346="","",(I346-'2014'!#REF!)/'2014'!#REF!)</f>
        <v/>
      </c>
      <c r="J356" s="58"/>
      <c r="K356" s="58"/>
      <c r="L356" s="58"/>
      <c r="M356" s="58" t="str">
        <f>IF(G356="","",M346-((1/'Proto 2013'!#REF!)*1000000))</f>
        <v/>
      </c>
      <c r="N356" s="58" t="str">
        <f>IF(H356="","",N346-((1/'Proto 2013'!#REF!)*1000000))</f>
        <v/>
      </c>
      <c r="O356" s="65" t="str">
        <f>IF(I356="","",O346-((1/'Proto 2013'!#REF!)*1000000))</f>
        <v/>
      </c>
    </row>
    <row r="357" spans="1:15" x14ac:dyDescent="0.25">
      <c r="A357" s="64" t="s">
        <v>13</v>
      </c>
      <c r="B357" s="54" t="s">
        <v>14</v>
      </c>
      <c r="C357" s="54" t="s">
        <v>10</v>
      </c>
      <c r="D357" s="59">
        <f>IF(D347="","",(D347-'2016'!D193)/'2016'!D193)</f>
        <v>-8.6180482941419639E-2</v>
      </c>
      <c r="E357" s="59">
        <f>IF(E347="","",(E347-'2016'!E193)/'2016'!E193)</f>
        <v>8.8210347752332493E-3</v>
      </c>
      <c r="F357" s="59">
        <f>IF(F347="","",(F347-'2016'!F193)/'2016'!F193)</f>
        <v>-8.1763242090295059E-3</v>
      </c>
      <c r="G357" s="59" t="str">
        <f>IF(G347="","",(G347-'2014'!#REF!)/'2014'!#REF!)</f>
        <v/>
      </c>
      <c r="H357" s="59" t="str">
        <f>IF(H347="","",(H347-'2014'!#REF!)/'2014'!#REF!)</f>
        <v/>
      </c>
      <c r="I357" s="59" t="str">
        <f>IF(I347="","",(I347-'2014'!#REF!)/'2014'!#REF!)</f>
        <v/>
      </c>
      <c r="J357" s="58"/>
      <c r="K357" s="58"/>
      <c r="L357" s="58"/>
      <c r="M357" s="58" t="str">
        <f>IF(G357="","",M347-((1/'Proto 2013'!#REF!)*1000000))</f>
        <v/>
      </c>
      <c r="N357" s="58" t="str">
        <f>IF(H357="","",N347-((1/'Proto 2013'!#REF!)*1000000))</f>
        <v/>
      </c>
      <c r="O357" s="65" t="str">
        <f>IF(I357="","",O347-((1/'Proto 2013'!#REF!)*1000000))</f>
        <v/>
      </c>
    </row>
    <row r="358" spans="1:15" x14ac:dyDescent="0.25">
      <c r="A358" s="64" t="s">
        <v>15</v>
      </c>
      <c r="B358" s="54" t="s">
        <v>14</v>
      </c>
      <c r="C358" s="54" t="s">
        <v>12</v>
      </c>
      <c r="D358" s="59">
        <f>IF(D348="","",(D348-'2016'!D194)/'2016'!D194)</f>
        <v>-3.923913043478261E-2</v>
      </c>
      <c r="E358" s="59">
        <f>IF(E348="","",(E348-'2016'!E194)/'2016'!E194)</f>
        <v>-4.1451520367183019E-2</v>
      </c>
      <c r="F358" s="59">
        <f>IF(F348="","",(F348-'2016'!F194)/'2016'!F194)</f>
        <v>3.2672737011247989E-2</v>
      </c>
      <c r="G358" s="59" t="str">
        <f>IF(G348="","",(G348-'2014'!#REF!)/'2014'!#REF!)</f>
        <v/>
      </c>
      <c r="H358" s="59" t="str">
        <f>IF(H348="","",(H348-'2014'!#REF!)/'2014'!#REF!)</f>
        <v/>
      </c>
      <c r="I358" s="59" t="str">
        <f>IF(I348="","",(I348-'2014'!#REF!)/'2014'!#REF!)</f>
        <v/>
      </c>
      <c r="J358" s="58"/>
      <c r="K358" s="58"/>
      <c r="L358" s="58"/>
      <c r="M358" s="58" t="str">
        <f>IF(G358="","",M348-((1/'Proto 2013'!#REF!)*1000000))</f>
        <v/>
      </c>
      <c r="N358" s="58" t="str">
        <f>IF(H358="","",N348-((1/'Proto 2013'!#REF!)*1000000))</f>
        <v/>
      </c>
      <c r="O358" s="65" t="str">
        <f>IF(I358="","",O348-((1/'Proto 2013'!#REF!)*1000000))</f>
        <v/>
      </c>
    </row>
    <row r="359" spans="1:15" x14ac:dyDescent="0.25">
      <c r="A359" s="64" t="s">
        <v>16</v>
      </c>
      <c r="B359" s="54" t="s">
        <v>17</v>
      </c>
      <c r="C359" s="54" t="s">
        <v>12</v>
      </c>
      <c r="D359" s="59">
        <f>IF(D349="","",(D349-'2016'!D195)/'2016'!D195)</f>
        <v>1.0159480212640284E-2</v>
      </c>
      <c r="E359" s="59">
        <f>IF(E349="","",(E349-'2016'!E195)/'2016'!E195)</f>
        <v>-7.768731889057541E-2</v>
      </c>
      <c r="F359" s="59">
        <f>IF(F349="","",(F349-'2016'!F195)/'2016'!F195)</f>
        <v>-2.3055485178616671E-2</v>
      </c>
      <c r="G359" s="59" t="str">
        <f>IF(G349="","",(G349-'2014'!#REF!)/'2014'!#REF!)</f>
        <v/>
      </c>
      <c r="H359" s="59" t="str">
        <f>IF(H349="","",(H349-'2014'!#REF!)/'2014'!#REF!)</f>
        <v/>
      </c>
      <c r="I359" s="59" t="str">
        <f>IF(I349="","",(I349-'2014'!#REF!)/'2014'!#REF!)</f>
        <v/>
      </c>
      <c r="J359" s="58"/>
      <c r="K359" s="58"/>
      <c r="L359" s="58"/>
      <c r="M359" s="58" t="str">
        <f>IF(G359="","",M349-((1/'Proto 2013'!#REF!)*1000000))</f>
        <v/>
      </c>
      <c r="N359" s="58" t="str">
        <f>IF(H359="","",N349-((1/'Proto 2013'!#REF!)*1000000))</f>
        <v/>
      </c>
      <c r="O359" s="65" t="str">
        <f>IF(I359="","",O349-((1/'Proto 2013'!#REF!)*1000000))</f>
        <v/>
      </c>
    </row>
    <row r="360" spans="1:15" ht="15.75" thickBot="1" x14ac:dyDescent="0.3">
      <c r="A360" s="70" t="s">
        <v>18</v>
      </c>
      <c r="B360" s="71" t="s">
        <v>19</v>
      </c>
      <c r="C360" s="71" t="s">
        <v>12</v>
      </c>
      <c r="D360" s="59">
        <f>IF(D350="","",(D350-'2016'!D196)/'2016'!D196)</f>
        <v>6.741573033707865E-2</v>
      </c>
      <c r="E360" s="59">
        <f>IF(E350="","",(E350-'2016'!E196)/'2016'!E196)</f>
        <v>1.3333333333333334E-2</v>
      </c>
      <c r="F360" s="59">
        <f>IF(F350="","",(F350-'2016'!F196)/'2016'!F196)</f>
        <v>-4.4209997488068323E-2</v>
      </c>
      <c r="G360" s="72" t="str">
        <f>IF(G350="","",(G350-'2014'!#REF!)/'2014'!#REF!)</f>
        <v/>
      </c>
      <c r="H360" s="72" t="str">
        <f>IF(H350="","",(H350-'2014'!#REF!)/'2014'!#REF!)</f>
        <v/>
      </c>
      <c r="I360" s="72" t="str">
        <f>IF(I350="","",(I350-'2014'!#REF!)/'2014'!#REF!)</f>
        <v/>
      </c>
      <c r="J360" s="73"/>
      <c r="K360" s="73"/>
      <c r="L360" s="73"/>
      <c r="M360" s="73" t="str">
        <f>IF(G360="","",M350-((1/'Proto 2013'!#REF!)*1000000))</f>
        <v/>
      </c>
      <c r="N360" s="73" t="str">
        <f>IF(H360="","",N350-((1/'Proto 2013'!#REF!)*1000000))</f>
        <v/>
      </c>
      <c r="O360" s="74" t="str">
        <f>IF(I360="","",O350-((1/'Proto 2013'!#REF!)*1000000))</f>
        <v/>
      </c>
    </row>
    <row r="361" spans="1:15" x14ac:dyDescent="0.25">
      <c r="D361" s="59" t="str">
        <f>IF(D351="","",(D351-'2016'!D227)/'2016'!D227)</f>
        <v/>
      </c>
    </row>
    <row r="362" spans="1:15" ht="18.75" x14ac:dyDescent="0.3">
      <c r="A362" s="144" t="s">
        <v>132</v>
      </c>
      <c r="B362" s="145"/>
      <c r="C362" s="145"/>
      <c r="D362" s="145"/>
      <c r="E362" s="145"/>
      <c r="F362" s="145"/>
      <c r="G362" s="145"/>
      <c r="H362" s="145"/>
      <c r="I362" s="145"/>
      <c r="J362" s="145"/>
      <c r="K362" s="145"/>
      <c r="L362" s="145"/>
      <c r="M362" s="145"/>
      <c r="N362" s="145"/>
      <c r="O362" s="146"/>
    </row>
    <row r="363" spans="1:15" x14ac:dyDescent="0.25">
      <c r="A363" s="137" t="s">
        <v>2</v>
      </c>
      <c r="B363" s="138"/>
      <c r="C363" s="138"/>
      <c r="D363" s="139" t="s">
        <v>20</v>
      </c>
      <c r="E363" s="139"/>
      <c r="F363" s="139"/>
      <c r="G363" s="139"/>
      <c r="H363" s="139"/>
      <c r="I363" s="139"/>
      <c r="J363" s="139" t="s">
        <v>23</v>
      </c>
      <c r="K363" s="139"/>
      <c r="L363" s="139"/>
      <c r="M363" s="139"/>
      <c r="N363" s="139"/>
      <c r="O363" s="140"/>
    </row>
    <row r="364" spans="1:15" x14ac:dyDescent="0.25">
      <c r="A364" s="62" t="s">
        <v>5</v>
      </c>
      <c r="B364" s="51" t="s">
        <v>6</v>
      </c>
      <c r="C364" s="51" t="s">
        <v>7</v>
      </c>
      <c r="D364" s="53">
        <v>1</v>
      </c>
      <c r="E364" s="53">
        <v>4</v>
      </c>
      <c r="F364" s="53">
        <v>16</v>
      </c>
      <c r="G364" s="53">
        <v>32</v>
      </c>
      <c r="H364" s="53">
        <v>64</v>
      </c>
      <c r="I364" s="53">
        <v>80</v>
      </c>
      <c r="J364" s="53">
        <v>1</v>
      </c>
      <c r="K364" s="53">
        <v>4</v>
      </c>
      <c r="L364" s="53">
        <v>16</v>
      </c>
      <c r="M364" s="53">
        <v>32</v>
      </c>
      <c r="N364" s="53">
        <v>64</v>
      </c>
      <c r="O364" s="63">
        <v>80</v>
      </c>
    </row>
    <row r="365" spans="1:15" x14ac:dyDescent="0.25">
      <c r="A365" s="64" t="s">
        <v>8</v>
      </c>
      <c r="B365" s="54" t="s">
        <v>9</v>
      </c>
      <c r="C365" s="54" t="s">
        <v>10</v>
      </c>
      <c r="D365" s="59">
        <f>IF(D345="","",(D345-'2016'!D220)/'2016'!D220)</f>
        <v>-0.20451409625404149</v>
      </c>
      <c r="E365" s="59">
        <f>IF(E345="","",(E345-'2016'!E220)/'2016'!E220)</f>
        <v>0</v>
      </c>
      <c r="F365" s="59">
        <f>IF(F345="","",(F345-'2016'!F220)/'2016'!F220)</f>
        <v>-0.10072738772928526</v>
      </c>
      <c r="G365" s="59" t="str">
        <f>IF(G355="","",(G355-'2014'!#REF!)/'2014'!#REF!)</f>
        <v/>
      </c>
      <c r="H365" s="59" t="str">
        <f>IF(H355="","",(H355-'2014'!#REF!)/'2014'!#REF!)</f>
        <v/>
      </c>
      <c r="I365" s="58" t="str">
        <f>IF(I355="","",(I355-'2014'!#REF!)/'2014'!#REF!)</f>
        <v/>
      </c>
      <c r="J365" s="58"/>
      <c r="K365" s="58"/>
      <c r="L365" s="58"/>
      <c r="M365" s="58" t="str">
        <f>IF(G365="","",M355-((1/'Proto 2013'!#REF!)*1000000))</f>
        <v/>
      </c>
      <c r="N365" s="58" t="str">
        <f>IF(H365="","",N355-((1/'Proto 2013'!#REF!)*1000000))</f>
        <v/>
      </c>
      <c r="O365" s="65" t="str">
        <f>IF(I365="","",O355-((1/'Proto 2013'!#REF!)*1000000))</f>
        <v/>
      </c>
    </row>
    <row r="366" spans="1:15" x14ac:dyDescent="0.25">
      <c r="A366" s="64" t="s">
        <v>11</v>
      </c>
      <c r="B366" s="54" t="s">
        <v>9</v>
      </c>
      <c r="C366" s="54" t="s">
        <v>12</v>
      </c>
      <c r="D366" s="59">
        <f>IF(D346="","",(D346-'2016'!D221)/'2016'!D221)</f>
        <v>2.5587467362924284E-2</v>
      </c>
      <c r="E366" s="59">
        <f>IF(E346="","",(E346-'2016'!E221)/'2016'!E221)</f>
        <v>-2.9825693996126532E-2</v>
      </c>
      <c r="F366" s="59">
        <f>IF(F346="","",(F346-'2016'!F221)/'2016'!F221)</f>
        <v>2.3809523809523808E-2</v>
      </c>
      <c r="G366" s="59" t="str">
        <f>IF(G356="","",(G356-'2014'!#REF!)/'2014'!#REF!)</f>
        <v/>
      </c>
      <c r="H366" s="59" t="str">
        <f>IF(H356="","",(H356-'2014'!#REF!)/'2014'!#REF!)</f>
        <v/>
      </c>
      <c r="I366" s="59" t="str">
        <f>IF(I356="","",(I356-'2014'!#REF!)/'2014'!#REF!)</f>
        <v/>
      </c>
      <c r="J366" s="58"/>
      <c r="K366" s="58"/>
      <c r="L366" s="58"/>
      <c r="M366" s="58" t="str">
        <f>IF(G366="","",M356-((1/'Proto 2013'!#REF!)*1000000))</f>
        <v/>
      </c>
      <c r="N366" s="58" t="str">
        <f>IF(H366="","",N356-((1/'Proto 2013'!#REF!)*1000000))</f>
        <v/>
      </c>
      <c r="O366" s="65" t="str">
        <f>IF(I366="","",O356-((1/'Proto 2013'!#REF!)*1000000))</f>
        <v/>
      </c>
    </row>
    <row r="367" spans="1:15" x14ac:dyDescent="0.25">
      <c r="A367" s="64" t="s">
        <v>13</v>
      </c>
      <c r="B367" s="54" t="s">
        <v>14</v>
      </c>
      <c r="C367" s="54" t="s">
        <v>10</v>
      </c>
      <c r="D367" s="59">
        <f>IF(D347="","",(D347-'2016'!D222)/'2016'!D222)</f>
        <v>9.111233704015563E-2</v>
      </c>
      <c r="E367" s="59">
        <f>IF(E347="","",(E347-'2016'!E222)/'2016'!E222)</f>
        <v>5.9693513898788311E-2</v>
      </c>
      <c r="F367" s="59">
        <f>IF(F347="","",(F347-'2016'!F222)/'2016'!F222)</f>
        <v>1.3255856183039767E-2</v>
      </c>
      <c r="G367" s="59" t="str">
        <f>IF(G357="","",(G357-'2014'!#REF!)/'2014'!#REF!)</f>
        <v/>
      </c>
      <c r="H367" s="59" t="str">
        <f>IF(H357="","",(H357-'2014'!#REF!)/'2014'!#REF!)</f>
        <v/>
      </c>
      <c r="I367" s="59" t="str">
        <f>IF(I357="","",(I357-'2014'!#REF!)/'2014'!#REF!)</f>
        <v/>
      </c>
      <c r="J367" s="58"/>
      <c r="K367" s="58"/>
      <c r="L367" s="58"/>
      <c r="M367" s="58" t="str">
        <f>IF(G367="","",M357-((1/'Proto 2013'!#REF!)*1000000))</f>
        <v/>
      </c>
      <c r="N367" s="58" t="str">
        <f>IF(H367="","",N357-((1/'Proto 2013'!#REF!)*1000000))</f>
        <v/>
      </c>
      <c r="O367" s="65" t="str">
        <f>IF(I367="","",O357-((1/'Proto 2013'!#REF!)*1000000))</f>
        <v/>
      </c>
    </row>
    <row r="368" spans="1:15" x14ac:dyDescent="0.25">
      <c r="A368" s="64" t="s">
        <v>15</v>
      </c>
      <c r="B368" s="54" t="s">
        <v>14</v>
      </c>
      <c r="C368" s="54" t="s">
        <v>12</v>
      </c>
      <c r="D368" s="59">
        <f>IF(D348="","",(D348-'2016'!D223)/'2016'!D223)</f>
        <v>4.3176911714577892E-3</v>
      </c>
      <c r="E368" s="59">
        <f>IF(E348="","",(E348-'2016'!E223)/'2016'!E223)</f>
        <v>-4.2138454923319475E-2</v>
      </c>
      <c r="F368" s="59">
        <f>IF(F348="","",(F348-'2016'!F223)/'2016'!F223)</f>
        <v>2.2269353128313893E-2</v>
      </c>
      <c r="G368" s="59" t="str">
        <f>IF(G358="","",(G358-'2014'!#REF!)/'2014'!#REF!)</f>
        <v/>
      </c>
      <c r="H368" s="59" t="str">
        <f>IF(H358="","",(H358-'2014'!#REF!)/'2014'!#REF!)</f>
        <v/>
      </c>
      <c r="I368" s="59" t="str">
        <f>IF(I358="","",(I358-'2014'!#REF!)/'2014'!#REF!)</f>
        <v/>
      </c>
      <c r="J368" s="58"/>
      <c r="K368" s="58"/>
      <c r="L368" s="58"/>
      <c r="M368" s="58" t="str">
        <f>IF(G368="","",M358-((1/'Proto 2013'!#REF!)*1000000))</f>
        <v/>
      </c>
      <c r="N368" s="58" t="str">
        <f>IF(H368="","",N358-((1/'Proto 2013'!#REF!)*1000000))</f>
        <v/>
      </c>
      <c r="O368" s="65" t="str">
        <f>IF(I368="","",O358-((1/'Proto 2013'!#REF!)*1000000))</f>
        <v/>
      </c>
    </row>
    <row r="369" spans="1:15" x14ac:dyDescent="0.25">
      <c r="A369" s="64" t="s">
        <v>16</v>
      </c>
      <c r="B369" s="54" t="s">
        <v>17</v>
      </c>
      <c r="C369" s="54" t="s">
        <v>12</v>
      </c>
      <c r="D369" s="59">
        <f>IF(D349="","",(D349-'2016'!D224)/'2016'!D224)</f>
        <v>-2.6525500910746812E-2</v>
      </c>
      <c r="E369" s="59">
        <f>IF(E349="","",(E349-'2016'!E224)/'2016'!E224)</f>
        <v>1.348314606741573E-3</v>
      </c>
      <c r="F369" s="59">
        <f>IF(F349="","",(F349-'2016'!F224)/'2016'!F224)</f>
        <v>-2.3055485178616671E-2</v>
      </c>
      <c r="G369" s="59" t="str">
        <f>IF(G359="","",(G359-'2014'!#REF!)/'2014'!#REF!)</f>
        <v/>
      </c>
      <c r="H369" s="59" t="str">
        <f>IF(H359="","",(H359-'2014'!#REF!)/'2014'!#REF!)</f>
        <v/>
      </c>
      <c r="I369" s="59" t="str">
        <f>IF(I359="","",(I359-'2014'!#REF!)/'2014'!#REF!)</f>
        <v/>
      </c>
      <c r="J369" s="58"/>
      <c r="K369" s="58"/>
      <c r="L369" s="58"/>
      <c r="M369" s="58" t="str">
        <f>IF(G369="","",M359-((1/'Proto 2013'!#REF!)*1000000))</f>
        <v/>
      </c>
      <c r="N369" s="58" t="str">
        <f>IF(H369="","",N359-((1/'Proto 2013'!#REF!)*1000000))</f>
        <v/>
      </c>
      <c r="O369" s="65" t="str">
        <f>IF(I369="","",O359-((1/'Proto 2013'!#REF!)*1000000))</f>
        <v/>
      </c>
    </row>
    <row r="370" spans="1:15" ht="15.75" thickBot="1" x14ac:dyDescent="0.3">
      <c r="A370" s="70" t="s">
        <v>18</v>
      </c>
      <c r="B370" s="71" t="s">
        <v>19</v>
      </c>
      <c r="C370" s="71" t="s">
        <v>12</v>
      </c>
      <c r="D370" s="59">
        <f>IF(D350="","",(D350-'2016'!D225)/'2016'!D225)</f>
        <v>-2.1739130434782608E-2</v>
      </c>
      <c r="E370" s="59">
        <f>IF(E350="","",(E350-'2016'!E225)/'2016'!E225)</f>
        <v>-7.3297712015344574E-2</v>
      </c>
      <c r="F370" s="59">
        <f>IF(F350="","",(F350-'2016'!F225)/'2016'!F225)</f>
        <v>-4.8512128032008002E-2</v>
      </c>
      <c r="G370" s="72" t="str">
        <f>IF(G360="","",(G360-'2014'!#REF!)/'2014'!#REF!)</f>
        <v/>
      </c>
      <c r="H370" s="72" t="str">
        <f>IF(H360="","",(H360-'2014'!#REF!)/'2014'!#REF!)</f>
        <v/>
      </c>
      <c r="I370" s="72" t="str">
        <f>IF(I360="","",(I360-'2014'!#REF!)/'2014'!#REF!)</f>
        <v/>
      </c>
      <c r="J370" s="73"/>
      <c r="K370" s="73"/>
      <c r="L370" s="73"/>
      <c r="M370" s="73" t="str">
        <f>IF(G370="","",M360-((1/'Proto 2013'!#REF!)*1000000))</f>
        <v/>
      </c>
      <c r="N370" s="73" t="str">
        <f>IF(H370="","",N360-((1/'Proto 2013'!#REF!)*1000000))</f>
        <v/>
      </c>
      <c r="O370" s="74" t="str">
        <f>IF(I370="","",O360-((1/'Proto 2013'!#REF!)*1000000))</f>
        <v/>
      </c>
    </row>
    <row r="371" spans="1:15" ht="18.75" x14ac:dyDescent="0.25">
      <c r="A371" s="131" t="s">
        <v>90</v>
      </c>
      <c r="B371" s="132"/>
      <c r="C371" s="132"/>
      <c r="D371" s="132"/>
      <c r="E371" s="132"/>
      <c r="F371" s="132"/>
      <c r="G371" s="132"/>
      <c r="H371" s="132"/>
      <c r="I371" s="132"/>
      <c r="J371" s="132"/>
      <c r="K371" s="132"/>
      <c r="L371" s="132"/>
      <c r="M371" s="132"/>
      <c r="N371" s="132"/>
      <c r="O371" s="133"/>
    </row>
    <row r="372" spans="1:15" ht="15.75" x14ac:dyDescent="0.25">
      <c r="A372" s="134" t="s">
        <v>136</v>
      </c>
      <c r="B372" s="135"/>
      <c r="C372" s="135"/>
      <c r="D372" s="135"/>
      <c r="E372" s="135"/>
      <c r="F372" s="135"/>
      <c r="G372" s="135"/>
      <c r="H372" s="135"/>
      <c r="I372" s="135"/>
      <c r="J372" s="135"/>
      <c r="K372" s="135"/>
      <c r="L372" s="135"/>
      <c r="M372" s="135"/>
      <c r="N372" s="135"/>
      <c r="O372" s="136"/>
    </row>
    <row r="373" spans="1:15" x14ac:dyDescent="0.25">
      <c r="A373" s="137" t="s">
        <v>2</v>
      </c>
      <c r="B373" s="138"/>
      <c r="C373" s="138"/>
      <c r="D373" s="139" t="s">
        <v>3</v>
      </c>
      <c r="E373" s="139"/>
      <c r="F373" s="139"/>
      <c r="G373" s="139"/>
      <c r="H373" s="139"/>
      <c r="I373" s="139"/>
      <c r="J373" s="139" t="s">
        <v>4</v>
      </c>
      <c r="K373" s="139"/>
      <c r="L373" s="139"/>
      <c r="M373" s="139"/>
      <c r="N373" s="139"/>
      <c r="O373" s="140"/>
    </row>
    <row r="374" spans="1:15" x14ac:dyDescent="0.25">
      <c r="A374" s="62" t="s">
        <v>5</v>
      </c>
      <c r="B374" s="51" t="s">
        <v>6</v>
      </c>
      <c r="C374" s="51" t="s">
        <v>7</v>
      </c>
      <c r="D374" s="52">
        <v>1</v>
      </c>
      <c r="E374" s="52">
        <v>4</v>
      </c>
      <c r="F374" s="52">
        <v>16</v>
      </c>
      <c r="G374" s="53">
        <v>32</v>
      </c>
      <c r="H374" s="53">
        <v>64</v>
      </c>
      <c r="I374" s="53">
        <v>80</v>
      </c>
      <c r="J374" s="53">
        <v>1</v>
      </c>
      <c r="K374" s="53">
        <v>4</v>
      </c>
      <c r="L374" s="53">
        <v>16</v>
      </c>
      <c r="M374" s="53">
        <v>32</v>
      </c>
      <c r="N374" s="53">
        <v>64</v>
      </c>
      <c r="O374" s="63">
        <v>80</v>
      </c>
    </row>
    <row r="375" spans="1:15" x14ac:dyDescent="0.25">
      <c r="A375" s="64" t="s">
        <v>8</v>
      </c>
      <c r="B375" s="54" t="s">
        <v>9</v>
      </c>
      <c r="C375" s="55" t="s">
        <v>10</v>
      </c>
      <c r="D375" s="60">
        <v>35555</v>
      </c>
      <c r="E375" s="60">
        <v>18777</v>
      </c>
      <c r="F375" s="60">
        <v>5715</v>
      </c>
      <c r="G375" s="57"/>
      <c r="H375" s="56"/>
      <c r="I375" s="56"/>
      <c r="J375" s="58">
        <f>IF(D375="","",(1/D375)*1000000)</f>
        <v>28.125439459991561</v>
      </c>
      <c r="K375" s="58">
        <f t="shared" ref="K375:K380" si="98">IF(E375="","",(1/E375)*1000000)</f>
        <v>53.256643766309843</v>
      </c>
      <c r="L375" s="58">
        <f t="shared" ref="L375:L380" si="99">IF(F375="","",(1/F375)*1000000)</f>
        <v>174.97812773403322</v>
      </c>
      <c r="M375" s="58" t="str">
        <f t="shared" ref="M375:M380" si="100">IF(G375="","",(1/G375)*1000000)</f>
        <v/>
      </c>
      <c r="N375" s="58" t="str">
        <f t="shared" ref="N375:N380" si="101">IF(H375="","",(1/H375)*1000000)</f>
        <v/>
      </c>
      <c r="O375" s="65" t="str">
        <f t="shared" ref="O375:O380" si="102">IF(I375="","",(1/I375)*1000000)</f>
        <v/>
      </c>
    </row>
    <row r="376" spans="1:15" x14ac:dyDescent="0.25">
      <c r="A376" s="64" t="s">
        <v>11</v>
      </c>
      <c r="B376" s="54" t="s">
        <v>9</v>
      </c>
      <c r="C376" s="55" t="s">
        <v>12</v>
      </c>
      <c r="D376" s="60">
        <v>9931</v>
      </c>
      <c r="E376" s="60">
        <v>7871</v>
      </c>
      <c r="F376" s="60">
        <v>4179</v>
      </c>
      <c r="G376" s="57"/>
      <c r="H376" s="56"/>
      <c r="I376" s="56"/>
      <c r="J376" s="58">
        <f t="shared" ref="J376:J380" si="103">IF(D376="","",(1/D376)*1000000)</f>
        <v>100.69479407914611</v>
      </c>
      <c r="K376" s="58">
        <f t="shared" si="98"/>
        <v>127.04865963664082</v>
      </c>
      <c r="L376" s="58">
        <f t="shared" si="99"/>
        <v>239.29169657812875</v>
      </c>
      <c r="M376" s="58" t="str">
        <f t="shared" si="100"/>
        <v/>
      </c>
      <c r="N376" s="58" t="str">
        <f t="shared" si="101"/>
        <v/>
      </c>
      <c r="O376" s="65" t="str">
        <f t="shared" si="102"/>
        <v/>
      </c>
    </row>
    <row r="377" spans="1:15" x14ac:dyDescent="0.25">
      <c r="A377" s="64" t="s">
        <v>13</v>
      </c>
      <c r="B377" s="54" t="s">
        <v>14</v>
      </c>
      <c r="C377" s="55" t="s">
        <v>10</v>
      </c>
      <c r="D377" s="60">
        <v>27666</v>
      </c>
      <c r="E377" s="60">
        <v>15288</v>
      </c>
      <c r="F377" s="60">
        <v>5419</v>
      </c>
      <c r="G377" s="57"/>
      <c r="H377" s="56"/>
      <c r="I377" s="56"/>
      <c r="J377" s="58">
        <f t="shared" si="103"/>
        <v>36.145449287934646</v>
      </c>
      <c r="K377" s="58">
        <f t="shared" si="98"/>
        <v>65.410779696493989</v>
      </c>
      <c r="L377" s="58">
        <f t="shared" si="99"/>
        <v>184.53589223103893</v>
      </c>
      <c r="M377" s="58" t="str">
        <f t="shared" si="100"/>
        <v/>
      </c>
      <c r="N377" s="58" t="str">
        <f t="shared" si="101"/>
        <v/>
      </c>
      <c r="O377" s="65" t="str">
        <f t="shared" si="102"/>
        <v/>
      </c>
    </row>
    <row r="378" spans="1:15" x14ac:dyDescent="0.25">
      <c r="A378" s="64" t="s">
        <v>15</v>
      </c>
      <c r="B378" s="54" t="s">
        <v>14</v>
      </c>
      <c r="C378" s="55" t="s">
        <v>12</v>
      </c>
      <c r="D378" s="60">
        <v>8917</v>
      </c>
      <c r="E378" s="60">
        <v>6738</v>
      </c>
      <c r="F378" s="60">
        <v>3734</v>
      </c>
      <c r="G378" s="57"/>
      <c r="H378" s="56"/>
      <c r="I378" s="56"/>
      <c r="J378" s="58">
        <f t="shared" si="103"/>
        <v>112.145340361108</v>
      </c>
      <c r="K378" s="58">
        <f t="shared" si="98"/>
        <v>148.41199168892848</v>
      </c>
      <c r="L378" s="58">
        <f t="shared" si="99"/>
        <v>267.80931976432777</v>
      </c>
      <c r="M378" s="58" t="str">
        <f t="shared" si="100"/>
        <v/>
      </c>
      <c r="N378" s="58" t="str">
        <f t="shared" si="101"/>
        <v/>
      </c>
      <c r="O378" s="65" t="str">
        <f t="shared" si="102"/>
        <v/>
      </c>
    </row>
    <row r="379" spans="1:15" x14ac:dyDescent="0.25">
      <c r="A379" s="64" t="s">
        <v>16</v>
      </c>
      <c r="B379" s="54" t="s">
        <v>17</v>
      </c>
      <c r="C379" s="55" t="s">
        <v>12</v>
      </c>
      <c r="D379" s="60">
        <v>8386</v>
      </c>
      <c r="E379" s="60">
        <v>6572</v>
      </c>
      <c r="F379" s="60">
        <v>3734</v>
      </c>
      <c r="G379" s="57"/>
      <c r="H379" s="56"/>
      <c r="I379" s="56"/>
      <c r="J379" s="58">
        <f t="shared" si="103"/>
        <v>119.24636298592893</v>
      </c>
      <c r="K379" s="58">
        <f t="shared" si="98"/>
        <v>152.16068167985392</v>
      </c>
      <c r="L379" s="58">
        <f t="shared" si="99"/>
        <v>267.80931976432777</v>
      </c>
      <c r="M379" s="58" t="str">
        <f t="shared" si="100"/>
        <v/>
      </c>
      <c r="N379" s="58" t="str">
        <f t="shared" si="101"/>
        <v/>
      </c>
      <c r="O379" s="65" t="str">
        <f t="shared" si="102"/>
        <v/>
      </c>
    </row>
    <row r="380" spans="1:15" x14ac:dyDescent="0.25">
      <c r="A380" s="64" t="s">
        <v>18</v>
      </c>
      <c r="B380" s="54" t="s">
        <v>19</v>
      </c>
      <c r="C380" s="55" t="s">
        <v>12</v>
      </c>
      <c r="D380" s="60">
        <v>8543</v>
      </c>
      <c r="E380" s="60">
        <v>6608</v>
      </c>
      <c r="F380" s="60">
        <v>3734</v>
      </c>
      <c r="G380" s="57"/>
      <c r="H380" s="56"/>
      <c r="I380" s="56"/>
      <c r="J380" s="58">
        <f t="shared" si="103"/>
        <v>117.05489874751258</v>
      </c>
      <c r="K380" s="58">
        <f t="shared" si="98"/>
        <v>151.3317191283293</v>
      </c>
      <c r="L380" s="58">
        <f t="shared" si="99"/>
        <v>267.80931976432777</v>
      </c>
      <c r="M380" s="58" t="str">
        <f t="shared" si="100"/>
        <v/>
      </c>
      <c r="N380" s="58" t="str">
        <f t="shared" si="101"/>
        <v/>
      </c>
      <c r="O380" s="65" t="str">
        <f t="shared" si="102"/>
        <v/>
      </c>
    </row>
    <row r="381" spans="1:15" x14ac:dyDescent="0.25">
      <c r="A381" s="147" t="s">
        <v>137</v>
      </c>
      <c r="B381" s="143"/>
      <c r="C381" s="143"/>
      <c r="D381" s="143"/>
      <c r="E381" s="143"/>
      <c r="F381" s="143"/>
      <c r="G381" s="143"/>
      <c r="H381" s="143"/>
      <c r="I381" s="61"/>
      <c r="J381" s="61"/>
      <c r="K381" s="61"/>
      <c r="L381" s="61"/>
      <c r="M381" s="61"/>
      <c r="N381" s="61"/>
      <c r="O381" s="66"/>
    </row>
    <row r="382" spans="1:15" ht="18.75" x14ac:dyDescent="0.3">
      <c r="A382" s="144" t="s">
        <v>89</v>
      </c>
      <c r="B382" s="145"/>
      <c r="C382" s="145"/>
      <c r="D382" s="145"/>
      <c r="E382" s="145"/>
      <c r="F382" s="145"/>
      <c r="G382" s="145"/>
      <c r="H382" s="145"/>
      <c r="I382" s="145"/>
      <c r="J382" s="145"/>
      <c r="K382" s="145"/>
      <c r="L382" s="145"/>
      <c r="M382" s="145"/>
      <c r="N382" s="145"/>
      <c r="O382" s="146"/>
    </row>
    <row r="383" spans="1:15" x14ac:dyDescent="0.25">
      <c r="A383" s="137" t="s">
        <v>2</v>
      </c>
      <c r="B383" s="138"/>
      <c r="C383" s="138"/>
      <c r="D383" s="139" t="s">
        <v>20</v>
      </c>
      <c r="E383" s="139"/>
      <c r="F383" s="139"/>
      <c r="G383" s="139"/>
      <c r="H383" s="139"/>
      <c r="I383" s="139"/>
      <c r="J383" s="139" t="s">
        <v>23</v>
      </c>
      <c r="K383" s="139"/>
      <c r="L383" s="139"/>
      <c r="M383" s="139"/>
      <c r="N383" s="139"/>
      <c r="O383" s="140"/>
    </row>
    <row r="384" spans="1:15" x14ac:dyDescent="0.25">
      <c r="A384" s="62" t="s">
        <v>5</v>
      </c>
      <c r="B384" s="51" t="s">
        <v>6</v>
      </c>
      <c r="C384" s="51" t="s">
        <v>7</v>
      </c>
      <c r="D384" s="53">
        <v>1</v>
      </c>
      <c r="E384" s="53">
        <v>4</v>
      </c>
      <c r="F384" s="53">
        <v>16</v>
      </c>
      <c r="G384" s="53">
        <v>32</v>
      </c>
      <c r="H384" s="53">
        <v>64</v>
      </c>
      <c r="I384" s="53">
        <v>80</v>
      </c>
      <c r="J384" s="53">
        <v>1</v>
      </c>
      <c r="K384" s="53">
        <v>4</v>
      </c>
      <c r="L384" s="53">
        <v>16</v>
      </c>
      <c r="M384" s="53">
        <v>32</v>
      </c>
      <c r="N384" s="53">
        <v>64</v>
      </c>
      <c r="O384" s="63">
        <v>80</v>
      </c>
    </row>
    <row r="385" spans="1:15" x14ac:dyDescent="0.25">
      <c r="A385" s="64" t="s">
        <v>8</v>
      </c>
      <c r="B385" s="54" t="s">
        <v>9</v>
      </c>
      <c r="C385" s="54" t="s">
        <v>10</v>
      </c>
      <c r="D385" s="59">
        <f>IF(D375="","",(D375-'2016'!D191)/'2016'!D191)</f>
        <v>-0.16666666666666666</v>
      </c>
      <c r="E385" s="59">
        <f>IF(E375="","",(E375-'2016'!E191)/'2016'!E191)</f>
        <v>0</v>
      </c>
      <c r="F385" s="59">
        <f>IF(F375="","",(F375-'2016'!F191)/'2016'!F191)</f>
        <v>-0.10535378835316218</v>
      </c>
      <c r="G385" s="59" t="str">
        <f>IF(G375="","",(G375-'2014'!#REF!)/'2014'!#REF!)</f>
        <v/>
      </c>
      <c r="H385" s="59" t="str">
        <f>IF(H375="","",(H375-'2014'!#REF!)/'2014'!#REF!)</f>
        <v/>
      </c>
      <c r="I385" s="58" t="str">
        <f>IF(I375="","",(I375-'2014'!#REF!)/'2014'!#REF!)</f>
        <v/>
      </c>
      <c r="J385" s="58"/>
      <c r="K385" s="58"/>
      <c r="L385" s="58"/>
      <c r="M385" s="58" t="str">
        <f>IF(G385="","",M375-((1/'Proto 2013'!#REF!)*1000000))</f>
        <v/>
      </c>
      <c r="N385" s="58" t="str">
        <f>IF(H385="","",N375-((1/'Proto 2013'!#REF!)*1000000))</f>
        <v/>
      </c>
      <c r="O385" s="65" t="str">
        <f>IF(I385="","",O375-((1/'Proto 2013'!#REF!)*1000000))</f>
        <v/>
      </c>
    </row>
    <row r="386" spans="1:15" x14ac:dyDescent="0.25">
      <c r="A386" s="64" t="s">
        <v>11</v>
      </c>
      <c r="B386" s="54" t="s">
        <v>9</v>
      </c>
      <c r="C386" s="54" t="s">
        <v>12</v>
      </c>
      <c r="D386" s="59">
        <f>IF(D376="","",(D376-'2016'!D192)/'2016'!D192)</f>
        <v>3.9024900606821511E-2</v>
      </c>
      <c r="E386" s="59">
        <f>IF(E376="","",(E376-'2016'!E192)/'2016'!E192)</f>
        <v>2.9157949790794981E-2</v>
      </c>
      <c r="F386" s="59">
        <f>IF(F376="","",(F376-'2016'!F192)/'2016'!F192)</f>
        <v>-4.7835446065534564E-4</v>
      </c>
      <c r="G386" s="59" t="str">
        <f>IF(G376="","",(G376-'2014'!#REF!)/'2014'!#REF!)</f>
        <v/>
      </c>
      <c r="H386" s="59" t="str">
        <f>IF(H376="","",(H376-'2014'!#REF!)/'2014'!#REF!)</f>
        <v/>
      </c>
      <c r="I386" s="59" t="str">
        <f>IF(I376="","",(I376-'2014'!#REF!)/'2014'!#REF!)</f>
        <v/>
      </c>
      <c r="J386" s="58"/>
      <c r="K386" s="58"/>
      <c r="L386" s="58"/>
      <c r="M386" s="58" t="str">
        <f>IF(G386="","",M376-((1/'Proto 2013'!#REF!)*1000000))</f>
        <v/>
      </c>
      <c r="N386" s="58" t="str">
        <f>IF(H386="","",N376-((1/'Proto 2013'!#REF!)*1000000))</f>
        <v/>
      </c>
      <c r="O386" s="65" t="str">
        <f>IF(I386="","",O376-((1/'Proto 2013'!#REF!)*1000000))</f>
        <v/>
      </c>
    </row>
    <row r="387" spans="1:15" x14ac:dyDescent="0.25">
      <c r="A387" s="64" t="s">
        <v>13</v>
      </c>
      <c r="B387" s="54" t="s">
        <v>14</v>
      </c>
      <c r="C387" s="54" t="s">
        <v>10</v>
      </c>
      <c r="D387" s="59">
        <f>IF(D377="","",(D377-'2016'!D193)/'2016'!D193)</f>
        <v>-0.32723779879872578</v>
      </c>
      <c r="E387" s="59">
        <f>IF(E377="","",(E377-'2016'!E193)/'2016'!E193)</f>
        <v>-0.13553859202714164</v>
      </c>
      <c r="F387" s="59">
        <f>IF(F377="","",(F377-'2016'!F193)/'2016'!F193)</f>
        <v>-3.6793458940632774E-2</v>
      </c>
      <c r="G387" s="59" t="str">
        <f>IF(G377="","",(G377-'2014'!#REF!)/'2014'!#REF!)</f>
        <v/>
      </c>
      <c r="H387" s="59" t="str">
        <f>IF(H377="","",(H377-'2014'!#REF!)/'2014'!#REF!)</f>
        <v/>
      </c>
      <c r="I387" s="59" t="str">
        <f>IF(I377="","",(I377-'2014'!#REF!)/'2014'!#REF!)</f>
        <v/>
      </c>
      <c r="J387" s="58"/>
      <c r="K387" s="58"/>
      <c r="L387" s="58"/>
      <c r="M387" s="58" t="str">
        <f>IF(G387="","",M377-((1/'Proto 2013'!#REF!)*1000000))</f>
        <v/>
      </c>
      <c r="N387" s="58" t="str">
        <f>IF(H387="","",N377-((1/'Proto 2013'!#REF!)*1000000))</f>
        <v/>
      </c>
      <c r="O387" s="65" t="str">
        <f>IF(I387="","",O377-((1/'Proto 2013'!#REF!)*1000000))</f>
        <v/>
      </c>
    </row>
    <row r="388" spans="1:15" x14ac:dyDescent="0.25">
      <c r="A388" s="64" t="s">
        <v>15</v>
      </c>
      <c r="B388" s="54" t="s">
        <v>14</v>
      </c>
      <c r="C388" s="54" t="s">
        <v>12</v>
      </c>
      <c r="D388" s="59">
        <f>IF(D378="","",(D378-'2016'!D194)/'2016'!D194)</f>
        <v>-3.076086956521739E-2</v>
      </c>
      <c r="E388" s="59">
        <f>IF(E378="","",(E378-'2016'!E194)/'2016'!E194)</f>
        <v>-3.3562822719449228E-2</v>
      </c>
      <c r="F388" s="59">
        <f>IF(F378="","",(F378-'2016'!F194)/'2016'!F194)</f>
        <v>0</v>
      </c>
      <c r="G388" s="59" t="str">
        <f>IF(G378="","",(G378-'2014'!#REF!)/'2014'!#REF!)</f>
        <v/>
      </c>
      <c r="H388" s="59" t="str">
        <f>IF(H378="","",(H378-'2014'!#REF!)/'2014'!#REF!)</f>
        <v/>
      </c>
      <c r="I388" s="59" t="str">
        <f>IF(I378="","",(I378-'2014'!#REF!)/'2014'!#REF!)</f>
        <v/>
      </c>
      <c r="J388" s="58"/>
      <c r="K388" s="58"/>
      <c r="L388" s="58"/>
      <c r="M388" s="58" t="str">
        <f>IF(G388="","",M378-((1/'Proto 2013'!#REF!)*1000000))</f>
        <v/>
      </c>
      <c r="N388" s="58" t="str">
        <f>IF(H388="","",N378-((1/'Proto 2013'!#REF!)*1000000))</f>
        <v/>
      </c>
      <c r="O388" s="65" t="str">
        <f>IF(I388="","",O378-((1/'Proto 2013'!#REF!)*1000000))</f>
        <v/>
      </c>
    </row>
    <row r="389" spans="1:15" x14ac:dyDescent="0.25">
      <c r="A389" s="64" t="s">
        <v>16</v>
      </c>
      <c r="B389" s="54" t="s">
        <v>17</v>
      </c>
      <c r="C389" s="54" t="s">
        <v>12</v>
      </c>
      <c r="D389" s="59">
        <f>IF(D379="","",(D379-'2016'!D195)/'2016'!D195)</f>
        <v>-9.3325457767277024E-3</v>
      </c>
      <c r="E389" s="59">
        <f>IF(E379="","",(E379-'2016'!E195)/'2016'!E195)</f>
        <v>-9.3141989788878152E-2</v>
      </c>
      <c r="F389" s="59">
        <f>IF(F379="","",(F379-'2016'!F195)/'2016'!F195)</f>
        <v>-5.3965036736762097E-2</v>
      </c>
      <c r="G389" s="59" t="str">
        <f>IF(G379="","",(G379-'2014'!#REF!)/'2014'!#REF!)</f>
        <v/>
      </c>
      <c r="H389" s="59" t="str">
        <f>IF(H379="","",(H379-'2014'!#REF!)/'2014'!#REF!)</f>
        <v/>
      </c>
      <c r="I389" s="59" t="str">
        <f>IF(I379="","",(I379-'2014'!#REF!)/'2014'!#REF!)</f>
        <v/>
      </c>
      <c r="J389" s="58"/>
      <c r="K389" s="58"/>
      <c r="L389" s="58"/>
      <c r="M389" s="58" t="str">
        <f>IF(G389="","",M379-((1/'Proto 2013'!#REF!)*1000000))</f>
        <v/>
      </c>
      <c r="N389" s="58" t="str">
        <f>IF(H389="","",N379-((1/'Proto 2013'!#REF!)*1000000))</f>
        <v/>
      </c>
      <c r="O389" s="65" t="str">
        <f>IF(I389="","",O379-((1/'Proto 2013'!#REF!)*1000000))</f>
        <v/>
      </c>
    </row>
    <row r="390" spans="1:15" ht="15.75" thickBot="1" x14ac:dyDescent="0.3">
      <c r="A390" s="70" t="s">
        <v>18</v>
      </c>
      <c r="B390" s="71" t="s">
        <v>19</v>
      </c>
      <c r="C390" s="71" t="s">
        <v>12</v>
      </c>
      <c r="D390" s="59">
        <f>IF(D380="","",(D380-'2016'!D196)/'2016'!D196)</f>
        <v>6.6541822721598004E-2</v>
      </c>
      <c r="E390" s="59">
        <f>IF(E380="","",(E380-'2016'!E196)/'2016'!E196)</f>
        <v>-1.00374531835206E-2</v>
      </c>
      <c r="F390" s="59">
        <f>IF(F380="","",(F380-'2016'!F196)/'2016'!F196)</f>
        <v>-6.2044712383823163E-2</v>
      </c>
      <c r="G390" s="72" t="str">
        <f>IF(G380="","",(G380-'2014'!#REF!)/'2014'!#REF!)</f>
        <v/>
      </c>
      <c r="H390" s="72" t="str">
        <f>IF(H380="","",(H380-'2014'!#REF!)/'2014'!#REF!)</f>
        <v/>
      </c>
      <c r="I390" s="72" t="str">
        <f>IF(I380="","",(I380-'2014'!#REF!)/'2014'!#REF!)</f>
        <v/>
      </c>
      <c r="J390" s="73"/>
      <c r="K390" s="73"/>
      <c r="L390" s="73"/>
      <c r="M390" s="73" t="str">
        <f>IF(G390="","",M380-((1/'Proto 2013'!#REF!)*1000000))</f>
        <v/>
      </c>
      <c r="N390" s="73" t="str">
        <f>IF(H390="","",N380-((1/'Proto 2013'!#REF!)*1000000))</f>
        <v/>
      </c>
      <c r="O390" s="74" t="str">
        <f>IF(I390="","",O380-((1/'Proto 2013'!#REF!)*1000000))</f>
        <v/>
      </c>
    </row>
    <row r="391" spans="1:15" x14ac:dyDescent="0.25">
      <c r="D391" s="59" t="str">
        <f>IF(D381="","",(D381-'2016'!D257)/'2016'!D257)</f>
        <v/>
      </c>
    </row>
    <row r="392" spans="1:15" ht="18.75" x14ac:dyDescent="0.3">
      <c r="A392" s="144" t="s">
        <v>132</v>
      </c>
      <c r="B392" s="145"/>
      <c r="C392" s="145"/>
      <c r="D392" s="145"/>
      <c r="E392" s="145"/>
      <c r="F392" s="145"/>
      <c r="G392" s="145"/>
      <c r="H392" s="145"/>
      <c r="I392" s="145"/>
      <c r="J392" s="145"/>
      <c r="K392" s="145"/>
      <c r="L392" s="145"/>
      <c r="M392" s="145"/>
      <c r="N392" s="145"/>
      <c r="O392" s="146"/>
    </row>
    <row r="393" spans="1:15" x14ac:dyDescent="0.25">
      <c r="A393" s="137" t="s">
        <v>2</v>
      </c>
      <c r="B393" s="138"/>
      <c r="C393" s="138"/>
      <c r="D393" s="139" t="s">
        <v>20</v>
      </c>
      <c r="E393" s="139"/>
      <c r="F393" s="139"/>
      <c r="G393" s="139"/>
      <c r="H393" s="139"/>
      <c r="I393" s="139"/>
      <c r="J393" s="139" t="s">
        <v>23</v>
      </c>
      <c r="K393" s="139"/>
      <c r="L393" s="139"/>
      <c r="M393" s="139"/>
      <c r="N393" s="139"/>
      <c r="O393" s="140"/>
    </row>
    <row r="394" spans="1:15" x14ac:dyDescent="0.25">
      <c r="A394" s="62" t="s">
        <v>5</v>
      </c>
      <c r="B394" s="51" t="s">
        <v>6</v>
      </c>
      <c r="C394" s="51" t="s">
        <v>7</v>
      </c>
      <c r="D394" s="53">
        <v>1</v>
      </c>
      <c r="E394" s="53">
        <v>4</v>
      </c>
      <c r="F394" s="53">
        <v>16</v>
      </c>
      <c r="G394" s="53">
        <v>32</v>
      </c>
      <c r="H394" s="53">
        <v>64</v>
      </c>
      <c r="I394" s="53">
        <v>80</v>
      </c>
      <c r="J394" s="53">
        <v>1</v>
      </c>
      <c r="K394" s="53">
        <v>4</v>
      </c>
      <c r="L394" s="53">
        <v>16</v>
      </c>
      <c r="M394" s="53">
        <v>32</v>
      </c>
      <c r="N394" s="53">
        <v>64</v>
      </c>
      <c r="O394" s="63">
        <v>80</v>
      </c>
    </row>
    <row r="395" spans="1:15" x14ac:dyDescent="0.25">
      <c r="A395" s="64" t="s">
        <v>8</v>
      </c>
      <c r="B395" s="54" t="s">
        <v>9</v>
      </c>
      <c r="C395" s="54" t="s">
        <v>10</v>
      </c>
      <c r="D395" s="59">
        <f>IF(D375="","",(D375-'2016'!D220)/'2016'!D220)</f>
        <v>-0.26779793653081818</v>
      </c>
      <c r="E395" s="59">
        <f>IF(E375="","",(E375-'2016'!E220)/'2016'!E220)</f>
        <v>0</v>
      </c>
      <c r="F395" s="59">
        <f>IF(F375="","",(F375-'2016'!F220)/'2016'!F220)</f>
        <v>-9.6299810246679315E-2</v>
      </c>
      <c r="G395" s="59" t="str">
        <f>IF(G385="","",(G385-'2014'!#REF!)/'2014'!#REF!)</f>
        <v/>
      </c>
      <c r="H395" s="59" t="str">
        <f>IF(H385="","",(H385-'2014'!#REF!)/'2014'!#REF!)</f>
        <v/>
      </c>
      <c r="I395" s="58" t="str">
        <f>IF(I385="","",(I385-'2014'!#REF!)/'2014'!#REF!)</f>
        <v/>
      </c>
      <c r="J395" s="58"/>
      <c r="K395" s="58"/>
      <c r="L395" s="58"/>
      <c r="M395" s="58" t="str">
        <f>IF(G395="","",M385-((1/'Proto 2013'!#REF!)*1000000))</f>
        <v/>
      </c>
      <c r="N395" s="58" t="str">
        <f>IF(H395="","",N385-((1/'Proto 2013'!#REF!)*1000000))</f>
        <v/>
      </c>
      <c r="O395" s="65" t="str">
        <f>IF(I395="","",O385-((1/'Proto 2013'!#REF!)*1000000))</f>
        <v/>
      </c>
    </row>
    <row r="396" spans="1:15" x14ac:dyDescent="0.25">
      <c r="A396" s="64" t="s">
        <v>11</v>
      </c>
      <c r="B396" s="54" t="s">
        <v>9</v>
      </c>
      <c r="C396" s="54" t="s">
        <v>12</v>
      </c>
      <c r="D396" s="59">
        <f>IF(D376="","",(D376-'2016'!D221)/'2016'!D221)</f>
        <v>3.7180156657963447E-2</v>
      </c>
      <c r="E396" s="59">
        <f>IF(E376="","",(E376-'2016'!E221)/'2016'!E221)</f>
        <v>1.6268560361523562E-2</v>
      </c>
      <c r="F396" s="59">
        <f>IF(F376="","",(F376-'2016'!F221)/'2016'!F221)</f>
        <v>3.6458333333333336E-2</v>
      </c>
      <c r="G396" s="59" t="str">
        <f>IF(G386="","",(G386-'2014'!#REF!)/'2014'!#REF!)</f>
        <v/>
      </c>
      <c r="H396" s="59" t="str">
        <f>IF(H386="","",(H386-'2014'!#REF!)/'2014'!#REF!)</f>
        <v/>
      </c>
      <c r="I396" s="59" t="str">
        <f>IF(I386="","",(I386-'2014'!#REF!)/'2014'!#REF!)</f>
        <v/>
      </c>
      <c r="J396" s="58"/>
      <c r="K396" s="58"/>
      <c r="L396" s="58"/>
      <c r="M396" s="58" t="str">
        <f>IF(G396="","",M386-((1/'Proto 2013'!#REF!)*1000000))</f>
        <v/>
      </c>
      <c r="N396" s="58" t="str">
        <f>IF(H396="","",N386-((1/'Proto 2013'!#REF!)*1000000))</f>
        <v/>
      </c>
      <c r="O396" s="65" t="str">
        <f>IF(I396="","",O386-((1/'Proto 2013'!#REF!)*1000000))</f>
        <v/>
      </c>
    </row>
    <row r="397" spans="1:15" x14ac:dyDescent="0.25">
      <c r="A397" s="64" t="s">
        <v>13</v>
      </c>
      <c r="B397" s="54" t="s">
        <v>14</v>
      </c>
      <c r="C397" s="54" t="s">
        <v>10</v>
      </c>
      <c r="D397" s="59">
        <f>IF(D377="","",(D377-'2016'!D222)/'2016'!D222)</f>
        <v>-0.19671321970906769</v>
      </c>
      <c r="E397" s="59">
        <f>IF(E377="","",(E377-'2016'!E222)/'2016'!E222)</f>
        <v>-9.1945830363506773E-2</v>
      </c>
      <c r="F397" s="59">
        <f>IF(F377="","",(F377-'2016'!F222)/'2016'!F222)</f>
        <v>-1.5979662248047938E-2</v>
      </c>
      <c r="G397" s="59" t="str">
        <f>IF(G387="","",(G387-'2014'!#REF!)/'2014'!#REF!)</f>
        <v/>
      </c>
      <c r="H397" s="59" t="str">
        <f>IF(H387="","",(H387-'2014'!#REF!)/'2014'!#REF!)</f>
        <v/>
      </c>
      <c r="I397" s="59" t="str">
        <f>IF(I387="","",(I387-'2014'!#REF!)/'2014'!#REF!)</f>
        <v/>
      </c>
      <c r="J397" s="58"/>
      <c r="K397" s="58"/>
      <c r="L397" s="58"/>
      <c r="M397" s="58" t="str">
        <f>IF(G397="","",M387-((1/'Proto 2013'!#REF!)*1000000))</f>
        <v/>
      </c>
      <c r="N397" s="58" t="str">
        <f>IF(H397="","",N387-((1/'Proto 2013'!#REF!)*1000000))</f>
        <v/>
      </c>
      <c r="O397" s="65" t="str">
        <f>IF(I397="","",O387-((1/'Proto 2013'!#REF!)*1000000))</f>
        <v/>
      </c>
    </row>
    <row r="398" spans="1:15" x14ac:dyDescent="0.25">
      <c r="A398" s="64" t="s">
        <v>15</v>
      </c>
      <c r="B398" s="54" t="s">
        <v>14</v>
      </c>
      <c r="C398" s="54" t="s">
        <v>12</v>
      </c>
      <c r="D398" s="59">
        <f>IF(D378="","",(D378-'2016'!D223)/'2016'!D223)</f>
        <v>1.3180320418134302E-2</v>
      </c>
      <c r="E398" s="59">
        <f>IF(E378="","",(E378-'2016'!E223)/'2016'!E223)</f>
        <v>-3.4255410634943383E-2</v>
      </c>
      <c r="F398" s="59">
        <f>IF(F378="","",(F378-'2016'!F223)/'2016'!F223)</f>
        <v>-1.007423117709438E-2</v>
      </c>
      <c r="G398" s="59" t="str">
        <f>IF(G388="","",(G388-'2014'!#REF!)/'2014'!#REF!)</f>
        <v/>
      </c>
      <c r="H398" s="59" t="str">
        <f>IF(H388="","",(H388-'2014'!#REF!)/'2014'!#REF!)</f>
        <v/>
      </c>
      <c r="I398" s="59" t="str">
        <f>IF(I388="","",(I388-'2014'!#REF!)/'2014'!#REF!)</f>
        <v/>
      </c>
      <c r="J398" s="58"/>
      <c r="K398" s="58"/>
      <c r="L398" s="58"/>
      <c r="M398" s="58" t="str">
        <f>IF(G398="","",M388-((1/'Proto 2013'!#REF!)*1000000))</f>
        <v/>
      </c>
      <c r="N398" s="58" t="str">
        <f>IF(H398="","",N388-((1/'Proto 2013'!#REF!)*1000000))</f>
        <v/>
      </c>
      <c r="O398" s="65" t="str">
        <f>IF(I398="","",O388-((1/'Proto 2013'!#REF!)*1000000))</f>
        <v/>
      </c>
    </row>
    <row r="399" spans="1:15" x14ac:dyDescent="0.25">
      <c r="A399" s="64" t="s">
        <v>16</v>
      </c>
      <c r="B399" s="54" t="s">
        <v>17</v>
      </c>
      <c r="C399" s="54" t="s">
        <v>12</v>
      </c>
      <c r="D399" s="59">
        <f>IF(D379="","",(D379-'2016'!D224)/'2016'!D224)</f>
        <v>-4.5309653916211293E-2</v>
      </c>
      <c r="E399" s="59">
        <f>IF(E379="","",(E379-'2016'!E224)/'2016'!E224)</f>
        <v>-1.5430711610486892E-2</v>
      </c>
      <c r="F399" s="59">
        <f>IF(F379="","",(F379-'2016'!F224)/'2016'!F224)</f>
        <v>-5.3965036736762097E-2</v>
      </c>
      <c r="G399" s="59" t="str">
        <f>IF(G389="","",(G389-'2014'!#REF!)/'2014'!#REF!)</f>
        <v/>
      </c>
      <c r="H399" s="59" t="str">
        <f>IF(H389="","",(H389-'2014'!#REF!)/'2014'!#REF!)</f>
        <v/>
      </c>
      <c r="I399" s="59" t="str">
        <f>IF(I389="","",(I389-'2014'!#REF!)/'2014'!#REF!)</f>
        <v/>
      </c>
      <c r="J399" s="58"/>
      <c r="K399" s="58"/>
      <c r="L399" s="58"/>
      <c r="M399" s="58" t="str">
        <f>IF(G399="","",M389-((1/'Proto 2013'!#REF!)*1000000))</f>
        <v/>
      </c>
      <c r="N399" s="58" t="str">
        <f>IF(H399="","",N389-((1/'Proto 2013'!#REF!)*1000000))</f>
        <v/>
      </c>
      <c r="O399" s="65" t="str">
        <f>IF(I399="","",O389-((1/'Proto 2013'!#REF!)*1000000))</f>
        <v/>
      </c>
    </row>
    <row r="400" spans="1:15" ht="15.75" thickBot="1" x14ac:dyDescent="0.3">
      <c r="A400" s="70" t="s">
        <v>18</v>
      </c>
      <c r="B400" s="71" t="s">
        <v>19</v>
      </c>
      <c r="C400" s="71" t="s">
        <v>12</v>
      </c>
      <c r="D400" s="59">
        <f>IF(D380="","",(D380-'2016'!D225)/'2016'!D225)</f>
        <v>-2.254004576659039E-2</v>
      </c>
      <c r="E400" s="59">
        <f>IF(E380="","",(E380-'2016'!E225)/'2016'!E225)</f>
        <v>-9.4670502808603924E-2</v>
      </c>
      <c r="F400" s="59">
        <f>IF(F380="","",(F380-'2016'!F225)/'2016'!F225)</f>
        <v>-6.6266566641660418E-2</v>
      </c>
      <c r="G400" s="72" t="str">
        <f>IF(G390="","",(G390-'2014'!#REF!)/'2014'!#REF!)</f>
        <v/>
      </c>
      <c r="H400" s="72" t="str">
        <f>IF(H390="","",(H390-'2014'!#REF!)/'2014'!#REF!)</f>
        <v/>
      </c>
      <c r="I400" s="72" t="str">
        <f>IF(I390="","",(I390-'2014'!#REF!)/'2014'!#REF!)</f>
        <v/>
      </c>
      <c r="J400" s="73"/>
      <c r="K400" s="73"/>
      <c r="L400" s="73"/>
      <c r="M400" s="73" t="str">
        <f>IF(G400="","",M390-((1/'Proto 2013'!#REF!)*1000000))</f>
        <v/>
      </c>
      <c r="N400" s="73" t="str">
        <f>IF(H400="","",N390-((1/'Proto 2013'!#REF!)*1000000))</f>
        <v/>
      </c>
      <c r="O400" s="74" t="str">
        <f>IF(I400="","",O390-((1/'Proto 2013'!#REF!)*1000000))</f>
        <v/>
      </c>
    </row>
    <row r="401" spans="1:15" ht="18.75" x14ac:dyDescent="0.25">
      <c r="A401" s="131" t="s">
        <v>90</v>
      </c>
      <c r="B401" s="132"/>
      <c r="C401" s="132"/>
      <c r="D401" s="132"/>
      <c r="E401" s="132"/>
      <c r="F401" s="132"/>
      <c r="G401" s="132"/>
      <c r="H401" s="132"/>
      <c r="I401" s="132"/>
      <c r="J401" s="132"/>
      <c r="K401" s="132"/>
      <c r="L401" s="132"/>
      <c r="M401" s="132"/>
      <c r="N401" s="132"/>
      <c r="O401" s="133"/>
    </row>
    <row r="402" spans="1:15" ht="15.75" x14ac:dyDescent="0.25">
      <c r="A402" s="134" t="s">
        <v>140</v>
      </c>
      <c r="B402" s="135"/>
      <c r="C402" s="135"/>
      <c r="D402" s="135"/>
      <c r="E402" s="135"/>
      <c r="F402" s="135"/>
      <c r="G402" s="135"/>
      <c r="H402" s="135"/>
      <c r="I402" s="135"/>
      <c r="J402" s="135"/>
      <c r="K402" s="135"/>
      <c r="L402" s="135"/>
      <c r="M402" s="135"/>
      <c r="N402" s="135"/>
      <c r="O402" s="136"/>
    </row>
    <row r="403" spans="1:15" x14ac:dyDescent="0.25">
      <c r="A403" s="137" t="s">
        <v>2</v>
      </c>
      <c r="B403" s="138"/>
      <c r="C403" s="138"/>
      <c r="D403" s="139" t="s">
        <v>3</v>
      </c>
      <c r="E403" s="139"/>
      <c r="F403" s="139"/>
      <c r="G403" s="139"/>
      <c r="H403" s="139"/>
      <c r="I403" s="139"/>
      <c r="J403" s="139" t="s">
        <v>4</v>
      </c>
      <c r="K403" s="139"/>
      <c r="L403" s="139"/>
      <c r="M403" s="139"/>
      <c r="N403" s="139"/>
      <c r="O403" s="140"/>
    </row>
    <row r="404" spans="1:15" x14ac:dyDescent="0.25">
      <c r="A404" s="62" t="s">
        <v>5</v>
      </c>
      <c r="B404" s="51" t="s">
        <v>6</v>
      </c>
      <c r="C404" s="51" t="s">
        <v>7</v>
      </c>
      <c r="D404" s="52">
        <v>1</v>
      </c>
      <c r="E404" s="52">
        <v>4</v>
      </c>
      <c r="F404" s="52">
        <v>16</v>
      </c>
      <c r="G404" s="53">
        <v>32</v>
      </c>
      <c r="H404" s="53">
        <v>64</v>
      </c>
      <c r="I404" s="53">
        <v>80</v>
      </c>
      <c r="J404" s="53">
        <v>1</v>
      </c>
      <c r="K404" s="53">
        <v>4</v>
      </c>
      <c r="L404" s="53">
        <v>16</v>
      </c>
      <c r="M404" s="53">
        <v>32</v>
      </c>
      <c r="N404" s="53">
        <v>64</v>
      </c>
      <c r="O404" s="63">
        <v>80</v>
      </c>
    </row>
    <row r="405" spans="1:15" x14ac:dyDescent="0.25">
      <c r="A405" s="64" t="s">
        <v>8</v>
      </c>
      <c r="B405" s="54" t="s">
        <v>9</v>
      </c>
      <c r="C405" s="55" t="s">
        <v>10</v>
      </c>
      <c r="D405" s="60">
        <v>48405</v>
      </c>
      <c r="E405" s="60">
        <v>21327</v>
      </c>
      <c r="F405" s="60">
        <v>5715</v>
      </c>
      <c r="G405" s="57"/>
      <c r="H405" s="56"/>
      <c r="I405" s="56"/>
      <c r="J405" s="58">
        <f>IF(D405="","",(1/D405)*1000000)</f>
        <v>20.659022828220223</v>
      </c>
      <c r="K405" s="58">
        <f t="shared" ref="K405:K410" si="104">IF(E405="","",(1/E405)*1000000)</f>
        <v>46.888920148168985</v>
      </c>
      <c r="L405" s="58">
        <f t="shared" ref="L405:L410" si="105">IF(F405="","",(1/F405)*1000000)</f>
        <v>174.97812773403322</v>
      </c>
      <c r="M405" s="58" t="str">
        <f t="shared" ref="M405:M410" si="106">IF(G405="","",(1/G405)*1000000)</f>
        <v/>
      </c>
      <c r="N405" s="58" t="str">
        <f t="shared" ref="N405:N410" si="107">IF(H405="","",(1/H405)*1000000)</f>
        <v/>
      </c>
      <c r="O405" s="65" t="str">
        <f t="shared" ref="O405:O410" si="108">IF(I405="","",(1/I405)*1000000)</f>
        <v/>
      </c>
    </row>
    <row r="406" spans="1:15" x14ac:dyDescent="0.25">
      <c r="A406" s="64" t="s">
        <v>11</v>
      </c>
      <c r="B406" s="54" t="s">
        <v>9</v>
      </c>
      <c r="C406" s="55" t="s">
        <v>12</v>
      </c>
      <c r="D406" s="60">
        <v>9995</v>
      </c>
      <c r="E406" s="60">
        <v>7933</v>
      </c>
      <c r="F406" s="60">
        <v>4211</v>
      </c>
      <c r="G406" s="57"/>
      <c r="H406" s="56"/>
      <c r="I406" s="56"/>
      <c r="J406" s="58">
        <f t="shared" ref="J406:J410" si="109">IF(D406="","",(1/D406)*1000000)</f>
        <v>100.05002501250625</v>
      </c>
      <c r="K406" s="58">
        <f t="shared" si="104"/>
        <v>126.05571662674902</v>
      </c>
      <c r="L406" s="58">
        <f t="shared" si="105"/>
        <v>237.47328425552126</v>
      </c>
      <c r="M406" s="58" t="str">
        <f t="shared" si="106"/>
        <v/>
      </c>
      <c r="N406" s="58" t="str">
        <f t="shared" si="107"/>
        <v/>
      </c>
      <c r="O406" s="65" t="str">
        <f t="shared" si="108"/>
        <v/>
      </c>
    </row>
    <row r="407" spans="1:15" x14ac:dyDescent="0.25">
      <c r="A407" s="64" t="s">
        <v>13</v>
      </c>
      <c r="B407" s="54" t="s">
        <v>14</v>
      </c>
      <c r="C407" s="55" t="s">
        <v>10</v>
      </c>
      <c r="D407" s="60">
        <v>41123</v>
      </c>
      <c r="E407" s="60">
        <v>17773</v>
      </c>
      <c r="F407" s="60">
        <v>5569</v>
      </c>
      <c r="G407" s="57"/>
      <c r="H407" s="56"/>
      <c r="I407" s="56"/>
      <c r="J407" s="58">
        <f t="shared" si="109"/>
        <v>24.317292026359944</v>
      </c>
      <c r="K407" s="58">
        <f t="shared" si="104"/>
        <v>56.265121251336296</v>
      </c>
      <c r="L407" s="58">
        <f t="shared" si="105"/>
        <v>179.56545160711082</v>
      </c>
      <c r="M407" s="58" t="str">
        <f t="shared" si="106"/>
        <v/>
      </c>
      <c r="N407" s="58" t="str">
        <f t="shared" si="107"/>
        <v/>
      </c>
      <c r="O407" s="65" t="str">
        <f t="shared" si="108"/>
        <v/>
      </c>
    </row>
    <row r="408" spans="1:15" x14ac:dyDescent="0.25">
      <c r="A408" s="64" t="s">
        <v>15</v>
      </c>
      <c r="B408" s="54" t="s">
        <v>14</v>
      </c>
      <c r="C408" s="55" t="s">
        <v>12</v>
      </c>
      <c r="D408" s="60">
        <v>8847</v>
      </c>
      <c r="E408" s="60">
        <v>7185</v>
      </c>
      <c r="F408" s="60">
        <v>3867</v>
      </c>
      <c r="G408" s="57"/>
      <c r="H408" s="56"/>
      <c r="I408" s="56"/>
      <c r="J408" s="58">
        <f t="shared" si="109"/>
        <v>113.03266644060133</v>
      </c>
      <c r="K408" s="58">
        <f t="shared" si="104"/>
        <v>139.17884481558804</v>
      </c>
      <c r="L408" s="58">
        <f t="shared" si="105"/>
        <v>258.5983966899405</v>
      </c>
      <c r="M408" s="58" t="str">
        <f t="shared" si="106"/>
        <v/>
      </c>
      <c r="N408" s="58" t="str">
        <f t="shared" si="107"/>
        <v/>
      </c>
      <c r="O408" s="65" t="str">
        <f t="shared" si="108"/>
        <v/>
      </c>
    </row>
    <row r="409" spans="1:15" x14ac:dyDescent="0.25">
      <c r="A409" s="64" t="s">
        <v>16</v>
      </c>
      <c r="B409" s="54" t="s">
        <v>17</v>
      </c>
      <c r="C409" s="55" t="s">
        <v>12</v>
      </c>
      <c r="D409" s="60">
        <v>8659</v>
      </c>
      <c r="E409" s="60">
        <v>6772</v>
      </c>
      <c r="F409" s="60">
        <v>3734</v>
      </c>
      <c r="G409" s="57"/>
      <c r="H409" s="56"/>
      <c r="I409" s="56"/>
      <c r="J409" s="58">
        <f t="shared" si="109"/>
        <v>115.48677676406051</v>
      </c>
      <c r="K409" s="58">
        <f t="shared" si="104"/>
        <v>147.66686355581808</v>
      </c>
      <c r="L409" s="58">
        <f t="shared" si="105"/>
        <v>267.80931976432777</v>
      </c>
      <c r="M409" s="58" t="str">
        <f t="shared" si="106"/>
        <v/>
      </c>
      <c r="N409" s="58" t="str">
        <f t="shared" si="107"/>
        <v/>
      </c>
      <c r="O409" s="65" t="str">
        <f t="shared" si="108"/>
        <v/>
      </c>
    </row>
    <row r="410" spans="1:15" x14ac:dyDescent="0.25">
      <c r="A410" s="64" t="s">
        <v>18</v>
      </c>
      <c r="B410" s="54" t="s">
        <v>19</v>
      </c>
      <c r="C410" s="55" t="s">
        <v>12</v>
      </c>
      <c r="D410" s="60">
        <v>8628</v>
      </c>
      <c r="E410" s="60">
        <v>6742</v>
      </c>
      <c r="F410" s="60">
        <v>3842</v>
      </c>
      <c r="G410" s="57"/>
      <c r="H410" s="56"/>
      <c r="I410" s="56"/>
      <c r="J410" s="58">
        <f t="shared" si="109"/>
        <v>115.9017153453871</v>
      </c>
      <c r="K410" s="58">
        <f t="shared" si="104"/>
        <v>148.3239394838327</v>
      </c>
      <c r="L410" s="58">
        <f t="shared" si="105"/>
        <v>260.28110359187923</v>
      </c>
      <c r="M410" s="58" t="str">
        <f t="shared" si="106"/>
        <v/>
      </c>
      <c r="N410" s="58" t="str">
        <f t="shared" si="107"/>
        <v/>
      </c>
      <c r="O410" s="65" t="str">
        <f t="shared" si="108"/>
        <v/>
      </c>
    </row>
    <row r="411" spans="1:15" x14ac:dyDescent="0.25">
      <c r="A411" s="147" t="s">
        <v>141</v>
      </c>
      <c r="B411" s="143"/>
      <c r="C411" s="143"/>
      <c r="D411" s="143"/>
      <c r="E411" s="143"/>
      <c r="F411" s="143"/>
      <c r="G411" s="143"/>
      <c r="H411" s="143"/>
      <c r="I411" s="61"/>
      <c r="J411" s="61"/>
      <c r="K411" s="61"/>
      <c r="L411" s="61"/>
      <c r="M411" s="61"/>
      <c r="N411" s="61"/>
      <c r="O411" s="66"/>
    </row>
    <row r="412" spans="1:15" ht="18.75" x14ac:dyDescent="0.3">
      <c r="A412" s="144" t="s">
        <v>89</v>
      </c>
      <c r="B412" s="145"/>
      <c r="C412" s="145"/>
      <c r="D412" s="145"/>
      <c r="E412" s="145"/>
      <c r="F412" s="145"/>
      <c r="G412" s="145"/>
      <c r="H412" s="145"/>
      <c r="I412" s="145"/>
      <c r="J412" s="145"/>
      <c r="K412" s="145"/>
      <c r="L412" s="145"/>
      <c r="M412" s="145"/>
      <c r="N412" s="145"/>
      <c r="O412" s="146"/>
    </row>
    <row r="413" spans="1:15" x14ac:dyDescent="0.25">
      <c r="A413" s="137" t="s">
        <v>2</v>
      </c>
      <c r="B413" s="138"/>
      <c r="C413" s="138"/>
      <c r="D413" s="139" t="s">
        <v>20</v>
      </c>
      <c r="E413" s="139"/>
      <c r="F413" s="139"/>
      <c r="G413" s="139"/>
      <c r="H413" s="139"/>
      <c r="I413" s="139"/>
      <c r="J413" s="139" t="s">
        <v>23</v>
      </c>
      <c r="K413" s="139"/>
      <c r="L413" s="139"/>
      <c r="M413" s="139"/>
      <c r="N413" s="139"/>
      <c r="O413" s="140"/>
    </row>
    <row r="414" spans="1:15" x14ac:dyDescent="0.25">
      <c r="A414" s="62" t="s">
        <v>5</v>
      </c>
      <c r="B414" s="51" t="s">
        <v>6</v>
      </c>
      <c r="C414" s="51" t="s">
        <v>7</v>
      </c>
      <c r="D414" s="53">
        <v>1</v>
      </c>
      <c r="E414" s="53">
        <v>4</v>
      </c>
      <c r="F414" s="53">
        <v>16</v>
      </c>
      <c r="G414" s="53">
        <v>32</v>
      </c>
      <c r="H414" s="53">
        <v>64</v>
      </c>
      <c r="I414" s="53">
        <v>80</v>
      </c>
      <c r="J414" s="53">
        <v>1</v>
      </c>
      <c r="K414" s="53">
        <v>4</v>
      </c>
      <c r="L414" s="53">
        <v>16</v>
      </c>
      <c r="M414" s="53">
        <v>32</v>
      </c>
      <c r="N414" s="53">
        <v>64</v>
      </c>
      <c r="O414" s="63">
        <v>80</v>
      </c>
    </row>
    <row r="415" spans="1:15" x14ac:dyDescent="0.25">
      <c r="A415" s="64" t="s">
        <v>8</v>
      </c>
      <c r="B415" s="54" t="s">
        <v>9</v>
      </c>
      <c r="C415" s="54" t="s">
        <v>10</v>
      </c>
      <c r="D415" s="59">
        <f>IF(D405="","",(D405-'2016'!D191)/'2016'!D191)</f>
        <v>0.13450991421740965</v>
      </c>
      <c r="E415" s="59">
        <f>IF(E405="","",(E405-'2016'!E191)/'2016'!E191)</f>
        <v>0.13580444160409011</v>
      </c>
      <c r="F415" s="59">
        <f>IF(F405="","",(F405-'2016'!F191)/'2016'!F191)</f>
        <v>-0.10535378835316218</v>
      </c>
      <c r="G415" s="59" t="str">
        <f>IF(G405="","",(G405-'2014'!#REF!)/'2014'!#REF!)</f>
        <v/>
      </c>
      <c r="H415" s="59" t="str">
        <f>IF(H405="","",(H405-'2014'!#REF!)/'2014'!#REF!)</f>
        <v/>
      </c>
      <c r="I415" s="58" t="str">
        <f>IF(I405="","",(I405-'2014'!#REF!)/'2014'!#REF!)</f>
        <v/>
      </c>
      <c r="J415" s="58"/>
      <c r="K415" s="58"/>
      <c r="L415" s="58"/>
      <c r="M415" s="58" t="str">
        <f>IF(G415="","",M405-((1/'Proto 2013'!#REF!)*1000000))</f>
        <v/>
      </c>
      <c r="N415" s="58" t="str">
        <f>IF(H415="","",N405-((1/'Proto 2013'!#REF!)*1000000))</f>
        <v/>
      </c>
      <c r="O415" s="65" t="str">
        <f>IF(I415="","",O405-((1/'Proto 2013'!#REF!)*1000000))</f>
        <v/>
      </c>
    </row>
    <row r="416" spans="1:15" x14ac:dyDescent="0.25">
      <c r="A416" s="64" t="s">
        <v>11</v>
      </c>
      <c r="B416" s="54" t="s">
        <v>9</v>
      </c>
      <c r="C416" s="54" t="s">
        <v>12</v>
      </c>
      <c r="D416" s="59">
        <f>IF(D406="","",(D406-'2016'!D192)/'2016'!D192)</f>
        <v>4.5720862105042899E-2</v>
      </c>
      <c r="E416" s="59">
        <f>IF(E406="","",(E406-'2016'!E192)/'2016'!E192)</f>
        <v>3.7264644351464433E-2</v>
      </c>
      <c r="F416" s="59">
        <f>IF(F406="","",(F406-'2016'!F192)/'2016'!F192)</f>
        <v>7.1753169098301844E-3</v>
      </c>
      <c r="G416" s="59" t="str">
        <f>IF(G406="","",(G406-'2014'!#REF!)/'2014'!#REF!)</f>
        <v/>
      </c>
      <c r="H416" s="59" t="str">
        <f>IF(H406="","",(H406-'2014'!#REF!)/'2014'!#REF!)</f>
        <v/>
      </c>
      <c r="I416" s="59" t="str">
        <f>IF(I406="","",(I406-'2014'!#REF!)/'2014'!#REF!)</f>
        <v/>
      </c>
      <c r="J416" s="58"/>
      <c r="K416" s="58"/>
      <c r="L416" s="58"/>
      <c r="M416" s="58" t="str">
        <f>IF(G416="","",M406-((1/'Proto 2013'!#REF!)*1000000))</f>
        <v/>
      </c>
      <c r="N416" s="58" t="str">
        <f>IF(H416="","",N406-((1/'Proto 2013'!#REF!)*1000000))</f>
        <v/>
      </c>
      <c r="O416" s="65" t="str">
        <f>IF(I416="","",O406-((1/'Proto 2013'!#REF!)*1000000))</f>
        <v/>
      </c>
    </row>
    <row r="417" spans="1:15" x14ac:dyDescent="0.25">
      <c r="A417" s="64" t="s">
        <v>13</v>
      </c>
      <c r="B417" s="54" t="s">
        <v>14</v>
      </c>
      <c r="C417" s="54" t="s">
        <v>10</v>
      </c>
      <c r="D417" s="59">
        <f>IF(D407="","",(D407-'2016'!D193)/'2016'!D193)</f>
        <v>0</v>
      </c>
      <c r="E417" s="59">
        <f>IF(E407="","",(E407-'2016'!E193)/'2016'!E193)</f>
        <v>4.9759683347469609E-3</v>
      </c>
      <c r="F417" s="59">
        <f>IF(F407="","",(F407-'2016'!F193)/'2016'!F193)</f>
        <v>-1.01315321720583E-2</v>
      </c>
      <c r="G417" s="59" t="str">
        <f>IF(G407="","",(G407-'2014'!#REF!)/'2014'!#REF!)</f>
        <v/>
      </c>
      <c r="H417" s="59" t="str">
        <f>IF(H407="","",(H407-'2014'!#REF!)/'2014'!#REF!)</f>
        <v/>
      </c>
      <c r="I417" s="59" t="str">
        <f>IF(I407="","",(I407-'2014'!#REF!)/'2014'!#REF!)</f>
        <v/>
      </c>
      <c r="J417" s="58"/>
      <c r="K417" s="58"/>
      <c r="L417" s="58"/>
      <c r="M417" s="58" t="str">
        <f>IF(G417="","",M407-((1/'Proto 2013'!#REF!)*1000000))</f>
        <v/>
      </c>
      <c r="N417" s="58" t="str">
        <f>IF(H417="","",N407-((1/'Proto 2013'!#REF!)*1000000))</f>
        <v/>
      </c>
      <c r="O417" s="65" t="str">
        <f>IF(I417="","",O407-((1/'Proto 2013'!#REF!)*1000000))</f>
        <v/>
      </c>
    </row>
    <row r="418" spans="1:15" x14ac:dyDescent="0.25">
      <c r="A418" s="64" t="s">
        <v>15</v>
      </c>
      <c r="B418" s="54" t="s">
        <v>14</v>
      </c>
      <c r="C418" s="54" t="s">
        <v>12</v>
      </c>
      <c r="D418" s="59">
        <f>IF(D408="","",(D408-'2016'!D194)/'2016'!D194)</f>
        <v>-3.8369565217391308E-2</v>
      </c>
      <c r="E418" s="59">
        <f>IF(E408="","",(E408-'2016'!E194)/'2016'!E194)</f>
        <v>3.0550774526678141E-2</v>
      </c>
      <c r="F418" s="59">
        <f>IF(F408="","",(F408-'2016'!F194)/'2016'!F194)</f>
        <v>3.5618639528655599E-2</v>
      </c>
      <c r="G418" s="59" t="str">
        <f>IF(G408="","",(G408-'2014'!#REF!)/'2014'!#REF!)</f>
        <v/>
      </c>
      <c r="H418" s="59" t="str">
        <f>IF(H408="","",(H408-'2014'!#REF!)/'2014'!#REF!)</f>
        <v/>
      </c>
      <c r="I418" s="59" t="str">
        <f>IF(I408="","",(I408-'2014'!#REF!)/'2014'!#REF!)</f>
        <v/>
      </c>
      <c r="J418" s="58"/>
      <c r="K418" s="58"/>
      <c r="L418" s="58"/>
      <c r="M418" s="58" t="str">
        <f>IF(G418="","",M408-((1/'Proto 2013'!#REF!)*1000000))</f>
        <v/>
      </c>
      <c r="N418" s="58" t="str">
        <f>IF(H418="","",N408-((1/'Proto 2013'!#REF!)*1000000))</f>
        <v/>
      </c>
      <c r="O418" s="65" t="str">
        <f>IF(I418="","",O408-((1/'Proto 2013'!#REF!)*1000000))</f>
        <v/>
      </c>
    </row>
    <row r="419" spans="1:15" x14ac:dyDescent="0.25">
      <c r="A419" s="64" t="s">
        <v>16</v>
      </c>
      <c r="B419" s="54" t="s">
        <v>17</v>
      </c>
      <c r="C419" s="54" t="s">
        <v>12</v>
      </c>
      <c r="D419" s="59">
        <f>IF(D409="","",(D409-'2016'!D195)/'2016'!D195)</f>
        <v>2.2917897223862966E-2</v>
      </c>
      <c r="E419" s="59">
        <f>IF(E409="","",(E409-'2016'!E195)/'2016'!E195)</f>
        <v>-6.5544363184766113E-2</v>
      </c>
      <c r="F419" s="59">
        <f>IF(F409="","",(F409-'2016'!F195)/'2016'!F195)</f>
        <v>-5.3965036736762097E-2</v>
      </c>
      <c r="G419" s="59" t="str">
        <f>IF(G409="","",(G409-'2014'!#REF!)/'2014'!#REF!)</f>
        <v/>
      </c>
      <c r="H419" s="59" t="str">
        <f>IF(H409="","",(H409-'2014'!#REF!)/'2014'!#REF!)</f>
        <v/>
      </c>
      <c r="I419" s="59" t="str">
        <f>IF(I409="","",(I409-'2014'!#REF!)/'2014'!#REF!)</f>
        <v/>
      </c>
      <c r="J419" s="58"/>
      <c r="K419" s="58"/>
      <c r="L419" s="58"/>
      <c r="M419" s="58" t="str">
        <f>IF(G419="","",M409-((1/'Proto 2013'!#REF!)*1000000))</f>
        <v/>
      </c>
      <c r="N419" s="58" t="str">
        <f>IF(H419="","",N409-((1/'Proto 2013'!#REF!)*1000000))</f>
        <v/>
      </c>
      <c r="O419" s="65" t="str">
        <f>IF(I419="","",O409-((1/'Proto 2013'!#REF!)*1000000))</f>
        <v/>
      </c>
    </row>
    <row r="420" spans="1:15" ht="15.75" thickBot="1" x14ac:dyDescent="0.3">
      <c r="A420" s="70" t="s">
        <v>18</v>
      </c>
      <c r="B420" s="71" t="s">
        <v>19</v>
      </c>
      <c r="C420" s="71" t="s">
        <v>12</v>
      </c>
      <c r="D420" s="59">
        <f>IF(D410="","",(D410-'2016'!D196)/'2016'!D196)</f>
        <v>7.7153558052434457E-2</v>
      </c>
      <c r="E420" s="59">
        <f>IF(E410="","",(E410-'2016'!E196)/'2016'!E196)</f>
        <v>1.00374531835206E-2</v>
      </c>
      <c r="F420" s="59">
        <f>IF(F410="","",(F410-'2016'!F196)/'2016'!F196)</f>
        <v>-3.491585028887214E-2</v>
      </c>
      <c r="G420" s="72" t="str">
        <f>IF(G410="","",(G410-'2014'!#REF!)/'2014'!#REF!)</f>
        <v/>
      </c>
      <c r="H420" s="72" t="str">
        <f>IF(H410="","",(H410-'2014'!#REF!)/'2014'!#REF!)</f>
        <v/>
      </c>
      <c r="I420" s="72" t="str">
        <f>IF(I410="","",(I410-'2014'!#REF!)/'2014'!#REF!)</f>
        <v/>
      </c>
      <c r="J420" s="73"/>
      <c r="K420" s="73"/>
      <c r="L420" s="73"/>
      <c r="M420" s="73" t="str">
        <f>IF(G420="","",M410-((1/'Proto 2013'!#REF!)*1000000))</f>
        <v/>
      </c>
      <c r="N420" s="73" t="str">
        <f>IF(H420="","",N410-((1/'Proto 2013'!#REF!)*1000000))</f>
        <v/>
      </c>
      <c r="O420" s="74" t="str">
        <f>IF(I420="","",O410-((1/'Proto 2013'!#REF!)*1000000))</f>
        <v/>
      </c>
    </row>
    <row r="421" spans="1:15" x14ac:dyDescent="0.25">
      <c r="D421" s="59" t="str">
        <f>IF(D411="","",(D411-'2016'!D287)/'2016'!D287)</f>
        <v/>
      </c>
    </row>
    <row r="422" spans="1:15" ht="18.75" x14ac:dyDescent="0.3">
      <c r="A422" s="144" t="s">
        <v>132</v>
      </c>
      <c r="B422" s="145"/>
      <c r="C422" s="145"/>
      <c r="D422" s="145"/>
      <c r="E422" s="145"/>
      <c r="F422" s="145"/>
      <c r="G422" s="145"/>
      <c r="H422" s="145"/>
      <c r="I422" s="145"/>
      <c r="J422" s="145"/>
      <c r="K422" s="145"/>
      <c r="L422" s="145"/>
      <c r="M422" s="145"/>
      <c r="N422" s="145"/>
      <c r="O422" s="146"/>
    </row>
    <row r="423" spans="1:15" x14ac:dyDescent="0.25">
      <c r="A423" s="137" t="s">
        <v>2</v>
      </c>
      <c r="B423" s="138"/>
      <c r="C423" s="138"/>
      <c r="D423" s="139" t="s">
        <v>20</v>
      </c>
      <c r="E423" s="139"/>
      <c r="F423" s="139"/>
      <c r="G423" s="139"/>
      <c r="H423" s="139"/>
      <c r="I423" s="139"/>
      <c r="J423" s="139" t="s">
        <v>23</v>
      </c>
      <c r="K423" s="139"/>
      <c r="L423" s="139"/>
      <c r="M423" s="139"/>
      <c r="N423" s="139"/>
      <c r="O423" s="140"/>
    </row>
    <row r="424" spans="1:15" x14ac:dyDescent="0.25">
      <c r="A424" s="62" t="s">
        <v>5</v>
      </c>
      <c r="B424" s="51" t="s">
        <v>6</v>
      </c>
      <c r="C424" s="51" t="s">
        <v>7</v>
      </c>
      <c r="D424" s="53">
        <v>1</v>
      </c>
      <c r="E424" s="53">
        <v>4</v>
      </c>
      <c r="F424" s="53">
        <v>16</v>
      </c>
      <c r="G424" s="53">
        <v>32</v>
      </c>
      <c r="H424" s="53">
        <v>64</v>
      </c>
      <c r="I424" s="53">
        <v>80</v>
      </c>
      <c r="J424" s="53">
        <v>1</v>
      </c>
      <c r="K424" s="53">
        <v>4</v>
      </c>
      <c r="L424" s="53">
        <v>16</v>
      </c>
      <c r="M424" s="53">
        <v>32</v>
      </c>
      <c r="N424" s="53">
        <v>64</v>
      </c>
      <c r="O424" s="63">
        <v>80</v>
      </c>
    </row>
    <row r="425" spans="1:15" x14ac:dyDescent="0.25">
      <c r="A425" s="64" t="s">
        <v>8</v>
      </c>
      <c r="B425" s="54" t="s">
        <v>9</v>
      </c>
      <c r="C425" s="54" t="s">
        <v>10</v>
      </c>
      <c r="D425" s="59">
        <f>IF(D405="","",(D405-'2016'!D220)/'2016'!D220)</f>
        <v>-3.1713997405218393E-3</v>
      </c>
      <c r="E425" s="59">
        <f>IF(E405="","",(E405-'2016'!E220)/'2016'!E220)</f>
        <v>0.13580444160409011</v>
      </c>
      <c r="F425" s="59">
        <f>IF(F405="","",(F405-'2016'!F220)/'2016'!F220)</f>
        <v>-9.6299810246679315E-2</v>
      </c>
      <c r="G425" s="59" t="str">
        <f>IF(G415="","",(G415-'2014'!#REF!)/'2014'!#REF!)</f>
        <v/>
      </c>
      <c r="H425" s="59" t="str">
        <f>IF(H415="","",(H415-'2014'!#REF!)/'2014'!#REF!)</f>
        <v/>
      </c>
      <c r="I425" s="58" t="str">
        <f>IF(I415="","",(I415-'2014'!#REF!)/'2014'!#REF!)</f>
        <v/>
      </c>
      <c r="J425" s="58"/>
      <c r="K425" s="58"/>
      <c r="L425" s="58"/>
      <c r="M425" s="58" t="str">
        <f>IF(G425="","",M415-((1/'Proto 2013'!#REF!)*1000000))</f>
        <v/>
      </c>
      <c r="N425" s="58" t="str">
        <f>IF(H425="","",N415-((1/'Proto 2013'!#REF!)*1000000))</f>
        <v/>
      </c>
      <c r="O425" s="65" t="str">
        <f>IF(I425="","",O415-((1/'Proto 2013'!#REF!)*1000000))</f>
        <v/>
      </c>
    </row>
    <row r="426" spans="1:15" x14ac:dyDescent="0.25">
      <c r="A426" s="64" t="s">
        <v>11</v>
      </c>
      <c r="B426" s="54" t="s">
        <v>9</v>
      </c>
      <c r="C426" s="54" t="s">
        <v>12</v>
      </c>
      <c r="D426" s="59">
        <f>IF(D406="","",(D406-'2016'!D221)/'2016'!D221)</f>
        <v>4.3864229765013057E-2</v>
      </c>
      <c r="E426" s="59">
        <f>IF(E406="","",(E406-'2016'!E221)/'2016'!E221)</f>
        <v>2.4273724983860556E-2</v>
      </c>
      <c r="F426" s="59">
        <f>IF(F406="","",(F406-'2016'!F221)/'2016'!F221)</f>
        <v>4.4394841269841272E-2</v>
      </c>
      <c r="G426" s="59" t="str">
        <f>IF(G416="","",(G416-'2014'!#REF!)/'2014'!#REF!)</f>
        <v/>
      </c>
      <c r="H426" s="59" t="str">
        <f>IF(H416="","",(H416-'2014'!#REF!)/'2014'!#REF!)</f>
        <v/>
      </c>
      <c r="I426" s="59" t="str">
        <f>IF(I416="","",(I416-'2014'!#REF!)/'2014'!#REF!)</f>
        <v/>
      </c>
      <c r="J426" s="58"/>
      <c r="K426" s="58"/>
      <c r="L426" s="58"/>
      <c r="M426" s="58" t="str">
        <f>IF(G426="","",M416-((1/'Proto 2013'!#REF!)*1000000))</f>
        <v/>
      </c>
      <c r="N426" s="58" t="str">
        <f>IF(H426="","",N416-((1/'Proto 2013'!#REF!)*1000000))</f>
        <v/>
      </c>
      <c r="O426" s="65" t="str">
        <f>IF(I426="","",O416-((1/'Proto 2013'!#REF!)*1000000))</f>
        <v/>
      </c>
    </row>
    <row r="427" spans="1:15" x14ac:dyDescent="0.25">
      <c r="A427" s="64" t="s">
        <v>13</v>
      </c>
      <c r="B427" s="54" t="s">
        <v>14</v>
      </c>
      <c r="C427" s="54" t="s">
        <v>10</v>
      </c>
      <c r="D427" s="59">
        <f>IF(D407="","",(D407-'2016'!D222)/'2016'!D222)</f>
        <v>0.19401294968206498</v>
      </c>
      <c r="E427" s="59">
        <f>IF(E407="","",(E407-'2016'!E222)/'2016'!E222)</f>
        <v>5.5654549774293183E-2</v>
      </c>
      <c r="F427" s="59">
        <f>IF(F407="","",(F407-'2016'!F222)/'2016'!F222)</f>
        <v>1.1258398402033775E-2</v>
      </c>
      <c r="G427" s="59" t="str">
        <f>IF(G417="","",(G417-'2014'!#REF!)/'2014'!#REF!)</f>
        <v/>
      </c>
      <c r="H427" s="59" t="str">
        <f>IF(H417="","",(H417-'2014'!#REF!)/'2014'!#REF!)</f>
        <v/>
      </c>
      <c r="I427" s="59" t="str">
        <f>IF(I417="","",(I417-'2014'!#REF!)/'2014'!#REF!)</f>
        <v/>
      </c>
      <c r="J427" s="58"/>
      <c r="K427" s="58"/>
      <c r="L427" s="58"/>
      <c r="M427" s="58" t="str">
        <f>IF(G427="","",M417-((1/'Proto 2013'!#REF!)*1000000))</f>
        <v/>
      </c>
      <c r="N427" s="58" t="str">
        <f>IF(H427="","",N417-((1/'Proto 2013'!#REF!)*1000000))</f>
        <v/>
      </c>
      <c r="O427" s="65" t="str">
        <f>IF(I427="","",O417-((1/'Proto 2013'!#REF!)*1000000))</f>
        <v/>
      </c>
    </row>
    <row r="428" spans="1:15" x14ac:dyDescent="0.25">
      <c r="A428" s="64" t="s">
        <v>15</v>
      </c>
      <c r="B428" s="54" t="s">
        <v>14</v>
      </c>
      <c r="C428" s="54" t="s">
        <v>12</v>
      </c>
      <c r="D428" s="59">
        <f>IF(D408="","",(D408-'2016'!D223)/'2016'!D223)</f>
        <v>5.2266787865015343E-3</v>
      </c>
      <c r="E428" s="59">
        <f>IF(E408="","",(E408-'2016'!E223)/'2016'!E223)</f>
        <v>2.9812240217858679E-2</v>
      </c>
      <c r="F428" s="59">
        <f>IF(F408="","",(F408-'2016'!F223)/'2016'!F223)</f>
        <v>2.5185577942735949E-2</v>
      </c>
      <c r="G428" s="59" t="str">
        <f>IF(G418="","",(G418-'2014'!#REF!)/'2014'!#REF!)</f>
        <v/>
      </c>
      <c r="H428" s="59" t="str">
        <f>IF(H418="","",(H418-'2014'!#REF!)/'2014'!#REF!)</f>
        <v/>
      </c>
      <c r="I428" s="59" t="str">
        <f>IF(I418="","",(I418-'2014'!#REF!)/'2014'!#REF!)</f>
        <v/>
      </c>
      <c r="J428" s="58"/>
      <c r="K428" s="58"/>
      <c r="L428" s="58"/>
      <c r="M428" s="58" t="str">
        <f>IF(G428="","",M418-((1/'Proto 2013'!#REF!)*1000000))</f>
        <v/>
      </c>
      <c r="N428" s="58" t="str">
        <f>IF(H428="","",N418-((1/'Proto 2013'!#REF!)*1000000))</f>
        <v/>
      </c>
      <c r="O428" s="65" t="str">
        <f>IF(I428="","",O418-((1/'Proto 2013'!#REF!)*1000000))</f>
        <v/>
      </c>
    </row>
    <row r="429" spans="1:15" x14ac:dyDescent="0.25">
      <c r="A429" s="64" t="s">
        <v>16</v>
      </c>
      <c r="B429" s="54" t="s">
        <v>17</v>
      </c>
      <c r="C429" s="54" t="s">
        <v>12</v>
      </c>
      <c r="D429" s="59">
        <f>IF(D409="","",(D409-'2016'!D224)/'2016'!D224)</f>
        <v>-1.4230418943533697E-2</v>
      </c>
      <c r="E429" s="59">
        <f>IF(E409="","",(E409-'2016'!E224)/'2016'!E224)</f>
        <v>1.4531835205992509E-2</v>
      </c>
      <c r="F429" s="59">
        <f>IF(F409="","",(F409-'2016'!F224)/'2016'!F224)</f>
        <v>-5.3965036736762097E-2</v>
      </c>
      <c r="G429" s="59" t="str">
        <f>IF(G419="","",(G419-'2014'!#REF!)/'2014'!#REF!)</f>
        <v/>
      </c>
      <c r="H429" s="59" t="str">
        <f>IF(H419="","",(H419-'2014'!#REF!)/'2014'!#REF!)</f>
        <v/>
      </c>
      <c r="I429" s="59" t="str">
        <f>IF(I419="","",(I419-'2014'!#REF!)/'2014'!#REF!)</f>
        <v/>
      </c>
      <c r="J429" s="58"/>
      <c r="K429" s="58"/>
      <c r="L429" s="58"/>
      <c r="M429" s="58" t="str">
        <f>IF(G429="","",M419-((1/'Proto 2013'!#REF!)*1000000))</f>
        <v/>
      </c>
      <c r="N429" s="58" t="str">
        <f>IF(H429="","",N419-((1/'Proto 2013'!#REF!)*1000000))</f>
        <v/>
      </c>
      <c r="O429" s="65" t="str">
        <f>IF(I429="","",O419-((1/'Proto 2013'!#REF!)*1000000))</f>
        <v/>
      </c>
    </row>
    <row r="430" spans="1:15" ht="15.75" thickBot="1" x14ac:dyDescent="0.3">
      <c r="A430" s="70" t="s">
        <v>18</v>
      </c>
      <c r="B430" s="71" t="s">
        <v>19</v>
      </c>
      <c r="C430" s="71" t="s">
        <v>12</v>
      </c>
      <c r="D430" s="59">
        <f>IF(D410="","",(D410-'2016'!D225)/'2016'!D225)</f>
        <v>-1.2814645308924484E-2</v>
      </c>
      <c r="E430" s="59">
        <f>IF(E410="","",(E410-'2016'!E225)/'2016'!E225)</f>
        <v>-7.6311823537470888E-2</v>
      </c>
      <c r="F430" s="59">
        <f>IF(F410="","",(F410-'2016'!F225)/'2016'!F225)</f>
        <v>-3.9259814953738432E-2</v>
      </c>
      <c r="G430" s="72" t="str">
        <f>IF(G420="","",(G420-'2014'!#REF!)/'2014'!#REF!)</f>
        <v/>
      </c>
      <c r="H430" s="72" t="str">
        <f>IF(H420="","",(H420-'2014'!#REF!)/'2014'!#REF!)</f>
        <v/>
      </c>
      <c r="I430" s="72" t="str">
        <f>IF(I420="","",(I420-'2014'!#REF!)/'2014'!#REF!)</f>
        <v/>
      </c>
      <c r="J430" s="73"/>
      <c r="K430" s="73"/>
      <c r="L430" s="73"/>
      <c r="M430" s="73" t="str">
        <f>IF(G430="","",M420-((1/'Proto 2013'!#REF!)*1000000))</f>
        <v/>
      </c>
      <c r="N430" s="73" t="str">
        <f>IF(H430="","",N420-((1/'Proto 2013'!#REF!)*1000000))</f>
        <v/>
      </c>
      <c r="O430" s="74" t="str">
        <f>IF(I430="","",O420-((1/'Proto 2013'!#REF!)*1000000))</f>
        <v/>
      </c>
    </row>
    <row r="431" spans="1:15" ht="18.75" x14ac:dyDescent="0.25">
      <c r="A431" s="131" t="s">
        <v>90</v>
      </c>
      <c r="B431" s="132"/>
      <c r="C431" s="132"/>
      <c r="D431" s="132"/>
      <c r="E431" s="132"/>
      <c r="F431" s="132"/>
      <c r="G431" s="132"/>
      <c r="H431" s="132"/>
      <c r="I431" s="132"/>
      <c r="J431" s="132"/>
      <c r="K431" s="132"/>
      <c r="L431" s="132"/>
      <c r="M431" s="132"/>
      <c r="N431" s="132"/>
      <c r="O431" s="133"/>
    </row>
    <row r="432" spans="1:15" ht="15.75" x14ac:dyDescent="0.25">
      <c r="A432" s="134" t="s">
        <v>142</v>
      </c>
      <c r="B432" s="135"/>
      <c r="C432" s="135"/>
      <c r="D432" s="135"/>
      <c r="E432" s="135"/>
      <c r="F432" s="135"/>
      <c r="G432" s="135"/>
      <c r="H432" s="135"/>
      <c r="I432" s="135"/>
      <c r="J432" s="135"/>
      <c r="K432" s="135"/>
      <c r="L432" s="135"/>
      <c r="M432" s="135"/>
      <c r="N432" s="135"/>
      <c r="O432" s="136"/>
    </row>
    <row r="433" spans="1:15" x14ac:dyDescent="0.25">
      <c r="A433" s="137" t="s">
        <v>2</v>
      </c>
      <c r="B433" s="138"/>
      <c r="C433" s="138"/>
      <c r="D433" s="139" t="s">
        <v>3</v>
      </c>
      <c r="E433" s="139"/>
      <c r="F433" s="139"/>
      <c r="G433" s="139"/>
      <c r="H433" s="139"/>
      <c r="I433" s="139"/>
      <c r="J433" s="139" t="s">
        <v>4</v>
      </c>
      <c r="K433" s="139"/>
      <c r="L433" s="139"/>
      <c r="M433" s="139"/>
      <c r="N433" s="139"/>
      <c r="O433" s="140"/>
    </row>
    <row r="434" spans="1:15" x14ac:dyDescent="0.25">
      <c r="A434" s="62" t="s">
        <v>5</v>
      </c>
      <c r="B434" s="51" t="s">
        <v>6</v>
      </c>
      <c r="C434" s="51" t="s">
        <v>7</v>
      </c>
      <c r="D434" s="52">
        <v>1</v>
      </c>
      <c r="E434" s="52">
        <v>4</v>
      </c>
      <c r="F434" s="52">
        <v>16</v>
      </c>
      <c r="G434" s="53">
        <v>32</v>
      </c>
      <c r="H434" s="53">
        <v>64</v>
      </c>
      <c r="I434" s="53">
        <v>80</v>
      </c>
      <c r="J434" s="53">
        <v>1</v>
      </c>
      <c r="K434" s="53">
        <v>4</v>
      </c>
      <c r="L434" s="53">
        <v>16</v>
      </c>
      <c r="M434" s="53">
        <v>32</v>
      </c>
      <c r="N434" s="53">
        <v>64</v>
      </c>
      <c r="O434" s="63">
        <v>80</v>
      </c>
    </row>
    <row r="435" spans="1:15" x14ac:dyDescent="0.25">
      <c r="A435" s="64" t="s">
        <v>8</v>
      </c>
      <c r="B435" s="54" t="s">
        <v>9</v>
      </c>
      <c r="C435" s="55" t="s">
        <v>10</v>
      </c>
      <c r="D435" s="60">
        <v>48685</v>
      </c>
      <c r="E435" s="60">
        <v>20198</v>
      </c>
      <c r="F435" s="60">
        <v>5715</v>
      </c>
      <c r="G435" s="57"/>
      <c r="H435" s="56"/>
      <c r="I435" s="56"/>
      <c r="J435" s="58">
        <f>IF(D435="","",(1/D435)*1000000)</f>
        <v>20.540207456095306</v>
      </c>
      <c r="K435" s="58">
        <f t="shared" ref="K435:K440" si="110">IF(E435="","",(1/E435)*1000000)</f>
        <v>49.509852460639664</v>
      </c>
      <c r="L435" s="58">
        <f t="shared" ref="L435:L440" si="111">IF(F435="","",(1/F435)*1000000)</f>
        <v>174.97812773403322</v>
      </c>
      <c r="M435" s="58" t="str">
        <f t="shared" ref="M435:M440" si="112">IF(G435="","",(1/G435)*1000000)</f>
        <v/>
      </c>
      <c r="N435" s="58" t="str">
        <f t="shared" ref="N435:N440" si="113">IF(H435="","",(1/H435)*1000000)</f>
        <v/>
      </c>
      <c r="O435" s="65" t="str">
        <f t="shared" ref="O435:O440" si="114">IF(I435="","",(1/I435)*1000000)</f>
        <v/>
      </c>
    </row>
    <row r="436" spans="1:15" x14ac:dyDescent="0.25">
      <c r="A436" s="64" t="s">
        <v>11</v>
      </c>
      <c r="B436" s="54" t="s">
        <v>9</v>
      </c>
      <c r="C436" s="55" t="s">
        <v>12</v>
      </c>
      <c r="D436" s="60">
        <v>10141</v>
      </c>
      <c r="E436" s="60">
        <v>7667</v>
      </c>
      <c r="F436" s="60">
        <v>4203</v>
      </c>
      <c r="G436" s="57"/>
      <c r="H436" s="56"/>
      <c r="I436" s="56"/>
      <c r="J436" s="58">
        <f t="shared" ref="J436:J440" si="115">IF(D436="","",(1/D436)*1000000)</f>
        <v>98.609604575485648</v>
      </c>
      <c r="K436" s="58">
        <f t="shared" si="110"/>
        <v>130.42911177774877</v>
      </c>
      <c r="L436" s="58">
        <f t="shared" si="111"/>
        <v>237.92529145848204</v>
      </c>
      <c r="M436" s="58" t="str">
        <f t="shared" si="112"/>
        <v/>
      </c>
      <c r="N436" s="58" t="str">
        <f t="shared" si="113"/>
        <v/>
      </c>
      <c r="O436" s="65" t="str">
        <f t="shared" si="114"/>
        <v/>
      </c>
    </row>
    <row r="437" spans="1:15" x14ac:dyDescent="0.25">
      <c r="A437" s="64" t="s">
        <v>13</v>
      </c>
      <c r="B437" s="54" t="s">
        <v>14</v>
      </c>
      <c r="C437" s="55" t="s">
        <v>10</v>
      </c>
      <c r="D437" s="60">
        <v>31701</v>
      </c>
      <c r="E437" s="60">
        <v>17685</v>
      </c>
      <c r="F437" s="60">
        <v>5525</v>
      </c>
      <c r="G437" s="57"/>
      <c r="H437" s="56"/>
      <c r="I437" s="56"/>
      <c r="J437" s="58">
        <f t="shared" si="115"/>
        <v>31.544746222516643</v>
      </c>
      <c r="K437" s="58">
        <f t="shared" si="110"/>
        <v>56.545094713033642</v>
      </c>
      <c r="L437" s="58">
        <f t="shared" si="111"/>
        <v>180.99547511312218</v>
      </c>
      <c r="M437" s="58" t="str">
        <f t="shared" si="112"/>
        <v/>
      </c>
      <c r="N437" s="58" t="str">
        <f t="shared" si="113"/>
        <v/>
      </c>
      <c r="O437" s="65" t="str">
        <f t="shared" si="114"/>
        <v/>
      </c>
    </row>
    <row r="438" spans="1:15" x14ac:dyDescent="0.25">
      <c r="A438" s="64" t="s">
        <v>15</v>
      </c>
      <c r="B438" s="54" t="s">
        <v>14</v>
      </c>
      <c r="C438" s="55" t="s">
        <v>12</v>
      </c>
      <c r="D438" s="60">
        <v>9293</v>
      </c>
      <c r="E438" s="60">
        <v>6984</v>
      </c>
      <c r="F438" s="60">
        <v>3941</v>
      </c>
      <c r="G438" s="57"/>
      <c r="H438" s="56"/>
      <c r="I438" s="56"/>
      <c r="J438" s="58">
        <f t="shared" si="115"/>
        <v>107.60787689658883</v>
      </c>
      <c r="K438" s="58">
        <f t="shared" si="110"/>
        <v>143.184421534937</v>
      </c>
      <c r="L438" s="58">
        <f t="shared" si="111"/>
        <v>253.74270489723423</v>
      </c>
      <c r="M438" s="58" t="str">
        <f t="shared" si="112"/>
        <v/>
      </c>
      <c r="N438" s="58" t="str">
        <f t="shared" si="113"/>
        <v/>
      </c>
      <c r="O438" s="65" t="str">
        <f t="shared" si="114"/>
        <v/>
      </c>
    </row>
    <row r="439" spans="1:15" x14ac:dyDescent="0.25">
      <c r="A439" s="64" t="s">
        <v>16</v>
      </c>
      <c r="B439" s="54" t="s">
        <v>17</v>
      </c>
      <c r="C439" s="55" t="s">
        <v>12</v>
      </c>
      <c r="D439" s="60">
        <v>8502</v>
      </c>
      <c r="E439" s="60">
        <v>6675</v>
      </c>
      <c r="F439" s="60">
        <v>3867</v>
      </c>
      <c r="G439" s="57"/>
      <c r="H439" s="56"/>
      <c r="I439" s="56"/>
      <c r="J439" s="58">
        <f t="shared" si="115"/>
        <v>117.61938367442954</v>
      </c>
      <c r="K439" s="58">
        <f t="shared" si="110"/>
        <v>149.81273408239701</v>
      </c>
      <c r="L439" s="58">
        <f t="shared" si="111"/>
        <v>258.5983966899405</v>
      </c>
      <c r="M439" s="58" t="str">
        <f t="shared" si="112"/>
        <v/>
      </c>
      <c r="N439" s="58" t="str">
        <f t="shared" si="113"/>
        <v/>
      </c>
      <c r="O439" s="65" t="str">
        <f t="shared" si="114"/>
        <v/>
      </c>
    </row>
    <row r="440" spans="1:15" x14ac:dyDescent="0.25">
      <c r="A440" s="64" t="s">
        <v>18</v>
      </c>
      <c r="B440" s="54" t="s">
        <v>19</v>
      </c>
      <c r="C440" s="55" t="s">
        <v>12</v>
      </c>
      <c r="D440" s="60">
        <v>8459</v>
      </c>
      <c r="E440" s="60">
        <v>6732</v>
      </c>
      <c r="F440" s="60">
        <v>3867</v>
      </c>
      <c r="G440" s="57"/>
      <c r="H440" s="56"/>
      <c r="I440" s="56"/>
      <c r="J440" s="58">
        <f t="shared" si="115"/>
        <v>118.21728336682824</v>
      </c>
      <c r="K440" s="58">
        <f t="shared" si="110"/>
        <v>148.54426619132502</v>
      </c>
      <c r="L440" s="58">
        <f t="shared" si="111"/>
        <v>258.5983966899405</v>
      </c>
      <c r="M440" s="58" t="str">
        <f t="shared" si="112"/>
        <v/>
      </c>
      <c r="N440" s="58" t="str">
        <f t="shared" si="113"/>
        <v/>
      </c>
      <c r="O440" s="65" t="str">
        <f t="shared" si="114"/>
        <v/>
      </c>
    </row>
    <row r="441" spans="1:15" x14ac:dyDescent="0.25">
      <c r="A441" s="141" t="s">
        <v>143</v>
      </c>
      <c r="B441" s="142"/>
      <c r="C441" s="142"/>
      <c r="D441" s="142"/>
      <c r="E441" s="142"/>
      <c r="F441" s="142"/>
      <c r="G441" s="143"/>
      <c r="H441" s="143"/>
      <c r="I441" s="61"/>
      <c r="J441" s="61"/>
      <c r="K441" s="61"/>
      <c r="L441" s="61"/>
      <c r="M441" s="61"/>
      <c r="N441" s="61"/>
      <c r="O441" s="66"/>
    </row>
    <row r="442" spans="1:15" ht="18.75" x14ac:dyDescent="0.3">
      <c r="A442" s="144" t="s">
        <v>89</v>
      </c>
      <c r="B442" s="145"/>
      <c r="C442" s="145"/>
      <c r="D442" s="145"/>
      <c r="E442" s="145"/>
      <c r="F442" s="145"/>
      <c r="G442" s="145"/>
      <c r="H442" s="145"/>
      <c r="I442" s="145"/>
      <c r="J442" s="145"/>
      <c r="K442" s="145"/>
      <c r="L442" s="145"/>
      <c r="M442" s="145"/>
      <c r="N442" s="145"/>
      <c r="O442" s="146"/>
    </row>
    <row r="443" spans="1:15" x14ac:dyDescent="0.25">
      <c r="A443" s="137" t="s">
        <v>2</v>
      </c>
      <c r="B443" s="138"/>
      <c r="C443" s="138"/>
      <c r="D443" s="139" t="s">
        <v>20</v>
      </c>
      <c r="E443" s="139"/>
      <c r="F443" s="139"/>
      <c r="G443" s="139"/>
      <c r="H443" s="139"/>
      <c r="I443" s="139"/>
      <c r="J443" s="139" t="s">
        <v>23</v>
      </c>
      <c r="K443" s="139"/>
      <c r="L443" s="139"/>
      <c r="M443" s="139"/>
      <c r="N443" s="139"/>
      <c r="O443" s="140"/>
    </row>
    <row r="444" spans="1:15" x14ac:dyDescent="0.25">
      <c r="A444" s="62" t="s">
        <v>5</v>
      </c>
      <c r="B444" s="51" t="s">
        <v>6</v>
      </c>
      <c r="C444" s="51" t="s">
        <v>7</v>
      </c>
      <c r="D444" s="53">
        <v>1</v>
      </c>
      <c r="E444" s="53">
        <v>4</v>
      </c>
      <c r="F444" s="53">
        <v>16</v>
      </c>
      <c r="G444" s="53">
        <v>32</v>
      </c>
      <c r="H444" s="53">
        <v>64</v>
      </c>
      <c r="I444" s="53">
        <v>80</v>
      </c>
      <c r="J444" s="53">
        <v>1</v>
      </c>
      <c r="K444" s="53">
        <v>4</v>
      </c>
      <c r="L444" s="53">
        <v>16</v>
      </c>
      <c r="M444" s="53">
        <v>32</v>
      </c>
      <c r="N444" s="53">
        <v>64</v>
      </c>
      <c r="O444" s="63">
        <v>80</v>
      </c>
    </row>
    <row r="445" spans="1:15" x14ac:dyDescent="0.25">
      <c r="A445" s="64" t="s">
        <v>8</v>
      </c>
      <c r="B445" s="54" t="s">
        <v>9</v>
      </c>
      <c r="C445" s="54" t="s">
        <v>10</v>
      </c>
      <c r="D445" s="59">
        <f>IF(D435="","",(D435-'2016'!D191)/'2016'!D191)</f>
        <v>0.14107251675807433</v>
      </c>
      <c r="E445" s="59">
        <f>IF(E435="","",(E435-'2016'!E191)/'2016'!E191)</f>
        <v>7.5677690791926294E-2</v>
      </c>
      <c r="F445" s="59">
        <f>IF(F435="","",(F435-'2016'!F191)/'2016'!F191)</f>
        <v>-0.10535378835316218</v>
      </c>
      <c r="G445" s="59" t="str">
        <f>IF(G435="","",(G435-'2014'!#REF!)/'2014'!#REF!)</f>
        <v/>
      </c>
      <c r="H445" s="59" t="str">
        <f>IF(H435="","",(H435-'2014'!#REF!)/'2014'!#REF!)</f>
        <v/>
      </c>
      <c r="I445" s="58" t="str">
        <f>IF(I435="","",(I435-'2014'!#REF!)/'2014'!#REF!)</f>
        <v/>
      </c>
      <c r="J445" s="58"/>
      <c r="K445" s="58"/>
      <c r="L445" s="58"/>
      <c r="M445" s="58" t="str">
        <f>IF(G445="","",M435-((1/'Proto 2013'!#REF!)*1000000))</f>
        <v/>
      </c>
      <c r="N445" s="58" t="str">
        <f>IF(H445="","",N435-((1/'Proto 2013'!#REF!)*1000000))</f>
        <v/>
      </c>
      <c r="O445" s="65" t="str">
        <f>IF(I445="","",O435-((1/'Proto 2013'!#REF!)*1000000))</f>
        <v/>
      </c>
    </row>
    <row r="446" spans="1:15" x14ac:dyDescent="0.25">
      <c r="A446" s="64" t="s">
        <v>11</v>
      </c>
      <c r="B446" s="54" t="s">
        <v>9</v>
      </c>
      <c r="C446" s="54" t="s">
        <v>12</v>
      </c>
      <c r="D446" s="59">
        <f>IF(D436="","",(D436-'2016'!D192)/'2016'!D192)</f>
        <v>6.0996024272860432E-2</v>
      </c>
      <c r="E446" s="59">
        <f>IF(E436="","",(E436-'2016'!E192)/'2016'!E192)</f>
        <v>2.4843096234309623E-3</v>
      </c>
      <c r="F446" s="59">
        <f>IF(F436="","",(F436-'2016'!F192)/'2016'!F192)</f>
        <v>5.2618990672088015E-3</v>
      </c>
      <c r="G446" s="59" t="str">
        <f>IF(G436="","",(G436-'2014'!#REF!)/'2014'!#REF!)</f>
        <v/>
      </c>
      <c r="H446" s="59" t="str">
        <f>IF(H436="","",(H436-'2014'!#REF!)/'2014'!#REF!)</f>
        <v/>
      </c>
      <c r="I446" s="59" t="str">
        <f>IF(I436="","",(I436-'2014'!#REF!)/'2014'!#REF!)</f>
        <v/>
      </c>
      <c r="J446" s="58"/>
      <c r="K446" s="58"/>
      <c r="L446" s="58"/>
      <c r="M446" s="58" t="str">
        <f>IF(G446="","",M436-((1/'Proto 2013'!#REF!)*1000000))</f>
        <v/>
      </c>
      <c r="N446" s="58" t="str">
        <f>IF(H446="","",N436-((1/'Proto 2013'!#REF!)*1000000))</f>
        <v/>
      </c>
      <c r="O446" s="65" t="str">
        <f>IF(I446="","",O436-((1/'Proto 2013'!#REF!)*1000000))</f>
        <v/>
      </c>
    </row>
    <row r="447" spans="1:15" x14ac:dyDescent="0.25">
      <c r="A447" s="64" t="s">
        <v>13</v>
      </c>
      <c r="B447" s="54" t="s">
        <v>14</v>
      </c>
      <c r="C447" s="54" t="s">
        <v>10</v>
      </c>
      <c r="D447" s="59">
        <f>IF(D437="","",(D437-'2016'!D193)/'2016'!D193)</f>
        <v>-0.22911752547236339</v>
      </c>
      <c r="E447" s="59">
        <f>IF(E437="","",(E437-'2016'!E193)/'2016'!E193)</f>
        <v>0</v>
      </c>
      <c r="F447" s="59">
        <f>IF(F437="","",(F437-'2016'!F193)/'2016'!F193)</f>
        <v>-1.7952364024173481E-2</v>
      </c>
      <c r="G447" s="59" t="str">
        <f>IF(G437="","",(G437-'2014'!#REF!)/'2014'!#REF!)</f>
        <v/>
      </c>
      <c r="H447" s="59" t="str">
        <f>IF(H437="","",(H437-'2014'!#REF!)/'2014'!#REF!)</f>
        <v/>
      </c>
      <c r="I447" s="59" t="str">
        <f>IF(I437="","",(I437-'2014'!#REF!)/'2014'!#REF!)</f>
        <v/>
      </c>
      <c r="J447" s="58"/>
      <c r="K447" s="58"/>
      <c r="L447" s="58"/>
      <c r="M447" s="58" t="str">
        <f>IF(G447="","",M437-((1/'Proto 2013'!#REF!)*1000000))</f>
        <v/>
      </c>
      <c r="N447" s="58" t="str">
        <f>IF(H447="","",N437-((1/'Proto 2013'!#REF!)*1000000))</f>
        <v/>
      </c>
      <c r="O447" s="65" t="str">
        <f>IF(I447="","",O437-((1/'Proto 2013'!#REF!)*1000000))</f>
        <v/>
      </c>
    </row>
    <row r="448" spans="1:15" x14ac:dyDescent="0.25">
      <c r="A448" s="64" t="s">
        <v>15</v>
      </c>
      <c r="B448" s="54" t="s">
        <v>14</v>
      </c>
      <c r="C448" s="54" t="s">
        <v>12</v>
      </c>
      <c r="D448" s="59">
        <f>IF(D438="","",(D438-'2016'!D194)/'2016'!D194)</f>
        <v>1.0108695652173913E-2</v>
      </c>
      <c r="E448" s="59">
        <f>IF(E438="","",(E438-'2016'!E194)/'2016'!E194)</f>
        <v>1.7211703958691911E-3</v>
      </c>
      <c r="F448" s="59">
        <f>IF(F438="","",(F438-'2016'!F194)/'2016'!F194)</f>
        <v>5.5436529191215854E-2</v>
      </c>
      <c r="G448" s="59" t="str">
        <f>IF(G438="","",(G438-'2014'!#REF!)/'2014'!#REF!)</f>
        <v/>
      </c>
      <c r="H448" s="59" t="str">
        <f>IF(H438="","",(H438-'2014'!#REF!)/'2014'!#REF!)</f>
        <v/>
      </c>
      <c r="I448" s="59" t="str">
        <f>IF(I438="","",(I438-'2014'!#REF!)/'2014'!#REF!)</f>
        <v/>
      </c>
      <c r="J448" s="58"/>
      <c r="K448" s="58"/>
      <c r="L448" s="58"/>
      <c r="M448" s="58" t="str">
        <f>IF(G448="","",M438-((1/'Proto 2013'!#REF!)*1000000))</f>
        <v/>
      </c>
      <c r="N448" s="58" t="str">
        <f>IF(H448="","",N438-((1/'Proto 2013'!#REF!)*1000000))</f>
        <v/>
      </c>
      <c r="O448" s="65" t="str">
        <f>IF(I448="","",O438-((1/'Proto 2013'!#REF!)*1000000))</f>
        <v/>
      </c>
    </row>
    <row r="449" spans="1:15" x14ac:dyDescent="0.25">
      <c r="A449" s="64" t="s">
        <v>16</v>
      </c>
      <c r="B449" s="54" t="s">
        <v>17</v>
      </c>
      <c r="C449" s="54" t="s">
        <v>12</v>
      </c>
      <c r="D449" s="59">
        <f>IF(D439="","",(D439-'2016'!D195)/'2016'!D195)</f>
        <v>4.3709391612522146E-3</v>
      </c>
      <c r="E449" s="59">
        <f>IF(E439="","",(E439-'2016'!E195)/'2016'!E195)</f>
        <v>-7.892921208776045E-2</v>
      </c>
      <c r="F449" s="59">
        <f>IF(F439="","",(F439-'2016'!F195)/'2016'!F195)</f>
        <v>-2.0268558398783887E-2</v>
      </c>
      <c r="G449" s="59" t="str">
        <f>IF(G439="","",(G439-'2014'!#REF!)/'2014'!#REF!)</f>
        <v/>
      </c>
      <c r="H449" s="59" t="str">
        <f>IF(H439="","",(H439-'2014'!#REF!)/'2014'!#REF!)</f>
        <v/>
      </c>
      <c r="I449" s="59" t="str">
        <f>IF(I439="","",(I439-'2014'!#REF!)/'2014'!#REF!)</f>
        <v/>
      </c>
      <c r="J449" s="58"/>
      <c r="K449" s="58"/>
      <c r="L449" s="58"/>
      <c r="M449" s="58" t="str">
        <f>IF(G449="","",M439-((1/'Proto 2013'!#REF!)*1000000))</f>
        <v/>
      </c>
      <c r="N449" s="58" t="str">
        <f>IF(H449="","",N439-((1/'Proto 2013'!#REF!)*1000000))</f>
        <v/>
      </c>
      <c r="O449" s="65" t="str">
        <f>IF(I449="","",O439-((1/'Proto 2013'!#REF!)*1000000))</f>
        <v/>
      </c>
    </row>
    <row r="450" spans="1:15" ht="15.75" thickBot="1" x14ac:dyDescent="0.3">
      <c r="A450" s="70" t="s">
        <v>18</v>
      </c>
      <c r="B450" s="71" t="s">
        <v>19</v>
      </c>
      <c r="C450" s="71" t="s">
        <v>12</v>
      </c>
      <c r="D450" s="59">
        <f>IF(D440="","",(D440-'2016'!D196)/'2016'!D196)</f>
        <v>5.6054931335830213E-2</v>
      </c>
      <c r="E450" s="59">
        <f>IF(E440="","",(E440-'2016'!E196)/'2016'!E196)</f>
        <v>8.5393258426966299E-3</v>
      </c>
      <c r="F450" s="59">
        <f>IF(F440="","",(F440-'2016'!F196)/'2016'!F196)</f>
        <v>-2.8636021100226075E-2</v>
      </c>
      <c r="G450" s="72" t="str">
        <f>IF(G440="","",(G440-'2014'!#REF!)/'2014'!#REF!)</f>
        <v/>
      </c>
      <c r="H450" s="72" t="str">
        <f>IF(H440="","",(H440-'2014'!#REF!)/'2014'!#REF!)</f>
        <v/>
      </c>
      <c r="I450" s="72" t="str">
        <f>IF(I440="","",(I440-'2014'!#REF!)/'2014'!#REF!)</f>
        <v/>
      </c>
      <c r="J450" s="73"/>
      <c r="K450" s="73"/>
      <c r="L450" s="73"/>
      <c r="M450" s="73" t="str">
        <f>IF(G450="","",M440-((1/'Proto 2013'!#REF!)*1000000))</f>
        <v/>
      </c>
      <c r="N450" s="73" t="str">
        <f>IF(H450="","",N440-((1/'Proto 2013'!#REF!)*1000000))</f>
        <v/>
      </c>
      <c r="O450" s="74" t="str">
        <f>IF(I450="","",O440-((1/'Proto 2013'!#REF!)*1000000))</f>
        <v/>
      </c>
    </row>
    <row r="451" spans="1:15" x14ac:dyDescent="0.25">
      <c r="D451" s="59" t="str">
        <f>IF(D441="","",(D441-'2016'!D197)/'2016'!D197)</f>
        <v/>
      </c>
    </row>
    <row r="452" spans="1:15" ht="18.75" x14ac:dyDescent="0.3">
      <c r="A452" s="144" t="s">
        <v>132</v>
      </c>
      <c r="B452" s="145"/>
      <c r="C452" s="145"/>
      <c r="D452" s="145"/>
      <c r="E452" s="145"/>
      <c r="F452" s="145"/>
      <c r="G452" s="145"/>
      <c r="H452" s="145"/>
      <c r="I452" s="145"/>
      <c r="J452" s="145"/>
      <c r="K452" s="145"/>
      <c r="L452" s="145"/>
      <c r="M452" s="145"/>
      <c r="N452" s="145"/>
      <c r="O452" s="146"/>
    </row>
    <row r="453" spans="1:15" x14ac:dyDescent="0.25">
      <c r="A453" s="137" t="s">
        <v>2</v>
      </c>
      <c r="B453" s="138"/>
      <c r="C453" s="138"/>
      <c r="D453" s="139" t="s">
        <v>20</v>
      </c>
      <c r="E453" s="139"/>
      <c r="F453" s="139"/>
      <c r="G453" s="139"/>
      <c r="H453" s="139"/>
      <c r="I453" s="139"/>
      <c r="J453" s="139" t="s">
        <v>23</v>
      </c>
      <c r="K453" s="139"/>
      <c r="L453" s="139"/>
      <c r="M453" s="139"/>
      <c r="N453" s="139"/>
      <c r="O453" s="140"/>
    </row>
    <row r="454" spans="1:15" x14ac:dyDescent="0.25">
      <c r="A454" s="62" t="s">
        <v>5</v>
      </c>
      <c r="B454" s="51" t="s">
        <v>6</v>
      </c>
      <c r="C454" s="51" t="s">
        <v>7</v>
      </c>
      <c r="D454" s="53">
        <v>1</v>
      </c>
      <c r="E454" s="53">
        <v>4</v>
      </c>
      <c r="F454" s="53">
        <v>16</v>
      </c>
      <c r="G454" s="53">
        <v>32</v>
      </c>
      <c r="H454" s="53">
        <v>64</v>
      </c>
      <c r="I454" s="53">
        <v>80</v>
      </c>
      <c r="J454" s="53">
        <v>1</v>
      </c>
      <c r="K454" s="53">
        <v>4</v>
      </c>
      <c r="L454" s="53">
        <v>16</v>
      </c>
      <c r="M454" s="53">
        <v>32</v>
      </c>
      <c r="N454" s="53">
        <v>64</v>
      </c>
      <c r="O454" s="63">
        <v>80</v>
      </c>
    </row>
    <row r="455" spans="1:15" x14ac:dyDescent="0.25">
      <c r="A455" s="64" t="s">
        <v>8</v>
      </c>
      <c r="B455" s="54" t="s">
        <v>9</v>
      </c>
      <c r="C455" s="54" t="s">
        <v>10</v>
      </c>
      <c r="D455" s="59">
        <f>IF(D435="","",(D435-'2016'!D220)/'2016'!D220)</f>
        <v>2.5947816058815051E-3</v>
      </c>
      <c r="E455" s="59">
        <f>IF(E435="","",(E435-'2016'!E220)/'2016'!E220)</f>
        <v>7.5677690791926294E-2</v>
      </c>
      <c r="F455" s="59">
        <f>IF(F435="","",(F435-'2016'!F220)/'2016'!F220)</f>
        <v>-9.6299810246679315E-2</v>
      </c>
      <c r="G455" s="59" t="str">
        <f>IF(G445="","",(G445-'2014'!#REF!)/'2014'!#REF!)</f>
        <v/>
      </c>
      <c r="H455" s="59" t="str">
        <f>IF(H445="","",(H445-'2014'!#REF!)/'2014'!#REF!)</f>
        <v/>
      </c>
      <c r="I455" s="58" t="str">
        <f>IF(I445="","",(I445-'2014'!#REF!)/'2014'!#REF!)</f>
        <v/>
      </c>
      <c r="J455" s="58"/>
      <c r="K455" s="58"/>
      <c r="L455" s="58"/>
      <c r="M455" s="58" t="str">
        <f>IF(G455="","",M445-((1/'Proto 2013'!#REF!)*1000000))</f>
        <v/>
      </c>
      <c r="N455" s="58" t="str">
        <f>IF(H455="","",N445-((1/'Proto 2013'!#REF!)*1000000))</f>
        <v/>
      </c>
      <c r="O455" s="65" t="str">
        <f>IF(I455="","",O445-((1/'Proto 2013'!#REF!)*1000000))</f>
        <v/>
      </c>
    </row>
    <row r="456" spans="1:15" x14ac:dyDescent="0.25">
      <c r="A456" s="64" t="s">
        <v>11</v>
      </c>
      <c r="B456" s="54" t="s">
        <v>9</v>
      </c>
      <c r="C456" s="54" t="s">
        <v>12</v>
      </c>
      <c r="D456" s="59">
        <f>IF(D436="","",(D436-'2016'!D221)/'2016'!D221)</f>
        <v>5.9112271540469975E-2</v>
      </c>
      <c r="E456" s="59">
        <f>IF(E436="","",(E436-'2016'!E221)/'2016'!E221)</f>
        <v>-1.0071013557133635E-2</v>
      </c>
      <c r="F456" s="59">
        <f>IF(F436="","",(F436-'2016'!F221)/'2016'!F221)</f>
        <v>4.2410714285714288E-2</v>
      </c>
      <c r="G456" s="59" t="str">
        <f>IF(G446="","",(G446-'2014'!#REF!)/'2014'!#REF!)</f>
        <v/>
      </c>
      <c r="H456" s="59" t="str">
        <f>IF(H446="","",(H446-'2014'!#REF!)/'2014'!#REF!)</f>
        <v/>
      </c>
      <c r="I456" s="59" t="str">
        <f>IF(I446="","",(I446-'2014'!#REF!)/'2014'!#REF!)</f>
        <v/>
      </c>
      <c r="J456" s="58"/>
      <c r="K456" s="58"/>
      <c r="L456" s="58"/>
      <c r="M456" s="58" t="str">
        <f>IF(G456="","",M446-((1/'Proto 2013'!#REF!)*1000000))</f>
        <v/>
      </c>
      <c r="N456" s="58" t="str">
        <f>IF(H456="","",N446-((1/'Proto 2013'!#REF!)*1000000))</f>
        <v/>
      </c>
      <c r="O456" s="65" t="str">
        <f>IF(I456="","",O446-((1/'Proto 2013'!#REF!)*1000000))</f>
        <v/>
      </c>
    </row>
    <row r="457" spans="1:15" x14ac:dyDescent="0.25">
      <c r="A457" s="64" t="s">
        <v>13</v>
      </c>
      <c r="B457" s="54" t="s">
        <v>14</v>
      </c>
      <c r="C457" s="54" t="s">
        <v>10</v>
      </c>
      <c r="D457" s="59">
        <f>IF(D437="","",(D437-'2016'!D222)/'2016'!D222)</f>
        <v>-7.9556342731047294E-2</v>
      </c>
      <c r="E457" s="59">
        <f>IF(E437="","",(E437-'2016'!E222)/'2016'!E222)</f>
        <v>5.042765502494654E-2</v>
      </c>
      <c r="F457" s="59">
        <f>IF(F437="","",(F437-'2016'!F222)/'2016'!F222)</f>
        <v>3.2685672780098057E-3</v>
      </c>
      <c r="G457" s="59" t="str">
        <f>IF(G447="","",(G447-'2014'!#REF!)/'2014'!#REF!)</f>
        <v/>
      </c>
      <c r="H457" s="59" t="str">
        <f>IF(H447="","",(H447-'2014'!#REF!)/'2014'!#REF!)</f>
        <v/>
      </c>
      <c r="I457" s="59" t="str">
        <f>IF(I447="","",(I447-'2014'!#REF!)/'2014'!#REF!)</f>
        <v/>
      </c>
      <c r="J457" s="58"/>
      <c r="K457" s="58"/>
      <c r="L457" s="58"/>
      <c r="M457" s="58" t="str">
        <f>IF(G457="","",M447-((1/'Proto 2013'!#REF!)*1000000))</f>
        <v/>
      </c>
      <c r="N457" s="58" t="str">
        <f>IF(H457="","",N447-((1/'Proto 2013'!#REF!)*1000000))</f>
        <v/>
      </c>
      <c r="O457" s="65" t="str">
        <f>IF(I457="","",O447-((1/'Proto 2013'!#REF!)*1000000))</f>
        <v/>
      </c>
    </row>
    <row r="458" spans="1:15" x14ac:dyDescent="0.25">
      <c r="A458" s="64" t="s">
        <v>15</v>
      </c>
      <c r="B458" s="54" t="s">
        <v>14</v>
      </c>
      <c r="C458" s="54" t="s">
        <v>12</v>
      </c>
      <c r="D458" s="59">
        <f>IF(D438="","",(D438-'2016'!D223)/'2016'!D223)</f>
        <v>5.590273832519032E-2</v>
      </c>
      <c r="E458" s="59">
        <f>IF(E438="","",(E438-'2016'!E223)/'2016'!E223)</f>
        <v>1.003296545793321E-3</v>
      </c>
      <c r="F458" s="59">
        <f>IF(F438="","",(F438-'2016'!F223)/'2016'!F223)</f>
        <v>4.4803817603393428E-2</v>
      </c>
      <c r="G458" s="59" t="str">
        <f>IF(G448="","",(G448-'2014'!#REF!)/'2014'!#REF!)</f>
        <v/>
      </c>
      <c r="H458" s="59" t="str">
        <f>IF(H448="","",(H448-'2014'!#REF!)/'2014'!#REF!)</f>
        <v/>
      </c>
      <c r="I458" s="59" t="str">
        <f>IF(I448="","",(I448-'2014'!#REF!)/'2014'!#REF!)</f>
        <v/>
      </c>
      <c r="J458" s="58"/>
      <c r="K458" s="58"/>
      <c r="L458" s="58"/>
      <c r="M458" s="58" t="str">
        <f>IF(G458="","",M448-((1/'Proto 2013'!#REF!)*1000000))</f>
        <v/>
      </c>
      <c r="N458" s="58" t="str">
        <f>IF(H458="","",N448-((1/'Proto 2013'!#REF!)*1000000))</f>
        <v/>
      </c>
      <c r="O458" s="65" t="str">
        <f>IF(I458="","",O448-((1/'Proto 2013'!#REF!)*1000000))</f>
        <v/>
      </c>
    </row>
    <row r="459" spans="1:15" x14ac:dyDescent="0.25">
      <c r="A459" s="64" t="s">
        <v>16</v>
      </c>
      <c r="B459" s="54" t="s">
        <v>17</v>
      </c>
      <c r="C459" s="54" t="s">
        <v>12</v>
      </c>
      <c r="D459" s="59">
        <f>IF(D439="","",(D439-'2016'!D224)/'2016'!D224)</f>
        <v>-3.2103825136612023E-2</v>
      </c>
      <c r="E459" s="59">
        <f>IF(E439="","",(E439-'2016'!E224)/'2016'!E224)</f>
        <v>0</v>
      </c>
      <c r="F459" s="59">
        <f>IF(F439="","",(F439-'2016'!F224)/'2016'!F224)</f>
        <v>-2.0268558398783887E-2</v>
      </c>
      <c r="G459" s="59" t="str">
        <f>IF(G449="","",(G449-'2014'!#REF!)/'2014'!#REF!)</f>
        <v/>
      </c>
      <c r="H459" s="59" t="str">
        <f>IF(H449="","",(H449-'2014'!#REF!)/'2014'!#REF!)</f>
        <v/>
      </c>
      <c r="I459" s="59" t="str">
        <f>IF(I449="","",(I449-'2014'!#REF!)/'2014'!#REF!)</f>
        <v/>
      </c>
      <c r="J459" s="58"/>
      <c r="K459" s="58"/>
      <c r="L459" s="58"/>
      <c r="M459" s="58" t="str">
        <f>IF(G459="","",M449-((1/'Proto 2013'!#REF!)*1000000))</f>
        <v/>
      </c>
      <c r="N459" s="58" t="str">
        <f>IF(H459="","",N449-((1/'Proto 2013'!#REF!)*1000000))</f>
        <v/>
      </c>
      <c r="O459" s="65" t="str">
        <f>IF(I459="","",O449-((1/'Proto 2013'!#REF!)*1000000))</f>
        <v/>
      </c>
    </row>
    <row r="460" spans="1:15" ht="15.75" thickBot="1" x14ac:dyDescent="0.3">
      <c r="A460" s="70" t="s">
        <v>18</v>
      </c>
      <c r="B460" s="71" t="s">
        <v>19</v>
      </c>
      <c r="C460" s="71" t="s">
        <v>12</v>
      </c>
      <c r="D460" s="59">
        <f>IF(D440="","",(D440-'2016'!D225)/'2016'!D225)</f>
        <v>-3.2151029748283752E-2</v>
      </c>
      <c r="E460" s="59">
        <f>IF(E440="","",(E440-'2016'!E225)/'2016'!E225)</f>
        <v>-7.7681874229346484E-2</v>
      </c>
      <c r="F460" s="59">
        <f>IF(F440="","",(F440-'2016'!F225)/'2016'!F225)</f>
        <v>-3.3008252063015754E-2</v>
      </c>
      <c r="G460" s="72" t="str">
        <f>IF(G450="","",(G450-'2014'!#REF!)/'2014'!#REF!)</f>
        <v/>
      </c>
      <c r="H460" s="72" t="str">
        <f>IF(H450="","",(H450-'2014'!#REF!)/'2014'!#REF!)</f>
        <v/>
      </c>
      <c r="I460" s="72" t="str">
        <f>IF(I450="","",(I450-'2014'!#REF!)/'2014'!#REF!)</f>
        <v/>
      </c>
      <c r="J460" s="73"/>
      <c r="K460" s="73"/>
      <c r="L460" s="73"/>
      <c r="M460" s="73" t="str">
        <f>IF(G460="","",M450-((1/'Proto 2013'!#REF!)*1000000))</f>
        <v/>
      </c>
      <c r="N460" s="73" t="str">
        <f>IF(H460="","",N450-((1/'Proto 2013'!#REF!)*1000000))</f>
        <v/>
      </c>
      <c r="O460" s="74" t="str">
        <f>IF(I460="","",O450-((1/'Proto 2013'!#REF!)*1000000))</f>
        <v/>
      </c>
    </row>
    <row r="461" spans="1:15" ht="18.75" x14ac:dyDescent="0.25">
      <c r="A461" s="131" t="s">
        <v>90</v>
      </c>
      <c r="B461" s="132"/>
      <c r="C461" s="132"/>
      <c r="D461" s="132"/>
      <c r="E461" s="132"/>
      <c r="F461" s="132"/>
      <c r="G461" s="132"/>
      <c r="H461" s="132"/>
      <c r="I461" s="132"/>
      <c r="J461" s="132"/>
      <c r="K461" s="132"/>
      <c r="L461" s="132"/>
      <c r="M461" s="132"/>
      <c r="N461" s="132"/>
      <c r="O461" s="133"/>
    </row>
    <row r="462" spans="1:15" ht="15.75" x14ac:dyDescent="0.25">
      <c r="A462" s="134" t="s">
        <v>144</v>
      </c>
      <c r="B462" s="135"/>
      <c r="C462" s="135"/>
      <c r="D462" s="135"/>
      <c r="E462" s="135"/>
      <c r="F462" s="135"/>
      <c r="G462" s="135"/>
      <c r="H462" s="135"/>
      <c r="I462" s="135"/>
      <c r="J462" s="135"/>
      <c r="K462" s="135"/>
      <c r="L462" s="135"/>
      <c r="M462" s="135"/>
      <c r="N462" s="135"/>
      <c r="O462" s="136"/>
    </row>
    <row r="463" spans="1:15" x14ac:dyDescent="0.25">
      <c r="A463" s="137" t="s">
        <v>2</v>
      </c>
      <c r="B463" s="138"/>
      <c r="C463" s="138"/>
      <c r="D463" s="139" t="s">
        <v>3</v>
      </c>
      <c r="E463" s="139"/>
      <c r="F463" s="139"/>
      <c r="G463" s="139"/>
      <c r="H463" s="139"/>
      <c r="I463" s="139"/>
      <c r="J463" s="139" t="s">
        <v>4</v>
      </c>
      <c r="K463" s="139"/>
      <c r="L463" s="139"/>
      <c r="M463" s="139"/>
      <c r="N463" s="139"/>
      <c r="O463" s="140"/>
    </row>
    <row r="464" spans="1:15" x14ac:dyDescent="0.25">
      <c r="A464" s="62" t="s">
        <v>5</v>
      </c>
      <c r="B464" s="51" t="s">
        <v>6</v>
      </c>
      <c r="C464" s="51" t="s">
        <v>7</v>
      </c>
      <c r="D464" s="52">
        <v>1</v>
      </c>
      <c r="E464" s="52">
        <v>4</v>
      </c>
      <c r="F464" s="52">
        <v>16</v>
      </c>
      <c r="G464" s="53">
        <v>32</v>
      </c>
      <c r="H464" s="53">
        <v>64</v>
      </c>
      <c r="I464" s="53">
        <v>80</v>
      </c>
      <c r="J464" s="53">
        <v>1</v>
      </c>
      <c r="K464" s="53">
        <v>4</v>
      </c>
      <c r="L464" s="53">
        <v>16</v>
      </c>
      <c r="M464" s="53">
        <v>32</v>
      </c>
      <c r="N464" s="53">
        <v>64</v>
      </c>
      <c r="O464" s="63">
        <v>80</v>
      </c>
    </row>
    <row r="465" spans="1:15" x14ac:dyDescent="0.25">
      <c r="A465" s="64" t="s">
        <v>8</v>
      </c>
      <c r="B465" s="54" t="s">
        <v>9</v>
      </c>
      <c r="C465" s="55" t="s">
        <v>10</v>
      </c>
      <c r="D465" s="60">
        <v>47766</v>
      </c>
      <c r="E465" s="60">
        <v>21482</v>
      </c>
      <c r="F465" s="60">
        <v>5715</v>
      </c>
      <c r="G465" s="57"/>
      <c r="H465" s="56"/>
      <c r="I465" s="56"/>
      <c r="J465" s="58">
        <f>IF(D465="","",(1/D465)*1000000)</f>
        <v>20.935393376041535</v>
      </c>
      <c r="K465" s="58">
        <f t="shared" ref="K465:K470" si="116">IF(E465="","",(1/E465)*1000000)</f>
        <v>46.550600502746484</v>
      </c>
      <c r="L465" s="58">
        <f t="shared" ref="L465:L470" si="117">IF(F465="","",(1/F465)*1000000)</f>
        <v>174.97812773403322</v>
      </c>
      <c r="M465" s="58" t="str">
        <f t="shared" ref="M465:M470" si="118">IF(G465="","",(1/G465)*1000000)</f>
        <v/>
      </c>
      <c r="N465" s="58" t="str">
        <f t="shared" ref="N465:N470" si="119">IF(H465="","",(1/H465)*1000000)</f>
        <v/>
      </c>
      <c r="O465" s="65" t="str">
        <f t="shared" ref="O465:O470" si="120">IF(I465="","",(1/I465)*1000000)</f>
        <v/>
      </c>
    </row>
    <row r="466" spans="1:15" x14ac:dyDescent="0.25">
      <c r="A466" s="64" t="s">
        <v>11</v>
      </c>
      <c r="B466" s="54" t="s">
        <v>9</v>
      </c>
      <c r="C466" s="55" t="s">
        <v>12</v>
      </c>
      <c r="D466" s="60">
        <v>9564</v>
      </c>
      <c r="E466" s="60">
        <v>7744</v>
      </c>
      <c r="F466" s="60">
        <v>4162</v>
      </c>
      <c r="G466" s="57"/>
      <c r="H466" s="56"/>
      <c r="I466" s="56"/>
      <c r="J466" s="58">
        <f t="shared" ref="J466:J470" si="121">IF(D466="","",(1/D466)*1000000)</f>
        <v>104.55876202425763</v>
      </c>
      <c r="K466" s="58">
        <f t="shared" si="116"/>
        <v>129.13223140495867</v>
      </c>
      <c r="L466" s="58">
        <f t="shared" si="117"/>
        <v>240.26910139356079</v>
      </c>
      <c r="M466" s="58" t="str">
        <f t="shared" si="118"/>
        <v/>
      </c>
      <c r="N466" s="58" t="str">
        <f t="shared" si="119"/>
        <v/>
      </c>
      <c r="O466" s="65" t="str">
        <f t="shared" si="120"/>
        <v/>
      </c>
    </row>
    <row r="467" spans="1:15" x14ac:dyDescent="0.25">
      <c r="A467" s="64" t="s">
        <v>13</v>
      </c>
      <c r="B467" s="54" t="s">
        <v>14</v>
      </c>
      <c r="C467" s="55" t="s">
        <v>10</v>
      </c>
      <c r="D467" s="60">
        <v>44105</v>
      </c>
      <c r="E467" s="60">
        <v>17201</v>
      </c>
      <c r="F467" s="60">
        <v>5569</v>
      </c>
      <c r="G467" s="57"/>
      <c r="H467" s="56"/>
      <c r="I467" s="56"/>
      <c r="J467" s="58">
        <f t="shared" si="121"/>
        <v>22.673166307674869</v>
      </c>
      <c r="K467" s="58">
        <f t="shared" si="116"/>
        <v>58.136154874716588</v>
      </c>
      <c r="L467" s="58">
        <f t="shared" si="117"/>
        <v>179.56545160711082</v>
      </c>
      <c r="M467" s="58" t="str">
        <f t="shared" si="118"/>
        <v/>
      </c>
      <c r="N467" s="58" t="str">
        <f t="shared" si="119"/>
        <v/>
      </c>
      <c r="O467" s="65" t="str">
        <f t="shared" si="120"/>
        <v/>
      </c>
    </row>
    <row r="468" spans="1:15" x14ac:dyDescent="0.25">
      <c r="A468" s="64" t="s">
        <v>15</v>
      </c>
      <c r="B468" s="54" t="s">
        <v>14</v>
      </c>
      <c r="C468" s="55" t="s">
        <v>12</v>
      </c>
      <c r="D468" s="60">
        <v>9691</v>
      </c>
      <c r="E468" s="60">
        <v>7336</v>
      </c>
      <c r="F468" s="60">
        <v>3914</v>
      </c>
      <c r="G468" s="57"/>
      <c r="H468" s="56"/>
      <c r="I468" s="56"/>
      <c r="J468" s="58">
        <f t="shared" si="121"/>
        <v>103.18852543597153</v>
      </c>
      <c r="K468" s="58">
        <f t="shared" si="116"/>
        <v>136.31406761177755</v>
      </c>
      <c r="L468" s="58">
        <f t="shared" si="117"/>
        <v>255.49310168625451</v>
      </c>
      <c r="M468" s="58" t="str">
        <f t="shared" si="118"/>
        <v/>
      </c>
      <c r="N468" s="58" t="str">
        <f t="shared" si="119"/>
        <v/>
      </c>
      <c r="O468" s="65" t="str">
        <f t="shared" si="120"/>
        <v/>
      </c>
    </row>
    <row r="469" spans="1:15" x14ac:dyDescent="0.25">
      <c r="A469" s="64" t="s">
        <v>16</v>
      </c>
      <c r="B469" s="54" t="s">
        <v>17</v>
      </c>
      <c r="C469" s="55" t="s">
        <v>12</v>
      </c>
      <c r="D469" s="60">
        <v>8518</v>
      </c>
      <c r="E469" s="60">
        <v>6779</v>
      </c>
      <c r="F469" s="60">
        <v>3921</v>
      </c>
      <c r="G469" s="57"/>
      <c r="H469" s="56"/>
      <c r="I469" s="56"/>
      <c r="J469" s="58">
        <f t="shared" si="121"/>
        <v>117.39845034045551</v>
      </c>
      <c r="K469" s="58">
        <f t="shared" si="116"/>
        <v>147.51438265230863</v>
      </c>
      <c r="L469" s="58">
        <f t="shared" si="117"/>
        <v>255.03698036215249</v>
      </c>
      <c r="M469" s="58" t="str">
        <f t="shared" si="118"/>
        <v/>
      </c>
      <c r="N469" s="58" t="str">
        <f t="shared" si="119"/>
        <v/>
      </c>
      <c r="O469" s="65" t="str">
        <f t="shared" si="120"/>
        <v/>
      </c>
    </row>
    <row r="470" spans="1:15" x14ac:dyDescent="0.25">
      <c r="A470" s="64" t="s">
        <v>18</v>
      </c>
      <c r="B470" s="54" t="s">
        <v>19</v>
      </c>
      <c r="C470" s="55" t="s">
        <v>12</v>
      </c>
      <c r="D470" s="60">
        <v>8561</v>
      </c>
      <c r="E470" s="60">
        <v>6726</v>
      </c>
      <c r="F470" s="60">
        <v>3734</v>
      </c>
      <c r="G470" s="57"/>
      <c r="H470" s="56"/>
      <c r="I470" s="56"/>
      <c r="J470" s="58">
        <f t="shared" si="121"/>
        <v>116.80878402055835</v>
      </c>
      <c r="K470" s="58">
        <f t="shared" si="116"/>
        <v>148.67677668748141</v>
      </c>
      <c r="L470" s="58">
        <f t="shared" si="117"/>
        <v>267.80931976432777</v>
      </c>
      <c r="M470" s="58" t="str">
        <f t="shared" si="118"/>
        <v/>
      </c>
      <c r="N470" s="58" t="str">
        <f t="shared" si="119"/>
        <v/>
      </c>
      <c r="O470" s="65" t="str">
        <f t="shared" si="120"/>
        <v/>
      </c>
    </row>
    <row r="471" spans="1:15" x14ac:dyDescent="0.25">
      <c r="A471" s="141" t="s">
        <v>145</v>
      </c>
      <c r="B471" s="142"/>
      <c r="C471" s="142"/>
      <c r="D471" s="142"/>
      <c r="E471" s="142"/>
      <c r="F471" s="142"/>
      <c r="G471" s="143"/>
      <c r="H471" s="143"/>
      <c r="I471" s="61"/>
      <c r="J471" s="61"/>
      <c r="K471" s="61"/>
      <c r="L471" s="61"/>
      <c r="M471" s="61"/>
      <c r="N471" s="61"/>
      <c r="O471" s="66"/>
    </row>
    <row r="472" spans="1:15" ht="18.75" x14ac:dyDescent="0.3">
      <c r="A472" s="144" t="s">
        <v>89</v>
      </c>
      <c r="B472" s="145"/>
      <c r="C472" s="145"/>
      <c r="D472" s="145"/>
      <c r="E472" s="145"/>
      <c r="F472" s="145"/>
      <c r="G472" s="145"/>
      <c r="H472" s="145"/>
      <c r="I472" s="145"/>
      <c r="J472" s="145"/>
      <c r="K472" s="145"/>
      <c r="L472" s="145"/>
      <c r="M472" s="145"/>
      <c r="N472" s="145"/>
      <c r="O472" s="146"/>
    </row>
    <row r="473" spans="1:15" x14ac:dyDescent="0.25">
      <c r="A473" s="137" t="s">
        <v>2</v>
      </c>
      <c r="B473" s="138"/>
      <c r="C473" s="138"/>
      <c r="D473" s="139" t="s">
        <v>20</v>
      </c>
      <c r="E473" s="139"/>
      <c r="F473" s="139"/>
      <c r="G473" s="139"/>
      <c r="H473" s="139"/>
      <c r="I473" s="139"/>
      <c r="J473" s="139" t="s">
        <v>23</v>
      </c>
      <c r="K473" s="139"/>
      <c r="L473" s="139"/>
      <c r="M473" s="139"/>
      <c r="N473" s="139"/>
      <c r="O473" s="140"/>
    </row>
    <row r="474" spans="1:15" x14ac:dyDescent="0.25">
      <c r="A474" s="62" t="s">
        <v>5</v>
      </c>
      <c r="B474" s="51" t="s">
        <v>6</v>
      </c>
      <c r="C474" s="51" t="s">
        <v>7</v>
      </c>
      <c r="D474" s="53">
        <v>1</v>
      </c>
      <c r="E474" s="53">
        <v>4</v>
      </c>
      <c r="F474" s="53">
        <v>16</v>
      </c>
      <c r="G474" s="53">
        <v>32</v>
      </c>
      <c r="H474" s="53">
        <v>64</v>
      </c>
      <c r="I474" s="53">
        <v>80</v>
      </c>
      <c r="J474" s="53">
        <v>1</v>
      </c>
      <c r="K474" s="53">
        <v>4</v>
      </c>
      <c r="L474" s="53">
        <v>16</v>
      </c>
      <c r="M474" s="53">
        <v>32</v>
      </c>
      <c r="N474" s="53">
        <v>64</v>
      </c>
      <c r="O474" s="63">
        <v>80</v>
      </c>
    </row>
    <row r="475" spans="1:15" x14ac:dyDescent="0.25">
      <c r="A475" s="64" t="s">
        <v>8</v>
      </c>
      <c r="B475" s="54" t="s">
        <v>9</v>
      </c>
      <c r="C475" s="54" t="s">
        <v>10</v>
      </c>
      <c r="D475" s="59">
        <f>IF(D465="","",(D465-'2016'!D191)/'2016'!D191)</f>
        <v>0.11953311770496414</v>
      </c>
      <c r="E475" s="59">
        <f>IF(E465="","",(E465-'2016'!E191)/'2016'!E191)</f>
        <v>0.14405922138786814</v>
      </c>
      <c r="F475" s="59">
        <f>IF(F465="","",(F465-'2016'!F191)/'2016'!F191)</f>
        <v>-0.10535378835316218</v>
      </c>
      <c r="G475" s="59" t="str">
        <f>IF(G465="","",(G465-'2014'!#REF!)/'2014'!#REF!)</f>
        <v/>
      </c>
      <c r="H475" s="59" t="str">
        <f>IF(H465="","",(H465-'2014'!#REF!)/'2014'!#REF!)</f>
        <v/>
      </c>
      <c r="I475" s="58" t="str">
        <f>IF(I465="","",(I465-'2014'!#REF!)/'2014'!#REF!)</f>
        <v/>
      </c>
      <c r="J475" s="58"/>
      <c r="K475" s="58"/>
      <c r="L475" s="58"/>
      <c r="M475" s="58" t="str">
        <f>IF(G475="","",M465-((1/'Proto 2013'!#REF!)*1000000))</f>
        <v/>
      </c>
      <c r="N475" s="58" t="str">
        <f>IF(H475="","",N465-((1/'Proto 2013'!#REF!)*1000000))</f>
        <v/>
      </c>
      <c r="O475" s="65" t="str">
        <f>IF(I475="","",O465-((1/'Proto 2013'!#REF!)*1000000))</f>
        <v/>
      </c>
    </row>
    <row r="476" spans="1:15" x14ac:dyDescent="0.25">
      <c r="A476" s="64" t="s">
        <v>11</v>
      </c>
      <c r="B476" s="54" t="s">
        <v>9</v>
      </c>
      <c r="C476" s="54" t="s">
        <v>12</v>
      </c>
      <c r="D476" s="59">
        <f>IF(D466="","",(D466-'2016'!D192)/'2016'!D192)</f>
        <v>6.2774639045825491E-4</v>
      </c>
      <c r="E476" s="59">
        <f>IF(E466="","",(E466-'2016'!E192)/'2016'!E192)</f>
        <v>1.2552301255230125E-2</v>
      </c>
      <c r="F476" s="59">
        <f>IF(F466="","",(F466-'2016'!F192)/'2016'!F192)</f>
        <v>-4.5443673762257837E-3</v>
      </c>
      <c r="G476" s="59" t="str">
        <f>IF(G466="","",(G466-'2014'!#REF!)/'2014'!#REF!)</f>
        <v/>
      </c>
      <c r="H476" s="59" t="str">
        <f>IF(H466="","",(H466-'2014'!#REF!)/'2014'!#REF!)</f>
        <v/>
      </c>
      <c r="I476" s="59" t="str">
        <f>IF(I466="","",(I466-'2014'!#REF!)/'2014'!#REF!)</f>
        <v/>
      </c>
      <c r="J476" s="58"/>
      <c r="K476" s="58"/>
      <c r="L476" s="58"/>
      <c r="M476" s="58" t="str">
        <f>IF(G476="","",M466-((1/'Proto 2013'!#REF!)*1000000))</f>
        <v/>
      </c>
      <c r="N476" s="58" t="str">
        <f>IF(H476="","",N466-((1/'Proto 2013'!#REF!)*1000000))</f>
        <v/>
      </c>
      <c r="O476" s="65" t="str">
        <f>IF(I476="","",O466-((1/'Proto 2013'!#REF!)*1000000))</f>
        <v/>
      </c>
    </row>
    <row r="477" spans="1:15" x14ac:dyDescent="0.25">
      <c r="A477" s="64" t="s">
        <v>13</v>
      </c>
      <c r="B477" s="54" t="s">
        <v>14</v>
      </c>
      <c r="C477" s="54" t="s">
        <v>10</v>
      </c>
      <c r="D477" s="59">
        <f>IF(D467="","",(D467-'2016'!D193)/'2016'!D193)</f>
        <v>7.2514164822605351E-2</v>
      </c>
      <c r="E477" s="59">
        <f>IF(E467="","",(E467-'2016'!E193)/'2016'!E193)</f>
        <v>-2.7367825841108286E-2</v>
      </c>
      <c r="F477" s="59">
        <f>IF(F467="","",(F467-'2016'!F193)/'2016'!F193)</f>
        <v>-1.01315321720583E-2</v>
      </c>
      <c r="G477" s="59" t="str">
        <f>IF(G467="","",(G467-'2014'!#REF!)/'2014'!#REF!)</f>
        <v/>
      </c>
      <c r="H477" s="59" t="str">
        <f>IF(H467="","",(H467-'2014'!#REF!)/'2014'!#REF!)</f>
        <v/>
      </c>
      <c r="I477" s="59" t="str">
        <f>IF(I467="","",(I467-'2014'!#REF!)/'2014'!#REF!)</f>
        <v/>
      </c>
      <c r="J477" s="58"/>
      <c r="K477" s="58"/>
      <c r="L477" s="58"/>
      <c r="M477" s="58" t="str">
        <f>IF(G477="","",M467-((1/'Proto 2013'!#REF!)*1000000))</f>
        <v/>
      </c>
      <c r="N477" s="58" t="str">
        <f>IF(H477="","",N467-((1/'Proto 2013'!#REF!)*1000000))</f>
        <v/>
      </c>
      <c r="O477" s="65" t="str">
        <f>IF(I477="","",O467-((1/'Proto 2013'!#REF!)*1000000))</f>
        <v/>
      </c>
    </row>
    <row r="478" spans="1:15" x14ac:dyDescent="0.25">
      <c r="A478" s="64" t="s">
        <v>15</v>
      </c>
      <c r="B478" s="54" t="s">
        <v>14</v>
      </c>
      <c r="C478" s="54" t="s">
        <v>12</v>
      </c>
      <c r="D478" s="59">
        <f>IF(D468="","",(D468-'2016'!D194)/'2016'!D194)</f>
        <v>5.3369565217391307E-2</v>
      </c>
      <c r="E478" s="59">
        <f>IF(E468="","",(E468-'2016'!E194)/'2016'!E194)</f>
        <v>5.2208835341365459E-2</v>
      </c>
      <c r="F478" s="59">
        <f>IF(F468="","",(F468-'2016'!F194)/'2016'!F194)</f>
        <v>4.8205677557579006E-2</v>
      </c>
      <c r="G478" s="59" t="str">
        <f>IF(G468="","",(G468-'2014'!#REF!)/'2014'!#REF!)</f>
        <v/>
      </c>
      <c r="H478" s="59" t="str">
        <f>IF(H468="","",(H468-'2014'!#REF!)/'2014'!#REF!)</f>
        <v/>
      </c>
      <c r="I478" s="59" t="str">
        <f>IF(I468="","",(I468-'2014'!#REF!)/'2014'!#REF!)</f>
        <v/>
      </c>
      <c r="J478" s="58"/>
      <c r="K478" s="58"/>
      <c r="L478" s="58"/>
      <c r="M478" s="58" t="str">
        <f>IF(G478="","",M468-((1/'Proto 2013'!#REF!)*1000000))</f>
        <v/>
      </c>
      <c r="N478" s="58" t="str">
        <f>IF(H478="","",N468-((1/'Proto 2013'!#REF!)*1000000))</f>
        <v/>
      </c>
      <c r="O478" s="65" t="str">
        <f>IF(I478="","",O468-((1/'Proto 2013'!#REF!)*1000000))</f>
        <v/>
      </c>
    </row>
    <row r="479" spans="1:15" x14ac:dyDescent="0.25">
      <c r="A479" s="64" t="s">
        <v>16</v>
      </c>
      <c r="B479" s="54" t="s">
        <v>17</v>
      </c>
      <c r="C479" s="54" t="s">
        <v>12</v>
      </c>
      <c r="D479" s="59">
        <f>IF(D469="","",(D469-'2016'!D195)/'2016'!D195)</f>
        <v>6.2610750147666866E-3</v>
      </c>
      <c r="E479" s="59">
        <f>IF(E469="","",(E469-'2016'!E195)/'2016'!E195)</f>
        <v>-6.457844625362219E-2</v>
      </c>
      <c r="F479" s="59">
        <f>IF(F469="","",(F469-'2016'!F195)/'2016'!F195)</f>
        <v>-6.5872814796047634E-3</v>
      </c>
      <c r="G479" s="59" t="str">
        <f>IF(G469="","",(G469-'2014'!#REF!)/'2014'!#REF!)</f>
        <v/>
      </c>
      <c r="H479" s="59" t="str">
        <f>IF(H469="","",(H469-'2014'!#REF!)/'2014'!#REF!)</f>
        <v/>
      </c>
      <c r="I479" s="59" t="str">
        <f>IF(I469="","",(I469-'2014'!#REF!)/'2014'!#REF!)</f>
        <v/>
      </c>
      <c r="J479" s="58"/>
      <c r="K479" s="58"/>
      <c r="L479" s="58"/>
      <c r="M479" s="58" t="str">
        <f>IF(G479="","",M469-((1/'Proto 2013'!#REF!)*1000000))</f>
        <v/>
      </c>
      <c r="N479" s="58" t="str">
        <f>IF(H479="","",N469-((1/'Proto 2013'!#REF!)*1000000))</f>
        <v/>
      </c>
      <c r="O479" s="65" t="str">
        <f>IF(I479="","",O469-((1/'Proto 2013'!#REF!)*1000000))</f>
        <v/>
      </c>
    </row>
    <row r="480" spans="1:15" ht="15.75" thickBot="1" x14ac:dyDescent="0.3">
      <c r="A480" s="70" t="s">
        <v>18</v>
      </c>
      <c r="B480" s="71" t="s">
        <v>19</v>
      </c>
      <c r="C480" s="71" t="s">
        <v>12</v>
      </c>
      <c r="D480" s="59">
        <f>IF(D470="","",(D470-'2016'!D196)/'2016'!D196)</f>
        <v>6.8789013732833956E-2</v>
      </c>
      <c r="E480" s="59">
        <f>IF(E470="","",(E470-'2016'!E196)/'2016'!E196)</f>
        <v>7.6404494382022476E-3</v>
      </c>
      <c r="F480" s="59">
        <f>IF(F470="","",(F470-'2016'!F196)/'2016'!F196)</f>
        <v>-6.2044712383823163E-2</v>
      </c>
      <c r="G480" s="72" t="str">
        <f>IF(G470="","",(G470-'2014'!#REF!)/'2014'!#REF!)</f>
        <v/>
      </c>
      <c r="H480" s="72" t="str">
        <f>IF(H470="","",(H470-'2014'!#REF!)/'2014'!#REF!)</f>
        <v/>
      </c>
      <c r="I480" s="72" t="str">
        <f>IF(I470="","",(I470-'2014'!#REF!)/'2014'!#REF!)</f>
        <v/>
      </c>
      <c r="J480" s="73"/>
      <c r="K480" s="73"/>
      <c r="L480" s="73"/>
      <c r="M480" s="73" t="str">
        <f>IF(G480="","",M470-((1/'Proto 2013'!#REF!)*1000000))</f>
        <v/>
      </c>
      <c r="N480" s="73" t="str">
        <f>IF(H480="","",N470-((1/'Proto 2013'!#REF!)*1000000))</f>
        <v/>
      </c>
      <c r="O480" s="74" t="str">
        <f>IF(I480="","",O470-((1/'Proto 2013'!#REF!)*1000000))</f>
        <v/>
      </c>
    </row>
    <row r="481" spans="1:15" x14ac:dyDescent="0.25">
      <c r="D481" s="59" t="str">
        <f>IF(D471="","",(D471-'2016'!D227)/'2016'!D227)</f>
        <v/>
      </c>
    </row>
    <row r="482" spans="1:15" ht="18.75" x14ac:dyDescent="0.3">
      <c r="A482" s="144" t="s">
        <v>132</v>
      </c>
      <c r="B482" s="145"/>
      <c r="C482" s="145"/>
      <c r="D482" s="145"/>
      <c r="E482" s="145"/>
      <c r="F482" s="145"/>
      <c r="G482" s="145"/>
      <c r="H482" s="145"/>
      <c r="I482" s="145"/>
      <c r="J482" s="145"/>
      <c r="K482" s="145"/>
      <c r="L482" s="145"/>
      <c r="M482" s="145"/>
      <c r="N482" s="145"/>
      <c r="O482" s="146"/>
    </row>
    <row r="483" spans="1:15" x14ac:dyDescent="0.25">
      <c r="A483" s="137" t="s">
        <v>2</v>
      </c>
      <c r="B483" s="138"/>
      <c r="C483" s="138"/>
      <c r="D483" s="139" t="s">
        <v>20</v>
      </c>
      <c r="E483" s="139"/>
      <c r="F483" s="139"/>
      <c r="G483" s="139"/>
      <c r="H483" s="139"/>
      <c r="I483" s="139"/>
      <c r="J483" s="139" t="s">
        <v>23</v>
      </c>
      <c r="K483" s="139"/>
      <c r="L483" s="139"/>
      <c r="M483" s="139"/>
      <c r="N483" s="139"/>
      <c r="O483" s="140"/>
    </row>
    <row r="484" spans="1:15" x14ac:dyDescent="0.25">
      <c r="A484" s="62" t="s">
        <v>5</v>
      </c>
      <c r="B484" s="51" t="s">
        <v>6</v>
      </c>
      <c r="C484" s="51" t="s">
        <v>7</v>
      </c>
      <c r="D484" s="53">
        <v>1</v>
      </c>
      <c r="E484" s="53">
        <v>4</v>
      </c>
      <c r="F484" s="53">
        <v>16</v>
      </c>
      <c r="G484" s="53">
        <v>32</v>
      </c>
      <c r="H484" s="53">
        <v>64</v>
      </c>
      <c r="I484" s="53">
        <v>80</v>
      </c>
      <c r="J484" s="53">
        <v>1</v>
      </c>
      <c r="K484" s="53">
        <v>4</v>
      </c>
      <c r="L484" s="53">
        <v>16</v>
      </c>
      <c r="M484" s="53">
        <v>32</v>
      </c>
      <c r="N484" s="53">
        <v>64</v>
      </c>
      <c r="O484" s="63">
        <v>80</v>
      </c>
    </row>
    <row r="485" spans="1:15" x14ac:dyDescent="0.25">
      <c r="A485" s="64" t="s">
        <v>8</v>
      </c>
      <c r="B485" s="54" t="s">
        <v>9</v>
      </c>
      <c r="C485" s="54" t="s">
        <v>10</v>
      </c>
      <c r="D485" s="59">
        <f>IF(D465="","",(D465-'2016'!D220)/'2016'!D220)</f>
        <v>-1.6330649313206616E-2</v>
      </c>
      <c r="E485" s="59">
        <f>IF(E465="","",(E465-'2016'!E220)/'2016'!E220)</f>
        <v>0.14405922138786814</v>
      </c>
      <c r="F485" s="59">
        <f>IF(F465="","",(F465-'2016'!F220)/'2016'!F220)</f>
        <v>-9.6299810246679315E-2</v>
      </c>
      <c r="G485" s="59" t="str">
        <f>IF(G475="","",(G475-'2014'!#REF!)/'2014'!#REF!)</f>
        <v/>
      </c>
      <c r="H485" s="59" t="str">
        <f>IF(H475="","",(H475-'2014'!#REF!)/'2014'!#REF!)</f>
        <v/>
      </c>
      <c r="I485" s="58" t="str">
        <f>IF(I475="","",(I475-'2014'!#REF!)/'2014'!#REF!)</f>
        <v/>
      </c>
      <c r="J485" s="58"/>
      <c r="K485" s="58"/>
      <c r="L485" s="58"/>
      <c r="M485" s="58" t="str">
        <f>IF(G485="","",M475-((1/'Proto 2013'!#REF!)*1000000))</f>
        <v/>
      </c>
      <c r="N485" s="58" t="str">
        <f>IF(H485="","",N475-((1/'Proto 2013'!#REF!)*1000000))</f>
        <v/>
      </c>
      <c r="O485" s="65" t="str">
        <f>IF(I485="","",O475-((1/'Proto 2013'!#REF!)*1000000))</f>
        <v/>
      </c>
    </row>
    <row r="486" spans="1:15" x14ac:dyDescent="0.25">
      <c r="A486" s="64" t="s">
        <v>11</v>
      </c>
      <c r="B486" s="54" t="s">
        <v>9</v>
      </c>
      <c r="C486" s="54" t="s">
        <v>12</v>
      </c>
      <c r="D486" s="59">
        <f>IF(D466="","",(D466-'2016'!D221)/'2016'!D221)</f>
        <v>-1.1488250652741513E-3</v>
      </c>
      <c r="E486" s="59">
        <f>IF(E466="","",(E466-'2016'!E221)/'2016'!E221)</f>
        <v>-1.291155584247902E-4</v>
      </c>
      <c r="F486" s="59">
        <f>IF(F466="","",(F466-'2016'!F221)/'2016'!F221)</f>
        <v>3.2242063492063495E-2</v>
      </c>
      <c r="G486" s="59" t="str">
        <f>IF(G476="","",(G476-'2014'!#REF!)/'2014'!#REF!)</f>
        <v/>
      </c>
      <c r="H486" s="59" t="str">
        <f>IF(H476="","",(H476-'2014'!#REF!)/'2014'!#REF!)</f>
        <v/>
      </c>
      <c r="I486" s="59" t="str">
        <f>IF(I476="","",(I476-'2014'!#REF!)/'2014'!#REF!)</f>
        <v/>
      </c>
      <c r="J486" s="58"/>
      <c r="K486" s="58"/>
      <c r="L486" s="58"/>
      <c r="M486" s="58" t="str">
        <f>IF(G486="","",M476-((1/'Proto 2013'!#REF!)*1000000))</f>
        <v/>
      </c>
      <c r="N486" s="58" t="str">
        <f>IF(H486="","",N476-((1/'Proto 2013'!#REF!)*1000000))</f>
        <v/>
      </c>
      <c r="O486" s="65" t="str">
        <f>IF(I486="","",O476-((1/'Proto 2013'!#REF!)*1000000))</f>
        <v/>
      </c>
    </row>
    <row r="487" spans="1:15" x14ac:dyDescent="0.25">
      <c r="A487" s="64" t="s">
        <v>13</v>
      </c>
      <c r="B487" s="54" t="s">
        <v>14</v>
      </c>
      <c r="C487" s="54" t="s">
        <v>10</v>
      </c>
      <c r="D487" s="59">
        <f>IF(D467="","",(D467-'2016'!D222)/'2016'!D222)</f>
        <v>0.28059580151563546</v>
      </c>
      <c r="E487" s="59">
        <f>IF(E467="","",(E467-'2016'!E222)/'2016'!E222)</f>
        <v>2.1679733903540034E-2</v>
      </c>
      <c r="F487" s="59">
        <f>IF(F467="","",(F467-'2016'!F222)/'2016'!F222)</f>
        <v>1.1258398402033775E-2</v>
      </c>
      <c r="G487" s="59" t="str">
        <f>IF(G477="","",(G477-'2014'!#REF!)/'2014'!#REF!)</f>
        <v/>
      </c>
      <c r="H487" s="59" t="str">
        <f>IF(H477="","",(H477-'2014'!#REF!)/'2014'!#REF!)</f>
        <v/>
      </c>
      <c r="I487" s="59" t="str">
        <f>IF(I477="","",(I477-'2014'!#REF!)/'2014'!#REF!)</f>
        <v/>
      </c>
      <c r="J487" s="58"/>
      <c r="K487" s="58"/>
      <c r="L487" s="58"/>
      <c r="M487" s="58" t="str">
        <f>IF(G487="","",M477-((1/'Proto 2013'!#REF!)*1000000))</f>
        <v/>
      </c>
      <c r="N487" s="58" t="str">
        <f>IF(H487="","",N477-((1/'Proto 2013'!#REF!)*1000000))</f>
        <v/>
      </c>
      <c r="O487" s="65" t="str">
        <f>IF(I487="","",O477-((1/'Proto 2013'!#REF!)*1000000))</f>
        <v/>
      </c>
    </row>
    <row r="488" spans="1:15" x14ac:dyDescent="0.25">
      <c r="A488" s="64" t="s">
        <v>15</v>
      </c>
      <c r="B488" s="54" t="s">
        <v>14</v>
      </c>
      <c r="C488" s="54" t="s">
        <v>12</v>
      </c>
      <c r="D488" s="59">
        <f>IF(D468="","",(D468-'2016'!D223)/'2016'!D223)</f>
        <v>0.10112487217361664</v>
      </c>
      <c r="E488" s="59">
        <f>IF(E468="","",(E468-'2016'!E223)/'2016'!E223)</f>
        <v>5.1454779991400315E-2</v>
      </c>
      <c r="F488" s="59">
        <f>IF(F468="","",(F468-'2016'!F223)/'2016'!F223)</f>
        <v>3.7645811240721104E-2</v>
      </c>
      <c r="G488" s="59" t="str">
        <f>IF(G478="","",(G478-'2014'!#REF!)/'2014'!#REF!)</f>
        <v/>
      </c>
      <c r="H488" s="59" t="str">
        <f>IF(H478="","",(H478-'2014'!#REF!)/'2014'!#REF!)</f>
        <v/>
      </c>
      <c r="I488" s="59" t="str">
        <f>IF(I478="","",(I478-'2014'!#REF!)/'2014'!#REF!)</f>
        <v/>
      </c>
      <c r="J488" s="58"/>
      <c r="K488" s="58"/>
      <c r="L488" s="58"/>
      <c r="M488" s="58" t="str">
        <f>IF(G488="","",M478-((1/'Proto 2013'!#REF!)*1000000))</f>
        <v/>
      </c>
      <c r="N488" s="58" t="str">
        <f>IF(H488="","",N478-((1/'Proto 2013'!#REF!)*1000000))</f>
        <v/>
      </c>
      <c r="O488" s="65" t="str">
        <f>IF(I488="","",O478-((1/'Proto 2013'!#REF!)*1000000))</f>
        <v/>
      </c>
    </row>
    <row r="489" spans="1:15" x14ac:dyDescent="0.25">
      <c r="A489" s="64" t="s">
        <v>16</v>
      </c>
      <c r="B489" s="54" t="s">
        <v>17</v>
      </c>
      <c r="C489" s="54" t="s">
        <v>12</v>
      </c>
      <c r="D489" s="59">
        <f>IF(D469="","",(D469-'2016'!D224)/'2016'!D224)</f>
        <v>-3.0282331511839709E-2</v>
      </c>
      <c r="E489" s="59">
        <f>IF(E469="","",(E469-'2016'!E224)/'2016'!E224)</f>
        <v>1.5580524344569288E-2</v>
      </c>
      <c r="F489" s="59">
        <f>IF(F469="","",(F469-'2016'!F224)/'2016'!F224)</f>
        <v>-6.5872814796047634E-3</v>
      </c>
      <c r="G489" s="59" t="str">
        <f>IF(G479="","",(G479-'2014'!#REF!)/'2014'!#REF!)</f>
        <v/>
      </c>
      <c r="H489" s="59" t="str">
        <f>IF(H479="","",(H479-'2014'!#REF!)/'2014'!#REF!)</f>
        <v/>
      </c>
      <c r="I489" s="59" t="str">
        <f>IF(I479="","",(I479-'2014'!#REF!)/'2014'!#REF!)</f>
        <v/>
      </c>
      <c r="J489" s="58"/>
      <c r="K489" s="58"/>
      <c r="L489" s="58"/>
      <c r="M489" s="58" t="str">
        <f>IF(G489="","",M479-((1/'Proto 2013'!#REF!)*1000000))</f>
        <v/>
      </c>
      <c r="N489" s="58" t="str">
        <f>IF(H489="","",N479-((1/'Proto 2013'!#REF!)*1000000))</f>
        <v/>
      </c>
      <c r="O489" s="65" t="str">
        <f>IF(I489="","",O479-((1/'Proto 2013'!#REF!)*1000000))</f>
        <v/>
      </c>
    </row>
    <row r="490" spans="1:15" ht="15.75" thickBot="1" x14ac:dyDescent="0.3">
      <c r="A490" s="70" t="s">
        <v>18</v>
      </c>
      <c r="B490" s="71" t="s">
        <v>19</v>
      </c>
      <c r="C490" s="71" t="s">
        <v>12</v>
      </c>
      <c r="D490" s="59">
        <f>IF(D470="","",(D470-'2016'!D225)/'2016'!D225)</f>
        <v>-2.048054919908467E-2</v>
      </c>
      <c r="E490" s="59">
        <f>IF(E470="","",(E470-'2016'!E225)/'2016'!E225)</f>
        <v>-7.850390464447185E-2</v>
      </c>
      <c r="F490" s="59">
        <f>IF(F470="","",(F470-'2016'!F225)/'2016'!F225)</f>
        <v>-6.6266566641660418E-2</v>
      </c>
      <c r="G490" s="72" t="str">
        <f>IF(G480="","",(G480-'2014'!#REF!)/'2014'!#REF!)</f>
        <v/>
      </c>
      <c r="H490" s="72" t="str">
        <f>IF(H480="","",(H480-'2014'!#REF!)/'2014'!#REF!)</f>
        <v/>
      </c>
      <c r="I490" s="72" t="str">
        <f>IF(I480="","",(I480-'2014'!#REF!)/'2014'!#REF!)</f>
        <v/>
      </c>
      <c r="J490" s="73"/>
      <c r="K490" s="73"/>
      <c r="L490" s="73"/>
      <c r="M490" s="73" t="str">
        <f>IF(G490="","",M480-((1/'Proto 2013'!#REF!)*1000000))</f>
        <v/>
      </c>
      <c r="N490" s="73" t="str">
        <f>IF(H490="","",N480-((1/'Proto 2013'!#REF!)*1000000))</f>
        <v/>
      </c>
      <c r="O490" s="74" t="str">
        <f>IF(I490="","",O480-((1/'Proto 2013'!#REF!)*1000000))</f>
        <v/>
      </c>
    </row>
    <row r="491" spans="1:15" ht="18.75" x14ac:dyDescent="0.25">
      <c r="A491" s="131" t="s">
        <v>90</v>
      </c>
      <c r="B491" s="132"/>
      <c r="C491" s="132"/>
      <c r="D491" s="132"/>
      <c r="E491" s="132"/>
      <c r="F491" s="132"/>
      <c r="G491" s="132"/>
      <c r="H491" s="132"/>
      <c r="I491" s="132"/>
      <c r="J491" s="132"/>
      <c r="K491" s="132"/>
      <c r="L491" s="132"/>
      <c r="M491" s="132"/>
      <c r="N491" s="132"/>
      <c r="O491" s="133"/>
    </row>
    <row r="492" spans="1:15" ht="15.75" x14ac:dyDescent="0.25">
      <c r="A492" s="134" t="s">
        <v>146</v>
      </c>
      <c r="B492" s="135"/>
      <c r="C492" s="135"/>
      <c r="D492" s="135"/>
      <c r="E492" s="135"/>
      <c r="F492" s="135"/>
      <c r="G492" s="135"/>
      <c r="H492" s="135"/>
      <c r="I492" s="135"/>
      <c r="J492" s="135"/>
      <c r="K492" s="135"/>
      <c r="L492" s="135"/>
      <c r="M492" s="135"/>
      <c r="N492" s="135"/>
      <c r="O492" s="136"/>
    </row>
    <row r="493" spans="1:15" x14ac:dyDescent="0.25">
      <c r="A493" s="137" t="s">
        <v>2</v>
      </c>
      <c r="B493" s="138"/>
      <c r="C493" s="138"/>
      <c r="D493" s="139" t="s">
        <v>3</v>
      </c>
      <c r="E493" s="139"/>
      <c r="F493" s="139"/>
      <c r="G493" s="139"/>
      <c r="H493" s="139"/>
      <c r="I493" s="139"/>
      <c r="J493" s="139" t="s">
        <v>4</v>
      </c>
      <c r="K493" s="139"/>
      <c r="L493" s="139"/>
      <c r="M493" s="139"/>
      <c r="N493" s="139"/>
      <c r="O493" s="140"/>
    </row>
    <row r="494" spans="1:15" x14ac:dyDescent="0.25">
      <c r="A494" s="62" t="s">
        <v>5</v>
      </c>
      <c r="B494" s="51" t="s">
        <v>6</v>
      </c>
      <c r="C494" s="51" t="s">
        <v>7</v>
      </c>
      <c r="D494" s="52">
        <v>1</v>
      </c>
      <c r="E494" s="52">
        <v>4</v>
      </c>
      <c r="F494" s="52">
        <v>16</v>
      </c>
      <c r="G494" s="53">
        <v>32</v>
      </c>
      <c r="H494" s="53">
        <v>64</v>
      </c>
      <c r="I494" s="53">
        <v>80</v>
      </c>
      <c r="J494" s="53">
        <v>1</v>
      </c>
      <c r="K494" s="53">
        <v>4</v>
      </c>
      <c r="L494" s="53">
        <v>16</v>
      </c>
      <c r="M494" s="53">
        <v>32</v>
      </c>
      <c r="N494" s="53">
        <v>64</v>
      </c>
      <c r="O494" s="63">
        <v>80</v>
      </c>
    </row>
    <row r="495" spans="1:15" x14ac:dyDescent="0.25">
      <c r="A495" s="64" t="s">
        <v>8</v>
      </c>
      <c r="B495" s="54" t="s">
        <v>9</v>
      </c>
      <c r="C495" s="55" t="s">
        <v>10</v>
      </c>
      <c r="D495" s="60">
        <v>42666</v>
      </c>
      <c r="E495" s="60">
        <v>21114</v>
      </c>
      <c r="F495" s="60">
        <v>5687</v>
      </c>
      <c r="G495" s="57"/>
      <c r="H495" s="56"/>
      <c r="I495" s="56"/>
      <c r="J495" s="58">
        <f>IF(D495="","",(1/D495)*1000000)</f>
        <v>23.437866216659636</v>
      </c>
      <c r="K495" s="58">
        <f t="shared" ref="K495:K500" si="122">IF(E495="","",(1/E495)*1000000)</f>
        <v>47.361939945060151</v>
      </c>
      <c r="L495" s="58">
        <f t="shared" ref="L495:L500" si="123">IF(F495="","",(1/F495)*1000000)</f>
        <v>175.83963425356075</v>
      </c>
      <c r="M495" s="58" t="str">
        <f t="shared" ref="M495:M500" si="124">IF(G495="","",(1/G495)*1000000)</f>
        <v/>
      </c>
      <c r="N495" s="58" t="str">
        <f t="shared" ref="N495:N500" si="125">IF(H495="","",(1/H495)*1000000)</f>
        <v/>
      </c>
      <c r="O495" s="65" t="str">
        <f t="shared" ref="O495:O500" si="126">IF(I495="","",(1/I495)*1000000)</f>
        <v/>
      </c>
    </row>
    <row r="496" spans="1:15" x14ac:dyDescent="0.25">
      <c r="A496" s="64" t="s">
        <v>11</v>
      </c>
      <c r="B496" s="54" t="s">
        <v>9</v>
      </c>
      <c r="C496" s="55" t="s">
        <v>12</v>
      </c>
      <c r="D496" s="60">
        <v>9981</v>
      </c>
      <c r="E496" s="60">
        <v>7691</v>
      </c>
      <c r="F496" s="60">
        <v>3734</v>
      </c>
      <c r="G496" s="57"/>
      <c r="H496" s="56"/>
      <c r="I496" s="56"/>
      <c r="J496" s="58">
        <f t="shared" ref="J496:J500" si="127">IF(D496="","",(1/D496)*1000000)</f>
        <v>100.19036168720568</v>
      </c>
      <c r="K496" s="58">
        <f t="shared" si="122"/>
        <v>130.0221037576388</v>
      </c>
      <c r="L496" s="58">
        <f t="shared" si="123"/>
        <v>267.80931976432777</v>
      </c>
      <c r="M496" s="58" t="str">
        <f t="shared" si="124"/>
        <v/>
      </c>
      <c r="N496" s="58" t="str">
        <f t="shared" si="125"/>
        <v/>
      </c>
      <c r="O496" s="65" t="str">
        <f t="shared" si="126"/>
        <v/>
      </c>
    </row>
    <row r="497" spans="1:15" x14ac:dyDescent="0.25">
      <c r="A497" s="64" t="s">
        <v>13</v>
      </c>
      <c r="B497" s="54" t="s">
        <v>14</v>
      </c>
      <c r="C497" s="55" t="s">
        <v>10</v>
      </c>
      <c r="D497" s="60">
        <v>43200</v>
      </c>
      <c r="E497" s="60">
        <v>17596</v>
      </c>
      <c r="F497" s="60">
        <v>5478</v>
      </c>
      <c r="G497" s="57"/>
      <c r="H497" s="56"/>
      <c r="I497" s="56"/>
      <c r="J497" s="58">
        <f t="shared" si="127"/>
        <v>23.148148148148145</v>
      </c>
      <c r="K497" s="58">
        <f t="shared" si="122"/>
        <v>56.831097976812913</v>
      </c>
      <c r="L497" s="58">
        <f t="shared" si="123"/>
        <v>182.54837531945967</v>
      </c>
      <c r="M497" s="58" t="str">
        <f t="shared" si="124"/>
        <v/>
      </c>
      <c r="N497" s="58" t="str">
        <f t="shared" si="125"/>
        <v/>
      </c>
      <c r="O497" s="65" t="str">
        <f t="shared" si="126"/>
        <v/>
      </c>
    </row>
    <row r="498" spans="1:15" x14ac:dyDescent="0.25">
      <c r="A498" s="64" t="s">
        <v>15</v>
      </c>
      <c r="B498" s="54" t="s">
        <v>14</v>
      </c>
      <c r="C498" s="55" t="s">
        <v>12</v>
      </c>
      <c r="D498" s="60">
        <v>8996</v>
      </c>
      <c r="E498" s="60">
        <v>7320</v>
      </c>
      <c r="F498" s="60">
        <v>3867</v>
      </c>
      <c r="G498" s="57"/>
      <c r="H498" s="56"/>
      <c r="I498" s="56"/>
      <c r="J498" s="58">
        <f t="shared" si="127"/>
        <v>111.16051578479323</v>
      </c>
      <c r="K498" s="58">
        <f t="shared" si="122"/>
        <v>136.61202185792351</v>
      </c>
      <c r="L498" s="58">
        <f t="shared" si="123"/>
        <v>258.5983966899405</v>
      </c>
      <c r="M498" s="58" t="str">
        <f t="shared" si="124"/>
        <v/>
      </c>
      <c r="N498" s="58" t="str">
        <f t="shared" si="125"/>
        <v/>
      </c>
      <c r="O498" s="65" t="str">
        <f t="shared" si="126"/>
        <v/>
      </c>
    </row>
    <row r="499" spans="1:15" x14ac:dyDescent="0.25">
      <c r="A499" s="64" t="s">
        <v>16</v>
      </c>
      <c r="B499" s="54" t="s">
        <v>17</v>
      </c>
      <c r="C499" s="55" t="s">
        <v>12</v>
      </c>
      <c r="D499" s="60">
        <v>8679</v>
      </c>
      <c r="E499" s="60">
        <v>6616</v>
      </c>
      <c r="F499" s="60">
        <v>3867</v>
      </c>
      <c r="G499" s="57"/>
      <c r="H499" s="56"/>
      <c r="I499" s="56"/>
      <c r="J499" s="58">
        <f t="shared" si="127"/>
        <v>115.22064754003918</v>
      </c>
      <c r="K499" s="58">
        <f t="shared" si="122"/>
        <v>151.14873035066503</v>
      </c>
      <c r="L499" s="58">
        <f t="shared" si="123"/>
        <v>258.5983966899405</v>
      </c>
      <c r="M499" s="58" t="str">
        <f t="shared" si="124"/>
        <v/>
      </c>
      <c r="N499" s="58" t="str">
        <f t="shared" si="125"/>
        <v/>
      </c>
      <c r="O499" s="65" t="str">
        <f t="shared" si="126"/>
        <v/>
      </c>
    </row>
    <row r="500" spans="1:15" x14ac:dyDescent="0.25">
      <c r="A500" s="64" t="s">
        <v>18</v>
      </c>
      <c r="B500" s="54" t="s">
        <v>19</v>
      </c>
      <c r="C500" s="55" t="s">
        <v>12</v>
      </c>
      <c r="D500" s="60">
        <v>8481</v>
      </c>
      <c r="E500" s="60">
        <v>6813</v>
      </c>
      <c r="F500" s="60">
        <v>3856</v>
      </c>
      <c r="G500" s="57"/>
      <c r="H500" s="56"/>
      <c r="I500" s="56"/>
      <c r="J500" s="58">
        <f t="shared" si="127"/>
        <v>117.91062374719962</v>
      </c>
      <c r="K500" s="58">
        <f t="shared" si="122"/>
        <v>146.77821811243211</v>
      </c>
      <c r="L500" s="58">
        <f t="shared" si="123"/>
        <v>259.33609958506224</v>
      </c>
      <c r="M500" s="58" t="str">
        <f t="shared" si="124"/>
        <v/>
      </c>
      <c r="N500" s="58" t="str">
        <f t="shared" si="125"/>
        <v/>
      </c>
      <c r="O500" s="65" t="str">
        <f t="shared" si="126"/>
        <v/>
      </c>
    </row>
    <row r="501" spans="1:15" x14ac:dyDescent="0.25">
      <c r="A501" s="141" t="s">
        <v>147</v>
      </c>
      <c r="B501" s="142"/>
      <c r="C501" s="142"/>
      <c r="D501" s="142"/>
      <c r="E501" s="142"/>
      <c r="F501" s="142"/>
      <c r="G501" s="143"/>
      <c r="H501" s="143"/>
      <c r="I501" s="61"/>
      <c r="J501" s="61"/>
      <c r="K501" s="61"/>
      <c r="L501" s="61"/>
      <c r="M501" s="61"/>
      <c r="N501" s="61"/>
      <c r="O501" s="66"/>
    </row>
    <row r="502" spans="1:15" ht="18.75" x14ac:dyDescent="0.3">
      <c r="A502" s="144" t="s">
        <v>89</v>
      </c>
      <c r="B502" s="145"/>
      <c r="C502" s="145"/>
      <c r="D502" s="145"/>
      <c r="E502" s="145"/>
      <c r="F502" s="145"/>
      <c r="G502" s="145"/>
      <c r="H502" s="145"/>
      <c r="I502" s="145"/>
      <c r="J502" s="145"/>
      <c r="K502" s="145"/>
      <c r="L502" s="145"/>
      <c r="M502" s="145"/>
      <c r="N502" s="145"/>
      <c r="O502" s="146"/>
    </row>
    <row r="503" spans="1:15" x14ac:dyDescent="0.25">
      <c r="A503" s="137" t="s">
        <v>2</v>
      </c>
      <c r="B503" s="138"/>
      <c r="C503" s="138"/>
      <c r="D503" s="139" t="s">
        <v>20</v>
      </c>
      <c r="E503" s="139"/>
      <c r="F503" s="139"/>
      <c r="G503" s="139"/>
      <c r="H503" s="139"/>
      <c r="I503" s="139"/>
      <c r="J503" s="139" t="s">
        <v>23</v>
      </c>
      <c r="K503" s="139"/>
      <c r="L503" s="139"/>
      <c r="M503" s="139"/>
      <c r="N503" s="139"/>
      <c r="O503" s="140"/>
    </row>
    <row r="504" spans="1:15" x14ac:dyDescent="0.25">
      <c r="A504" s="62" t="s">
        <v>5</v>
      </c>
      <c r="B504" s="51" t="s">
        <v>6</v>
      </c>
      <c r="C504" s="51" t="s">
        <v>7</v>
      </c>
      <c r="D504" s="53">
        <v>1</v>
      </c>
      <c r="E504" s="53">
        <v>4</v>
      </c>
      <c r="F504" s="53">
        <v>16</v>
      </c>
      <c r="G504" s="53">
        <v>32</v>
      </c>
      <c r="H504" s="53">
        <v>64</v>
      </c>
      <c r="I504" s="53">
        <v>80</v>
      </c>
      <c r="J504" s="53">
        <v>1</v>
      </c>
      <c r="K504" s="53">
        <v>4</v>
      </c>
      <c r="L504" s="53">
        <v>16</v>
      </c>
      <c r="M504" s="53">
        <v>32</v>
      </c>
      <c r="N504" s="53">
        <v>64</v>
      </c>
      <c r="O504" s="63">
        <v>80</v>
      </c>
    </row>
    <row r="505" spans="1:15" x14ac:dyDescent="0.25">
      <c r="A505" s="64" t="s">
        <v>8</v>
      </c>
      <c r="B505" s="54" t="s">
        <v>9</v>
      </c>
      <c r="C505" s="54" t="s">
        <v>10</v>
      </c>
      <c r="D505" s="59">
        <f>IF(D495="","",(D495-'2016'!D191)/'2016'!D191)</f>
        <v>0</v>
      </c>
      <c r="E505" s="59">
        <f>IF(E495="","",(E495-'2016'!E191)/'2016'!E191)</f>
        <v>0.12446077648186611</v>
      </c>
      <c r="F505" s="59">
        <f>IF(F495="","",(F495-'2016'!F191)/'2016'!F191)</f>
        <v>-0.10973700688791484</v>
      </c>
      <c r="G505" s="59" t="str">
        <f>IF(G495="","",(G495-'2014'!#REF!)/'2014'!#REF!)</f>
        <v/>
      </c>
      <c r="H505" s="59" t="str">
        <f>IF(H495="","",(H495-'2014'!#REF!)/'2014'!#REF!)</f>
        <v/>
      </c>
      <c r="I505" s="58" t="str">
        <f>IF(I495="","",(I495-'2014'!#REF!)/'2014'!#REF!)</f>
        <v/>
      </c>
      <c r="J505" s="58"/>
      <c r="K505" s="58"/>
      <c r="L505" s="58"/>
      <c r="M505" s="58" t="str">
        <f>IF(G505="","",M495-((1/'Proto 2013'!#REF!)*1000000))</f>
        <v/>
      </c>
      <c r="N505" s="58" t="str">
        <f>IF(H505="","",N495-((1/'Proto 2013'!#REF!)*1000000))</f>
        <v/>
      </c>
      <c r="O505" s="65" t="str">
        <f>IF(I505="","",O495-((1/'Proto 2013'!#REF!)*1000000))</f>
        <v/>
      </c>
    </row>
    <row r="506" spans="1:15" x14ac:dyDescent="0.25">
      <c r="A506" s="64" t="s">
        <v>11</v>
      </c>
      <c r="B506" s="54" t="s">
        <v>9</v>
      </c>
      <c r="C506" s="54" t="s">
        <v>12</v>
      </c>
      <c r="D506" s="59">
        <f>IF(D496="","",(D496-'2016'!D192)/'2016'!D192)</f>
        <v>4.4256120527306965E-2</v>
      </c>
      <c r="E506" s="59">
        <f>IF(E496="","",(E496-'2016'!E192)/'2016'!E192)</f>
        <v>5.6223849372384936E-3</v>
      </c>
      <c r="F506" s="59">
        <f>IF(F496="","",(F496-'2016'!F192)/'2016'!F192)</f>
        <v>-0.10691222195646974</v>
      </c>
      <c r="G506" s="59" t="str">
        <f>IF(G496="","",(G496-'2014'!#REF!)/'2014'!#REF!)</f>
        <v/>
      </c>
      <c r="H506" s="59" t="str">
        <f>IF(H496="","",(H496-'2014'!#REF!)/'2014'!#REF!)</f>
        <v/>
      </c>
      <c r="I506" s="59" t="str">
        <f>IF(I496="","",(I496-'2014'!#REF!)/'2014'!#REF!)</f>
        <v/>
      </c>
      <c r="J506" s="58"/>
      <c r="K506" s="58"/>
      <c r="L506" s="58"/>
      <c r="M506" s="58" t="str">
        <f>IF(G506="","",M496-((1/'Proto 2013'!#REF!)*1000000))</f>
        <v/>
      </c>
      <c r="N506" s="58" t="str">
        <f>IF(H506="","",N496-((1/'Proto 2013'!#REF!)*1000000))</f>
        <v/>
      </c>
      <c r="O506" s="65" t="str">
        <f>IF(I506="","",O496-((1/'Proto 2013'!#REF!)*1000000))</f>
        <v/>
      </c>
    </row>
    <row r="507" spans="1:15" x14ac:dyDescent="0.25">
      <c r="A507" s="64" t="s">
        <v>13</v>
      </c>
      <c r="B507" s="54" t="s">
        <v>14</v>
      </c>
      <c r="C507" s="54" t="s">
        <v>10</v>
      </c>
      <c r="D507" s="59">
        <f>IF(D497="","",(D497-'2016'!D193)/'2016'!D193)</f>
        <v>5.0507015538749603E-2</v>
      </c>
      <c r="E507" s="59">
        <f>IF(E497="","",(E497-'2016'!E193)/'2016'!E193)</f>
        <v>-5.0325134294599942E-3</v>
      </c>
      <c r="F507" s="59">
        <f>IF(F497="","",(F497-'2016'!F193)/'2016'!F193)</f>
        <v>-2.630643441166015E-2</v>
      </c>
      <c r="G507" s="59" t="str">
        <f>IF(G497="","",(G497-'2014'!#REF!)/'2014'!#REF!)</f>
        <v/>
      </c>
      <c r="H507" s="59" t="str">
        <f>IF(H497="","",(H497-'2014'!#REF!)/'2014'!#REF!)</f>
        <v/>
      </c>
      <c r="I507" s="59" t="str">
        <f>IF(I497="","",(I497-'2014'!#REF!)/'2014'!#REF!)</f>
        <v/>
      </c>
      <c r="J507" s="58"/>
      <c r="K507" s="58"/>
      <c r="L507" s="58"/>
      <c r="M507" s="58" t="str">
        <f>IF(G507="","",M497-((1/'Proto 2013'!#REF!)*1000000))</f>
        <v/>
      </c>
      <c r="N507" s="58" t="str">
        <f>IF(H507="","",N497-((1/'Proto 2013'!#REF!)*1000000))</f>
        <v/>
      </c>
      <c r="O507" s="65" t="str">
        <f>IF(I507="","",O497-((1/'Proto 2013'!#REF!)*1000000))</f>
        <v/>
      </c>
    </row>
    <row r="508" spans="1:15" x14ac:dyDescent="0.25">
      <c r="A508" s="64" t="s">
        <v>15</v>
      </c>
      <c r="B508" s="54" t="s">
        <v>14</v>
      </c>
      <c r="C508" s="54" t="s">
        <v>12</v>
      </c>
      <c r="D508" s="59">
        <f>IF(D498="","",(D498-'2016'!D194)/'2016'!D194)</f>
        <v>-2.2173913043478259E-2</v>
      </c>
      <c r="E508" s="59">
        <f>IF(E498="","",(E498-'2016'!E194)/'2016'!E194)</f>
        <v>4.9913941480206538E-2</v>
      </c>
      <c r="F508" s="59">
        <f>IF(F498="","",(F498-'2016'!F194)/'2016'!F194)</f>
        <v>3.5618639528655599E-2</v>
      </c>
      <c r="G508" s="59" t="str">
        <f>IF(G498="","",(G498-'2014'!#REF!)/'2014'!#REF!)</f>
        <v/>
      </c>
      <c r="H508" s="59" t="str">
        <f>IF(H498="","",(H498-'2014'!#REF!)/'2014'!#REF!)</f>
        <v/>
      </c>
      <c r="I508" s="59" t="str">
        <f>IF(I498="","",(I498-'2014'!#REF!)/'2014'!#REF!)</f>
        <v/>
      </c>
      <c r="J508" s="58"/>
      <c r="K508" s="58"/>
      <c r="L508" s="58"/>
      <c r="M508" s="58" t="str">
        <f>IF(G508="","",M498-((1/'Proto 2013'!#REF!)*1000000))</f>
        <v/>
      </c>
      <c r="N508" s="58" t="str">
        <f>IF(H508="","",N498-((1/'Proto 2013'!#REF!)*1000000))</f>
        <v/>
      </c>
      <c r="O508" s="65" t="str">
        <f>IF(I508="","",O498-((1/'Proto 2013'!#REF!)*1000000))</f>
        <v/>
      </c>
    </row>
    <row r="509" spans="1:15" x14ac:dyDescent="0.25">
      <c r="A509" s="64" t="s">
        <v>16</v>
      </c>
      <c r="B509" s="54" t="s">
        <v>17</v>
      </c>
      <c r="C509" s="54" t="s">
        <v>12</v>
      </c>
      <c r="D509" s="59">
        <f>IF(D499="","",(D499-'2016'!D195)/'2016'!D195)</f>
        <v>2.5280567040756055E-2</v>
      </c>
      <c r="E509" s="59">
        <f>IF(E499="","",(E499-'2016'!E195)/'2016'!E195)</f>
        <v>-8.707051193597351E-2</v>
      </c>
      <c r="F509" s="59">
        <f>IF(F499="","",(F499-'2016'!F195)/'2016'!F195)</f>
        <v>-2.0268558398783887E-2</v>
      </c>
      <c r="G509" s="59" t="str">
        <f>IF(G499="","",(G499-'2014'!#REF!)/'2014'!#REF!)</f>
        <v/>
      </c>
      <c r="H509" s="59" t="str">
        <f>IF(H499="","",(H499-'2014'!#REF!)/'2014'!#REF!)</f>
        <v/>
      </c>
      <c r="I509" s="59" t="str">
        <f>IF(I499="","",(I499-'2014'!#REF!)/'2014'!#REF!)</f>
        <v/>
      </c>
      <c r="J509" s="58"/>
      <c r="K509" s="58"/>
      <c r="L509" s="58"/>
      <c r="M509" s="58" t="str">
        <f>IF(G509="","",M499-((1/'Proto 2013'!#REF!)*1000000))</f>
        <v/>
      </c>
      <c r="N509" s="58" t="str">
        <f>IF(H509="","",N499-((1/'Proto 2013'!#REF!)*1000000))</f>
        <v/>
      </c>
      <c r="O509" s="65" t="str">
        <f>IF(I509="","",O499-((1/'Proto 2013'!#REF!)*1000000))</f>
        <v/>
      </c>
    </row>
    <row r="510" spans="1:15" ht="15.75" thickBot="1" x14ac:dyDescent="0.3">
      <c r="A510" s="70" t="s">
        <v>18</v>
      </c>
      <c r="B510" s="71" t="s">
        <v>19</v>
      </c>
      <c r="C510" s="71" t="s">
        <v>12</v>
      </c>
      <c r="D510" s="59">
        <f>IF(D500="","",(D500-'2016'!D196)/'2016'!D196)</f>
        <v>5.8801498127340826E-2</v>
      </c>
      <c r="E510" s="59">
        <f>IF(E500="","",(E500-'2016'!E196)/'2016'!E196)</f>
        <v>2.0674157303370785E-2</v>
      </c>
      <c r="F510" s="59">
        <f>IF(F500="","",(F500-'2016'!F196)/'2016'!F196)</f>
        <v>-3.1399145943230344E-2</v>
      </c>
      <c r="G510" s="72" t="str">
        <f>IF(G500="","",(G500-'2014'!#REF!)/'2014'!#REF!)</f>
        <v/>
      </c>
      <c r="H510" s="72" t="str">
        <f>IF(H500="","",(H500-'2014'!#REF!)/'2014'!#REF!)</f>
        <v/>
      </c>
      <c r="I510" s="72" t="str">
        <f>IF(I500="","",(I500-'2014'!#REF!)/'2014'!#REF!)</f>
        <v/>
      </c>
      <c r="J510" s="73"/>
      <c r="K510" s="73"/>
      <c r="L510" s="73"/>
      <c r="M510" s="73" t="str">
        <f>IF(G510="","",M500-((1/'Proto 2013'!#REF!)*1000000))</f>
        <v/>
      </c>
      <c r="N510" s="73" t="str">
        <f>IF(H510="","",N500-((1/'Proto 2013'!#REF!)*1000000))</f>
        <v/>
      </c>
      <c r="O510" s="74" t="str">
        <f>IF(I510="","",O500-((1/'Proto 2013'!#REF!)*1000000))</f>
        <v/>
      </c>
    </row>
    <row r="511" spans="1:15" x14ac:dyDescent="0.25">
      <c r="D511" s="59" t="str">
        <f>IF(D501="","",(D501-'2016'!D257)/'2016'!D257)</f>
        <v/>
      </c>
    </row>
    <row r="512" spans="1:15" ht="18.75" x14ac:dyDescent="0.3">
      <c r="A512" s="144" t="s">
        <v>132</v>
      </c>
      <c r="B512" s="145"/>
      <c r="C512" s="145"/>
      <c r="D512" s="145"/>
      <c r="E512" s="145"/>
      <c r="F512" s="145"/>
      <c r="G512" s="145"/>
      <c r="H512" s="145"/>
      <c r="I512" s="145"/>
      <c r="J512" s="145"/>
      <c r="K512" s="145"/>
      <c r="L512" s="145"/>
      <c r="M512" s="145"/>
      <c r="N512" s="145"/>
      <c r="O512" s="146"/>
    </row>
    <row r="513" spans="1:15" x14ac:dyDescent="0.25">
      <c r="A513" s="137" t="s">
        <v>2</v>
      </c>
      <c r="B513" s="138"/>
      <c r="C513" s="138"/>
      <c r="D513" s="139" t="s">
        <v>20</v>
      </c>
      <c r="E513" s="139"/>
      <c r="F513" s="139"/>
      <c r="G513" s="139"/>
      <c r="H513" s="139"/>
      <c r="I513" s="139"/>
      <c r="J513" s="139" t="s">
        <v>23</v>
      </c>
      <c r="K513" s="139"/>
      <c r="L513" s="139"/>
      <c r="M513" s="139"/>
      <c r="N513" s="139"/>
      <c r="O513" s="140"/>
    </row>
    <row r="514" spans="1:15" x14ac:dyDescent="0.25">
      <c r="A514" s="62" t="s">
        <v>5</v>
      </c>
      <c r="B514" s="51" t="s">
        <v>6</v>
      </c>
      <c r="C514" s="51" t="s">
        <v>7</v>
      </c>
      <c r="D514" s="53">
        <v>1</v>
      </c>
      <c r="E514" s="53">
        <v>4</v>
      </c>
      <c r="F514" s="53">
        <v>16</v>
      </c>
      <c r="G514" s="53">
        <v>32</v>
      </c>
      <c r="H514" s="53">
        <v>64</v>
      </c>
      <c r="I514" s="53">
        <v>80</v>
      </c>
      <c r="J514" s="53">
        <v>1</v>
      </c>
      <c r="K514" s="53">
        <v>4</v>
      </c>
      <c r="L514" s="53">
        <v>16</v>
      </c>
      <c r="M514" s="53">
        <v>32</v>
      </c>
      <c r="N514" s="53">
        <v>64</v>
      </c>
      <c r="O514" s="63">
        <v>80</v>
      </c>
    </row>
    <row r="515" spans="1:15" x14ac:dyDescent="0.25">
      <c r="A515" s="64" t="s">
        <v>8</v>
      </c>
      <c r="B515" s="54" t="s">
        <v>9</v>
      </c>
      <c r="C515" s="54" t="s">
        <v>10</v>
      </c>
      <c r="D515" s="59">
        <f>IF(D495="","",(D495-'2016'!D220)/'2016'!D220)</f>
        <v>-0.12135752383698181</v>
      </c>
      <c r="E515" s="59">
        <f>IF(E495="","",(E495-'2016'!E220)/'2016'!E220)</f>
        <v>0.12446077648186611</v>
      </c>
      <c r="F515" s="59">
        <f>IF(F495="","",(F495-'2016'!F220)/'2016'!F220)</f>
        <v>-0.10072738772928526</v>
      </c>
      <c r="G515" s="59" t="str">
        <f>IF(G505="","",(G505-'2014'!#REF!)/'2014'!#REF!)</f>
        <v/>
      </c>
      <c r="H515" s="59" t="str">
        <f>IF(H505="","",(H505-'2014'!#REF!)/'2014'!#REF!)</f>
        <v/>
      </c>
      <c r="I515" s="58" t="str">
        <f>IF(I505="","",(I505-'2014'!#REF!)/'2014'!#REF!)</f>
        <v/>
      </c>
      <c r="J515" s="58"/>
      <c r="K515" s="58"/>
      <c r="L515" s="58"/>
      <c r="M515" s="58" t="str">
        <f>IF(G515="","",M505-((1/'Proto 2013'!#REF!)*1000000))</f>
        <v/>
      </c>
      <c r="N515" s="58" t="str">
        <f>IF(H515="","",N505-((1/'Proto 2013'!#REF!)*1000000))</f>
        <v/>
      </c>
      <c r="O515" s="65" t="str">
        <f>IF(I515="","",O505-((1/'Proto 2013'!#REF!)*1000000))</f>
        <v/>
      </c>
    </row>
    <row r="516" spans="1:15" x14ac:dyDescent="0.25">
      <c r="A516" s="64" t="s">
        <v>11</v>
      </c>
      <c r="B516" s="54" t="s">
        <v>9</v>
      </c>
      <c r="C516" s="54" t="s">
        <v>12</v>
      </c>
      <c r="D516" s="59">
        <f>IF(D496="","",(D496-'2016'!D221)/'2016'!D221)</f>
        <v>4.2402088772845951E-2</v>
      </c>
      <c r="E516" s="59">
        <f>IF(E496="","",(E496-'2016'!E221)/'2016'!E221)</f>
        <v>-6.9722401549386697E-3</v>
      </c>
      <c r="F516" s="59">
        <f>IF(F496="","",(F496-'2016'!F221)/'2016'!F221)</f>
        <v>-7.390873015873016E-2</v>
      </c>
      <c r="G516" s="59" t="str">
        <f>IF(G506="","",(G506-'2014'!#REF!)/'2014'!#REF!)</f>
        <v/>
      </c>
      <c r="H516" s="59" t="str">
        <f>IF(H506="","",(H506-'2014'!#REF!)/'2014'!#REF!)</f>
        <v/>
      </c>
      <c r="I516" s="59" t="str">
        <f>IF(I506="","",(I506-'2014'!#REF!)/'2014'!#REF!)</f>
        <v/>
      </c>
      <c r="J516" s="58"/>
      <c r="K516" s="58"/>
      <c r="L516" s="58"/>
      <c r="M516" s="58" t="str">
        <f>IF(G516="","",M506-((1/'Proto 2013'!#REF!)*1000000))</f>
        <v/>
      </c>
      <c r="N516" s="58" t="str">
        <f>IF(H516="","",N506-((1/'Proto 2013'!#REF!)*1000000))</f>
        <v/>
      </c>
      <c r="O516" s="65" t="str">
        <f>IF(I516="","",O506-((1/'Proto 2013'!#REF!)*1000000))</f>
        <v/>
      </c>
    </row>
    <row r="517" spans="1:15" x14ac:dyDescent="0.25">
      <c r="A517" s="64" t="s">
        <v>13</v>
      </c>
      <c r="B517" s="54" t="s">
        <v>14</v>
      </c>
      <c r="C517" s="54" t="s">
        <v>10</v>
      </c>
      <c r="D517" s="59">
        <f>IF(D497="","",(D497-'2016'!D222)/'2016'!D222)</f>
        <v>0.25431898028512528</v>
      </c>
      <c r="E517" s="59">
        <f>IF(E497="","",(E497-'2016'!E222)/'2016'!E222)</f>
        <v>4.514136374435733E-2</v>
      </c>
      <c r="F517" s="59">
        <f>IF(F497="","",(F497-'2016'!F222)/'2016'!F222)</f>
        <v>-5.266025059015798E-3</v>
      </c>
      <c r="G517" s="59" t="str">
        <f>IF(G507="","",(G507-'2014'!#REF!)/'2014'!#REF!)</f>
        <v/>
      </c>
      <c r="H517" s="59" t="str">
        <f>IF(H507="","",(H507-'2014'!#REF!)/'2014'!#REF!)</f>
        <v/>
      </c>
      <c r="I517" s="59" t="str">
        <f>IF(I507="","",(I507-'2014'!#REF!)/'2014'!#REF!)</f>
        <v/>
      </c>
      <c r="J517" s="58"/>
      <c r="K517" s="58"/>
      <c r="L517" s="58"/>
      <c r="M517" s="58" t="str">
        <f>IF(G517="","",M507-((1/'Proto 2013'!#REF!)*1000000))</f>
        <v/>
      </c>
      <c r="N517" s="58" t="str">
        <f>IF(H517="","",N507-((1/'Proto 2013'!#REF!)*1000000))</f>
        <v/>
      </c>
      <c r="O517" s="65" t="str">
        <f>IF(I517="","",O507-((1/'Proto 2013'!#REF!)*1000000))</f>
        <v/>
      </c>
    </row>
    <row r="518" spans="1:15" x14ac:dyDescent="0.25">
      <c r="A518" s="64" t="s">
        <v>15</v>
      </c>
      <c r="B518" s="54" t="s">
        <v>14</v>
      </c>
      <c r="C518" s="54" t="s">
        <v>12</v>
      </c>
      <c r="D518" s="59">
        <f>IF(D498="","",(D498-'2016'!D223)/'2016'!D223)</f>
        <v>2.2156573116691284E-2</v>
      </c>
      <c r="E518" s="59">
        <f>IF(E498="","",(E498-'2016'!E223)/'2016'!E223)</f>
        <v>4.9161530743872722E-2</v>
      </c>
      <c r="F518" s="59">
        <f>IF(F498="","",(F498-'2016'!F223)/'2016'!F223)</f>
        <v>2.5185577942735949E-2</v>
      </c>
      <c r="G518" s="59" t="str">
        <f>IF(G508="","",(G508-'2014'!#REF!)/'2014'!#REF!)</f>
        <v/>
      </c>
      <c r="H518" s="59" t="str">
        <f>IF(H508="","",(H508-'2014'!#REF!)/'2014'!#REF!)</f>
        <v/>
      </c>
      <c r="I518" s="59" t="str">
        <f>IF(I508="","",(I508-'2014'!#REF!)/'2014'!#REF!)</f>
        <v/>
      </c>
      <c r="J518" s="58"/>
      <c r="K518" s="58"/>
      <c r="L518" s="58"/>
      <c r="M518" s="58" t="str">
        <f>IF(G518="","",M508-((1/'Proto 2013'!#REF!)*1000000))</f>
        <v/>
      </c>
      <c r="N518" s="58" t="str">
        <f>IF(H518="","",N508-((1/'Proto 2013'!#REF!)*1000000))</f>
        <v/>
      </c>
      <c r="O518" s="65" t="str">
        <f>IF(I518="","",O508-((1/'Proto 2013'!#REF!)*1000000))</f>
        <v/>
      </c>
    </row>
    <row r="519" spans="1:15" x14ac:dyDescent="0.25">
      <c r="A519" s="64" t="s">
        <v>16</v>
      </c>
      <c r="B519" s="54" t="s">
        <v>17</v>
      </c>
      <c r="C519" s="54" t="s">
        <v>12</v>
      </c>
      <c r="D519" s="59">
        <f>IF(D499="","",(D499-'2016'!D224)/'2016'!D224)</f>
        <v>-1.1953551912568305E-2</v>
      </c>
      <c r="E519" s="59">
        <f>IF(E499="","",(E499-'2016'!E224)/'2016'!E224)</f>
        <v>-8.8389513108614228E-3</v>
      </c>
      <c r="F519" s="59">
        <f>IF(F499="","",(F499-'2016'!F224)/'2016'!F224)</f>
        <v>-2.0268558398783887E-2</v>
      </c>
      <c r="G519" s="59" t="str">
        <f>IF(G509="","",(G509-'2014'!#REF!)/'2014'!#REF!)</f>
        <v/>
      </c>
      <c r="H519" s="59" t="str">
        <f>IF(H509="","",(H509-'2014'!#REF!)/'2014'!#REF!)</f>
        <v/>
      </c>
      <c r="I519" s="59" t="str">
        <f>IF(I509="","",(I509-'2014'!#REF!)/'2014'!#REF!)</f>
        <v/>
      </c>
      <c r="J519" s="58"/>
      <c r="K519" s="58"/>
      <c r="L519" s="58"/>
      <c r="M519" s="58" t="str">
        <f>IF(G519="","",M509-((1/'Proto 2013'!#REF!)*1000000))</f>
        <v/>
      </c>
      <c r="N519" s="58" t="str">
        <f>IF(H519="","",N509-((1/'Proto 2013'!#REF!)*1000000))</f>
        <v/>
      </c>
      <c r="O519" s="65" t="str">
        <f>IF(I519="","",O509-((1/'Proto 2013'!#REF!)*1000000))</f>
        <v/>
      </c>
    </row>
    <row r="520" spans="1:15" ht="15.75" thickBot="1" x14ac:dyDescent="0.3">
      <c r="A520" s="70" t="s">
        <v>18</v>
      </c>
      <c r="B520" s="71" t="s">
        <v>19</v>
      </c>
      <c r="C520" s="71" t="s">
        <v>12</v>
      </c>
      <c r="D520" s="59">
        <f>IF(D500="","",(D500-'2016'!D225)/'2016'!D225)</f>
        <v>-2.9633867276887872E-2</v>
      </c>
      <c r="E520" s="59">
        <f>IF(E500="","",(E500-'2016'!E225)/'2016'!E225)</f>
        <v>-6.6584463625154133E-2</v>
      </c>
      <c r="F520" s="59">
        <f>IF(F500="","",(F500-'2016'!F225)/'2016'!F225)</f>
        <v>-3.5758939734933735E-2</v>
      </c>
      <c r="G520" s="72" t="str">
        <f>IF(G510="","",(G510-'2014'!#REF!)/'2014'!#REF!)</f>
        <v/>
      </c>
      <c r="H520" s="72" t="str">
        <f>IF(H510="","",(H510-'2014'!#REF!)/'2014'!#REF!)</f>
        <v/>
      </c>
      <c r="I520" s="72" t="str">
        <f>IF(I510="","",(I510-'2014'!#REF!)/'2014'!#REF!)</f>
        <v/>
      </c>
      <c r="J520" s="73"/>
      <c r="K520" s="73"/>
      <c r="L520" s="73"/>
      <c r="M520" s="73" t="str">
        <f>IF(G520="","",M510-((1/'Proto 2013'!#REF!)*1000000))</f>
        <v/>
      </c>
      <c r="N520" s="73" t="str">
        <f>IF(H520="","",N510-((1/'Proto 2013'!#REF!)*1000000))</f>
        <v/>
      </c>
      <c r="O520" s="74" t="str">
        <f>IF(I520="","",O510-((1/'Proto 2013'!#REF!)*1000000))</f>
        <v/>
      </c>
    </row>
    <row r="521" spans="1:15" ht="18.75" x14ac:dyDescent="0.25">
      <c r="A521" s="131" t="s">
        <v>90</v>
      </c>
      <c r="B521" s="132"/>
      <c r="C521" s="132"/>
      <c r="D521" s="132"/>
      <c r="E521" s="132"/>
      <c r="F521" s="132"/>
      <c r="G521" s="132"/>
      <c r="H521" s="132"/>
      <c r="I521" s="132"/>
      <c r="J521" s="132"/>
      <c r="K521" s="132"/>
      <c r="L521" s="132"/>
      <c r="M521" s="132"/>
      <c r="N521" s="132"/>
      <c r="O521" s="133"/>
    </row>
    <row r="522" spans="1:15" ht="15.75" x14ac:dyDescent="0.25">
      <c r="A522" s="134" t="s">
        <v>148</v>
      </c>
      <c r="B522" s="135"/>
      <c r="C522" s="135"/>
      <c r="D522" s="135"/>
      <c r="E522" s="135"/>
      <c r="F522" s="135"/>
      <c r="G522" s="135"/>
      <c r="H522" s="135"/>
      <c r="I522" s="135"/>
      <c r="J522" s="135"/>
      <c r="K522" s="135"/>
      <c r="L522" s="135"/>
      <c r="M522" s="135"/>
      <c r="N522" s="135"/>
      <c r="O522" s="136"/>
    </row>
    <row r="523" spans="1:15" x14ac:dyDescent="0.25">
      <c r="A523" s="137" t="s">
        <v>2</v>
      </c>
      <c r="B523" s="138"/>
      <c r="C523" s="138"/>
      <c r="D523" s="139" t="s">
        <v>3</v>
      </c>
      <c r="E523" s="139"/>
      <c r="F523" s="139"/>
      <c r="G523" s="139"/>
      <c r="H523" s="139"/>
      <c r="I523" s="139"/>
      <c r="J523" s="139" t="s">
        <v>4</v>
      </c>
      <c r="K523" s="139"/>
      <c r="L523" s="139"/>
      <c r="M523" s="139"/>
      <c r="N523" s="139"/>
      <c r="O523" s="140"/>
    </row>
    <row r="524" spans="1:15" x14ac:dyDescent="0.25">
      <c r="A524" s="62" t="s">
        <v>5</v>
      </c>
      <c r="B524" s="51" t="s">
        <v>6</v>
      </c>
      <c r="C524" s="51" t="s">
        <v>7</v>
      </c>
      <c r="D524" s="52">
        <v>1</v>
      </c>
      <c r="E524" s="52">
        <v>4</v>
      </c>
      <c r="F524" s="52">
        <v>16</v>
      </c>
      <c r="G524" s="53">
        <v>32</v>
      </c>
      <c r="H524" s="53">
        <v>64</v>
      </c>
      <c r="I524" s="53">
        <v>80</v>
      </c>
      <c r="J524" s="53">
        <v>1</v>
      </c>
      <c r="K524" s="53">
        <v>4</v>
      </c>
      <c r="L524" s="53">
        <v>16</v>
      </c>
      <c r="M524" s="53">
        <v>32</v>
      </c>
      <c r="N524" s="53">
        <v>64</v>
      </c>
      <c r="O524" s="63">
        <v>80</v>
      </c>
    </row>
    <row r="525" spans="1:15" x14ac:dyDescent="0.25">
      <c r="A525" s="64" t="s">
        <v>8</v>
      </c>
      <c r="B525" s="54" t="s">
        <v>9</v>
      </c>
      <c r="C525" s="55" t="s">
        <v>10</v>
      </c>
      <c r="D525" s="60">
        <v>38628</v>
      </c>
      <c r="E525" s="60">
        <v>21459</v>
      </c>
      <c r="F525" s="60">
        <v>5715</v>
      </c>
      <c r="G525" s="57"/>
      <c r="H525" s="56"/>
      <c r="I525" s="56"/>
      <c r="J525" s="58">
        <f>IF(D525="","",(1/D525)*1000000)</f>
        <v>25.887956922439681</v>
      </c>
      <c r="K525" s="58">
        <f t="shared" ref="K525:K530" si="128">IF(E525="","",(1/E525)*1000000)</f>
        <v>46.600493965236033</v>
      </c>
      <c r="L525" s="58">
        <f t="shared" ref="L525:L530" si="129">IF(F525="","",(1/F525)*1000000)</f>
        <v>174.97812773403322</v>
      </c>
      <c r="M525" s="58" t="str">
        <f t="shared" ref="M525:M530" si="130">IF(G525="","",(1/G525)*1000000)</f>
        <v/>
      </c>
      <c r="N525" s="58" t="str">
        <f t="shared" ref="N525:N530" si="131">IF(H525="","",(1/H525)*1000000)</f>
        <v/>
      </c>
      <c r="O525" s="65" t="str">
        <f t="shared" ref="O525:O530" si="132">IF(I525="","",(1/I525)*1000000)</f>
        <v/>
      </c>
    </row>
    <row r="526" spans="1:15" x14ac:dyDescent="0.25">
      <c r="A526" s="64" t="s">
        <v>11</v>
      </c>
      <c r="B526" s="54" t="s">
        <v>9</v>
      </c>
      <c r="C526" s="55" t="s">
        <v>12</v>
      </c>
      <c r="D526" s="60">
        <v>9655</v>
      </c>
      <c r="E526" s="60">
        <v>7900</v>
      </c>
      <c r="F526" s="60">
        <v>4131</v>
      </c>
      <c r="G526" s="57"/>
      <c r="H526" s="56"/>
      <c r="I526" s="56"/>
      <c r="J526" s="58">
        <f t="shared" ref="J526:J530" si="133">IF(D526="","",(1/D526)*1000000)</f>
        <v>103.57327809425168</v>
      </c>
      <c r="K526" s="58">
        <f t="shared" si="128"/>
        <v>126.58227848101266</v>
      </c>
      <c r="L526" s="58">
        <f t="shared" si="129"/>
        <v>242.07213749697408</v>
      </c>
      <c r="M526" s="58" t="str">
        <f t="shared" si="130"/>
        <v/>
      </c>
      <c r="N526" s="58" t="str">
        <f t="shared" si="131"/>
        <v/>
      </c>
      <c r="O526" s="65" t="str">
        <f t="shared" si="132"/>
        <v/>
      </c>
    </row>
    <row r="527" spans="1:15" x14ac:dyDescent="0.25">
      <c r="A527" s="64" t="s">
        <v>13</v>
      </c>
      <c r="B527" s="54" t="s">
        <v>14</v>
      </c>
      <c r="C527" s="55" t="s">
        <v>10</v>
      </c>
      <c r="D527" s="60">
        <v>42447</v>
      </c>
      <c r="E527" s="60">
        <v>16820</v>
      </c>
      <c r="F527" s="60">
        <v>5599</v>
      </c>
      <c r="G527" s="57"/>
      <c r="H527" s="56"/>
      <c r="I527" s="56"/>
      <c r="J527" s="58">
        <f t="shared" si="133"/>
        <v>23.558790962847787</v>
      </c>
      <c r="K527" s="58">
        <f t="shared" si="128"/>
        <v>59.453032104637337</v>
      </c>
      <c r="L527" s="58">
        <f t="shared" si="129"/>
        <v>178.60332202178961</v>
      </c>
      <c r="M527" s="58" t="str">
        <f t="shared" si="130"/>
        <v/>
      </c>
      <c r="N527" s="58" t="str">
        <f t="shared" si="131"/>
        <v/>
      </c>
      <c r="O527" s="65" t="str">
        <f t="shared" si="132"/>
        <v/>
      </c>
    </row>
    <row r="528" spans="1:15" x14ac:dyDescent="0.25">
      <c r="A528" s="64" t="s">
        <v>15</v>
      </c>
      <c r="B528" s="54" t="s">
        <v>14</v>
      </c>
      <c r="C528" s="55" t="s">
        <v>12</v>
      </c>
      <c r="D528" s="60">
        <v>8847</v>
      </c>
      <c r="E528" s="60">
        <v>7085</v>
      </c>
      <c r="F528" s="60">
        <v>3914</v>
      </c>
      <c r="G528" s="57"/>
      <c r="H528" s="56"/>
      <c r="I528" s="56"/>
      <c r="J528" s="58">
        <f t="shared" si="133"/>
        <v>113.03266644060133</v>
      </c>
      <c r="K528" s="58">
        <f t="shared" si="128"/>
        <v>141.14326040931547</v>
      </c>
      <c r="L528" s="58">
        <f t="shared" si="129"/>
        <v>255.49310168625451</v>
      </c>
      <c r="M528" s="58" t="str">
        <f t="shared" si="130"/>
        <v/>
      </c>
      <c r="N528" s="58" t="str">
        <f t="shared" si="131"/>
        <v/>
      </c>
      <c r="O528" s="65" t="str">
        <f t="shared" si="132"/>
        <v/>
      </c>
    </row>
    <row r="529" spans="1:15" x14ac:dyDescent="0.25">
      <c r="A529" s="64" t="s">
        <v>16</v>
      </c>
      <c r="B529" s="54" t="s">
        <v>17</v>
      </c>
      <c r="C529" s="55" t="s">
        <v>12</v>
      </c>
      <c r="D529" s="60">
        <v>8544</v>
      </c>
      <c r="E529" s="60">
        <v>6642</v>
      </c>
      <c r="F529" s="60">
        <v>3734</v>
      </c>
      <c r="G529" s="57"/>
      <c r="H529" s="56"/>
      <c r="I529" s="56"/>
      <c r="J529" s="58">
        <f t="shared" si="133"/>
        <v>117.04119850187266</v>
      </c>
      <c r="K529" s="58">
        <f t="shared" si="128"/>
        <v>150.55706112616681</v>
      </c>
      <c r="L529" s="58">
        <f t="shared" si="129"/>
        <v>267.80931976432777</v>
      </c>
      <c r="M529" s="58" t="str">
        <f t="shared" si="130"/>
        <v/>
      </c>
      <c r="N529" s="58" t="str">
        <f t="shared" si="131"/>
        <v/>
      </c>
      <c r="O529" s="65" t="str">
        <f t="shared" si="132"/>
        <v/>
      </c>
    </row>
    <row r="530" spans="1:15" x14ac:dyDescent="0.25">
      <c r="A530" s="64" t="s">
        <v>18</v>
      </c>
      <c r="B530" s="54" t="s">
        <v>19</v>
      </c>
      <c r="C530" s="55" t="s">
        <v>12</v>
      </c>
      <c r="D530" s="60">
        <v>8465</v>
      </c>
      <c r="E530" s="60">
        <v>6619</v>
      </c>
      <c r="F530" s="60">
        <v>3842</v>
      </c>
      <c r="G530" s="57"/>
      <c r="H530" s="56"/>
      <c r="I530" s="56"/>
      <c r="J530" s="58">
        <f t="shared" si="133"/>
        <v>118.13349084465446</v>
      </c>
      <c r="K530" s="58">
        <f t="shared" si="128"/>
        <v>151.08022359873092</v>
      </c>
      <c r="L530" s="58">
        <f t="shared" si="129"/>
        <v>260.28110359187923</v>
      </c>
      <c r="M530" s="58" t="str">
        <f t="shared" si="130"/>
        <v/>
      </c>
      <c r="N530" s="58" t="str">
        <f t="shared" si="131"/>
        <v/>
      </c>
      <c r="O530" s="65" t="str">
        <f t="shared" si="132"/>
        <v/>
      </c>
    </row>
    <row r="531" spans="1:15" x14ac:dyDescent="0.25">
      <c r="A531" s="141" t="s">
        <v>150</v>
      </c>
      <c r="B531" s="142"/>
      <c r="C531" s="142"/>
      <c r="D531" s="142"/>
      <c r="E531" s="142"/>
      <c r="F531" s="142"/>
      <c r="G531" s="143"/>
      <c r="H531" s="143"/>
      <c r="I531" s="61"/>
      <c r="J531" s="61"/>
      <c r="K531" s="61"/>
      <c r="L531" s="61"/>
      <c r="M531" s="61"/>
      <c r="N531" s="61"/>
      <c r="O531" s="66"/>
    </row>
    <row r="532" spans="1:15" ht="18.75" x14ac:dyDescent="0.3">
      <c r="A532" s="144" t="s">
        <v>149</v>
      </c>
      <c r="B532" s="145"/>
      <c r="C532" s="145"/>
      <c r="D532" s="145"/>
      <c r="E532" s="145"/>
      <c r="F532" s="145"/>
      <c r="G532" s="145"/>
      <c r="H532" s="145"/>
      <c r="I532" s="145"/>
      <c r="J532" s="145"/>
      <c r="K532" s="145"/>
      <c r="L532" s="145"/>
      <c r="M532" s="145"/>
      <c r="N532" s="145"/>
      <c r="O532" s="146"/>
    </row>
    <row r="533" spans="1:15" x14ac:dyDescent="0.25">
      <c r="A533" s="137" t="s">
        <v>2</v>
      </c>
      <c r="B533" s="138"/>
      <c r="C533" s="138"/>
      <c r="D533" s="139" t="s">
        <v>20</v>
      </c>
      <c r="E533" s="139"/>
      <c r="F533" s="139"/>
      <c r="G533" s="139"/>
      <c r="H533" s="139"/>
      <c r="I533" s="139"/>
      <c r="J533" s="139" t="s">
        <v>23</v>
      </c>
      <c r="K533" s="139"/>
      <c r="L533" s="139"/>
      <c r="M533" s="139"/>
      <c r="N533" s="139"/>
      <c r="O533" s="140"/>
    </row>
    <row r="534" spans="1:15" x14ac:dyDescent="0.25">
      <c r="A534" s="62" t="s">
        <v>5</v>
      </c>
      <c r="B534" s="51" t="s">
        <v>6</v>
      </c>
      <c r="C534" s="51" t="s">
        <v>7</v>
      </c>
      <c r="D534" s="53">
        <v>1</v>
      </c>
      <c r="E534" s="53">
        <v>4</v>
      </c>
      <c r="F534" s="53">
        <v>16</v>
      </c>
      <c r="G534" s="53">
        <v>32</v>
      </c>
      <c r="H534" s="53">
        <v>64</v>
      </c>
      <c r="I534" s="53">
        <v>80</v>
      </c>
      <c r="J534" s="53">
        <v>1</v>
      </c>
      <c r="K534" s="53">
        <v>4</v>
      </c>
      <c r="L534" s="53">
        <v>16</v>
      </c>
      <c r="M534" s="53">
        <v>32</v>
      </c>
      <c r="N534" s="53">
        <v>64</v>
      </c>
      <c r="O534" s="63">
        <v>80</v>
      </c>
    </row>
    <row r="535" spans="1:15" x14ac:dyDescent="0.25">
      <c r="A535" s="64" t="s">
        <v>8</v>
      </c>
      <c r="B535" s="54" t="s">
        <v>9</v>
      </c>
      <c r="C535" s="54" t="s">
        <v>10</v>
      </c>
      <c r="D535" s="59">
        <f>IF(D525="","",(D525-'2017'!D495)/'2017'!D495)</f>
        <v>-9.4642103782871606E-2</v>
      </c>
      <c r="E535" s="59">
        <f>IF(E525="","",(E525-'2017'!E495)/'2017'!E495)</f>
        <v>1.6339869281045753E-2</v>
      </c>
      <c r="F535" s="59">
        <f>IF(F525="","",(F525-'2017'!F495)/'2017'!F495)</f>
        <v>4.923509759099701E-3</v>
      </c>
      <c r="G535" s="59" t="str">
        <f>IF(G525="","",(G525-'2014'!#REF!)/'2014'!#REF!)</f>
        <v/>
      </c>
      <c r="H535" s="59" t="str">
        <f>IF(H525="","",(H525-'2014'!#REF!)/'2014'!#REF!)</f>
        <v/>
      </c>
      <c r="I535" s="58" t="str">
        <f>IF(I525="","",(I525-'2014'!#REF!)/'2014'!#REF!)</f>
        <v/>
      </c>
      <c r="J535" s="58"/>
      <c r="K535" s="58"/>
      <c r="L535" s="58"/>
      <c r="M535" s="58" t="str">
        <f>IF(G535="","",M525-((1/'Proto 2013'!#REF!)*1000000))</f>
        <v/>
      </c>
      <c r="N535" s="58" t="str">
        <f>IF(H535="","",N525-((1/'Proto 2013'!#REF!)*1000000))</f>
        <v/>
      </c>
      <c r="O535" s="65" t="str">
        <f>IF(I535="","",O525-((1/'Proto 2013'!#REF!)*1000000))</f>
        <v/>
      </c>
    </row>
    <row r="536" spans="1:15" x14ac:dyDescent="0.25">
      <c r="A536" s="64" t="s">
        <v>11</v>
      </c>
      <c r="B536" s="54" t="s">
        <v>9</v>
      </c>
      <c r="C536" s="54" t="s">
        <v>12</v>
      </c>
      <c r="D536" s="59">
        <f>IF(D526="","",(D526-'2017'!D496)/'2017'!D496)</f>
        <v>-3.2662057910029053E-2</v>
      </c>
      <c r="E536" s="59">
        <f>IF(E526="","",(E526-'2017'!E496)/'2017'!E496)</f>
        <v>2.7174619685346509E-2</v>
      </c>
      <c r="F536" s="59">
        <f>IF(F526="","",(F526-'2017'!F496)/'2017'!F496)</f>
        <v>0.10632029994643813</v>
      </c>
      <c r="G536" s="59" t="str">
        <f>IF(G526="","",(G526-'2014'!#REF!)/'2014'!#REF!)</f>
        <v/>
      </c>
      <c r="H536" s="59" t="str">
        <f>IF(H526="","",(H526-'2014'!#REF!)/'2014'!#REF!)</f>
        <v/>
      </c>
      <c r="I536" s="59" t="str">
        <f>IF(I526="","",(I526-'2014'!#REF!)/'2014'!#REF!)</f>
        <v/>
      </c>
      <c r="J536" s="58"/>
      <c r="K536" s="58"/>
      <c r="L536" s="58"/>
      <c r="M536" s="58" t="str">
        <f>IF(G536="","",M526-((1/'Proto 2013'!#REF!)*1000000))</f>
        <v/>
      </c>
      <c r="N536" s="58" t="str">
        <f>IF(H536="","",N526-((1/'Proto 2013'!#REF!)*1000000))</f>
        <v/>
      </c>
      <c r="O536" s="65" t="str">
        <f>IF(I536="","",O526-((1/'Proto 2013'!#REF!)*1000000))</f>
        <v/>
      </c>
    </row>
    <row r="537" spans="1:15" x14ac:dyDescent="0.25">
      <c r="A537" s="64" t="s">
        <v>13</v>
      </c>
      <c r="B537" s="54" t="s">
        <v>14</v>
      </c>
      <c r="C537" s="54" t="s">
        <v>10</v>
      </c>
      <c r="D537" s="59">
        <f>IF(D527="","",(D527-'2017'!D497)/'2017'!D497)</f>
        <v>-1.7430555555555557E-2</v>
      </c>
      <c r="E537" s="59">
        <f>IF(E527="","",(E527-'2017'!E497)/'2017'!E497)</f>
        <v>-4.4100932030006819E-2</v>
      </c>
      <c r="F537" s="59">
        <f>IF(F527="","",(F527-'2017'!F497)/'2017'!F497)</f>
        <v>2.2088353413654619E-2</v>
      </c>
      <c r="G537" s="59" t="str">
        <f>IF(G527="","",(G527-'2014'!#REF!)/'2014'!#REF!)</f>
        <v/>
      </c>
      <c r="H537" s="59" t="str">
        <f>IF(H527="","",(H527-'2014'!#REF!)/'2014'!#REF!)</f>
        <v/>
      </c>
      <c r="I537" s="59" t="str">
        <f>IF(I527="","",(I527-'2014'!#REF!)/'2014'!#REF!)</f>
        <v/>
      </c>
      <c r="J537" s="58"/>
      <c r="K537" s="58"/>
      <c r="L537" s="58"/>
      <c r="M537" s="58" t="str">
        <f>IF(G537="","",M527-((1/'Proto 2013'!#REF!)*1000000))</f>
        <v/>
      </c>
      <c r="N537" s="58" t="str">
        <f>IF(H537="","",N527-((1/'Proto 2013'!#REF!)*1000000))</f>
        <v/>
      </c>
      <c r="O537" s="65" t="str">
        <f>IF(I537="","",O527-((1/'Proto 2013'!#REF!)*1000000))</f>
        <v/>
      </c>
    </row>
    <row r="538" spans="1:15" x14ac:dyDescent="0.25">
      <c r="A538" s="64" t="s">
        <v>15</v>
      </c>
      <c r="B538" s="54" t="s">
        <v>14</v>
      </c>
      <c r="C538" s="54" t="s">
        <v>12</v>
      </c>
      <c r="D538" s="59">
        <f>IF(D528="","",(D528-'2017'!D498)/'2017'!D498)</f>
        <v>-1.6562916851934194E-2</v>
      </c>
      <c r="E538" s="59">
        <f>IF(E528="","",(E528-'2017'!E498)/'2017'!E498)</f>
        <v>-3.2103825136612023E-2</v>
      </c>
      <c r="F538" s="59">
        <f>IF(F528="","",(F528-'2017'!F498)/'2017'!F498)</f>
        <v>1.2154124644427205E-2</v>
      </c>
      <c r="G538" s="59" t="str">
        <f>IF(G528="","",(G528-'2014'!#REF!)/'2014'!#REF!)</f>
        <v/>
      </c>
      <c r="H538" s="59" t="str">
        <f>IF(H528="","",(H528-'2014'!#REF!)/'2014'!#REF!)</f>
        <v/>
      </c>
      <c r="I538" s="59" t="str">
        <f>IF(I528="","",(I528-'2014'!#REF!)/'2014'!#REF!)</f>
        <v/>
      </c>
      <c r="J538" s="58"/>
      <c r="K538" s="58"/>
      <c r="L538" s="58"/>
      <c r="M538" s="58" t="str">
        <f>IF(G538="","",M528-((1/'Proto 2013'!#REF!)*1000000))</f>
        <v/>
      </c>
      <c r="N538" s="58" t="str">
        <f>IF(H538="","",N528-((1/'Proto 2013'!#REF!)*1000000))</f>
        <v/>
      </c>
      <c r="O538" s="65" t="str">
        <f>IF(I538="","",O528-((1/'Proto 2013'!#REF!)*1000000))</f>
        <v/>
      </c>
    </row>
    <row r="539" spans="1:15" x14ac:dyDescent="0.25">
      <c r="A539" s="64" t="s">
        <v>16</v>
      </c>
      <c r="B539" s="54" t="s">
        <v>17</v>
      </c>
      <c r="C539" s="54" t="s">
        <v>12</v>
      </c>
      <c r="D539" s="59">
        <f>IF(D529="","",(D529-'2017'!D499)/'2017'!D499)</f>
        <v>-1.5554787417905289E-2</v>
      </c>
      <c r="E539" s="59">
        <f>IF(E529="","",(E529-'2017'!E499)/'2017'!E499)</f>
        <v>3.9298669891172913E-3</v>
      </c>
      <c r="F539" s="59">
        <f>IF(F529="","",(F529-'2017'!F499)/'2017'!F499)</f>
        <v>-3.439358675976209E-2</v>
      </c>
      <c r="G539" s="59" t="str">
        <f>IF(G529="","",(G529-'2014'!#REF!)/'2014'!#REF!)</f>
        <v/>
      </c>
      <c r="H539" s="59" t="str">
        <f>IF(H529="","",(H529-'2014'!#REF!)/'2014'!#REF!)</f>
        <v/>
      </c>
      <c r="I539" s="59" t="str">
        <f>IF(I529="","",(I529-'2014'!#REF!)/'2014'!#REF!)</f>
        <v/>
      </c>
      <c r="J539" s="58"/>
      <c r="K539" s="58"/>
      <c r="L539" s="58"/>
      <c r="M539" s="58" t="str">
        <f>IF(G539="","",M529-((1/'Proto 2013'!#REF!)*1000000))</f>
        <v/>
      </c>
      <c r="N539" s="58" t="str">
        <f>IF(H539="","",N529-((1/'Proto 2013'!#REF!)*1000000))</f>
        <v/>
      </c>
      <c r="O539" s="65" t="str">
        <f>IF(I539="","",O529-((1/'Proto 2013'!#REF!)*1000000))</f>
        <v/>
      </c>
    </row>
    <row r="540" spans="1:15" ht="15.75" thickBot="1" x14ac:dyDescent="0.3">
      <c r="A540" s="70" t="s">
        <v>18</v>
      </c>
      <c r="B540" s="71" t="s">
        <v>19</v>
      </c>
      <c r="C540" s="71" t="s">
        <v>12</v>
      </c>
      <c r="D540" s="59">
        <f>IF(D530="","",(D530-'2017'!D500)/'2017'!D500)</f>
        <v>-1.8865699799551939E-3</v>
      </c>
      <c r="E540" s="59">
        <f>IF(E530="","",(E530-'2017'!E500)/'2017'!E500)</f>
        <v>-2.8474974313811831E-2</v>
      </c>
      <c r="F540" s="59">
        <f>IF(F530="","",(F530-'2017'!F500)/'2017'!F500)</f>
        <v>-3.6307053941908715E-3</v>
      </c>
      <c r="G540" s="72" t="str">
        <f>IF(G530="","",(G530-'2014'!#REF!)/'2014'!#REF!)</f>
        <v/>
      </c>
      <c r="H540" s="72" t="str">
        <f>IF(H530="","",(H530-'2014'!#REF!)/'2014'!#REF!)</f>
        <v/>
      </c>
      <c r="I540" s="72" t="str">
        <f>IF(I530="","",(I530-'2014'!#REF!)/'2014'!#REF!)</f>
        <v/>
      </c>
      <c r="J540" s="73"/>
      <c r="K540" s="73"/>
      <c r="L540" s="73"/>
      <c r="M540" s="73" t="str">
        <f>IF(G540="","",M530-((1/'Proto 2013'!#REF!)*1000000))</f>
        <v/>
      </c>
      <c r="N540" s="73" t="str">
        <f>IF(H540="","",N530-((1/'Proto 2013'!#REF!)*1000000))</f>
        <v/>
      </c>
      <c r="O540" s="74" t="str">
        <f>IF(I540="","",O530-((1/'Proto 2013'!#REF!)*1000000))</f>
        <v/>
      </c>
    </row>
    <row r="541" spans="1:15" ht="18.75" x14ac:dyDescent="0.25">
      <c r="A541" s="131" t="s">
        <v>90</v>
      </c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3"/>
    </row>
    <row r="542" spans="1:15" ht="15.75" x14ac:dyDescent="0.25">
      <c r="A542" s="134" t="s">
        <v>151</v>
      </c>
      <c r="B542" s="135"/>
      <c r="C542" s="135"/>
      <c r="D542" s="135"/>
      <c r="E542" s="135"/>
      <c r="F542" s="135"/>
      <c r="G542" s="135"/>
      <c r="H542" s="135"/>
      <c r="I542" s="135"/>
      <c r="J542" s="135"/>
      <c r="K542" s="135"/>
      <c r="L542" s="135"/>
      <c r="M542" s="135"/>
      <c r="N542" s="135"/>
      <c r="O542" s="136"/>
    </row>
    <row r="543" spans="1:15" x14ac:dyDescent="0.25">
      <c r="A543" s="137" t="s">
        <v>2</v>
      </c>
      <c r="B543" s="138"/>
      <c r="C543" s="138"/>
      <c r="D543" s="139" t="s">
        <v>3</v>
      </c>
      <c r="E543" s="139"/>
      <c r="F543" s="139"/>
      <c r="G543" s="139"/>
      <c r="H543" s="139"/>
      <c r="I543" s="139"/>
      <c r="J543" s="139" t="s">
        <v>4</v>
      </c>
      <c r="K543" s="139"/>
      <c r="L543" s="139"/>
      <c r="M543" s="139"/>
      <c r="N543" s="139"/>
      <c r="O543" s="140"/>
    </row>
    <row r="544" spans="1:15" x14ac:dyDescent="0.25">
      <c r="A544" s="62" t="s">
        <v>5</v>
      </c>
      <c r="B544" s="51" t="s">
        <v>6</v>
      </c>
      <c r="C544" s="51" t="s">
        <v>7</v>
      </c>
      <c r="D544" s="52">
        <v>1</v>
      </c>
      <c r="E544" s="52">
        <v>4</v>
      </c>
      <c r="F544" s="52">
        <v>16</v>
      </c>
      <c r="G544" s="53">
        <v>32</v>
      </c>
      <c r="H544" s="53">
        <v>64</v>
      </c>
      <c r="I544" s="53">
        <v>80</v>
      </c>
      <c r="J544" s="53">
        <v>1</v>
      </c>
      <c r="K544" s="53">
        <v>4</v>
      </c>
      <c r="L544" s="53">
        <v>16</v>
      </c>
      <c r="M544" s="53">
        <v>32</v>
      </c>
      <c r="N544" s="53">
        <v>64</v>
      </c>
      <c r="O544" s="63">
        <v>80</v>
      </c>
    </row>
    <row r="545" spans="1:15" x14ac:dyDescent="0.25">
      <c r="A545" s="64" t="s">
        <v>8</v>
      </c>
      <c r="B545" s="54" t="s">
        <v>9</v>
      </c>
      <c r="C545" s="55" t="s">
        <v>10</v>
      </c>
      <c r="D545" s="60">
        <v>38628</v>
      </c>
      <c r="E545" s="60">
        <v>21289</v>
      </c>
      <c r="F545" s="60">
        <v>5715</v>
      </c>
      <c r="G545" s="57"/>
      <c r="H545" s="56"/>
      <c r="I545" s="56"/>
      <c r="J545" s="58">
        <f>IF(D545="","",(1/D545)*1000000)</f>
        <v>25.887956922439681</v>
      </c>
      <c r="K545" s="58">
        <f t="shared" ref="K545:K550" si="134">IF(E545="","",(1/E545)*1000000)</f>
        <v>46.972614965475124</v>
      </c>
      <c r="L545" s="58">
        <f t="shared" ref="L545:L550" si="135">IF(F545="","",(1/F545)*1000000)</f>
        <v>174.97812773403322</v>
      </c>
      <c r="M545" s="58" t="str">
        <f t="shared" ref="M545:M550" si="136">IF(G545="","",(1/G545)*1000000)</f>
        <v/>
      </c>
      <c r="N545" s="58" t="str">
        <f t="shared" ref="N545:N550" si="137">IF(H545="","",(1/H545)*1000000)</f>
        <v/>
      </c>
      <c r="O545" s="65" t="str">
        <f t="shared" ref="O545:O550" si="138">IF(I545="","",(1/I545)*1000000)</f>
        <v/>
      </c>
    </row>
    <row r="546" spans="1:15" x14ac:dyDescent="0.25">
      <c r="A546" s="64" t="s">
        <v>11</v>
      </c>
      <c r="B546" s="54" t="s">
        <v>9</v>
      </c>
      <c r="C546" s="55" t="s">
        <v>12</v>
      </c>
      <c r="D546" s="60">
        <v>8937</v>
      </c>
      <c r="E546" s="60">
        <v>7837</v>
      </c>
      <c r="F546" s="60">
        <v>4211</v>
      </c>
      <c r="G546" s="57"/>
      <c r="H546" s="56"/>
      <c r="I546" s="56"/>
      <c r="J546" s="58">
        <f t="shared" ref="J546:J550" si="139">IF(D546="","",(1/D546)*1000000)</f>
        <v>111.89437171310283</v>
      </c>
      <c r="K546" s="58">
        <f t="shared" si="134"/>
        <v>127.59984688018373</v>
      </c>
      <c r="L546" s="58">
        <f t="shared" si="135"/>
        <v>237.47328425552126</v>
      </c>
      <c r="M546" s="58" t="str">
        <f t="shared" si="136"/>
        <v/>
      </c>
      <c r="N546" s="58" t="str">
        <f t="shared" si="137"/>
        <v/>
      </c>
      <c r="O546" s="65" t="str">
        <f t="shared" si="138"/>
        <v/>
      </c>
    </row>
    <row r="547" spans="1:15" x14ac:dyDescent="0.25">
      <c r="A547" s="64" t="s">
        <v>13</v>
      </c>
      <c r="B547" s="54" t="s">
        <v>14</v>
      </c>
      <c r="C547" s="55" t="s">
        <v>10</v>
      </c>
      <c r="D547" s="60">
        <v>34441</v>
      </c>
      <c r="E547" s="60">
        <v>16800</v>
      </c>
      <c r="F547" s="60">
        <v>5534</v>
      </c>
      <c r="G547" s="57"/>
      <c r="H547" s="56"/>
      <c r="I547" s="56"/>
      <c r="J547" s="58">
        <f t="shared" si="139"/>
        <v>29.035161580674195</v>
      </c>
      <c r="K547" s="58">
        <f t="shared" si="134"/>
        <v>59.523809523809526</v>
      </c>
      <c r="L547" s="58">
        <f t="shared" si="135"/>
        <v>180.70112034694617</v>
      </c>
      <c r="M547" s="58" t="str">
        <f t="shared" si="136"/>
        <v/>
      </c>
      <c r="N547" s="58" t="str">
        <f t="shared" si="137"/>
        <v/>
      </c>
      <c r="O547" s="65" t="str">
        <f t="shared" si="138"/>
        <v/>
      </c>
    </row>
    <row r="548" spans="1:15" x14ac:dyDescent="0.25">
      <c r="A548" s="64" t="s">
        <v>15</v>
      </c>
      <c r="B548" s="54" t="s">
        <v>14</v>
      </c>
      <c r="C548" s="55" t="s">
        <v>12</v>
      </c>
      <c r="D548" s="60">
        <v>9210</v>
      </c>
      <c r="E548" s="60">
        <v>7330</v>
      </c>
      <c r="F548" s="60">
        <v>3843</v>
      </c>
      <c r="G548" s="57"/>
      <c r="H548" s="56"/>
      <c r="I548" s="56"/>
      <c r="J548" s="58">
        <f t="shared" si="139"/>
        <v>108.57763300760044</v>
      </c>
      <c r="K548" s="58">
        <f t="shared" si="134"/>
        <v>136.42564802182812</v>
      </c>
      <c r="L548" s="58">
        <f t="shared" si="135"/>
        <v>260.21337496747333</v>
      </c>
      <c r="M548" s="58" t="str">
        <f t="shared" si="136"/>
        <v/>
      </c>
      <c r="N548" s="58" t="str">
        <f t="shared" si="137"/>
        <v/>
      </c>
      <c r="O548" s="65" t="str">
        <f t="shared" si="138"/>
        <v/>
      </c>
    </row>
    <row r="549" spans="1:15" x14ac:dyDescent="0.25">
      <c r="A549" s="64" t="s">
        <v>16</v>
      </c>
      <c r="B549" s="54" t="s">
        <v>17</v>
      </c>
      <c r="C549" s="55" t="s">
        <v>12</v>
      </c>
      <c r="D549" s="60">
        <v>8599</v>
      </c>
      <c r="E549" s="60">
        <v>6503</v>
      </c>
      <c r="F549" s="60">
        <v>3921</v>
      </c>
      <c r="G549" s="57"/>
      <c r="H549" s="56"/>
      <c r="I549" s="56"/>
      <c r="J549" s="58">
        <f t="shared" si="139"/>
        <v>116.29259216187928</v>
      </c>
      <c r="K549" s="58">
        <f t="shared" si="134"/>
        <v>153.77518068583731</v>
      </c>
      <c r="L549" s="58">
        <f t="shared" si="135"/>
        <v>255.03698036215249</v>
      </c>
      <c r="M549" s="58" t="str">
        <f t="shared" si="136"/>
        <v/>
      </c>
      <c r="N549" s="58" t="str">
        <f t="shared" si="137"/>
        <v/>
      </c>
      <c r="O549" s="65" t="str">
        <f t="shared" si="138"/>
        <v/>
      </c>
    </row>
    <row r="550" spans="1:15" x14ac:dyDescent="0.25">
      <c r="A550" s="64" t="s">
        <v>18</v>
      </c>
      <c r="B550" s="54" t="s">
        <v>19</v>
      </c>
      <c r="C550" s="55" t="s">
        <v>12</v>
      </c>
      <c r="D550" s="60">
        <v>8465</v>
      </c>
      <c r="E550" s="60">
        <v>6644</v>
      </c>
      <c r="F550" s="60">
        <v>3837</v>
      </c>
      <c r="G550" s="57"/>
      <c r="H550" s="56"/>
      <c r="I550" s="56"/>
      <c r="J550" s="58">
        <f t="shared" si="139"/>
        <v>118.13349084465446</v>
      </c>
      <c r="K550" s="58">
        <f t="shared" si="134"/>
        <v>150.51173991571343</v>
      </c>
      <c r="L550" s="58">
        <f t="shared" si="135"/>
        <v>260.62027625749283</v>
      </c>
      <c r="M550" s="58" t="str">
        <f t="shared" si="136"/>
        <v/>
      </c>
      <c r="N550" s="58" t="str">
        <f t="shared" si="137"/>
        <v/>
      </c>
      <c r="O550" s="65" t="str">
        <f t="shared" si="138"/>
        <v/>
      </c>
    </row>
    <row r="551" spans="1:15" x14ac:dyDescent="0.25">
      <c r="A551" s="141" t="s">
        <v>152</v>
      </c>
      <c r="B551" s="142"/>
      <c r="C551" s="142"/>
      <c r="D551" s="142"/>
      <c r="E551" s="142"/>
      <c r="F551" s="142"/>
      <c r="G551" s="143"/>
      <c r="H551" s="143"/>
      <c r="I551" s="61"/>
      <c r="J551" s="61"/>
      <c r="K551" s="61"/>
      <c r="L551" s="61"/>
      <c r="M551" s="61"/>
      <c r="N551" s="61"/>
      <c r="O551" s="66"/>
    </row>
    <row r="552" spans="1:15" ht="18.75" x14ac:dyDescent="0.3">
      <c r="A552" s="144" t="s">
        <v>149</v>
      </c>
      <c r="B552" s="145"/>
      <c r="C552" s="145"/>
      <c r="D552" s="145"/>
      <c r="E552" s="145"/>
      <c r="F552" s="145"/>
      <c r="G552" s="145"/>
      <c r="H552" s="145"/>
      <c r="I552" s="145"/>
      <c r="J552" s="145"/>
      <c r="K552" s="145"/>
      <c r="L552" s="145"/>
      <c r="M552" s="145"/>
      <c r="N552" s="145"/>
      <c r="O552" s="146"/>
    </row>
    <row r="553" spans="1:15" x14ac:dyDescent="0.25">
      <c r="A553" s="137" t="s">
        <v>2</v>
      </c>
      <c r="B553" s="138"/>
      <c r="C553" s="138"/>
      <c r="D553" s="139" t="s">
        <v>20</v>
      </c>
      <c r="E553" s="139"/>
      <c r="F553" s="139"/>
      <c r="G553" s="139"/>
      <c r="H553" s="139"/>
      <c r="I553" s="139"/>
      <c r="J553" s="139" t="s">
        <v>23</v>
      </c>
      <c r="K553" s="139"/>
      <c r="L553" s="139"/>
      <c r="M553" s="139"/>
      <c r="N553" s="139"/>
      <c r="O553" s="140"/>
    </row>
    <row r="554" spans="1:15" x14ac:dyDescent="0.25">
      <c r="A554" s="62" t="s">
        <v>5</v>
      </c>
      <c r="B554" s="51" t="s">
        <v>6</v>
      </c>
      <c r="C554" s="51" t="s">
        <v>7</v>
      </c>
      <c r="D554" s="53">
        <v>1</v>
      </c>
      <c r="E554" s="53">
        <v>4</v>
      </c>
      <c r="F554" s="53">
        <v>16</v>
      </c>
      <c r="G554" s="53">
        <v>32</v>
      </c>
      <c r="H554" s="53">
        <v>64</v>
      </c>
      <c r="I554" s="53">
        <v>80</v>
      </c>
      <c r="J554" s="53">
        <v>1</v>
      </c>
      <c r="K554" s="53">
        <v>4</v>
      </c>
      <c r="L554" s="53">
        <v>16</v>
      </c>
      <c r="M554" s="53">
        <v>32</v>
      </c>
      <c r="N554" s="53">
        <v>64</v>
      </c>
      <c r="O554" s="63">
        <v>80</v>
      </c>
    </row>
    <row r="555" spans="1:15" x14ac:dyDescent="0.25">
      <c r="A555" s="64" t="s">
        <v>8</v>
      </c>
      <c r="B555" s="54" t="s">
        <v>9</v>
      </c>
      <c r="C555" s="54" t="s">
        <v>10</v>
      </c>
      <c r="D555" s="59">
        <f>IF(D545="","",(D545-'2017'!D495)/'2017'!D495)</f>
        <v>-9.4642103782871606E-2</v>
      </c>
      <c r="E555" s="59">
        <f>IF(E545="","",(E545-'2017'!E495)/'2017'!E495)</f>
        <v>8.2883394903855261E-3</v>
      </c>
      <c r="F555" s="59">
        <f>IF(F545="","",(F545-'2017'!F495)/'2017'!F495)</f>
        <v>4.923509759099701E-3</v>
      </c>
      <c r="G555" s="59" t="str">
        <f>IF(G545="","",(G545-'2014'!#REF!)/'2014'!#REF!)</f>
        <v/>
      </c>
      <c r="H555" s="59" t="str">
        <f>IF(H545="","",(H545-'2014'!#REF!)/'2014'!#REF!)</f>
        <v/>
      </c>
      <c r="I555" s="58" t="str">
        <f>IF(I545="","",(I545-'2014'!#REF!)/'2014'!#REF!)</f>
        <v/>
      </c>
      <c r="J555" s="58"/>
      <c r="K555" s="58"/>
      <c r="L555" s="58"/>
      <c r="M555" s="58" t="str">
        <f>IF(G555="","",M545-((1/'Proto 2013'!#REF!)*1000000))</f>
        <v/>
      </c>
      <c r="N555" s="58" t="str">
        <f>IF(H555="","",N545-((1/'Proto 2013'!#REF!)*1000000))</f>
        <v/>
      </c>
      <c r="O555" s="65" t="str">
        <f>IF(I555="","",O545-((1/'Proto 2013'!#REF!)*1000000))</f>
        <v/>
      </c>
    </row>
    <row r="556" spans="1:15" x14ac:dyDescent="0.25">
      <c r="A556" s="64" t="s">
        <v>11</v>
      </c>
      <c r="B556" s="54" t="s">
        <v>9</v>
      </c>
      <c r="C556" s="54" t="s">
        <v>12</v>
      </c>
      <c r="D556" s="59">
        <f>IF(D546="","",(D546-'2017'!D496)/'2017'!D496)</f>
        <v>-0.10459873760144274</v>
      </c>
      <c r="E556" s="59">
        <f>IF(E546="","",(E546-'2017'!E496)/'2017'!E496)</f>
        <v>1.8983227148615264E-2</v>
      </c>
      <c r="F556" s="59">
        <f>IF(F546="","",(F546-'2017'!F496)/'2017'!F496)</f>
        <v>0.12774504552758437</v>
      </c>
      <c r="G556" s="59" t="str">
        <f>IF(G546="","",(G546-'2014'!#REF!)/'2014'!#REF!)</f>
        <v/>
      </c>
      <c r="H556" s="59" t="str">
        <f>IF(H546="","",(H546-'2014'!#REF!)/'2014'!#REF!)</f>
        <v/>
      </c>
      <c r="I556" s="59" t="str">
        <f>IF(I546="","",(I546-'2014'!#REF!)/'2014'!#REF!)</f>
        <v/>
      </c>
      <c r="J556" s="58"/>
      <c r="K556" s="58"/>
      <c r="L556" s="58"/>
      <c r="M556" s="58" t="str">
        <f>IF(G556="","",M546-((1/'Proto 2013'!#REF!)*1000000))</f>
        <v/>
      </c>
      <c r="N556" s="58" t="str">
        <f>IF(H556="","",N546-((1/'Proto 2013'!#REF!)*1000000))</f>
        <v/>
      </c>
      <c r="O556" s="65" t="str">
        <f>IF(I556="","",O546-((1/'Proto 2013'!#REF!)*1000000))</f>
        <v/>
      </c>
    </row>
    <row r="557" spans="1:15" x14ac:dyDescent="0.25">
      <c r="A557" s="64" t="s">
        <v>13</v>
      </c>
      <c r="B557" s="54" t="s">
        <v>14</v>
      </c>
      <c r="C557" s="54" t="s">
        <v>10</v>
      </c>
      <c r="D557" s="59">
        <f>IF(D547="","",(D547-'2017'!D497)/'2017'!D497)</f>
        <v>-0.20275462962962962</v>
      </c>
      <c r="E557" s="59">
        <f>IF(E547="","",(E547-'2017'!E497)/'2017'!E497)</f>
        <v>-4.5237553989543079E-2</v>
      </c>
      <c r="F557" s="59">
        <f>IF(F547="","",(F547-'2017'!F497)/'2017'!F497)</f>
        <v>1.022270901788974E-2</v>
      </c>
      <c r="G557" s="59" t="str">
        <f>IF(G547="","",(G547-'2014'!#REF!)/'2014'!#REF!)</f>
        <v/>
      </c>
      <c r="H557" s="59" t="str">
        <f>IF(H547="","",(H547-'2014'!#REF!)/'2014'!#REF!)</f>
        <v/>
      </c>
      <c r="I557" s="59" t="str">
        <f>IF(I547="","",(I547-'2014'!#REF!)/'2014'!#REF!)</f>
        <v/>
      </c>
      <c r="J557" s="58"/>
      <c r="K557" s="58"/>
      <c r="L557" s="58"/>
      <c r="M557" s="58" t="str">
        <f>IF(G557="","",M547-((1/'Proto 2013'!#REF!)*1000000))</f>
        <v/>
      </c>
      <c r="N557" s="58" t="str">
        <f>IF(H557="","",N547-((1/'Proto 2013'!#REF!)*1000000))</f>
        <v/>
      </c>
      <c r="O557" s="65" t="str">
        <f>IF(I557="","",O547-((1/'Proto 2013'!#REF!)*1000000))</f>
        <v/>
      </c>
    </row>
    <row r="558" spans="1:15" x14ac:dyDescent="0.25">
      <c r="A558" s="64" t="s">
        <v>15</v>
      </c>
      <c r="B558" s="54" t="s">
        <v>14</v>
      </c>
      <c r="C558" s="54" t="s">
        <v>12</v>
      </c>
      <c r="D558" s="59">
        <f>IF(D548="","",(D548-'2017'!D498)/'2017'!D498)</f>
        <v>2.3788350377945754E-2</v>
      </c>
      <c r="E558" s="59">
        <f>IF(E548="","",(E548-'2017'!E498)/'2017'!E498)</f>
        <v>1.366120218579235E-3</v>
      </c>
      <c r="F558" s="59">
        <f>IF(F548="","",(F548-'2017'!F498)/'2017'!F498)</f>
        <v>-6.2063615205585725E-3</v>
      </c>
      <c r="G558" s="59" t="str">
        <f>IF(G548="","",(G548-'2014'!#REF!)/'2014'!#REF!)</f>
        <v/>
      </c>
      <c r="H558" s="59" t="str">
        <f>IF(H548="","",(H548-'2014'!#REF!)/'2014'!#REF!)</f>
        <v/>
      </c>
      <c r="I558" s="59" t="str">
        <f>IF(I548="","",(I548-'2014'!#REF!)/'2014'!#REF!)</f>
        <v/>
      </c>
      <c r="J558" s="58"/>
      <c r="K558" s="58"/>
      <c r="L558" s="58"/>
      <c r="M558" s="58" t="str">
        <f>IF(G558="","",M548-((1/'Proto 2013'!#REF!)*1000000))</f>
        <v/>
      </c>
      <c r="N558" s="58" t="str">
        <f>IF(H558="","",N548-((1/'Proto 2013'!#REF!)*1000000))</f>
        <v/>
      </c>
      <c r="O558" s="65" t="str">
        <f>IF(I558="","",O548-((1/'Proto 2013'!#REF!)*1000000))</f>
        <v/>
      </c>
    </row>
    <row r="559" spans="1:15" x14ac:dyDescent="0.25">
      <c r="A559" s="64" t="s">
        <v>16</v>
      </c>
      <c r="B559" s="54" t="s">
        <v>17</v>
      </c>
      <c r="C559" s="54" t="s">
        <v>12</v>
      </c>
      <c r="D559" s="59">
        <f>IF(D549="","",(D549-'2017'!D499)/'2017'!D499)</f>
        <v>-9.2176518032031345E-3</v>
      </c>
      <c r="E559" s="59">
        <f>IF(E549="","",(E549-'2017'!E499)/'2017'!E499)</f>
        <v>-1.7079806529625152E-2</v>
      </c>
      <c r="F559" s="59">
        <f>IF(F549="","",(F549-'2017'!F499)/'2017'!F499)</f>
        <v>1.3964313421256789E-2</v>
      </c>
      <c r="G559" s="59" t="str">
        <f>IF(G549="","",(G549-'2014'!#REF!)/'2014'!#REF!)</f>
        <v/>
      </c>
      <c r="H559" s="59" t="str">
        <f>IF(H549="","",(H549-'2014'!#REF!)/'2014'!#REF!)</f>
        <v/>
      </c>
      <c r="I559" s="59" t="str">
        <f>IF(I549="","",(I549-'2014'!#REF!)/'2014'!#REF!)</f>
        <v/>
      </c>
      <c r="J559" s="58"/>
      <c r="K559" s="58"/>
      <c r="L559" s="58"/>
      <c r="M559" s="58" t="str">
        <f>IF(G559="","",M549-((1/'Proto 2013'!#REF!)*1000000))</f>
        <v/>
      </c>
      <c r="N559" s="58" t="str">
        <f>IF(H559="","",N549-((1/'Proto 2013'!#REF!)*1000000))</f>
        <v/>
      </c>
      <c r="O559" s="65" t="str">
        <f>IF(I559="","",O549-((1/'Proto 2013'!#REF!)*1000000))</f>
        <v/>
      </c>
    </row>
    <row r="560" spans="1:15" ht="15.75" thickBot="1" x14ac:dyDescent="0.3">
      <c r="A560" s="70" t="s">
        <v>18</v>
      </c>
      <c r="B560" s="71" t="s">
        <v>19</v>
      </c>
      <c r="C560" s="71" t="s">
        <v>12</v>
      </c>
      <c r="D560" s="59">
        <f>IF(D550="","",(D550-'2017'!D500)/'2017'!D500)</f>
        <v>-1.8865699799551939E-3</v>
      </c>
      <c r="E560" s="59">
        <f>IF(E550="","",(E550-'2017'!E500)/'2017'!E500)</f>
        <v>-2.4805518861001026E-2</v>
      </c>
      <c r="F560" s="59">
        <f>IF(F550="","",(F550-'2017'!F500)/'2017'!F500)</f>
        <v>-4.9273858921161824E-3</v>
      </c>
      <c r="G560" s="72" t="str">
        <f>IF(G550="","",(G550-'2014'!#REF!)/'2014'!#REF!)</f>
        <v/>
      </c>
      <c r="H560" s="72" t="str">
        <f>IF(H550="","",(H550-'2014'!#REF!)/'2014'!#REF!)</f>
        <v/>
      </c>
      <c r="I560" s="72" t="str">
        <f>IF(I550="","",(I550-'2014'!#REF!)/'2014'!#REF!)</f>
        <v/>
      </c>
      <c r="J560" s="73"/>
      <c r="K560" s="73"/>
      <c r="L560" s="73"/>
      <c r="M560" s="73" t="str">
        <f>IF(G560="","",M550-((1/'Proto 2013'!#REF!)*1000000))</f>
        <v/>
      </c>
      <c r="N560" s="73" t="str">
        <f>IF(H560="","",N550-((1/'Proto 2013'!#REF!)*1000000))</f>
        <v/>
      </c>
      <c r="O560" s="74" t="str">
        <f>IF(I560="","",O550-((1/'Proto 2013'!#REF!)*1000000))</f>
        <v/>
      </c>
    </row>
    <row r="561" spans="1:15" ht="18.75" x14ac:dyDescent="0.25">
      <c r="A561" s="131" t="s">
        <v>90</v>
      </c>
      <c r="B561" s="132"/>
      <c r="C561" s="132"/>
      <c r="D561" s="132"/>
      <c r="E561" s="132"/>
      <c r="F561" s="132"/>
      <c r="G561" s="132"/>
      <c r="H561" s="132"/>
      <c r="I561" s="132"/>
      <c r="J561" s="132"/>
      <c r="K561" s="132"/>
      <c r="L561" s="132"/>
      <c r="M561" s="132"/>
      <c r="N561" s="132"/>
      <c r="O561" s="133"/>
    </row>
    <row r="562" spans="1:15" ht="15.75" x14ac:dyDescent="0.25">
      <c r="A562" s="134" t="s">
        <v>153</v>
      </c>
      <c r="B562" s="135"/>
      <c r="C562" s="135"/>
      <c r="D562" s="135"/>
      <c r="E562" s="135"/>
      <c r="F562" s="135"/>
      <c r="G562" s="135"/>
      <c r="H562" s="135"/>
      <c r="I562" s="135"/>
      <c r="J562" s="135"/>
      <c r="K562" s="135"/>
      <c r="L562" s="135"/>
      <c r="M562" s="135"/>
      <c r="N562" s="135"/>
      <c r="O562" s="136"/>
    </row>
    <row r="563" spans="1:15" x14ac:dyDescent="0.25">
      <c r="A563" s="137" t="s">
        <v>2</v>
      </c>
      <c r="B563" s="138"/>
      <c r="C563" s="138"/>
      <c r="D563" s="139" t="s">
        <v>3</v>
      </c>
      <c r="E563" s="139"/>
      <c r="F563" s="139"/>
      <c r="G563" s="139"/>
      <c r="H563" s="139"/>
      <c r="I563" s="139"/>
      <c r="J563" s="139" t="s">
        <v>4</v>
      </c>
      <c r="K563" s="139"/>
      <c r="L563" s="139"/>
      <c r="M563" s="139"/>
      <c r="N563" s="139"/>
      <c r="O563" s="140"/>
    </row>
    <row r="564" spans="1:15" x14ac:dyDescent="0.25">
      <c r="A564" s="62" t="s">
        <v>5</v>
      </c>
      <c r="B564" s="51" t="s">
        <v>6</v>
      </c>
      <c r="C564" s="51" t="s">
        <v>7</v>
      </c>
      <c r="D564" s="52">
        <v>1</v>
      </c>
      <c r="E564" s="52">
        <v>4</v>
      </c>
      <c r="F564" s="52">
        <v>16</v>
      </c>
      <c r="G564" s="53">
        <v>32</v>
      </c>
      <c r="H564" s="53">
        <v>64</v>
      </c>
      <c r="I564" s="53">
        <v>80</v>
      </c>
      <c r="J564" s="53">
        <v>1</v>
      </c>
      <c r="K564" s="53">
        <v>4</v>
      </c>
      <c r="L564" s="53">
        <v>16</v>
      </c>
      <c r="M564" s="53">
        <v>32</v>
      </c>
      <c r="N564" s="53">
        <v>64</v>
      </c>
      <c r="O564" s="63">
        <v>80</v>
      </c>
    </row>
    <row r="565" spans="1:15" x14ac:dyDescent="0.25">
      <c r="A565" s="64" t="s">
        <v>8</v>
      </c>
      <c r="B565" s="54" t="s">
        <v>9</v>
      </c>
      <c r="C565" s="55" t="s">
        <v>10</v>
      </c>
      <c r="D565" s="60">
        <v>48030</v>
      </c>
      <c r="E565" s="60">
        <v>17284</v>
      </c>
      <c r="F565" s="60">
        <v>5715</v>
      </c>
      <c r="G565" s="57"/>
      <c r="H565" s="56"/>
      <c r="I565" s="56"/>
      <c r="J565" s="58">
        <f>IF(D565="","",(1/D565)*1000000)</f>
        <v>20.820320632937747</v>
      </c>
      <c r="K565" s="58">
        <f t="shared" ref="K565:K570" si="140">IF(E565="","",(1/E565)*1000000)</f>
        <v>57.856977551492712</v>
      </c>
      <c r="L565" s="58">
        <f t="shared" ref="L565:L570" si="141">IF(F565="","",(1/F565)*1000000)</f>
        <v>174.97812773403322</v>
      </c>
      <c r="M565" s="58" t="str">
        <f t="shared" ref="M565:M570" si="142">IF(G565="","",(1/G565)*1000000)</f>
        <v/>
      </c>
      <c r="N565" s="58" t="str">
        <f t="shared" ref="N565:N570" si="143">IF(H565="","",(1/H565)*1000000)</f>
        <v/>
      </c>
      <c r="O565" s="65" t="str">
        <f t="shared" ref="O565:O570" si="144">IF(I565="","",(1/I565)*1000000)</f>
        <v/>
      </c>
    </row>
    <row r="566" spans="1:15" x14ac:dyDescent="0.25">
      <c r="A566" s="64" t="s">
        <v>11</v>
      </c>
      <c r="B566" s="54" t="s">
        <v>9</v>
      </c>
      <c r="C566" s="55" t="s">
        <v>12</v>
      </c>
      <c r="D566" s="60">
        <v>9612</v>
      </c>
      <c r="E566" s="60">
        <v>7980</v>
      </c>
      <c r="F566" s="60">
        <v>4197</v>
      </c>
      <c r="G566" s="57"/>
      <c r="H566" s="56"/>
      <c r="I566" s="56"/>
      <c r="J566" s="58">
        <f t="shared" ref="J566:J570" si="145">IF(D566="","",(1/D566)*1000000)</f>
        <v>104.03662089055348</v>
      </c>
      <c r="K566" s="58">
        <f t="shared" si="140"/>
        <v>125.31328320802005</v>
      </c>
      <c r="L566" s="58">
        <f t="shared" si="141"/>
        <v>238.26542768644271</v>
      </c>
      <c r="M566" s="58" t="str">
        <f t="shared" si="142"/>
        <v/>
      </c>
      <c r="N566" s="58" t="str">
        <f t="shared" si="143"/>
        <v/>
      </c>
      <c r="O566" s="65" t="str">
        <f t="shared" si="144"/>
        <v/>
      </c>
    </row>
    <row r="567" spans="1:15" x14ac:dyDescent="0.25">
      <c r="A567" s="64" t="s">
        <v>13</v>
      </c>
      <c r="B567" s="54" t="s">
        <v>14</v>
      </c>
      <c r="C567" s="55" t="s">
        <v>10</v>
      </c>
      <c r="D567" s="60">
        <v>27666</v>
      </c>
      <c r="E567" s="60">
        <v>17058</v>
      </c>
      <c r="F567" s="60">
        <v>5571</v>
      </c>
      <c r="G567" s="57"/>
      <c r="H567" s="56"/>
      <c r="I567" s="56"/>
      <c r="J567" s="58">
        <f t="shared" si="145"/>
        <v>36.145449287934646</v>
      </c>
      <c r="K567" s="58">
        <f t="shared" si="140"/>
        <v>58.623519756126157</v>
      </c>
      <c r="L567" s="58">
        <f t="shared" si="141"/>
        <v>179.50098725542992</v>
      </c>
      <c r="M567" s="58" t="str">
        <f t="shared" si="142"/>
        <v/>
      </c>
      <c r="N567" s="58" t="str">
        <f t="shared" si="143"/>
        <v/>
      </c>
      <c r="O567" s="65" t="str">
        <f t="shared" si="144"/>
        <v/>
      </c>
    </row>
    <row r="568" spans="1:15" x14ac:dyDescent="0.25">
      <c r="A568" s="64" t="s">
        <v>15</v>
      </c>
      <c r="B568" s="54" t="s">
        <v>14</v>
      </c>
      <c r="C568" s="55" t="s">
        <v>12</v>
      </c>
      <c r="D568" s="60">
        <v>9710</v>
      </c>
      <c r="E568" s="60">
        <v>7277</v>
      </c>
      <c r="F568" s="60">
        <v>3914</v>
      </c>
      <c r="G568" s="57"/>
      <c r="H568" s="56"/>
      <c r="I568" s="56"/>
      <c r="J568" s="58">
        <f t="shared" si="145"/>
        <v>102.98661174047373</v>
      </c>
      <c r="K568" s="58">
        <f t="shared" si="140"/>
        <v>137.41926618111862</v>
      </c>
      <c r="L568" s="58">
        <f t="shared" si="141"/>
        <v>255.49310168625451</v>
      </c>
      <c r="M568" s="58" t="str">
        <f t="shared" si="142"/>
        <v/>
      </c>
      <c r="N568" s="58" t="str">
        <f t="shared" si="143"/>
        <v/>
      </c>
      <c r="O568" s="65" t="str">
        <f t="shared" si="144"/>
        <v/>
      </c>
    </row>
    <row r="569" spans="1:15" x14ac:dyDescent="0.25">
      <c r="A569" s="64" t="s">
        <v>16</v>
      </c>
      <c r="B569" s="54" t="s">
        <v>17</v>
      </c>
      <c r="C569" s="55" t="s">
        <v>12</v>
      </c>
      <c r="D569" s="60">
        <v>8576</v>
      </c>
      <c r="E569" s="60">
        <v>6649</v>
      </c>
      <c r="F569" s="60">
        <v>3822</v>
      </c>
      <c r="G569" s="57"/>
      <c r="H569" s="56"/>
      <c r="I569" s="56"/>
      <c r="J569" s="58">
        <f t="shared" si="145"/>
        <v>116.6044776119403</v>
      </c>
      <c r="K569" s="58">
        <f t="shared" si="140"/>
        <v>150.39855617386073</v>
      </c>
      <c r="L569" s="58">
        <f t="shared" si="141"/>
        <v>261.64311878597596</v>
      </c>
      <c r="M569" s="58" t="str">
        <f t="shared" si="142"/>
        <v/>
      </c>
      <c r="N569" s="58" t="str">
        <f t="shared" si="143"/>
        <v/>
      </c>
      <c r="O569" s="65" t="str">
        <f t="shared" si="144"/>
        <v/>
      </c>
    </row>
    <row r="570" spans="1:15" x14ac:dyDescent="0.25">
      <c r="A570" s="64" t="s">
        <v>18</v>
      </c>
      <c r="B570" s="54" t="s">
        <v>19</v>
      </c>
      <c r="C570" s="55" t="s">
        <v>12</v>
      </c>
      <c r="D570" s="60">
        <v>8502</v>
      </c>
      <c r="E570" s="60">
        <v>6626</v>
      </c>
      <c r="F570" s="60">
        <v>3817</v>
      </c>
      <c r="G570" s="57"/>
      <c r="H570" s="56"/>
      <c r="I570" s="56"/>
      <c r="J570" s="58">
        <f t="shared" si="145"/>
        <v>117.61938367442954</v>
      </c>
      <c r="K570" s="58">
        <f t="shared" si="140"/>
        <v>150.92061575611228</v>
      </c>
      <c r="L570" s="58">
        <f t="shared" si="141"/>
        <v>261.98585276395079</v>
      </c>
      <c r="M570" s="58" t="str">
        <f t="shared" si="142"/>
        <v/>
      </c>
      <c r="N570" s="58" t="str">
        <f t="shared" si="143"/>
        <v/>
      </c>
      <c r="O570" s="65" t="str">
        <f t="shared" si="144"/>
        <v/>
      </c>
    </row>
    <row r="571" spans="1:15" x14ac:dyDescent="0.25">
      <c r="A571" s="141" t="s">
        <v>154</v>
      </c>
      <c r="B571" s="142"/>
      <c r="C571" s="142"/>
      <c r="D571" s="142"/>
      <c r="E571" s="142"/>
      <c r="F571" s="142"/>
      <c r="G571" s="143"/>
      <c r="H571" s="143"/>
      <c r="I571" s="61"/>
      <c r="J571" s="61"/>
      <c r="K571" s="61"/>
      <c r="L571" s="61"/>
      <c r="M571" s="61"/>
      <c r="N571" s="61"/>
      <c r="O571" s="66"/>
    </row>
    <row r="572" spans="1:15" ht="18.75" x14ac:dyDescent="0.3">
      <c r="A572" s="144" t="s">
        <v>149</v>
      </c>
      <c r="B572" s="145"/>
      <c r="C572" s="145"/>
      <c r="D572" s="145"/>
      <c r="E572" s="145"/>
      <c r="F572" s="145"/>
      <c r="G572" s="145"/>
      <c r="H572" s="145"/>
      <c r="I572" s="145"/>
      <c r="J572" s="145"/>
      <c r="K572" s="145"/>
      <c r="L572" s="145"/>
      <c r="M572" s="145"/>
      <c r="N572" s="145"/>
      <c r="O572" s="146"/>
    </row>
    <row r="573" spans="1:15" x14ac:dyDescent="0.25">
      <c r="A573" s="137" t="s">
        <v>2</v>
      </c>
      <c r="B573" s="138"/>
      <c r="C573" s="138"/>
      <c r="D573" s="139" t="s">
        <v>20</v>
      </c>
      <c r="E573" s="139"/>
      <c r="F573" s="139"/>
      <c r="G573" s="139"/>
      <c r="H573" s="139"/>
      <c r="I573" s="139"/>
      <c r="J573" s="139" t="s">
        <v>23</v>
      </c>
      <c r="K573" s="139"/>
      <c r="L573" s="139"/>
      <c r="M573" s="139"/>
      <c r="N573" s="139"/>
      <c r="O573" s="140"/>
    </row>
    <row r="574" spans="1:15" x14ac:dyDescent="0.25">
      <c r="A574" s="62" t="s">
        <v>5</v>
      </c>
      <c r="B574" s="51" t="s">
        <v>6</v>
      </c>
      <c r="C574" s="51" t="s">
        <v>7</v>
      </c>
      <c r="D574" s="53">
        <v>1</v>
      </c>
      <c r="E574" s="53">
        <v>4</v>
      </c>
      <c r="F574" s="53">
        <v>16</v>
      </c>
      <c r="G574" s="53">
        <v>32</v>
      </c>
      <c r="H574" s="53">
        <v>64</v>
      </c>
      <c r="I574" s="53">
        <v>80</v>
      </c>
      <c r="J574" s="53">
        <v>1</v>
      </c>
      <c r="K574" s="53">
        <v>4</v>
      </c>
      <c r="L574" s="53">
        <v>16</v>
      </c>
      <c r="M574" s="53">
        <v>32</v>
      </c>
      <c r="N574" s="53">
        <v>64</v>
      </c>
      <c r="O574" s="63">
        <v>80</v>
      </c>
    </row>
    <row r="575" spans="1:15" x14ac:dyDescent="0.25">
      <c r="A575" s="64" t="s">
        <v>8</v>
      </c>
      <c r="B575" s="54" t="s">
        <v>9</v>
      </c>
      <c r="C575" s="54" t="s">
        <v>10</v>
      </c>
      <c r="D575" s="59">
        <f>IF(D565="","",(D565-'2017'!D495)/'2017'!D495)</f>
        <v>0.12572071438616228</v>
      </c>
      <c r="E575" s="59">
        <f>IF(E565="","",(E565-'2017'!E495)/'2017'!E495)</f>
        <v>-0.18139622998958038</v>
      </c>
      <c r="F575" s="59">
        <f>IF(F565="","",(F565-'2017'!F495)/'2017'!F495)</f>
        <v>4.923509759099701E-3</v>
      </c>
      <c r="G575" s="59" t="str">
        <f>IF(G565="","",(G565-'2014'!#REF!)/'2014'!#REF!)</f>
        <v/>
      </c>
      <c r="H575" s="59" t="str">
        <f>IF(H565="","",(H565-'2014'!#REF!)/'2014'!#REF!)</f>
        <v/>
      </c>
      <c r="I575" s="58" t="str">
        <f>IF(I565="","",(I565-'2014'!#REF!)/'2014'!#REF!)</f>
        <v/>
      </c>
      <c r="J575" s="58"/>
      <c r="K575" s="58"/>
      <c r="L575" s="58"/>
      <c r="M575" s="58" t="str">
        <f>IF(G575="","",M565-((1/'Proto 2013'!#REF!)*1000000))</f>
        <v/>
      </c>
      <c r="N575" s="58" t="str">
        <f>IF(H575="","",N565-((1/'Proto 2013'!#REF!)*1000000))</f>
        <v/>
      </c>
      <c r="O575" s="65" t="str">
        <f>IF(I575="","",O565-((1/'Proto 2013'!#REF!)*1000000))</f>
        <v/>
      </c>
    </row>
    <row r="576" spans="1:15" x14ac:dyDescent="0.25">
      <c r="A576" s="64" t="s">
        <v>11</v>
      </c>
      <c r="B576" s="54" t="s">
        <v>9</v>
      </c>
      <c r="C576" s="54" t="s">
        <v>12</v>
      </c>
      <c r="D576" s="59">
        <f>IF(D566="","",(D566-'2017'!D496)/'2017'!D496)</f>
        <v>-3.6970243462578899E-2</v>
      </c>
      <c r="E576" s="59">
        <f>IF(E566="","",(E566-'2017'!E496)/'2017'!E496)</f>
        <v>3.757638798595761E-2</v>
      </c>
      <c r="F576" s="59">
        <f>IF(F566="","",(F566-'2017'!F496)/'2017'!F496)</f>
        <v>0.12399571505088378</v>
      </c>
      <c r="G576" s="59" t="str">
        <f>IF(G566="","",(G566-'2014'!#REF!)/'2014'!#REF!)</f>
        <v/>
      </c>
      <c r="H576" s="59" t="str">
        <f>IF(H566="","",(H566-'2014'!#REF!)/'2014'!#REF!)</f>
        <v/>
      </c>
      <c r="I576" s="59" t="str">
        <f>IF(I566="","",(I566-'2014'!#REF!)/'2014'!#REF!)</f>
        <v/>
      </c>
      <c r="J576" s="58"/>
      <c r="K576" s="58"/>
      <c r="L576" s="58"/>
      <c r="M576" s="58" t="str">
        <f>IF(G576="","",M566-((1/'Proto 2013'!#REF!)*1000000))</f>
        <v/>
      </c>
      <c r="N576" s="58" t="str">
        <f>IF(H576="","",N566-((1/'Proto 2013'!#REF!)*1000000))</f>
        <v/>
      </c>
      <c r="O576" s="65" t="str">
        <f>IF(I576="","",O566-((1/'Proto 2013'!#REF!)*1000000))</f>
        <v/>
      </c>
    </row>
    <row r="577" spans="1:15" x14ac:dyDescent="0.25">
      <c r="A577" s="64" t="s">
        <v>13</v>
      </c>
      <c r="B577" s="54" t="s">
        <v>14</v>
      </c>
      <c r="C577" s="54" t="s">
        <v>10</v>
      </c>
      <c r="D577" s="59">
        <f>IF(D567="","",(D567-'2017'!D497)/'2017'!D497)</f>
        <v>-0.35958333333333331</v>
      </c>
      <c r="E577" s="59">
        <f>IF(E567="","",(E567-'2017'!E497)/'2017'!E497)</f>
        <v>-3.0575130711525348E-2</v>
      </c>
      <c r="F577" s="59">
        <f>IF(F567="","",(F567-'2017'!F497)/'2017'!F497)</f>
        <v>1.6976998904709748E-2</v>
      </c>
      <c r="G577" s="59" t="str">
        <f>IF(G567="","",(G567-'2014'!#REF!)/'2014'!#REF!)</f>
        <v/>
      </c>
      <c r="H577" s="59" t="str">
        <f>IF(H567="","",(H567-'2014'!#REF!)/'2014'!#REF!)</f>
        <v/>
      </c>
      <c r="I577" s="59" t="str">
        <f>IF(I567="","",(I567-'2014'!#REF!)/'2014'!#REF!)</f>
        <v/>
      </c>
      <c r="J577" s="58"/>
      <c r="K577" s="58"/>
      <c r="L577" s="58"/>
      <c r="M577" s="58" t="str">
        <f>IF(G577="","",M567-((1/'Proto 2013'!#REF!)*1000000))</f>
        <v/>
      </c>
      <c r="N577" s="58" t="str">
        <f>IF(H577="","",N567-((1/'Proto 2013'!#REF!)*1000000))</f>
        <v/>
      </c>
      <c r="O577" s="65" t="str">
        <f>IF(I577="","",O567-((1/'Proto 2013'!#REF!)*1000000))</f>
        <v/>
      </c>
    </row>
    <row r="578" spans="1:15" x14ac:dyDescent="0.25">
      <c r="A578" s="64" t="s">
        <v>15</v>
      </c>
      <c r="B578" s="54" t="s">
        <v>14</v>
      </c>
      <c r="C578" s="54" t="s">
        <v>12</v>
      </c>
      <c r="D578" s="59">
        <f>IF(D568="","",(D568-'2017'!D498)/'2017'!D498)</f>
        <v>7.9368608270342381E-2</v>
      </c>
      <c r="E578" s="59">
        <f>IF(E568="","",(E568-'2017'!E498)/'2017'!E498)</f>
        <v>-5.8743169398907105E-3</v>
      </c>
      <c r="F578" s="59">
        <f>IF(F568="","",(F568-'2017'!F498)/'2017'!F498)</f>
        <v>1.2154124644427205E-2</v>
      </c>
      <c r="G578" s="59" t="str">
        <f>IF(G568="","",(G568-'2014'!#REF!)/'2014'!#REF!)</f>
        <v/>
      </c>
      <c r="H578" s="59" t="str">
        <f>IF(H568="","",(H568-'2014'!#REF!)/'2014'!#REF!)</f>
        <v/>
      </c>
      <c r="I578" s="59" t="str">
        <f>IF(I568="","",(I568-'2014'!#REF!)/'2014'!#REF!)</f>
        <v/>
      </c>
      <c r="J578" s="58"/>
      <c r="K578" s="58"/>
      <c r="L578" s="58"/>
      <c r="M578" s="58" t="str">
        <f>IF(G578="","",M568-((1/'Proto 2013'!#REF!)*1000000))</f>
        <v/>
      </c>
      <c r="N578" s="58" t="str">
        <f>IF(H578="","",N568-((1/'Proto 2013'!#REF!)*1000000))</f>
        <v/>
      </c>
      <c r="O578" s="65" t="str">
        <f>IF(I578="","",O568-((1/'Proto 2013'!#REF!)*1000000))</f>
        <v/>
      </c>
    </row>
    <row r="579" spans="1:15" x14ac:dyDescent="0.25">
      <c r="A579" s="64" t="s">
        <v>16</v>
      </c>
      <c r="B579" s="54" t="s">
        <v>17</v>
      </c>
      <c r="C579" s="54" t="s">
        <v>12</v>
      </c>
      <c r="D579" s="59">
        <f>IF(D569="","",(D569-'2017'!D499)/'2017'!D499)</f>
        <v>-1.1867726696624035E-2</v>
      </c>
      <c r="E579" s="59">
        <f>IF(E569="","",(E569-'2017'!E499)/'2017'!E499)</f>
        <v>4.9879081015719471E-3</v>
      </c>
      <c r="F579" s="59">
        <f>IF(F569="","",(F569-'2017'!F499)/'2017'!F499)</f>
        <v>-1.1636927851047323E-2</v>
      </c>
      <c r="G579" s="59" t="str">
        <f>IF(G569="","",(G569-'2014'!#REF!)/'2014'!#REF!)</f>
        <v/>
      </c>
      <c r="H579" s="59" t="str">
        <f>IF(H569="","",(H569-'2014'!#REF!)/'2014'!#REF!)</f>
        <v/>
      </c>
      <c r="I579" s="59" t="str">
        <f>IF(I569="","",(I569-'2014'!#REF!)/'2014'!#REF!)</f>
        <v/>
      </c>
      <c r="J579" s="58"/>
      <c r="K579" s="58"/>
      <c r="L579" s="58"/>
      <c r="M579" s="58" t="str">
        <f>IF(G579="","",M569-((1/'Proto 2013'!#REF!)*1000000))</f>
        <v/>
      </c>
      <c r="N579" s="58" t="str">
        <f>IF(H579="","",N569-((1/'Proto 2013'!#REF!)*1000000))</f>
        <v/>
      </c>
      <c r="O579" s="65" t="str">
        <f>IF(I579="","",O569-((1/'Proto 2013'!#REF!)*1000000))</f>
        <v/>
      </c>
    </row>
    <row r="580" spans="1:15" ht="15.75" thickBot="1" x14ac:dyDescent="0.3">
      <c r="A580" s="70" t="s">
        <v>18</v>
      </c>
      <c r="B580" s="71" t="s">
        <v>19</v>
      </c>
      <c r="C580" s="71" t="s">
        <v>12</v>
      </c>
      <c r="D580" s="59">
        <f>IF(D570="","",(D570-'2017'!D500)/'2017'!D500)</f>
        <v>2.4761230986911922E-3</v>
      </c>
      <c r="E580" s="59">
        <f>IF(E570="","",(E570-'2017'!E500)/'2017'!E500)</f>
        <v>-2.7447526787024806E-2</v>
      </c>
      <c r="F580" s="59">
        <f>IF(F570="","",(F570-'2017'!F500)/'2017'!F500)</f>
        <v>-1.0114107883817428E-2</v>
      </c>
      <c r="G580" s="72" t="str">
        <f>IF(G570="","",(G570-'2014'!#REF!)/'2014'!#REF!)</f>
        <v/>
      </c>
      <c r="H580" s="72" t="str">
        <f>IF(H570="","",(H570-'2014'!#REF!)/'2014'!#REF!)</f>
        <v/>
      </c>
      <c r="I580" s="72" t="str">
        <f>IF(I570="","",(I570-'2014'!#REF!)/'2014'!#REF!)</f>
        <v/>
      </c>
      <c r="J580" s="73"/>
      <c r="K580" s="73"/>
      <c r="L580" s="73"/>
      <c r="M580" s="73" t="str">
        <f>IF(G580="","",M570-((1/'Proto 2013'!#REF!)*1000000))</f>
        <v/>
      </c>
      <c r="N580" s="73" t="str">
        <f>IF(H580="","",N570-((1/'Proto 2013'!#REF!)*1000000))</f>
        <v/>
      </c>
      <c r="O580" s="74" t="str">
        <f>IF(I580="","",O570-((1/'Proto 2013'!#REF!)*1000000))</f>
        <v/>
      </c>
    </row>
  </sheetData>
  <mergeCells count="301">
    <mergeCell ref="A541:O541"/>
    <mergeCell ref="A542:O542"/>
    <mergeCell ref="A543:C543"/>
    <mergeCell ref="D543:I543"/>
    <mergeCell ref="J543:O543"/>
    <mergeCell ref="A551:F551"/>
    <mergeCell ref="G551:H551"/>
    <mergeCell ref="A552:O552"/>
    <mergeCell ref="A553:C553"/>
    <mergeCell ref="D553:I553"/>
    <mergeCell ref="J553:O553"/>
    <mergeCell ref="A482:O482"/>
    <mergeCell ref="A483:C483"/>
    <mergeCell ref="D483:I483"/>
    <mergeCell ref="J483:O483"/>
    <mergeCell ref="A461:O461"/>
    <mergeCell ref="A462:O462"/>
    <mergeCell ref="A463:C463"/>
    <mergeCell ref="D463:I463"/>
    <mergeCell ref="J463:O463"/>
    <mergeCell ref="A471:F471"/>
    <mergeCell ref="G471:H471"/>
    <mergeCell ref="A472:O472"/>
    <mergeCell ref="A473:C473"/>
    <mergeCell ref="D473:I473"/>
    <mergeCell ref="J473:O473"/>
    <mergeCell ref="A452:O452"/>
    <mergeCell ref="A453:C453"/>
    <mergeCell ref="D453:I453"/>
    <mergeCell ref="J453:O453"/>
    <mergeCell ref="A431:O431"/>
    <mergeCell ref="A432:O432"/>
    <mergeCell ref="A433:C433"/>
    <mergeCell ref="D433:I433"/>
    <mergeCell ref="J433:O433"/>
    <mergeCell ref="A441:F441"/>
    <mergeCell ref="G441:H441"/>
    <mergeCell ref="A442:O442"/>
    <mergeCell ref="A443:C443"/>
    <mergeCell ref="D443:I443"/>
    <mergeCell ref="J443:O443"/>
    <mergeCell ref="A362:O362"/>
    <mergeCell ref="A363:C363"/>
    <mergeCell ref="D363:I363"/>
    <mergeCell ref="J363:O363"/>
    <mergeCell ref="A341:O341"/>
    <mergeCell ref="A342:O342"/>
    <mergeCell ref="A343:C343"/>
    <mergeCell ref="D343:I343"/>
    <mergeCell ref="J343:O343"/>
    <mergeCell ref="A351:F351"/>
    <mergeCell ref="G351:H351"/>
    <mergeCell ref="A352:O352"/>
    <mergeCell ref="A353:C353"/>
    <mergeCell ref="D353:I353"/>
    <mergeCell ref="J353:O353"/>
    <mergeCell ref="A332:O332"/>
    <mergeCell ref="A333:C333"/>
    <mergeCell ref="D333:I333"/>
    <mergeCell ref="J333:O333"/>
    <mergeCell ref="A311:O311"/>
    <mergeCell ref="A312:O312"/>
    <mergeCell ref="A313:C313"/>
    <mergeCell ref="D313:I313"/>
    <mergeCell ref="J313:O313"/>
    <mergeCell ref="A321:F321"/>
    <mergeCell ref="G321:H321"/>
    <mergeCell ref="A322:O322"/>
    <mergeCell ref="A323:C323"/>
    <mergeCell ref="D323:I323"/>
    <mergeCell ref="J323:O323"/>
    <mergeCell ref="A290:O290"/>
    <mergeCell ref="A291:O291"/>
    <mergeCell ref="A292:C292"/>
    <mergeCell ref="D292:I292"/>
    <mergeCell ref="J292:O292"/>
    <mergeCell ref="A300:F300"/>
    <mergeCell ref="G300:H300"/>
    <mergeCell ref="A301:O301"/>
    <mergeCell ref="A302:C302"/>
    <mergeCell ref="D302:I302"/>
    <mergeCell ref="J302:O302"/>
    <mergeCell ref="A270:O270"/>
    <mergeCell ref="A271:O271"/>
    <mergeCell ref="A272:C272"/>
    <mergeCell ref="D272:I272"/>
    <mergeCell ref="J272:O272"/>
    <mergeCell ref="A280:F280"/>
    <mergeCell ref="G280:H280"/>
    <mergeCell ref="A281:O281"/>
    <mergeCell ref="A282:C282"/>
    <mergeCell ref="D282:I282"/>
    <mergeCell ref="J282:O282"/>
    <mergeCell ref="A230:O230"/>
    <mergeCell ref="A231:O231"/>
    <mergeCell ref="A232:C232"/>
    <mergeCell ref="D232:I232"/>
    <mergeCell ref="J232:O232"/>
    <mergeCell ref="A240:F240"/>
    <mergeCell ref="G240:H240"/>
    <mergeCell ref="A241:O241"/>
    <mergeCell ref="A242:C242"/>
    <mergeCell ref="D242:I242"/>
    <mergeCell ref="J242:O242"/>
    <mergeCell ref="A148:O148"/>
    <mergeCell ref="A149:O149"/>
    <mergeCell ref="A150:C150"/>
    <mergeCell ref="D150:I150"/>
    <mergeCell ref="J150:O150"/>
    <mergeCell ref="A158:F158"/>
    <mergeCell ref="G158:H158"/>
    <mergeCell ref="A159:O159"/>
    <mergeCell ref="A160:C160"/>
    <mergeCell ref="D160:I160"/>
    <mergeCell ref="J160:O160"/>
    <mergeCell ref="A127:O127"/>
    <mergeCell ref="A128:O128"/>
    <mergeCell ref="A129:C129"/>
    <mergeCell ref="D129:I129"/>
    <mergeCell ref="J129:O129"/>
    <mergeCell ref="A137:F137"/>
    <mergeCell ref="G137:H137"/>
    <mergeCell ref="A138:O138"/>
    <mergeCell ref="A139:C139"/>
    <mergeCell ref="D139:I139"/>
    <mergeCell ref="J139:O139"/>
    <mergeCell ref="A106:O106"/>
    <mergeCell ref="A107:O107"/>
    <mergeCell ref="A108:C108"/>
    <mergeCell ref="D108:I108"/>
    <mergeCell ref="J108:O108"/>
    <mergeCell ref="A116:F116"/>
    <mergeCell ref="G116:H116"/>
    <mergeCell ref="A117:O117"/>
    <mergeCell ref="A118:C118"/>
    <mergeCell ref="D118:I118"/>
    <mergeCell ref="J118:O118"/>
    <mergeCell ref="A64:O64"/>
    <mergeCell ref="A65:O65"/>
    <mergeCell ref="A66:C66"/>
    <mergeCell ref="D66:I66"/>
    <mergeCell ref="J66:O66"/>
    <mergeCell ref="A75:O75"/>
    <mergeCell ref="A76:C76"/>
    <mergeCell ref="D76:I76"/>
    <mergeCell ref="J76:O76"/>
    <mergeCell ref="A74:F74"/>
    <mergeCell ref="G74:H74"/>
    <mergeCell ref="A34:C34"/>
    <mergeCell ref="D34:I34"/>
    <mergeCell ref="J34:O34"/>
    <mergeCell ref="A23:O23"/>
    <mergeCell ref="A24:C24"/>
    <mergeCell ref="D24:I24"/>
    <mergeCell ref="J24:O24"/>
    <mergeCell ref="A33:O33"/>
    <mergeCell ref="A32:O32"/>
    <mergeCell ref="A22:O22"/>
    <mergeCell ref="A11:O11"/>
    <mergeCell ref="A12:O12"/>
    <mergeCell ref="A13:C13"/>
    <mergeCell ref="D13:I13"/>
    <mergeCell ref="J13:O13"/>
    <mergeCell ref="A1:O1"/>
    <mergeCell ref="A2:O2"/>
    <mergeCell ref="A3:C3"/>
    <mergeCell ref="D3:I3"/>
    <mergeCell ref="J3:O3"/>
    <mergeCell ref="A54:O54"/>
    <mergeCell ref="A55:C55"/>
    <mergeCell ref="D55:I55"/>
    <mergeCell ref="J55:O55"/>
    <mergeCell ref="A53:F53"/>
    <mergeCell ref="G53:H53"/>
    <mergeCell ref="A43:O43"/>
    <mergeCell ref="A44:O44"/>
    <mergeCell ref="A45:C45"/>
    <mergeCell ref="D45:I45"/>
    <mergeCell ref="J45:O45"/>
    <mergeCell ref="A95:F95"/>
    <mergeCell ref="G95:H95"/>
    <mergeCell ref="A96:O96"/>
    <mergeCell ref="A97:C97"/>
    <mergeCell ref="D97:I97"/>
    <mergeCell ref="J97:O97"/>
    <mergeCell ref="A85:O85"/>
    <mergeCell ref="A86:O86"/>
    <mergeCell ref="A87:C87"/>
    <mergeCell ref="D87:I87"/>
    <mergeCell ref="J87:O87"/>
    <mergeCell ref="A179:F179"/>
    <mergeCell ref="G179:H179"/>
    <mergeCell ref="A180:O180"/>
    <mergeCell ref="A181:C181"/>
    <mergeCell ref="D181:I181"/>
    <mergeCell ref="J181:O181"/>
    <mergeCell ref="A169:O169"/>
    <mergeCell ref="A170:O170"/>
    <mergeCell ref="A171:C171"/>
    <mergeCell ref="D171:I171"/>
    <mergeCell ref="J171:O171"/>
    <mergeCell ref="A200:F200"/>
    <mergeCell ref="G200:H200"/>
    <mergeCell ref="A201:O201"/>
    <mergeCell ref="A202:C202"/>
    <mergeCell ref="D202:I202"/>
    <mergeCell ref="J202:O202"/>
    <mergeCell ref="A190:O190"/>
    <mergeCell ref="A191:O191"/>
    <mergeCell ref="A192:C192"/>
    <mergeCell ref="D192:I192"/>
    <mergeCell ref="J192:O192"/>
    <mergeCell ref="A210:O210"/>
    <mergeCell ref="A211:O211"/>
    <mergeCell ref="A212:C212"/>
    <mergeCell ref="D212:I212"/>
    <mergeCell ref="J212:O212"/>
    <mergeCell ref="A220:F220"/>
    <mergeCell ref="G220:H220"/>
    <mergeCell ref="A221:O221"/>
    <mergeCell ref="A222:C222"/>
    <mergeCell ref="D222:I222"/>
    <mergeCell ref="J222:O222"/>
    <mergeCell ref="A250:O250"/>
    <mergeCell ref="A251:O251"/>
    <mergeCell ref="A252:C252"/>
    <mergeCell ref="D252:I252"/>
    <mergeCell ref="J252:O252"/>
    <mergeCell ref="A260:F260"/>
    <mergeCell ref="G260:H260"/>
    <mergeCell ref="A261:O261"/>
    <mergeCell ref="A262:C262"/>
    <mergeCell ref="D262:I262"/>
    <mergeCell ref="J262:O262"/>
    <mergeCell ref="A392:O392"/>
    <mergeCell ref="A393:C393"/>
    <mergeCell ref="D393:I393"/>
    <mergeCell ref="J393:O393"/>
    <mergeCell ref="A371:O371"/>
    <mergeCell ref="A372:O372"/>
    <mergeCell ref="A373:C373"/>
    <mergeCell ref="D373:I373"/>
    <mergeCell ref="J373:O373"/>
    <mergeCell ref="A381:F381"/>
    <mergeCell ref="G381:H381"/>
    <mergeCell ref="A382:O382"/>
    <mergeCell ref="A383:C383"/>
    <mergeCell ref="D383:I383"/>
    <mergeCell ref="J383:O383"/>
    <mergeCell ref="A422:O422"/>
    <mergeCell ref="A423:C423"/>
    <mergeCell ref="D423:I423"/>
    <mergeCell ref="J423:O423"/>
    <mergeCell ref="A401:O401"/>
    <mergeCell ref="A402:O402"/>
    <mergeCell ref="A403:C403"/>
    <mergeCell ref="D403:I403"/>
    <mergeCell ref="J403:O403"/>
    <mergeCell ref="A411:F411"/>
    <mergeCell ref="G411:H411"/>
    <mergeCell ref="A412:O412"/>
    <mergeCell ref="A413:C413"/>
    <mergeCell ref="D413:I413"/>
    <mergeCell ref="J413:O413"/>
    <mergeCell ref="A512:O512"/>
    <mergeCell ref="A513:C513"/>
    <mergeCell ref="D513:I513"/>
    <mergeCell ref="J513:O513"/>
    <mergeCell ref="A491:O491"/>
    <mergeCell ref="A492:O492"/>
    <mergeCell ref="A493:C493"/>
    <mergeCell ref="D493:I493"/>
    <mergeCell ref="J493:O493"/>
    <mergeCell ref="A501:F501"/>
    <mergeCell ref="G501:H501"/>
    <mergeCell ref="A502:O502"/>
    <mergeCell ref="A503:C503"/>
    <mergeCell ref="D503:I503"/>
    <mergeCell ref="J503:O503"/>
    <mergeCell ref="A521:O521"/>
    <mergeCell ref="A522:O522"/>
    <mergeCell ref="A523:C523"/>
    <mergeCell ref="D523:I523"/>
    <mergeCell ref="J523:O523"/>
    <mergeCell ref="A531:F531"/>
    <mergeCell ref="G531:H531"/>
    <mergeCell ref="A532:O532"/>
    <mergeCell ref="A533:C533"/>
    <mergeCell ref="D533:I533"/>
    <mergeCell ref="J533:O533"/>
    <mergeCell ref="A561:O561"/>
    <mergeCell ref="A562:O562"/>
    <mergeCell ref="A563:C563"/>
    <mergeCell ref="D563:I563"/>
    <mergeCell ref="J563:O563"/>
    <mergeCell ref="A571:F571"/>
    <mergeCell ref="G571:H571"/>
    <mergeCell ref="A572:O572"/>
    <mergeCell ref="A573:C573"/>
    <mergeCell ref="D573:I573"/>
    <mergeCell ref="J573:O573"/>
  </mergeCells>
  <conditionalFormatting sqref="D16:I20 D15:H15">
    <cfRule type="colorScale" priority="7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6:I20 D15:H15">
    <cfRule type="colorScale" priority="7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6:H36 D37:I41">
    <cfRule type="colorScale" priority="6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6:H36 D37:I41">
    <cfRule type="colorScale" priority="6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7:H57 D58:I62">
    <cfRule type="colorScale" priority="6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7:H57 D58:I62">
    <cfRule type="colorScale" priority="6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78:H78 D79:I83">
    <cfRule type="colorScale" priority="6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78:H78 D79:I83">
    <cfRule type="colorScale" priority="6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99:H99 D100:I104">
    <cfRule type="colorScale" priority="6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99:H99 D100:I104">
    <cfRule type="colorScale" priority="6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20:H120 D121:I125">
    <cfRule type="colorScale" priority="6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20:H120 D121:I125">
    <cfRule type="colorScale" priority="5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41:H141 D142:I146">
    <cfRule type="colorScale" priority="5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41:H141 D142:I146">
    <cfRule type="colorScale" priority="5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62:H162 D163:I167">
    <cfRule type="colorScale" priority="5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62:H162 D163:I167">
    <cfRule type="colorScale" priority="5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83:H183 D184:I188">
    <cfRule type="colorScale" priority="5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83:H183 D184:I188">
    <cfRule type="colorScale" priority="5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04:H204 D205:I209">
    <cfRule type="colorScale" priority="5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04:H204 D205:I209">
    <cfRule type="colorScale" priority="5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24:H224 D225:I229">
    <cfRule type="colorScale" priority="5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24:H224 D225:I229">
    <cfRule type="colorScale" priority="4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44:H244 D245:I249">
    <cfRule type="colorScale" priority="4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44:H244 D245:I249">
    <cfRule type="colorScale" priority="4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64:H264 D265:I269">
    <cfRule type="colorScale" priority="4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64:H264 D265:I269">
    <cfRule type="colorScale" priority="4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84:H284 D285:I289">
    <cfRule type="colorScale" priority="4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84:H284 D285:I289">
    <cfRule type="colorScale" priority="4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04:H304 D305:I309">
    <cfRule type="colorScale" priority="4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04:H304 D305:I309">
    <cfRule type="colorScale" priority="4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26:D331 D325:H325 E326:I330">
    <cfRule type="colorScale" priority="4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26:D331 D325:H325 E326:I330">
    <cfRule type="colorScale" priority="3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35:H335 D336:I340">
    <cfRule type="colorScale" priority="3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35:H335 D336:I340">
    <cfRule type="colorScale" priority="3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56:D361 D355:H355 D356:I360">
    <cfRule type="colorScale" priority="3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56:D361 D355:H355 D356:I360">
    <cfRule type="colorScale" priority="3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65:H365 D366:I370">
    <cfRule type="colorScale" priority="3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65:H365 D366:I370">
    <cfRule type="colorScale" priority="3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86:D391 D385:H385 D386:I390">
    <cfRule type="colorScale" priority="2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86:D391 D385:H385 D386:I390">
    <cfRule type="colorScale" priority="2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95:H395 D396:I400">
    <cfRule type="colorScale" priority="2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95:H395 D396:I400">
    <cfRule type="colorScale" priority="2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16:D421 D415:H415 D416:I420">
    <cfRule type="colorScale" priority="2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16:D421 D415:H415 D416:I420">
    <cfRule type="colorScale" priority="2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25:H425 D426:I430">
    <cfRule type="colorScale" priority="2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25:H425 D426:I430">
    <cfRule type="colorScale" priority="1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46:D451 D445:H445 E446:I450">
    <cfRule type="colorScale" priority="1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46:D451 D445:H445 E446:I450">
    <cfRule type="colorScale" priority="1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55:H455 D456:I460">
    <cfRule type="colorScale" priority="1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55:H455 D456:I460">
    <cfRule type="colorScale" priority="1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76:D481 D475:H475 D476:I480">
    <cfRule type="colorScale" priority="1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76:D481 D475:H475 D476:I480">
    <cfRule type="colorScale" priority="1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85:H485 D486:I490">
    <cfRule type="colorScale" priority="1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85:H485 D486:I490">
    <cfRule type="colorScale" priority="1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06:D511 D505:H505 D506:I510">
    <cfRule type="colorScale" priority="1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06:D511 D505:H505 D506:I510">
    <cfRule type="colorScale" priority="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15:H515 D516:I520">
    <cfRule type="colorScale" priority="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15:H515 D516:I520">
    <cfRule type="colorScale" priority="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35:H535 D536:I540">
    <cfRule type="colorScale" priority="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35:H535 D536:I540">
    <cfRule type="colorScale" priority="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55:H555 D556:I560">
    <cfRule type="colorScale" priority="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55:H555 D556:I560">
    <cfRule type="colorScale" priority="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75:H575 D576:I580">
    <cfRule type="colorScale" priority="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75:H575 D576:I580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hyperlinks>
    <hyperlink ref="A11:O11" r:id="rId1" location="TSsummary" display="Worst of 10 iterations: 9068_sp_online_poll_17.0d41" xr:uid="{00000000-0004-0000-0500-000000000000}"/>
    <hyperlink ref="A32:O32" r:id="rId2" display="Worst of 10 iterations: 9068_sp_online_poll_17.0d65" xr:uid="{00000000-0004-0000-0500-000001000000}"/>
    <hyperlink ref="A53:F53" r:id="rId3" location="TSsummary" display="Worst of 10 iterations: 9068_sp_online_poll_17.0d75" xr:uid="{00000000-0004-0000-0500-000002000000}"/>
    <hyperlink ref="G53:H53" r:id="rId4" display="CAR :607849" xr:uid="{00000000-0004-0000-0500-000003000000}"/>
    <hyperlink ref="A74:F74" r:id="rId5" location="TSsummary" display="Worst of 10 iterations: 9068_sp_online_poll_17.0d80" xr:uid="{00000000-0004-0000-0500-000004000000}"/>
    <hyperlink ref="G74:H74" r:id="rId6" display="CAR : 607849" xr:uid="{00000000-0004-0000-0500-000005000000}"/>
    <hyperlink ref="A95:F95" r:id="rId7" location="TSsummary" display="Worst of 10 iterations: 9068_sp_online_poll_17.0d88" xr:uid="{00000000-0004-0000-0500-000006000000}"/>
    <hyperlink ref="G95:H95" r:id="rId8" display="CAR : 607849" xr:uid="{00000000-0004-0000-0500-000007000000}"/>
    <hyperlink ref="A116:F116" r:id="rId9" display="Worst of 10 iterations: 9068_sp_online_poll_17.0d93" xr:uid="{00000000-0004-0000-0500-000008000000}"/>
    <hyperlink ref="G116:H116" r:id="rId10" display="CAR : 607849" xr:uid="{00000000-0004-0000-0500-000009000000}"/>
    <hyperlink ref="A137:F137" r:id="rId11" display="Worst of 10 iterations: 9068_sp_online_poll_17.0a2" xr:uid="{00000000-0004-0000-0500-00000A000000}"/>
    <hyperlink ref="G137:H137" r:id="rId12" display="CAR : 607849" xr:uid="{00000000-0004-0000-0500-00000B000000}"/>
    <hyperlink ref="G158:H158" r:id="rId13" display="CAR : 607849" xr:uid="{00000000-0004-0000-0500-00000C000000}"/>
    <hyperlink ref="A158:F158" r:id="rId14" display="Worst of 10 iterations: 9068_sp_online_poll_17.0a12" xr:uid="{00000000-0004-0000-0500-00000D000000}"/>
    <hyperlink ref="G179:H179" r:id="rId15" display="CAR : 607849" xr:uid="{00000000-0004-0000-0500-00000E000000}"/>
    <hyperlink ref="A179:F179" r:id="rId16" location="TSsummary" display="Worst of 10 iterations: 9068_sp_online_poll_17.0a17" xr:uid="{00000000-0004-0000-0500-00000F000000}"/>
    <hyperlink ref="G200:H200" r:id="rId17" display="CAR : 607849" xr:uid="{00000000-0004-0000-0500-000010000000}"/>
    <hyperlink ref="A200:F200" r:id="rId18" location="TSsummary" display="Worst of 10 iterations: 9068_sp_online_poll_17.0a20" xr:uid="{00000000-0004-0000-0500-000011000000}"/>
    <hyperlink ref="A220:F220" r:id="rId19" display="Worst of 10 iterations: 9068_sp_online_poll_17.0a40" xr:uid="{00000000-0004-0000-0500-000012000000}"/>
    <hyperlink ref="A240:F240" r:id="rId20" location="TSsummary" display="Worst of 10 iterations: 9068_sp_online_poll_17.0a48" xr:uid="{00000000-0004-0000-0500-000013000000}"/>
    <hyperlink ref="A260:F260" r:id="rId21" display="Worst of 10 iterations: 9068_sp_online_poll_17.0b3" xr:uid="{00000000-0004-0000-0500-000014000000}"/>
    <hyperlink ref="A280:F280" r:id="rId22" display="Worst of 10 iterations: 9068_sp_online_poll_17.0b8" xr:uid="{00000000-0004-0000-0500-000015000000}"/>
    <hyperlink ref="A300:F300" r:id="rId23" display="Worst of 10 iterations: 9068_sp_online_poll_17.0b12" xr:uid="{00000000-0004-0000-0500-000016000000}"/>
    <hyperlink ref="A321:F321" r:id="rId24" display="Worst of 10 iterations: 9068_sp_online_poll_17.0b19" xr:uid="{00000000-0004-0000-0500-000017000000}"/>
    <hyperlink ref="A351:F351" r:id="rId25" display="Worst of 10 iterations: 9068_sp_online_poll_17.0b23" xr:uid="{00000000-0004-0000-0500-000018000000}"/>
    <hyperlink ref="A381:F381" r:id="rId26" display="Worst of 10 iterations: 9068_sp_online_poll_17.0b28" xr:uid="{00000000-0004-0000-0500-000019000000}"/>
    <hyperlink ref="A411:F411" r:id="rId27" display="Worst of 10 iterations: 9068_sp_online_poll_17.0b35" xr:uid="{00000000-0004-0000-0500-00001A000000}"/>
    <hyperlink ref="A441:F441" r:id="rId28" display="Worst of 10 iterations: 9068_sp_online_poll_17.0b40" xr:uid="{00000000-0004-0000-0500-00001B000000}"/>
    <hyperlink ref="A471:F471" r:id="rId29" display="Worst of 10 iterations: 9068_sp_online_poll_17.0rc0" xr:uid="{00000000-0004-0000-0500-00001C000000}"/>
    <hyperlink ref="A501:F501" r:id="rId30" location="Test_cRIO-Benchmark.lvproj%5CRT%20Target%5CAI-AO%5CTest_cRIO_AI-AO_01_INT.vi" display="Worst of 10 iterations: 9068_sp_online_poll_17.0" xr:uid="{00000000-0004-0000-0500-00001D000000}"/>
    <hyperlink ref="A531:F531" r:id="rId31" display="Worst of 10 iterations: 9068_sp_online_poll_17.0.1b3" xr:uid="{1523D9A7-AA24-4582-8157-FFECA586EC25}"/>
    <hyperlink ref="A551:F551" r:id="rId32" location="Test_cRIO-Benchmark.lvproj%5CRT%20Target%5CAI-AO%5CTest_cRIO_AI-AO_01_INT.vi" display="Worst of 10 iterations: 9068_sp_online_poll_17.0.1b10" xr:uid="{89F17324-CC01-4D76-A898-F4C292FCBE28}"/>
    <hyperlink ref="A571:F571" r:id="rId33" display="Worst of 10 iterations: 9068_sp_online_poll_17.0.1" xr:uid="{18ED1F4D-8B08-45F6-B418-B38267DEC82C}"/>
  </hyperlinks>
  <pageMargins left="0.7" right="0.7" top="0.75" bottom="0.75" header="0.3" footer="0.3"/>
  <pageSetup paperSize="9" orientation="portrait" r:id="rId3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94"/>
  <sheetViews>
    <sheetView topLeftCell="A58" workbookViewId="0">
      <selection activeCell="D70" sqref="D70"/>
    </sheetView>
  </sheetViews>
  <sheetFormatPr defaultRowHeight="15" x14ac:dyDescent="0.25"/>
  <sheetData>
    <row r="1" spans="1:15" ht="18.75" x14ac:dyDescent="0.25">
      <c r="A1" s="107" t="s">
        <v>90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25"/>
    </row>
    <row r="2" spans="1:15" ht="15.75" x14ac:dyDescent="0.25">
      <c r="A2" s="109" t="s">
        <v>98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26"/>
    </row>
    <row r="3" spans="1:15" x14ac:dyDescent="0.25">
      <c r="A3" s="105" t="s">
        <v>2</v>
      </c>
      <c r="B3" s="105"/>
      <c r="C3" s="105"/>
      <c r="D3" s="106" t="s">
        <v>3</v>
      </c>
      <c r="E3" s="106"/>
      <c r="F3" s="106"/>
      <c r="G3" s="106"/>
      <c r="H3" s="106"/>
      <c r="I3" s="106"/>
      <c r="J3" s="106" t="s">
        <v>4</v>
      </c>
      <c r="K3" s="106"/>
      <c r="L3" s="106"/>
      <c r="M3" s="106"/>
      <c r="N3" s="106"/>
      <c r="O3" s="106"/>
    </row>
    <row r="4" spans="1:15" x14ac:dyDescent="0.25">
      <c r="A4" s="6" t="s">
        <v>5</v>
      </c>
      <c r="B4" s="6" t="s">
        <v>6</v>
      </c>
      <c r="C4" s="6" t="s">
        <v>7</v>
      </c>
      <c r="D4" s="24">
        <v>1</v>
      </c>
      <c r="E4" s="24">
        <v>4</v>
      </c>
      <c r="F4" s="24">
        <v>16</v>
      </c>
      <c r="G4" s="7">
        <v>32</v>
      </c>
      <c r="H4" s="7">
        <v>64</v>
      </c>
      <c r="I4" s="7">
        <v>80</v>
      </c>
      <c r="J4" s="7">
        <v>1</v>
      </c>
      <c r="K4" s="7">
        <v>4</v>
      </c>
      <c r="L4" s="7">
        <v>16</v>
      </c>
      <c r="M4" s="7">
        <v>32</v>
      </c>
      <c r="N4" s="7">
        <v>64</v>
      </c>
      <c r="O4" s="7">
        <v>80</v>
      </c>
    </row>
    <row r="5" spans="1:15" x14ac:dyDescent="0.25">
      <c r="A5" s="8" t="s">
        <v>8</v>
      </c>
      <c r="B5" s="9" t="s">
        <v>9</v>
      </c>
      <c r="C5" s="22" t="s">
        <v>10</v>
      </c>
      <c r="D5" s="33">
        <v>25857</v>
      </c>
      <c r="E5" s="33">
        <v>19447</v>
      </c>
      <c r="F5" s="33">
        <v>5715</v>
      </c>
      <c r="G5" s="23"/>
      <c r="H5" s="10"/>
      <c r="I5" s="10"/>
      <c r="J5" s="11">
        <f>IF(D5="","",(1/D5)*1000000)</f>
        <v>38.674246819043198</v>
      </c>
      <c r="K5" s="11">
        <f t="shared" ref="K5:O10" si="0">IF(E5="","",(1/E5)*1000000)</f>
        <v>51.421813133131074</v>
      </c>
      <c r="L5" s="11">
        <f t="shared" si="0"/>
        <v>174.97812773403322</v>
      </c>
      <c r="M5" s="11" t="str">
        <f t="shared" si="0"/>
        <v/>
      </c>
      <c r="N5" s="11" t="str">
        <f t="shared" si="0"/>
        <v/>
      </c>
      <c r="O5" s="11" t="str">
        <f t="shared" si="0"/>
        <v/>
      </c>
    </row>
    <row r="6" spans="1:15" x14ac:dyDescent="0.25">
      <c r="A6" s="8" t="s">
        <v>11</v>
      </c>
      <c r="B6" s="9" t="s">
        <v>9</v>
      </c>
      <c r="C6" s="22" t="s">
        <v>12</v>
      </c>
      <c r="D6" s="33">
        <v>9293</v>
      </c>
      <c r="E6" s="33">
        <v>7373</v>
      </c>
      <c r="F6" s="33">
        <v>4107</v>
      </c>
      <c r="G6" s="23"/>
      <c r="H6" s="10"/>
      <c r="I6" s="10"/>
      <c r="J6" s="11">
        <f t="shared" ref="J6:J10" si="1">IF(D6="","",(1/D6)*1000000)</f>
        <v>107.60787689658883</v>
      </c>
      <c r="K6" s="11">
        <f t="shared" si="0"/>
        <v>135.6300013563</v>
      </c>
      <c r="L6" s="11">
        <f t="shared" si="0"/>
        <v>243.48672997321646</v>
      </c>
      <c r="M6" s="11" t="str">
        <f t="shared" si="0"/>
        <v/>
      </c>
      <c r="N6" s="11" t="str">
        <f t="shared" si="0"/>
        <v/>
      </c>
      <c r="O6" s="11" t="str">
        <f t="shared" si="0"/>
        <v/>
      </c>
    </row>
    <row r="7" spans="1:15" x14ac:dyDescent="0.25">
      <c r="A7" s="9" t="s">
        <v>13</v>
      </c>
      <c r="B7" s="9" t="s">
        <v>14</v>
      </c>
      <c r="C7" s="22" t="s">
        <v>10</v>
      </c>
      <c r="D7" s="33">
        <v>26417</v>
      </c>
      <c r="E7" s="33">
        <v>12740</v>
      </c>
      <c r="F7" s="33">
        <v>5521</v>
      </c>
      <c r="G7" s="23"/>
      <c r="H7" s="10"/>
      <c r="I7" s="10"/>
      <c r="J7" s="11">
        <f t="shared" si="1"/>
        <v>37.854411931710636</v>
      </c>
      <c r="K7" s="11">
        <f t="shared" si="0"/>
        <v>78.492935635792776</v>
      </c>
      <c r="L7" s="11">
        <f t="shared" si="0"/>
        <v>181.12660749864156</v>
      </c>
      <c r="M7" s="11" t="str">
        <f t="shared" si="0"/>
        <v/>
      </c>
      <c r="N7" s="11" t="str">
        <f t="shared" si="0"/>
        <v/>
      </c>
      <c r="O7" s="11" t="str">
        <f t="shared" si="0"/>
        <v/>
      </c>
    </row>
    <row r="8" spans="1:15" x14ac:dyDescent="0.25">
      <c r="A8" s="9" t="s">
        <v>15</v>
      </c>
      <c r="B8" s="9" t="s">
        <v>14</v>
      </c>
      <c r="C8" s="22" t="s">
        <v>12</v>
      </c>
      <c r="D8" s="33">
        <v>9072</v>
      </c>
      <c r="E8" s="33">
        <v>6453</v>
      </c>
      <c r="F8" s="33">
        <v>3734</v>
      </c>
      <c r="G8" s="23"/>
      <c r="H8" s="10"/>
      <c r="I8" s="10"/>
      <c r="J8" s="11">
        <f t="shared" si="1"/>
        <v>110.22927689594356</v>
      </c>
      <c r="K8" s="11">
        <f t="shared" si="0"/>
        <v>154.96668216333489</v>
      </c>
      <c r="L8" s="11">
        <f t="shared" si="0"/>
        <v>267.80931976432777</v>
      </c>
      <c r="M8" s="11" t="str">
        <f t="shared" si="0"/>
        <v/>
      </c>
      <c r="N8" s="11" t="str">
        <f t="shared" si="0"/>
        <v/>
      </c>
      <c r="O8" s="11" t="str">
        <f t="shared" si="0"/>
        <v/>
      </c>
    </row>
    <row r="9" spans="1:15" x14ac:dyDescent="0.25">
      <c r="A9" s="9" t="s">
        <v>16</v>
      </c>
      <c r="B9" s="9" t="s">
        <v>17</v>
      </c>
      <c r="C9" s="22" t="s">
        <v>12</v>
      </c>
      <c r="D9" s="33">
        <v>8556</v>
      </c>
      <c r="E9" s="33" t="s">
        <v>93</v>
      </c>
      <c r="F9" s="33" t="s">
        <v>93</v>
      </c>
      <c r="G9" s="23"/>
      <c r="H9" s="10"/>
      <c r="I9" s="10"/>
      <c r="J9" s="11">
        <f t="shared" si="1"/>
        <v>116.87704534829361</v>
      </c>
      <c r="K9" s="11" t="e">
        <f t="shared" si="0"/>
        <v>#VALUE!</v>
      </c>
      <c r="L9" s="11" t="e">
        <f t="shared" si="0"/>
        <v>#VALUE!</v>
      </c>
      <c r="M9" s="11" t="str">
        <f t="shared" si="0"/>
        <v/>
      </c>
      <c r="N9" s="11" t="str">
        <f t="shared" si="0"/>
        <v/>
      </c>
      <c r="O9" s="11" t="str">
        <f t="shared" si="0"/>
        <v/>
      </c>
    </row>
    <row r="10" spans="1:15" x14ac:dyDescent="0.25">
      <c r="A10" s="9" t="s">
        <v>18</v>
      </c>
      <c r="B10" s="8" t="s">
        <v>19</v>
      </c>
      <c r="C10" s="26" t="s">
        <v>12</v>
      </c>
      <c r="D10" s="33" t="s">
        <v>93</v>
      </c>
      <c r="E10" s="33" t="s">
        <v>93</v>
      </c>
      <c r="F10" s="33" t="s">
        <v>93</v>
      </c>
      <c r="G10" s="23"/>
      <c r="H10" s="10"/>
      <c r="I10" s="10"/>
      <c r="J10" s="11" t="e">
        <f t="shared" si="1"/>
        <v>#VALUE!</v>
      </c>
      <c r="K10" s="11" t="e">
        <f t="shared" si="0"/>
        <v>#VALUE!</v>
      </c>
      <c r="L10" s="11" t="e">
        <f t="shared" si="0"/>
        <v>#VALUE!</v>
      </c>
      <c r="M10" s="11" t="str">
        <f t="shared" si="0"/>
        <v/>
      </c>
      <c r="N10" s="11" t="str">
        <f t="shared" si="0"/>
        <v/>
      </c>
      <c r="O10" s="11" t="str">
        <f t="shared" si="0"/>
        <v/>
      </c>
    </row>
    <row r="11" spans="1:15" x14ac:dyDescent="0.25">
      <c r="A11" s="157" t="s">
        <v>103</v>
      </c>
      <c r="B11" s="157"/>
      <c r="C11" s="157"/>
      <c r="D11" s="157"/>
      <c r="E11" s="157"/>
      <c r="F11" s="157"/>
      <c r="G11" s="157" t="s">
        <v>102</v>
      </c>
      <c r="H11" s="157"/>
      <c r="I11" s="34"/>
      <c r="J11" s="34"/>
      <c r="K11" s="34"/>
      <c r="L11" s="34"/>
      <c r="M11" s="34"/>
      <c r="N11" s="34"/>
      <c r="O11" s="34"/>
    </row>
    <row r="12" spans="1:15" ht="18.75" x14ac:dyDescent="0.3">
      <c r="A12" s="103" t="s">
        <v>89</v>
      </c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16"/>
    </row>
    <row r="13" spans="1:15" x14ac:dyDescent="0.25">
      <c r="A13" s="105" t="s">
        <v>2</v>
      </c>
      <c r="B13" s="105"/>
      <c r="C13" s="105"/>
      <c r="D13" s="106" t="s">
        <v>20</v>
      </c>
      <c r="E13" s="106"/>
      <c r="F13" s="106"/>
      <c r="G13" s="106"/>
      <c r="H13" s="106"/>
      <c r="I13" s="106"/>
      <c r="J13" s="106" t="s">
        <v>23</v>
      </c>
      <c r="K13" s="106"/>
      <c r="L13" s="106"/>
      <c r="M13" s="106"/>
      <c r="N13" s="106"/>
      <c r="O13" s="106"/>
    </row>
    <row r="14" spans="1:15" x14ac:dyDescent="0.25">
      <c r="A14" s="6" t="s">
        <v>5</v>
      </c>
      <c r="B14" s="6" t="s">
        <v>6</v>
      </c>
      <c r="C14" s="6" t="s">
        <v>7</v>
      </c>
      <c r="D14" s="7">
        <v>1</v>
      </c>
      <c r="E14" s="7">
        <v>4</v>
      </c>
      <c r="F14" s="7">
        <v>16</v>
      </c>
      <c r="G14" s="7">
        <v>32</v>
      </c>
      <c r="H14" s="7">
        <v>64</v>
      </c>
      <c r="I14" s="7">
        <v>80</v>
      </c>
      <c r="J14" s="7">
        <v>1</v>
      </c>
      <c r="K14" s="7">
        <v>4</v>
      </c>
      <c r="L14" s="7">
        <v>16</v>
      </c>
      <c r="M14" s="7">
        <v>32</v>
      </c>
      <c r="N14" s="7">
        <v>64</v>
      </c>
      <c r="O14" s="7">
        <v>80</v>
      </c>
    </row>
    <row r="15" spans="1:15" x14ac:dyDescent="0.25">
      <c r="A15" s="8" t="s">
        <v>8</v>
      </c>
      <c r="B15" s="9" t="s">
        <v>9</v>
      </c>
      <c r="C15" s="9" t="s">
        <v>10</v>
      </c>
      <c r="D15" s="12">
        <f>IF(D5="","",(D5-'2016'!D191)/'2016'!D191)</f>
        <v>-0.39396709323583179</v>
      </c>
      <c r="E15" s="12">
        <f>IF(E5="","",(E5-'2016'!E191)/'2016'!E191)</f>
        <v>3.5681951323427601E-2</v>
      </c>
      <c r="F15" s="12">
        <f>IF(F5="","",(F5-'2016'!F191)/'2016'!F191)</f>
        <v>-0.10535378835316218</v>
      </c>
      <c r="G15" s="12" t="str">
        <f>IF(G5="","",(G5-'2014'!#REF!)/'2014'!#REF!)</f>
        <v/>
      </c>
      <c r="H15" s="12" t="str">
        <f>IF(H5="","",(H5-'2014'!#REF!)/'2014'!#REF!)</f>
        <v/>
      </c>
      <c r="I15" s="11" t="str">
        <f>IF(I5="","",(I5-'2014'!#REF!)/'2014'!#REF!)</f>
        <v/>
      </c>
      <c r="J15" s="11"/>
      <c r="K15" s="11"/>
      <c r="L15" s="11"/>
      <c r="M15" s="11" t="str">
        <f>IF(G15="","",M5-((1/'Proto 2013'!#REF!)*1000000))</f>
        <v/>
      </c>
      <c r="N15" s="11" t="str">
        <f>IF(H15="","",N5-((1/'Proto 2013'!#REF!)*1000000))</f>
        <v/>
      </c>
      <c r="O15" s="11" t="str">
        <f>IF(I15="","",O5-((1/'Proto 2013'!#REF!)*1000000))</f>
        <v/>
      </c>
    </row>
    <row r="16" spans="1:15" x14ac:dyDescent="0.25">
      <c r="A16" s="8" t="s">
        <v>11</v>
      </c>
      <c r="B16" s="9" t="s">
        <v>9</v>
      </c>
      <c r="C16" s="9" t="s">
        <v>12</v>
      </c>
      <c r="D16" s="12">
        <f>IF(D6="","",(D6-'2016'!D192)/'2016'!D192)</f>
        <v>-2.7725465578572923E-2</v>
      </c>
      <c r="E16" s="12">
        <f>IF(E6="","",(E6-'2016'!E192)/'2016'!E192)</f>
        <v>-3.5957112970711295E-2</v>
      </c>
      <c r="F16" s="12">
        <f>IF(F6="","",(F6-'2016'!F192)/'2016'!F192)</f>
        <v>-1.7699115044247787E-2</v>
      </c>
      <c r="G16" s="12" t="str">
        <f>IF(G6="","",(G6-'2014'!#REF!)/'2014'!#REF!)</f>
        <v/>
      </c>
      <c r="H16" s="12" t="str">
        <f>IF(H6="","",(H6-'2014'!#REF!)/'2014'!#REF!)</f>
        <v/>
      </c>
      <c r="I16" s="12" t="str">
        <f>IF(I6="","",(I6-'2014'!#REF!)/'2014'!#REF!)</f>
        <v/>
      </c>
      <c r="J16" s="11"/>
      <c r="K16" s="11"/>
      <c r="L16" s="11"/>
      <c r="M16" s="11" t="str">
        <f>IF(G16="","",M6-((1/'Proto 2013'!#REF!)*1000000))</f>
        <v/>
      </c>
      <c r="N16" s="11" t="str">
        <f>IF(H16="","",N6-((1/'Proto 2013'!#REF!)*1000000))</f>
        <v/>
      </c>
      <c r="O16" s="11" t="str">
        <f>IF(I16="","",O6-((1/'Proto 2013'!#REF!)*1000000))</f>
        <v/>
      </c>
    </row>
    <row r="17" spans="1:15" x14ac:dyDescent="0.25">
      <c r="A17" s="9" t="s">
        <v>13</v>
      </c>
      <c r="B17" s="9" t="s">
        <v>14</v>
      </c>
      <c r="C17" s="9" t="s">
        <v>10</v>
      </c>
      <c r="D17" s="12">
        <f>IF(D7="","",(D7-'2016'!D193)/'2016'!D193)</f>
        <v>-0.35761009653964937</v>
      </c>
      <c r="E17" s="12">
        <f>IF(E7="","",(E7-'2016'!E193)/'2016'!E193)</f>
        <v>-0.27961549335595137</v>
      </c>
      <c r="F17" s="12">
        <f>IF(F7="","",(F7-'2016'!F193)/'2016'!F193)</f>
        <v>-1.8663348738002131E-2</v>
      </c>
      <c r="G17" s="12" t="str">
        <f>IF(G7="","",(G7-'2014'!#REF!)/'2014'!#REF!)</f>
        <v/>
      </c>
      <c r="H17" s="12" t="str">
        <f>IF(H7="","",(H7-'2014'!#REF!)/'2014'!#REF!)</f>
        <v/>
      </c>
      <c r="I17" s="12" t="str">
        <f>IF(I7="","",(I7-'2014'!#REF!)/'2014'!#REF!)</f>
        <v/>
      </c>
      <c r="J17" s="11"/>
      <c r="K17" s="11"/>
      <c r="L17" s="11"/>
      <c r="M17" s="11" t="str">
        <f>IF(G17="","",M7-((1/'Proto 2013'!#REF!)*1000000))</f>
        <v/>
      </c>
      <c r="N17" s="11" t="str">
        <f>IF(H17="","",N7-((1/'Proto 2013'!#REF!)*1000000))</f>
        <v/>
      </c>
      <c r="O17" s="11" t="str">
        <f>IF(I17="","",O7-((1/'Proto 2013'!#REF!)*1000000))</f>
        <v/>
      </c>
    </row>
    <row r="18" spans="1:15" x14ac:dyDescent="0.25">
      <c r="A18" s="9" t="s">
        <v>15</v>
      </c>
      <c r="B18" s="9" t="s">
        <v>14</v>
      </c>
      <c r="C18" s="9" t="s">
        <v>12</v>
      </c>
      <c r="D18" s="12">
        <f>IF(D8="","",(D8-'2016'!D194)/'2016'!D194)</f>
        <v>-1.391304347826087E-2</v>
      </c>
      <c r="E18" s="12">
        <f>IF(E8="","",(E8-'2016'!E194)/'2016'!E194)</f>
        <v>-7.4440619621342519E-2</v>
      </c>
      <c r="F18" s="12">
        <f>IF(F8="","",(F8-'2016'!F194)/'2016'!F194)</f>
        <v>0</v>
      </c>
      <c r="G18" s="12" t="str">
        <f>IF(G8="","",(G8-'2014'!#REF!)/'2014'!#REF!)</f>
        <v/>
      </c>
      <c r="H18" s="12" t="str">
        <f>IF(H8="","",(H8-'2014'!#REF!)/'2014'!#REF!)</f>
        <v/>
      </c>
      <c r="I18" s="12" t="str">
        <f>IF(I8="","",(I8-'2014'!#REF!)/'2014'!#REF!)</f>
        <v/>
      </c>
      <c r="J18" s="11"/>
      <c r="K18" s="11"/>
      <c r="L18" s="11"/>
      <c r="M18" s="11" t="str">
        <f>IF(G18="","",M8-((1/'Proto 2013'!#REF!)*1000000))</f>
        <v/>
      </c>
      <c r="N18" s="11" t="str">
        <f>IF(H18="","",N8-((1/'Proto 2013'!#REF!)*1000000))</f>
        <v/>
      </c>
      <c r="O18" s="11" t="str">
        <f>IF(I18="","",O8-((1/'Proto 2013'!#REF!)*1000000))</f>
        <v/>
      </c>
    </row>
    <row r="19" spans="1:15" x14ac:dyDescent="0.25">
      <c r="A19" s="9" t="s">
        <v>16</v>
      </c>
      <c r="B19" s="9" t="s">
        <v>17</v>
      </c>
      <c r="C19" s="9" t="s">
        <v>12</v>
      </c>
      <c r="D19" s="12">
        <f>IF(D9="","",(D9-'2016'!D195)/'2016'!D195)</f>
        <v>1.0750147666863556E-2</v>
      </c>
      <c r="E19" s="12" t="e">
        <f>IF(E9="","",(E9-'2016'!E195)/'2016'!E195)</f>
        <v>#VALUE!</v>
      </c>
      <c r="F19" s="12" t="e">
        <f>IF(F9="","",(F9-'2016'!F195)/'2016'!F195)</f>
        <v>#VALUE!</v>
      </c>
      <c r="G19" s="12" t="str">
        <f>IF(G9="","",(G9-'2014'!#REF!)/'2014'!#REF!)</f>
        <v/>
      </c>
      <c r="H19" s="12" t="str">
        <f>IF(H9="","",(H9-'2014'!#REF!)/'2014'!#REF!)</f>
        <v/>
      </c>
      <c r="I19" s="12" t="str">
        <f>IF(I9="","",(I9-'2014'!#REF!)/'2014'!#REF!)</f>
        <v/>
      </c>
      <c r="J19" s="11"/>
      <c r="K19" s="11"/>
      <c r="L19" s="11"/>
      <c r="M19" s="11" t="str">
        <f>IF(G19="","",M9-((1/'Proto 2013'!#REF!)*1000000))</f>
        <v/>
      </c>
      <c r="N19" s="11" t="str">
        <f>IF(H19="","",N9-((1/'Proto 2013'!#REF!)*1000000))</f>
        <v/>
      </c>
      <c r="O19" s="11" t="str">
        <f>IF(I19="","",O9-((1/'Proto 2013'!#REF!)*1000000))</f>
        <v/>
      </c>
    </row>
    <row r="20" spans="1:15" x14ac:dyDescent="0.25">
      <c r="A20" s="9" t="s">
        <v>18</v>
      </c>
      <c r="B20" s="8" t="s">
        <v>19</v>
      </c>
      <c r="C20" s="9" t="s">
        <v>12</v>
      </c>
      <c r="D20" s="12" t="e">
        <f>IF(D10="","",(D10-'2016'!D196)/'2016'!D196)</f>
        <v>#VALUE!</v>
      </c>
      <c r="E20" s="12" t="e">
        <f>IF(E10="","",(E10-'2016'!E196)/'2016'!E196)</f>
        <v>#VALUE!</v>
      </c>
      <c r="F20" s="12" t="e">
        <f>IF(F10="","",(F10-'2016'!F196)/'2016'!F196)</f>
        <v>#VALUE!</v>
      </c>
      <c r="G20" s="12" t="str">
        <f>IF(G10="","",(G10-'2014'!#REF!)/'2014'!#REF!)</f>
        <v/>
      </c>
      <c r="H20" s="12" t="str">
        <f>IF(H10="","",(H10-'2014'!#REF!)/'2014'!#REF!)</f>
        <v/>
      </c>
      <c r="I20" s="12" t="str">
        <f>IF(I10="","",(I10-'2014'!#REF!)/'2014'!#REF!)</f>
        <v/>
      </c>
      <c r="J20" s="11"/>
      <c r="K20" s="11"/>
      <c r="L20" s="11"/>
      <c r="M20" s="11" t="str">
        <f>IF(G20="","",M10-((1/'Proto 2013'!#REF!)*1000000))</f>
        <v/>
      </c>
      <c r="N20" s="11" t="str">
        <f>IF(H20="","",N10-((1/'Proto 2013'!#REF!)*1000000))</f>
        <v/>
      </c>
      <c r="O20" s="11" t="str">
        <f>IF(I20="","",O10-((1/'Proto 2013'!#REF!)*1000000))</f>
        <v/>
      </c>
    </row>
    <row r="21" spans="1:15" ht="15.75" thickBot="1" x14ac:dyDescent="0.3"/>
    <row r="22" spans="1:15" ht="18.75" x14ac:dyDescent="0.25">
      <c r="A22" s="162" t="s">
        <v>90</v>
      </c>
      <c r="B22" s="163"/>
      <c r="C22" s="163"/>
      <c r="D22" s="163"/>
      <c r="E22" s="163"/>
      <c r="F22" s="163"/>
      <c r="G22" s="163"/>
      <c r="H22" s="163"/>
      <c r="I22" s="163"/>
      <c r="J22" s="163"/>
      <c r="K22" s="163"/>
      <c r="L22" s="163"/>
      <c r="M22" s="163"/>
      <c r="N22" s="163"/>
      <c r="O22" s="164"/>
    </row>
    <row r="23" spans="1:15" ht="15.75" x14ac:dyDescent="0.25">
      <c r="A23" s="165" t="s">
        <v>127</v>
      </c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66"/>
    </row>
    <row r="24" spans="1:15" x14ac:dyDescent="0.25">
      <c r="A24" s="160" t="s">
        <v>2</v>
      </c>
      <c r="B24" s="105"/>
      <c r="C24" s="105"/>
      <c r="D24" s="106" t="s">
        <v>3</v>
      </c>
      <c r="E24" s="106"/>
      <c r="F24" s="106"/>
      <c r="G24" s="106"/>
      <c r="H24" s="106"/>
      <c r="I24" s="106"/>
      <c r="J24" s="106" t="s">
        <v>4</v>
      </c>
      <c r="K24" s="106"/>
      <c r="L24" s="106"/>
      <c r="M24" s="106"/>
      <c r="N24" s="106"/>
      <c r="O24" s="161"/>
    </row>
    <row r="25" spans="1:15" x14ac:dyDescent="0.25">
      <c r="A25" s="35" t="s">
        <v>5</v>
      </c>
      <c r="B25" s="6" t="s">
        <v>6</v>
      </c>
      <c r="C25" s="6" t="s">
        <v>7</v>
      </c>
      <c r="D25" s="24">
        <v>1</v>
      </c>
      <c r="E25" s="24">
        <v>4</v>
      </c>
      <c r="F25" s="24">
        <v>16</v>
      </c>
      <c r="G25" s="7">
        <v>32</v>
      </c>
      <c r="H25" s="7">
        <v>64</v>
      </c>
      <c r="I25" s="7">
        <v>80</v>
      </c>
      <c r="J25" s="7">
        <v>1</v>
      </c>
      <c r="K25" s="7">
        <v>4</v>
      </c>
      <c r="L25" s="7">
        <v>16</v>
      </c>
      <c r="M25" s="7">
        <v>32</v>
      </c>
      <c r="N25" s="7">
        <v>64</v>
      </c>
      <c r="O25" s="36">
        <v>80</v>
      </c>
    </row>
    <row r="26" spans="1:15" x14ac:dyDescent="0.25">
      <c r="A26" s="37" t="s">
        <v>8</v>
      </c>
      <c r="B26" s="9" t="s">
        <v>9</v>
      </c>
      <c r="C26" s="22" t="s">
        <v>10</v>
      </c>
      <c r="D26" s="33">
        <v>35555</v>
      </c>
      <c r="E26" s="33">
        <v>18777</v>
      </c>
      <c r="F26" s="33">
        <v>5715</v>
      </c>
      <c r="G26" s="23"/>
      <c r="H26" s="10"/>
      <c r="I26" s="10"/>
      <c r="J26" s="11">
        <f>IF(D26="","",(1/D26)*1000000)</f>
        <v>28.125439459991561</v>
      </c>
      <c r="K26" s="11">
        <f t="shared" ref="K26:K31" si="2">IF(E26="","",(1/E26)*1000000)</f>
        <v>53.256643766309843</v>
      </c>
      <c r="L26" s="11">
        <f t="shared" ref="L26:L31" si="3">IF(F26="","",(1/F26)*1000000)</f>
        <v>174.97812773403322</v>
      </c>
      <c r="M26" s="11" t="str">
        <f t="shared" ref="M26:M31" si="4">IF(G26="","",(1/G26)*1000000)</f>
        <v/>
      </c>
      <c r="N26" s="11" t="str">
        <f t="shared" ref="N26:N31" si="5">IF(H26="","",(1/H26)*1000000)</f>
        <v/>
      </c>
      <c r="O26" s="38" t="str">
        <f t="shared" ref="O26:O31" si="6">IF(I26="","",(1/I26)*1000000)</f>
        <v/>
      </c>
    </row>
    <row r="27" spans="1:15" x14ac:dyDescent="0.25">
      <c r="A27" s="37" t="s">
        <v>11</v>
      </c>
      <c r="B27" s="9" t="s">
        <v>9</v>
      </c>
      <c r="C27" s="22" t="s">
        <v>12</v>
      </c>
      <c r="D27" s="33">
        <v>8847</v>
      </c>
      <c r="E27" s="33">
        <v>7704</v>
      </c>
      <c r="F27" s="33">
        <v>3843</v>
      </c>
      <c r="G27" s="23"/>
      <c r="H27" s="10"/>
      <c r="I27" s="10"/>
      <c r="J27" s="11">
        <f t="shared" ref="J27:J31" si="7">IF(D27="","",(1/D27)*1000000)</f>
        <v>113.03266644060133</v>
      </c>
      <c r="K27" s="11">
        <f t="shared" si="2"/>
        <v>129.80269989615783</v>
      </c>
      <c r="L27" s="11">
        <f t="shared" si="3"/>
        <v>260.21337496747333</v>
      </c>
      <c r="M27" s="11" t="str">
        <f t="shared" si="4"/>
        <v/>
      </c>
      <c r="N27" s="11" t="str">
        <f t="shared" si="5"/>
        <v/>
      </c>
      <c r="O27" s="38" t="str">
        <f t="shared" si="6"/>
        <v/>
      </c>
    </row>
    <row r="28" spans="1:15" x14ac:dyDescent="0.25">
      <c r="A28" s="39" t="s">
        <v>13</v>
      </c>
      <c r="B28" s="9" t="s">
        <v>14</v>
      </c>
      <c r="C28" s="22" t="s">
        <v>10</v>
      </c>
      <c r="D28" s="33">
        <v>28701</v>
      </c>
      <c r="E28" s="33">
        <v>13841</v>
      </c>
      <c r="F28" s="33">
        <v>4635</v>
      </c>
      <c r="G28" s="23"/>
      <c r="H28" s="10"/>
      <c r="I28" s="10"/>
      <c r="J28" s="11">
        <f t="shared" si="7"/>
        <v>34.841991568238043</v>
      </c>
      <c r="K28" s="11">
        <f t="shared" si="2"/>
        <v>72.249114948341884</v>
      </c>
      <c r="L28" s="11">
        <f t="shared" si="3"/>
        <v>215.7497303128371</v>
      </c>
      <c r="M28" s="11" t="str">
        <f t="shared" si="4"/>
        <v/>
      </c>
      <c r="N28" s="11" t="str">
        <f t="shared" si="5"/>
        <v/>
      </c>
      <c r="O28" s="38" t="str">
        <f t="shared" si="6"/>
        <v/>
      </c>
    </row>
    <row r="29" spans="1:15" x14ac:dyDescent="0.25">
      <c r="A29" s="39" t="s">
        <v>15</v>
      </c>
      <c r="B29" s="9" t="s">
        <v>14</v>
      </c>
      <c r="C29" s="22" t="s">
        <v>12</v>
      </c>
      <c r="D29" s="33">
        <v>8010</v>
      </c>
      <c r="E29" s="33">
        <v>6288</v>
      </c>
      <c r="F29" s="33">
        <v>3555</v>
      </c>
      <c r="G29" s="23"/>
      <c r="H29" s="10"/>
      <c r="I29" s="10"/>
      <c r="J29" s="11">
        <f t="shared" si="7"/>
        <v>124.84394506866417</v>
      </c>
      <c r="K29" s="11">
        <f t="shared" si="2"/>
        <v>159.03307888040715</v>
      </c>
      <c r="L29" s="11">
        <f t="shared" si="3"/>
        <v>281.29395218002816</v>
      </c>
      <c r="M29" s="11" t="str">
        <f t="shared" si="4"/>
        <v/>
      </c>
      <c r="N29" s="11" t="str">
        <f t="shared" si="5"/>
        <v/>
      </c>
      <c r="O29" s="38" t="str">
        <f t="shared" si="6"/>
        <v/>
      </c>
    </row>
    <row r="30" spans="1:15" x14ac:dyDescent="0.25">
      <c r="A30" s="39" t="s">
        <v>16</v>
      </c>
      <c r="B30" s="9" t="s">
        <v>17</v>
      </c>
      <c r="C30" s="22" t="s">
        <v>12</v>
      </c>
      <c r="D30" s="33">
        <v>8571</v>
      </c>
      <c r="E30" s="33" t="s">
        <v>93</v>
      </c>
      <c r="F30" s="33" t="s">
        <v>93</v>
      </c>
      <c r="G30" s="23"/>
      <c r="H30" s="10"/>
      <c r="I30" s="10"/>
      <c r="J30" s="11">
        <f t="shared" si="7"/>
        <v>116.67250029168125</v>
      </c>
      <c r="K30" s="11" t="e">
        <f t="shared" si="2"/>
        <v>#VALUE!</v>
      </c>
      <c r="L30" s="11" t="e">
        <f t="shared" si="3"/>
        <v>#VALUE!</v>
      </c>
      <c r="M30" s="11" t="str">
        <f t="shared" si="4"/>
        <v/>
      </c>
      <c r="N30" s="11" t="str">
        <f t="shared" si="5"/>
        <v/>
      </c>
      <c r="O30" s="38" t="str">
        <f t="shared" si="6"/>
        <v/>
      </c>
    </row>
    <row r="31" spans="1:15" x14ac:dyDescent="0.25">
      <c r="A31" s="39" t="s">
        <v>18</v>
      </c>
      <c r="B31" s="8" t="s">
        <v>19</v>
      </c>
      <c r="C31" s="26" t="s">
        <v>12</v>
      </c>
      <c r="D31" s="33" t="s">
        <v>93</v>
      </c>
      <c r="E31" s="33" t="s">
        <v>93</v>
      </c>
      <c r="F31" s="33" t="s">
        <v>93</v>
      </c>
      <c r="G31" s="23"/>
      <c r="H31" s="10"/>
      <c r="I31" s="10"/>
      <c r="J31" s="11" t="e">
        <f t="shared" si="7"/>
        <v>#VALUE!</v>
      </c>
      <c r="K31" s="11" t="e">
        <f t="shared" si="2"/>
        <v>#VALUE!</v>
      </c>
      <c r="L31" s="11" t="e">
        <f t="shared" si="3"/>
        <v>#VALUE!</v>
      </c>
      <c r="M31" s="11" t="str">
        <f t="shared" si="4"/>
        <v/>
      </c>
      <c r="N31" s="11" t="str">
        <f t="shared" si="5"/>
        <v/>
      </c>
      <c r="O31" s="38" t="str">
        <f t="shared" si="6"/>
        <v/>
      </c>
    </row>
    <row r="32" spans="1:15" x14ac:dyDescent="0.25">
      <c r="A32" s="156" t="s">
        <v>114</v>
      </c>
      <c r="B32" s="157"/>
      <c r="C32" s="157"/>
      <c r="D32" s="157"/>
      <c r="E32" s="157"/>
      <c r="F32" s="157"/>
      <c r="G32" s="157" t="s">
        <v>102</v>
      </c>
      <c r="H32" s="157"/>
      <c r="I32" s="34"/>
      <c r="J32" s="34"/>
      <c r="K32" s="34"/>
      <c r="L32" s="34"/>
      <c r="M32" s="34"/>
      <c r="N32" s="34"/>
      <c r="O32" s="40"/>
    </row>
    <row r="33" spans="1:15" ht="18.75" x14ac:dyDescent="0.3">
      <c r="A33" s="158" t="s">
        <v>89</v>
      </c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59"/>
    </row>
    <row r="34" spans="1:15" x14ac:dyDescent="0.25">
      <c r="A34" s="160" t="s">
        <v>2</v>
      </c>
      <c r="B34" s="105"/>
      <c r="C34" s="105"/>
      <c r="D34" s="106" t="s">
        <v>20</v>
      </c>
      <c r="E34" s="106"/>
      <c r="F34" s="106"/>
      <c r="G34" s="106"/>
      <c r="H34" s="106"/>
      <c r="I34" s="106"/>
      <c r="J34" s="106" t="s">
        <v>23</v>
      </c>
      <c r="K34" s="106"/>
      <c r="L34" s="106"/>
      <c r="M34" s="106"/>
      <c r="N34" s="106"/>
      <c r="O34" s="161"/>
    </row>
    <row r="35" spans="1:15" x14ac:dyDescent="0.25">
      <c r="A35" s="35" t="s">
        <v>5</v>
      </c>
      <c r="B35" s="6" t="s">
        <v>6</v>
      </c>
      <c r="C35" s="6" t="s">
        <v>7</v>
      </c>
      <c r="D35" s="7">
        <v>1</v>
      </c>
      <c r="E35" s="7">
        <v>4</v>
      </c>
      <c r="F35" s="7">
        <v>16</v>
      </c>
      <c r="G35" s="7">
        <v>32</v>
      </c>
      <c r="H35" s="7">
        <v>64</v>
      </c>
      <c r="I35" s="7">
        <v>80</v>
      </c>
      <c r="J35" s="7">
        <v>1</v>
      </c>
      <c r="K35" s="7">
        <v>4</v>
      </c>
      <c r="L35" s="7">
        <v>16</v>
      </c>
      <c r="M35" s="7">
        <v>32</v>
      </c>
      <c r="N35" s="7">
        <v>64</v>
      </c>
      <c r="O35" s="36">
        <v>80</v>
      </c>
    </row>
    <row r="36" spans="1:15" x14ac:dyDescent="0.25">
      <c r="A36" s="37" t="s">
        <v>8</v>
      </c>
      <c r="B36" s="9" t="s">
        <v>9</v>
      </c>
      <c r="C36" s="9" t="s">
        <v>10</v>
      </c>
      <c r="D36" s="12">
        <f>IF(D26="","",(D26-'2016'!D191)/'2016'!D191)</f>
        <v>-0.16666666666666666</v>
      </c>
      <c r="E36" s="12">
        <f>IF(E26="","",(E26-'2016'!E191)/'2016'!E191)</f>
        <v>0</v>
      </c>
      <c r="F36" s="12">
        <f>IF(F26="","",(F26-'2016'!F191)/'2016'!F191)</f>
        <v>-0.10535378835316218</v>
      </c>
      <c r="G36" s="12" t="str">
        <f>IF(G26="","",(G26-'2014'!#REF!)/'2014'!#REF!)</f>
        <v/>
      </c>
      <c r="H36" s="12" t="str">
        <f>IF(H26="","",(H26-'2014'!#REF!)/'2014'!#REF!)</f>
        <v/>
      </c>
      <c r="I36" s="11" t="str">
        <f>IF(I26="","",(I26-'2014'!#REF!)/'2014'!#REF!)</f>
        <v/>
      </c>
      <c r="J36" s="11"/>
      <c r="K36" s="11"/>
      <c r="L36" s="11"/>
      <c r="M36" s="11" t="str">
        <f>IF(G36="","",M26-((1/'Proto 2013'!#REF!)*1000000))</f>
        <v/>
      </c>
      <c r="N36" s="11" t="str">
        <f>IF(H36="","",N26-((1/'Proto 2013'!#REF!)*1000000))</f>
        <v/>
      </c>
      <c r="O36" s="38" t="str">
        <f>IF(I36="","",O26-((1/'Proto 2013'!#REF!)*1000000))</f>
        <v/>
      </c>
    </row>
    <row r="37" spans="1:15" x14ac:dyDescent="0.25">
      <c r="A37" s="37" t="s">
        <v>11</v>
      </c>
      <c r="B37" s="9" t="s">
        <v>9</v>
      </c>
      <c r="C37" s="9" t="s">
        <v>12</v>
      </c>
      <c r="D37" s="12">
        <f>IF(D27="","",(D27-'2016'!D192)/'2016'!D192)</f>
        <v>-7.4387947269303201E-2</v>
      </c>
      <c r="E37" s="12">
        <f>IF(E27="","",(E27-'2016'!E192)/'2016'!E192)</f>
        <v>7.3221757322175732E-3</v>
      </c>
      <c r="F37" s="12">
        <f>IF(F27="","",(F27-'2016'!F192)/'2016'!F192)</f>
        <v>-8.0841903850753405E-2</v>
      </c>
      <c r="G37" s="12" t="str">
        <f>IF(G27="","",(G27-'2014'!#REF!)/'2014'!#REF!)</f>
        <v/>
      </c>
      <c r="H37" s="12" t="str">
        <f>IF(H27="","",(H27-'2014'!#REF!)/'2014'!#REF!)</f>
        <v/>
      </c>
      <c r="I37" s="12" t="str">
        <f>IF(I27="","",(I27-'2014'!#REF!)/'2014'!#REF!)</f>
        <v/>
      </c>
      <c r="J37" s="11"/>
      <c r="K37" s="11"/>
      <c r="L37" s="11"/>
      <c r="M37" s="11" t="str">
        <f>IF(G37="","",M27-((1/'Proto 2013'!#REF!)*1000000))</f>
        <v/>
      </c>
      <c r="N37" s="11" t="str">
        <f>IF(H37="","",N27-((1/'Proto 2013'!#REF!)*1000000))</f>
        <v/>
      </c>
      <c r="O37" s="38" t="str">
        <f>IF(I37="","",O27-((1/'Proto 2013'!#REF!)*1000000))</f>
        <v/>
      </c>
    </row>
    <row r="38" spans="1:15" x14ac:dyDescent="0.25">
      <c r="A38" s="39" t="s">
        <v>13</v>
      </c>
      <c r="B38" s="9" t="s">
        <v>14</v>
      </c>
      <c r="C38" s="9" t="s">
        <v>10</v>
      </c>
      <c r="D38" s="12">
        <f>IF(D28="","",(D28-'2016'!D193)/'2016'!D193)</f>
        <v>-0.30206940155144324</v>
      </c>
      <c r="E38" s="12">
        <f>IF(E28="","",(E28-'2016'!E193)/'2016'!E193)</f>
        <v>-0.21735934407690133</v>
      </c>
      <c r="F38" s="12">
        <f>IF(F28="","",(F28-'2016'!F193)/'2016'!F193)</f>
        <v>-0.17614646285104871</v>
      </c>
      <c r="G38" s="12" t="str">
        <f>IF(G28="","",(G28-'2014'!#REF!)/'2014'!#REF!)</f>
        <v/>
      </c>
      <c r="H38" s="12" t="str">
        <f>IF(H28="","",(H28-'2014'!#REF!)/'2014'!#REF!)</f>
        <v/>
      </c>
      <c r="I38" s="12" t="str">
        <f>IF(I28="","",(I28-'2014'!#REF!)/'2014'!#REF!)</f>
        <v/>
      </c>
      <c r="J38" s="11"/>
      <c r="K38" s="11"/>
      <c r="L38" s="11"/>
      <c r="M38" s="11" t="str">
        <f>IF(G38="","",M28-((1/'Proto 2013'!#REF!)*1000000))</f>
        <v/>
      </c>
      <c r="N38" s="11" t="str">
        <f>IF(H38="","",N28-((1/'Proto 2013'!#REF!)*1000000))</f>
        <v/>
      </c>
      <c r="O38" s="38" t="str">
        <f>IF(I38="","",O28-((1/'Proto 2013'!#REF!)*1000000))</f>
        <v/>
      </c>
    </row>
    <row r="39" spans="1:15" x14ac:dyDescent="0.25">
      <c r="A39" s="39" t="s">
        <v>15</v>
      </c>
      <c r="B39" s="9" t="s">
        <v>14</v>
      </c>
      <c r="C39" s="9" t="s">
        <v>12</v>
      </c>
      <c r="D39" s="12">
        <f>IF(D29="","",(D29-'2016'!D194)/'2016'!D194)</f>
        <v>-0.12934782608695652</v>
      </c>
      <c r="E39" s="12">
        <f>IF(E29="","",(E29-'2016'!E194)/'2016'!E194)</f>
        <v>-9.8106712564543896E-2</v>
      </c>
      <c r="F39" s="12">
        <f>IF(F29="","",(F29-'2016'!F194)/'2016'!F194)</f>
        <v>-4.7937868237814679E-2</v>
      </c>
      <c r="G39" s="12" t="str">
        <f>IF(G29="","",(G29-'2014'!#REF!)/'2014'!#REF!)</f>
        <v/>
      </c>
      <c r="H39" s="12" t="str">
        <f>IF(H29="","",(H29-'2014'!#REF!)/'2014'!#REF!)</f>
        <v/>
      </c>
      <c r="I39" s="12" t="str">
        <f>IF(I29="","",(I29-'2014'!#REF!)/'2014'!#REF!)</f>
        <v/>
      </c>
      <c r="J39" s="11"/>
      <c r="K39" s="11"/>
      <c r="L39" s="11"/>
      <c r="M39" s="11" t="str">
        <f>IF(G39="","",M29-((1/'Proto 2013'!#REF!)*1000000))</f>
        <v/>
      </c>
      <c r="N39" s="11" t="str">
        <f>IF(H39="","",N29-((1/'Proto 2013'!#REF!)*1000000))</f>
        <v/>
      </c>
      <c r="O39" s="38" t="str">
        <f>IF(I39="","",O29-((1/'Proto 2013'!#REF!)*1000000))</f>
        <v/>
      </c>
    </row>
    <row r="40" spans="1:15" x14ac:dyDescent="0.25">
      <c r="A40" s="39" t="s">
        <v>16</v>
      </c>
      <c r="B40" s="9" t="s">
        <v>17</v>
      </c>
      <c r="C40" s="9" t="s">
        <v>12</v>
      </c>
      <c r="D40" s="12">
        <f>IF(D30="","",(D30-'2016'!D195)/'2016'!D195)</f>
        <v>1.2522150029533373E-2</v>
      </c>
      <c r="E40" s="12" t="e">
        <f>IF(E30="","",(E30-'2016'!E195)/'2016'!E195)</f>
        <v>#VALUE!</v>
      </c>
      <c r="F40" s="12" t="e">
        <f>IF(F30="","",(F30-'2016'!F195)/'2016'!F195)</f>
        <v>#VALUE!</v>
      </c>
      <c r="G40" s="12" t="str">
        <f>IF(G30="","",(G30-'2014'!#REF!)/'2014'!#REF!)</f>
        <v/>
      </c>
      <c r="H40" s="12" t="str">
        <f>IF(H30="","",(H30-'2014'!#REF!)/'2014'!#REF!)</f>
        <v/>
      </c>
      <c r="I40" s="12" t="str">
        <f>IF(I30="","",(I30-'2014'!#REF!)/'2014'!#REF!)</f>
        <v/>
      </c>
      <c r="J40" s="11"/>
      <c r="K40" s="11"/>
      <c r="L40" s="11"/>
      <c r="M40" s="11" t="str">
        <f>IF(G40="","",M30-((1/'Proto 2013'!#REF!)*1000000))</f>
        <v/>
      </c>
      <c r="N40" s="11" t="str">
        <f>IF(H40="","",N30-((1/'Proto 2013'!#REF!)*1000000))</f>
        <v/>
      </c>
      <c r="O40" s="38" t="str">
        <f>IF(I40="","",O30-((1/'Proto 2013'!#REF!)*1000000))</f>
        <v/>
      </c>
    </row>
    <row r="41" spans="1:15" x14ac:dyDescent="0.25">
      <c r="A41" s="39" t="s">
        <v>18</v>
      </c>
      <c r="B41" s="8" t="s">
        <v>19</v>
      </c>
      <c r="C41" s="9" t="s">
        <v>12</v>
      </c>
      <c r="D41" s="12" t="e">
        <f>IF(D31="","",(D31-'2016'!D196)/'2016'!D196)</f>
        <v>#VALUE!</v>
      </c>
      <c r="E41" s="12" t="e">
        <f>IF(E31="","",(E31-'2016'!E196)/'2016'!E196)</f>
        <v>#VALUE!</v>
      </c>
      <c r="F41" s="12" t="e">
        <f>IF(F31="","",(F31-'2016'!F196)/'2016'!F196)</f>
        <v>#VALUE!</v>
      </c>
      <c r="G41" s="12" t="str">
        <f>IF(G31="","",(G31-'2014'!#REF!)/'2014'!#REF!)</f>
        <v/>
      </c>
      <c r="H41" s="12" t="str">
        <f>IF(H31="","",(H31-'2014'!#REF!)/'2014'!#REF!)</f>
        <v/>
      </c>
      <c r="I41" s="12" t="str">
        <f>IF(I31="","",(I31-'2014'!#REF!)/'2014'!#REF!)</f>
        <v/>
      </c>
      <c r="J41" s="11"/>
      <c r="K41" s="11"/>
      <c r="L41" s="11"/>
      <c r="M41" s="11" t="str">
        <f>IF(G41="","",M31-((1/'Proto 2013'!#REF!)*1000000))</f>
        <v/>
      </c>
      <c r="N41" s="11" t="str">
        <f>IF(H41="","",N31-((1/'Proto 2013'!#REF!)*1000000))</f>
        <v/>
      </c>
      <c r="O41" s="38" t="str">
        <f>IF(I41="","",O31-((1/'Proto 2013'!#REF!)*1000000))</f>
        <v/>
      </c>
    </row>
    <row r="42" spans="1:15" ht="15.75" thickBot="1" x14ac:dyDescent="0.3">
      <c r="A42" s="41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3"/>
    </row>
    <row r="43" spans="1:15" ht="18.75" x14ac:dyDescent="0.25">
      <c r="A43" s="162" t="s">
        <v>90</v>
      </c>
      <c r="B43" s="163"/>
      <c r="C43" s="163"/>
      <c r="D43" s="163"/>
      <c r="E43" s="163"/>
      <c r="F43" s="163"/>
      <c r="G43" s="163"/>
      <c r="H43" s="163"/>
      <c r="I43" s="163"/>
      <c r="J43" s="163"/>
      <c r="K43" s="163"/>
      <c r="L43" s="163"/>
      <c r="M43" s="163"/>
      <c r="N43" s="163"/>
      <c r="O43" s="164"/>
    </row>
    <row r="44" spans="1:15" ht="15.75" x14ac:dyDescent="0.25">
      <c r="A44" s="165" t="s">
        <v>128</v>
      </c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66"/>
    </row>
    <row r="45" spans="1:15" x14ac:dyDescent="0.25">
      <c r="A45" s="160" t="s">
        <v>2</v>
      </c>
      <c r="B45" s="105"/>
      <c r="C45" s="105"/>
      <c r="D45" s="106" t="s">
        <v>3</v>
      </c>
      <c r="E45" s="106"/>
      <c r="F45" s="106"/>
      <c r="G45" s="106"/>
      <c r="H45" s="106"/>
      <c r="I45" s="106"/>
      <c r="J45" s="106" t="s">
        <v>4</v>
      </c>
      <c r="K45" s="106"/>
      <c r="L45" s="106"/>
      <c r="M45" s="106"/>
      <c r="N45" s="106"/>
      <c r="O45" s="161"/>
    </row>
    <row r="46" spans="1:15" x14ac:dyDescent="0.25">
      <c r="A46" s="35" t="s">
        <v>5</v>
      </c>
      <c r="B46" s="6" t="s">
        <v>6</v>
      </c>
      <c r="C46" s="6" t="s">
        <v>7</v>
      </c>
      <c r="D46" s="24">
        <v>1</v>
      </c>
      <c r="E46" s="24">
        <v>4</v>
      </c>
      <c r="F46" s="24">
        <v>16</v>
      </c>
      <c r="G46" s="7">
        <v>32</v>
      </c>
      <c r="H46" s="7">
        <v>64</v>
      </c>
      <c r="I46" s="7">
        <v>80</v>
      </c>
      <c r="J46" s="7">
        <v>1</v>
      </c>
      <c r="K46" s="7">
        <v>4</v>
      </c>
      <c r="L46" s="7">
        <v>16</v>
      </c>
      <c r="M46" s="7">
        <v>32</v>
      </c>
      <c r="N46" s="7">
        <v>64</v>
      </c>
      <c r="O46" s="36">
        <v>80</v>
      </c>
    </row>
    <row r="47" spans="1:15" x14ac:dyDescent="0.25">
      <c r="A47" s="37" t="s">
        <v>8</v>
      </c>
      <c r="B47" s="9" t="s">
        <v>9</v>
      </c>
      <c r="C47" s="22" t="s">
        <v>10</v>
      </c>
      <c r="D47" s="33">
        <v>35555</v>
      </c>
      <c r="E47" s="33">
        <v>18777</v>
      </c>
      <c r="F47" s="33">
        <v>5715</v>
      </c>
      <c r="G47" s="23"/>
      <c r="H47" s="10"/>
      <c r="I47" s="10"/>
      <c r="J47" s="11">
        <f>IF(D47="","",(1/D47)*1000000)</f>
        <v>28.125439459991561</v>
      </c>
      <c r="K47" s="11">
        <f t="shared" ref="K47:K52" si="8">IF(E47="","",(1/E47)*1000000)</f>
        <v>53.256643766309843</v>
      </c>
      <c r="L47" s="11">
        <f t="shared" ref="L47:L52" si="9">IF(F47="","",(1/F47)*1000000)</f>
        <v>174.97812773403322</v>
      </c>
      <c r="M47" s="11" t="str">
        <f t="shared" ref="M47:M52" si="10">IF(G47="","",(1/G47)*1000000)</f>
        <v/>
      </c>
      <c r="N47" s="11" t="str">
        <f t="shared" ref="N47:N52" si="11">IF(H47="","",(1/H47)*1000000)</f>
        <v/>
      </c>
      <c r="O47" s="38" t="str">
        <f t="shared" ref="O47:O52" si="12">IF(I47="","",(1/I47)*1000000)</f>
        <v/>
      </c>
    </row>
    <row r="48" spans="1:15" x14ac:dyDescent="0.25">
      <c r="A48" s="37" t="s">
        <v>11</v>
      </c>
      <c r="B48" s="9" t="s">
        <v>9</v>
      </c>
      <c r="C48" s="22" t="s">
        <v>12</v>
      </c>
      <c r="D48" s="33">
        <v>8803</v>
      </c>
      <c r="E48" s="33">
        <v>7336</v>
      </c>
      <c r="F48" s="33">
        <v>3863</v>
      </c>
      <c r="G48" s="23"/>
      <c r="H48" s="10"/>
      <c r="I48" s="10"/>
      <c r="J48" s="11">
        <f t="shared" ref="J48:J52" si="13">IF(D48="","",(1/D48)*1000000)</f>
        <v>113.59763716914689</v>
      </c>
      <c r="K48" s="11">
        <f t="shared" si="8"/>
        <v>136.31406761177755</v>
      </c>
      <c r="L48" s="11">
        <f t="shared" si="9"/>
        <v>258.86616619207871</v>
      </c>
      <c r="M48" s="11" t="str">
        <f t="shared" si="10"/>
        <v/>
      </c>
      <c r="N48" s="11" t="str">
        <f t="shared" si="11"/>
        <v/>
      </c>
      <c r="O48" s="38" t="str">
        <f t="shared" si="12"/>
        <v/>
      </c>
    </row>
    <row r="49" spans="1:15" x14ac:dyDescent="0.25">
      <c r="A49" s="39" t="s">
        <v>13</v>
      </c>
      <c r="B49" s="9" t="s">
        <v>14</v>
      </c>
      <c r="C49" s="22" t="s">
        <v>10</v>
      </c>
      <c r="D49" s="33">
        <v>26417</v>
      </c>
      <c r="E49" s="33">
        <v>13841</v>
      </c>
      <c r="F49" s="33">
        <v>5378</v>
      </c>
      <c r="G49" s="23"/>
      <c r="H49" s="10"/>
      <c r="I49" s="10"/>
      <c r="J49" s="11">
        <f t="shared" si="13"/>
        <v>37.854411931710636</v>
      </c>
      <c r="K49" s="11">
        <f t="shared" si="8"/>
        <v>72.249114948341884</v>
      </c>
      <c r="L49" s="11">
        <f t="shared" si="9"/>
        <v>185.94272963927111</v>
      </c>
      <c r="M49" s="11" t="str">
        <f t="shared" si="10"/>
        <v/>
      </c>
      <c r="N49" s="11" t="str">
        <f t="shared" si="11"/>
        <v/>
      </c>
      <c r="O49" s="38" t="str">
        <f t="shared" si="12"/>
        <v/>
      </c>
    </row>
    <row r="50" spans="1:15" x14ac:dyDescent="0.25">
      <c r="A50" s="39" t="s">
        <v>15</v>
      </c>
      <c r="B50" s="9" t="s">
        <v>14</v>
      </c>
      <c r="C50" s="22" t="s">
        <v>12</v>
      </c>
      <c r="D50" s="33">
        <v>7373</v>
      </c>
      <c r="E50" s="33">
        <v>7054</v>
      </c>
      <c r="F50" s="33">
        <v>3734</v>
      </c>
      <c r="G50" s="23"/>
      <c r="H50" s="10"/>
      <c r="I50" s="10"/>
      <c r="J50" s="11">
        <f t="shared" si="13"/>
        <v>135.6300013563</v>
      </c>
      <c r="K50" s="11">
        <f t="shared" si="8"/>
        <v>141.76353841791891</v>
      </c>
      <c r="L50" s="11">
        <f t="shared" si="9"/>
        <v>267.80931976432777</v>
      </c>
      <c r="M50" s="11" t="str">
        <f t="shared" si="10"/>
        <v/>
      </c>
      <c r="N50" s="11" t="str">
        <f t="shared" si="11"/>
        <v/>
      </c>
      <c r="O50" s="38" t="str">
        <f t="shared" si="12"/>
        <v/>
      </c>
    </row>
    <row r="51" spans="1:15" x14ac:dyDescent="0.25">
      <c r="A51" s="39" t="s">
        <v>16</v>
      </c>
      <c r="B51" s="9" t="s">
        <v>17</v>
      </c>
      <c r="C51" s="22" t="s">
        <v>12</v>
      </c>
      <c r="D51" s="33">
        <v>8396</v>
      </c>
      <c r="E51" s="33">
        <v>6144</v>
      </c>
      <c r="F51" s="33">
        <v>3734</v>
      </c>
      <c r="G51" s="23"/>
      <c r="H51" s="10"/>
      <c r="I51" s="10"/>
      <c r="J51" s="11">
        <f t="shared" si="13"/>
        <v>119.10433539780847</v>
      </c>
      <c r="K51" s="11">
        <f t="shared" si="8"/>
        <v>162.76041666666666</v>
      </c>
      <c r="L51" s="11">
        <f t="shared" si="9"/>
        <v>267.80931976432777</v>
      </c>
      <c r="M51" s="11" t="str">
        <f t="shared" si="10"/>
        <v/>
      </c>
      <c r="N51" s="11" t="str">
        <f t="shared" si="11"/>
        <v/>
      </c>
      <c r="O51" s="38" t="str">
        <f t="shared" si="12"/>
        <v/>
      </c>
    </row>
    <row r="52" spans="1:15" x14ac:dyDescent="0.25">
      <c r="A52" s="39" t="s">
        <v>18</v>
      </c>
      <c r="B52" s="8" t="s">
        <v>19</v>
      </c>
      <c r="C52" s="26" t="s">
        <v>12</v>
      </c>
      <c r="D52" s="33">
        <v>7968</v>
      </c>
      <c r="E52" s="33">
        <v>1000</v>
      </c>
      <c r="F52" s="33">
        <v>3734</v>
      </c>
      <c r="G52" s="23"/>
      <c r="H52" s="10"/>
      <c r="I52" s="10"/>
      <c r="J52" s="11">
        <f t="shared" si="13"/>
        <v>125.5020080321285</v>
      </c>
      <c r="K52" s="11">
        <f t="shared" si="8"/>
        <v>1000</v>
      </c>
      <c r="L52" s="11">
        <f t="shared" si="9"/>
        <v>267.80931976432777</v>
      </c>
      <c r="M52" s="11" t="str">
        <f t="shared" si="10"/>
        <v/>
      </c>
      <c r="N52" s="11" t="str">
        <f t="shared" si="11"/>
        <v/>
      </c>
      <c r="O52" s="38" t="str">
        <f t="shared" si="12"/>
        <v/>
      </c>
    </row>
    <row r="53" spans="1:15" x14ac:dyDescent="0.25">
      <c r="A53" s="156" t="s">
        <v>129</v>
      </c>
      <c r="B53" s="157"/>
      <c r="C53" s="157"/>
      <c r="D53" s="157"/>
      <c r="E53" s="157"/>
      <c r="F53" s="157"/>
      <c r="G53" s="157"/>
      <c r="H53" s="157"/>
      <c r="I53" s="34"/>
      <c r="J53" s="34"/>
      <c r="K53" s="34"/>
      <c r="L53" s="34"/>
      <c r="M53" s="34"/>
      <c r="N53" s="34"/>
      <c r="O53" s="40"/>
    </row>
    <row r="54" spans="1:15" ht="18.75" x14ac:dyDescent="0.3">
      <c r="A54" s="158" t="s">
        <v>89</v>
      </c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59"/>
    </row>
    <row r="55" spans="1:15" x14ac:dyDescent="0.25">
      <c r="A55" s="160" t="s">
        <v>2</v>
      </c>
      <c r="B55" s="105"/>
      <c r="C55" s="105"/>
      <c r="D55" s="106" t="s">
        <v>20</v>
      </c>
      <c r="E55" s="106"/>
      <c r="F55" s="106"/>
      <c r="G55" s="106"/>
      <c r="H55" s="106"/>
      <c r="I55" s="106"/>
      <c r="J55" s="106" t="s">
        <v>23</v>
      </c>
      <c r="K55" s="106"/>
      <c r="L55" s="106"/>
      <c r="M55" s="106"/>
      <c r="N55" s="106"/>
      <c r="O55" s="161"/>
    </row>
    <row r="56" spans="1:15" x14ac:dyDescent="0.25">
      <c r="A56" s="35" t="s">
        <v>5</v>
      </c>
      <c r="B56" s="6" t="s">
        <v>6</v>
      </c>
      <c r="C56" s="6" t="s">
        <v>7</v>
      </c>
      <c r="D56" s="7">
        <v>1</v>
      </c>
      <c r="E56" s="7">
        <v>4</v>
      </c>
      <c r="F56" s="7">
        <v>16</v>
      </c>
      <c r="G56" s="7">
        <v>32</v>
      </c>
      <c r="H56" s="7">
        <v>64</v>
      </c>
      <c r="I56" s="7">
        <v>80</v>
      </c>
      <c r="J56" s="7">
        <v>1</v>
      </c>
      <c r="K56" s="7">
        <v>4</v>
      </c>
      <c r="L56" s="7">
        <v>16</v>
      </c>
      <c r="M56" s="7">
        <v>32</v>
      </c>
      <c r="N56" s="7">
        <v>64</v>
      </c>
      <c r="O56" s="36">
        <v>80</v>
      </c>
    </row>
    <row r="57" spans="1:15" x14ac:dyDescent="0.25">
      <c r="A57" s="37" t="s">
        <v>8</v>
      </c>
      <c r="B57" s="9" t="s">
        <v>9</v>
      </c>
      <c r="C57" s="9" t="s">
        <v>10</v>
      </c>
      <c r="D57" s="12">
        <f>IF(D47="","",(D47-'2016'!D191)/'2016'!D191)</f>
        <v>-0.16666666666666666</v>
      </c>
      <c r="E57" s="12">
        <f>IF(E47="","",(E47-'2016'!E191)/'2016'!E191)</f>
        <v>0</v>
      </c>
      <c r="F57" s="12">
        <f>IF(F47="","",(F47-'2016'!F191)/'2016'!F191)</f>
        <v>-0.10535378835316218</v>
      </c>
      <c r="G57" s="12" t="str">
        <f>IF(G47="","",(G47-'2014'!#REF!)/'2014'!#REF!)</f>
        <v/>
      </c>
      <c r="H57" s="12" t="str">
        <f>IF(H47="","",(H47-'2014'!#REF!)/'2014'!#REF!)</f>
        <v/>
      </c>
      <c r="I57" s="11" t="str">
        <f>IF(I47="","",(I47-'2014'!#REF!)/'2014'!#REF!)</f>
        <v/>
      </c>
      <c r="J57" s="11"/>
      <c r="K57" s="11"/>
      <c r="L57" s="11"/>
      <c r="M57" s="11" t="str">
        <f>IF(G57="","",M47-((1/'Proto 2013'!#REF!)*1000000))</f>
        <v/>
      </c>
      <c r="N57" s="11" t="str">
        <f>IF(H57="","",N47-((1/'Proto 2013'!#REF!)*1000000))</f>
        <v/>
      </c>
      <c r="O57" s="38" t="str">
        <f>IF(I57="","",O47-((1/'Proto 2013'!#REF!)*1000000))</f>
        <v/>
      </c>
    </row>
    <row r="58" spans="1:15" x14ac:dyDescent="0.25">
      <c r="A58" s="37" t="s">
        <v>11</v>
      </c>
      <c r="B58" s="9" t="s">
        <v>9</v>
      </c>
      <c r="C58" s="9" t="s">
        <v>12</v>
      </c>
      <c r="D58" s="12">
        <f>IF(D48="","",(D48-'2016'!D192)/'2016'!D192)</f>
        <v>-7.89914207993304E-2</v>
      </c>
      <c r="E58" s="12">
        <f>IF(E48="","",(E48-'2016'!E192)/'2016'!E192)</f>
        <v>-4.079497907949791E-2</v>
      </c>
      <c r="F58" s="12">
        <f>IF(F48="","",(F48-'2016'!F192)/'2016'!F192)</f>
        <v>-7.6058359244199958E-2</v>
      </c>
      <c r="G58" s="12" t="str">
        <f>IF(G48="","",(G48-'2014'!#REF!)/'2014'!#REF!)</f>
        <v/>
      </c>
      <c r="H58" s="12" t="str">
        <f>IF(H48="","",(H48-'2014'!#REF!)/'2014'!#REF!)</f>
        <v/>
      </c>
      <c r="I58" s="12" t="str">
        <f>IF(I48="","",(I48-'2014'!#REF!)/'2014'!#REF!)</f>
        <v/>
      </c>
      <c r="J58" s="11"/>
      <c r="K58" s="11"/>
      <c r="L58" s="11"/>
      <c r="M58" s="11" t="str">
        <f>IF(G58="","",M48-((1/'Proto 2013'!#REF!)*1000000))</f>
        <v/>
      </c>
      <c r="N58" s="11" t="str">
        <f>IF(H58="","",N48-((1/'Proto 2013'!#REF!)*1000000))</f>
        <v/>
      </c>
      <c r="O58" s="38" t="str">
        <f>IF(I58="","",O48-((1/'Proto 2013'!#REF!)*1000000))</f>
        <v/>
      </c>
    </row>
    <row r="59" spans="1:15" x14ac:dyDescent="0.25">
      <c r="A59" s="39" t="s">
        <v>13</v>
      </c>
      <c r="B59" s="9" t="s">
        <v>14</v>
      </c>
      <c r="C59" s="9" t="s">
        <v>10</v>
      </c>
      <c r="D59" s="12">
        <f>IF(D49="","",(D49-'2016'!D193)/'2016'!D193)</f>
        <v>-0.35761009653964937</v>
      </c>
      <c r="E59" s="12">
        <f>IF(E49="","",(E49-'2016'!E193)/'2016'!E193)</f>
        <v>-0.21735934407690133</v>
      </c>
      <c r="F59" s="12">
        <f>IF(F49="","",(F49-'2016'!F193)/'2016'!F193)</f>
        <v>-4.408105225737647E-2</v>
      </c>
      <c r="G59" s="12" t="str">
        <f>IF(G49="","",(G49-'2014'!#REF!)/'2014'!#REF!)</f>
        <v/>
      </c>
      <c r="H59" s="12" t="str">
        <f>IF(H49="","",(H49-'2014'!#REF!)/'2014'!#REF!)</f>
        <v/>
      </c>
      <c r="I59" s="12" t="str">
        <f>IF(I49="","",(I49-'2014'!#REF!)/'2014'!#REF!)</f>
        <v/>
      </c>
      <c r="J59" s="11"/>
      <c r="K59" s="11"/>
      <c r="L59" s="11"/>
      <c r="M59" s="11" t="str">
        <f>IF(G59="","",M49-((1/'Proto 2013'!#REF!)*1000000))</f>
        <v/>
      </c>
      <c r="N59" s="11" t="str">
        <f>IF(H59="","",N49-((1/'Proto 2013'!#REF!)*1000000))</f>
        <v/>
      </c>
      <c r="O59" s="38" t="str">
        <f>IF(I59="","",O49-((1/'Proto 2013'!#REF!)*1000000))</f>
        <v/>
      </c>
    </row>
    <row r="60" spans="1:15" x14ac:dyDescent="0.25">
      <c r="A60" s="39" t="s">
        <v>15</v>
      </c>
      <c r="B60" s="9" t="s">
        <v>14</v>
      </c>
      <c r="C60" s="9" t="s">
        <v>12</v>
      </c>
      <c r="D60" s="12">
        <f>IF(D50="","",(D50-'2016'!D194)/'2016'!D194)</f>
        <v>-0.19858695652173913</v>
      </c>
      <c r="E60" s="12">
        <f>IF(E50="","",(E50-'2016'!E194)/'2016'!E194)</f>
        <v>1.1761331038439472E-2</v>
      </c>
      <c r="F60" s="12">
        <f>IF(F50="","",(F50-'2016'!F194)/'2016'!F194)</f>
        <v>0</v>
      </c>
      <c r="G60" s="12" t="str">
        <f>IF(G50="","",(G50-'2014'!#REF!)/'2014'!#REF!)</f>
        <v/>
      </c>
      <c r="H60" s="12" t="str">
        <f>IF(H50="","",(H50-'2014'!#REF!)/'2014'!#REF!)</f>
        <v/>
      </c>
      <c r="I60" s="12" t="str">
        <f>IF(I50="","",(I50-'2014'!#REF!)/'2014'!#REF!)</f>
        <v/>
      </c>
      <c r="J60" s="11"/>
      <c r="K60" s="11"/>
      <c r="L60" s="11"/>
      <c r="M60" s="11" t="str">
        <f>IF(G60="","",M50-((1/'Proto 2013'!#REF!)*1000000))</f>
        <v/>
      </c>
      <c r="N60" s="11" t="str">
        <f>IF(H60="","",N50-((1/'Proto 2013'!#REF!)*1000000))</f>
        <v/>
      </c>
      <c r="O60" s="38" t="str">
        <f>IF(I60="","",O50-((1/'Proto 2013'!#REF!)*1000000))</f>
        <v/>
      </c>
    </row>
    <row r="61" spans="1:15" x14ac:dyDescent="0.25">
      <c r="A61" s="39" t="s">
        <v>16</v>
      </c>
      <c r="B61" s="9" t="s">
        <v>17</v>
      </c>
      <c r="C61" s="9" t="s">
        <v>12</v>
      </c>
      <c r="D61" s="12">
        <f>IF(D51="","",(D51-'2016'!D195)/'2016'!D195)</f>
        <v>-8.1512108682811578E-3</v>
      </c>
      <c r="E61" s="12">
        <f>IF(E51="","",(E51-'2016'!E195)/'2016'!E195)</f>
        <v>-0.15220091072167793</v>
      </c>
      <c r="F61" s="12">
        <f>IF(F51="","",(F51-'2016'!F195)/'2016'!F195)</f>
        <v>-5.3965036736762097E-2</v>
      </c>
      <c r="G61" s="12" t="str">
        <f>IF(G51="","",(G51-'2014'!#REF!)/'2014'!#REF!)</f>
        <v/>
      </c>
      <c r="H61" s="12" t="str">
        <f>IF(H51="","",(H51-'2014'!#REF!)/'2014'!#REF!)</f>
        <v/>
      </c>
      <c r="I61" s="12" t="str">
        <f>IF(I51="","",(I51-'2014'!#REF!)/'2014'!#REF!)</f>
        <v/>
      </c>
      <c r="J61" s="11"/>
      <c r="K61" s="11"/>
      <c r="L61" s="11"/>
      <c r="M61" s="11" t="str">
        <f>IF(G61="","",M51-((1/'Proto 2013'!#REF!)*1000000))</f>
        <v/>
      </c>
      <c r="N61" s="11" t="str">
        <f>IF(H61="","",N51-((1/'Proto 2013'!#REF!)*1000000))</f>
        <v/>
      </c>
      <c r="O61" s="38" t="str">
        <f>IF(I61="","",O51-((1/'Proto 2013'!#REF!)*1000000))</f>
        <v/>
      </c>
    </row>
    <row r="62" spans="1:15" x14ac:dyDescent="0.25">
      <c r="A62" s="39" t="s">
        <v>18</v>
      </c>
      <c r="B62" s="8" t="s">
        <v>19</v>
      </c>
      <c r="C62" s="9" t="s">
        <v>12</v>
      </c>
      <c r="D62" s="12">
        <f>IF(D52="","",(D52-'2016'!D196)/'2016'!D196)</f>
        <v>-5.2434456928838954E-3</v>
      </c>
      <c r="E62" s="12">
        <f>IF(E52="","",(E52-'2016'!E196)/'2016'!E196)</f>
        <v>-0.85018726591760296</v>
      </c>
      <c r="F62" s="12">
        <f>IF(F52="","",(F52-'2016'!F196)/'2016'!F196)</f>
        <v>-6.2044712383823163E-2</v>
      </c>
      <c r="G62" s="12" t="str">
        <f>IF(G52="","",(G52-'2014'!#REF!)/'2014'!#REF!)</f>
        <v/>
      </c>
      <c r="H62" s="12" t="str">
        <f>IF(H52="","",(H52-'2014'!#REF!)/'2014'!#REF!)</f>
        <v/>
      </c>
      <c r="I62" s="12" t="str">
        <f>IF(I52="","",(I52-'2014'!#REF!)/'2014'!#REF!)</f>
        <v/>
      </c>
      <c r="J62" s="11"/>
      <c r="K62" s="11"/>
      <c r="L62" s="11"/>
      <c r="M62" s="11" t="str">
        <f>IF(G62="","",M52-((1/'Proto 2013'!#REF!)*1000000))</f>
        <v/>
      </c>
      <c r="N62" s="11" t="str">
        <f>IF(H62="","",N52-((1/'Proto 2013'!#REF!)*1000000))</f>
        <v/>
      </c>
      <c r="O62" s="38" t="str">
        <f>IF(I62="","",O52-((1/'Proto 2013'!#REF!)*1000000))</f>
        <v/>
      </c>
    </row>
    <row r="63" spans="1:15" ht="15.75" thickBot="1" x14ac:dyDescent="0.3">
      <c r="A63" s="41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3"/>
    </row>
    <row r="64" spans="1:15" ht="18.75" x14ac:dyDescent="0.25">
      <c r="A64" s="162" t="s">
        <v>90</v>
      </c>
      <c r="B64" s="163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4"/>
    </row>
    <row r="65" spans="1:15" ht="15.75" x14ac:dyDescent="0.25">
      <c r="A65" s="165" t="s">
        <v>138</v>
      </c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66"/>
    </row>
    <row r="66" spans="1:15" x14ac:dyDescent="0.25">
      <c r="A66" s="160" t="s">
        <v>2</v>
      </c>
      <c r="B66" s="105"/>
      <c r="C66" s="105"/>
      <c r="D66" s="106" t="s">
        <v>3</v>
      </c>
      <c r="E66" s="106"/>
      <c r="F66" s="106"/>
      <c r="G66" s="106"/>
      <c r="H66" s="106"/>
      <c r="I66" s="106"/>
      <c r="J66" s="106" t="s">
        <v>4</v>
      </c>
      <c r="K66" s="106"/>
      <c r="L66" s="106"/>
      <c r="M66" s="106"/>
      <c r="N66" s="106"/>
      <c r="O66" s="161"/>
    </row>
    <row r="67" spans="1:15" x14ac:dyDescent="0.25">
      <c r="A67" s="35" t="s">
        <v>5</v>
      </c>
      <c r="B67" s="6" t="s">
        <v>6</v>
      </c>
      <c r="C67" s="6" t="s">
        <v>7</v>
      </c>
      <c r="D67" s="24">
        <v>1</v>
      </c>
      <c r="E67" s="24">
        <v>4</v>
      </c>
      <c r="F67" s="24">
        <v>16</v>
      </c>
      <c r="G67" s="7">
        <v>32</v>
      </c>
      <c r="H67" s="7">
        <v>64</v>
      </c>
      <c r="I67" s="7">
        <v>80</v>
      </c>
      <c r="J67" s="7">
        <v>1</v>
      </c>
      <c r="K67" s="7">
        <v>4</v>
      </c>
      <c r="L67" s="7">
        <v>16</v>
      </c>
      <c r="M67" s="7">
        <v>32</v>
      </c>
      <c r="N67" s="7">
        <v>64</v>
      </c>
      <c r="O67" s="36">
        <v>80</v>
      </c>
    </row>
    <row r="68" spans="1:15" x14ac:dyDescent="0.25">
      <c r="A68" s="37" t="s">
        <v>8</v>
      </c>
      <c r="B68" s="9" t="s">
        <v>9</v>
      </c>
      <c r="C68" s="22" t="s">
        <v>10</v>
      </c>
      <c r="D68" s="33">
        <v>25857</v>
      </c>
      <c r="E68" s="33">
        <v>17284</v>
      </c>
      <c r="F68" s="33">
        <v>5715</v>
      </c>
      <c r="G68" s="23"/>
      <c r="H68" s="10"/>
      <c r="I68" s="10"/>
      <c r="J68" s="11">
        <f>IF(D68="","",(1/D68)*1000000)</f>
        <v>38.674246819043198</v>
      </c>
      <c r="K68" s="11">
        <f t="shared" ref="K68:K73" si="14">IF(E68="","",(1/E68)*1000000)</f>
        <v>57.856977551492712</v>
      </c>
      <c r="L68" s="11">
        <f t="shared" ref="L68:L73" si="15">IF(F68="","",(1/F68)*1000000)</f>
        <v>174.97812773403322</v>
      </c>
      <c r="M68" s="11" t="str">
        <f t="shared" ref="M68:M73" si="16">IF(G68="","",(1/G68)*1000000)</f>
        <v/>
      </c>
      <c r="N68" s="11" t="str">
        <f t="shared" ref="N68:N73" si="17">IF(H68="","",(1/H68)*1000000)</f>
        <v/>
      </c>
      <c r="O68" s="38" t="str">
        <f t="shared" ref="O68:O73" si="18">IF(I68="","",(1/I68)*1000000)</f>
        <v/>
      </c>
    </row>
    <row r="69" spans="1:15" x14ac:dyDescent="0.25">
      <c r="A69" s="37" t="s">
        <v>11</v>
      </c>
      <c r="B69" s="9" t="s">
        <v>9</v>
      </c>
      <c r="C69" s="22" t="s">
        <v>12</v>
      </c>
      <c r="D69" s="33">
        <v>8803</v>
      </c>
      <c r="E69" s="33">
        <v>6675</v>
      </c>
      <c r="F69" s="33">
        <v>4131</v>
      </c>
      <c r="G69" s="23"/>
      <c r="H69" s="10"/>
      <c r="I69" s="10"/>
      <c r="J69" s="11">
        <f t="shared" ref="J69:J73" si="19">IF(D69="","",(1/D69)*1000000)</f>
        <v>113.59763716914689</v>
      </c>
      <c r="K69" s="11">
        <f t="shared" si="14"/>
        <v>149.81273408239701</v>
      </c>
      <c r="L69" s="11">
        <f t="shared" si="15"/>
        <v>242.07213749697408</v>
      </c>
      <c r="M69" s="11" t="str">
        <f t="shared" si="16"/>
        <v/>
      </c>
      <c r="N69" s="11" t="str">
        <f t="shared" si="17"/>
        <v/>
      </c>
      <c r="O69" s="38" t="str">
        <f t="shared" si="18"/>
        <v/>
      </c>
    </row>
    <row r="70" spans="1:15" x14ac:dyDescent="0.25">
      <c r="A70" s="39" t="s">
        <v>13</v>
      </c>
      <c r="B70" s="9" t="s">
        <v>14</v>
      </c>
      <c r="C70" s="22" t="s">
        <v>10</v>
      </c>
      <c r="D70" s="33">
        <v>26417</v>
      </c>
      <c r="E70" s="33">
        <v>15288</v>
      </c>
      <c r="F70" s="33">
        <v>5120</v>
      </c>
      <c r="G70" s="23"/>
      <c r="H70" s="10"/>
      <c r="I70" s="10"/>
      <c r="J70" s="11">
        <f t="shared" si="19"/>
        <v>37.854411931710636</v>
      </c>
      <c r="K70" s="11">
        <f t="shared" si="14"/>
        <v>65.410779696493989</v>
      </c>
      <c r="L70" s="11">
        <f t="shared" si="15"/>
        <v>195.3125</v>
      </c>
      <c r="M70" s="11" t="str">
        <f t="shared" si="16"/>
        <v/>
      </c>
      <c r="N70" s="11" t="str">
        <f t="shared" si="17"/>
        <v/>
      </c>
      <c r="O70" s="38" t="str">
        <f t="shared" si="18"/>
        <v/>
      </c>
    </row>
    <row r="71" spans="1:15" x14ac:dyDescent="0.25">
      <c r="A71" s="39" t="s">
        <v>15</v>
      </c>
      <c r="B71" s="9" t="s">
        <v>14</v>
      </c>
      <c r="C71" s="22" t="s">
        <v>12</v>
      </c>
      <c r="D71" s="33">
        <v>8847</v>
      </c>
      <c r="E71" s="33">
        <v>6931</v>
      </c>
      <c r="F71" s="33">
        <v>3679</v>
      </c>
      <c r="G71" s="23"/>
      <c r="H71" s="10"/>
      <c r="I71" s="10"/>
      <c r="J71" s="11">
        <f t="shared" si="19"/>
        <v>113.03266644060133</v>
      </c>
      <c r="K71" s="11">
        <f t="shared" si="14"/>
        <v>144.27932477276008</v>
      </c>
      <c r="L71" s="11">
        <f t="shared" si="15"/>
        <v>271.81299266104918</v>
      </c>
      <c r="M71" s="11" t="str">
        <f t="shared" si="16"/>
        <v/>
      </c>
      <c r="N71" s="11" t="str">
        <f t="shared" si="17"/>
        <v/>
      </c>
      <c r="O71" s="38" t="str">
        <f t="shared" si="18"/>
        <v/>
      </c>
    </row>
    <row r="72" spans="1:15" x14ac:dyDescent="0.25">
      <c r="A72" s="39" t="s">
        <v>16</v>
      </c>
      <c r="B72" s="9" t="s">
        <v>17</v>
      </c>
      <c r="C72" s="22" t="s">
        <v>12</v>
      </c>
      <c r="D72" s="33">
        <v>8465</v>
      </c>
      <c r="E72" s="33">
        <v>6144</v>
      </c>
      <c r="F72" s="33">
        <v>3824</v>
      </c>
      <c r="G72" s="23"/>
      <c r="H72" s="10"/>
      <c r="I72" s="10"/>
      <c r="J72" s="11">
        <f t="shared" si="19"/>
        <v>118.13349084465446</v>
      </c>
      <c r="K72" s="11">
        <f t="shared" si="14"/>
        <v>162.76041666666666</v>
      </c>
      <c r="L72" s="11">
        <f t="shared" si="15"/>
        <v>261.50627615062757</v>
      </c>
      <c r="M72" s="11" t="str">
        <f t="shared" si="16"/>
        <v/>
      </c>
      <c r="N72" s="11" t="str">
        <f t="shared" si="17"/>
        <v/>
      </c>
      <c r="O72" s="38" t="str">
        <f t="shared" si="18"/>
        <v/>
      </c>
    </row>
    <row r="73" spans="1:15" x14ac:dyDescent="0.25">
      <c r="A73" s="39" t="s">
        <v>18</v>
      </c>
      <c r="B73" s="8" t="s">
        <v>19</v>
      </c>
      <c r="C73" s="26" t="s">
        <v>12</v>
      </c>
      <c r="D73" s="33">
        <v>8459</v>
      </c>
      <c r="E73" s="33">
        <v>6396</v>
      </c>
      <c r="F73" s="33">
        <v>3701</v>
      </c>
      <c r="G73" s="23"/>
      <c r="H73" s="10"/>
      <c r="I73" s="10"/>
      <c r="J73" s="11">
        <f t="shared" si="19"/>
        <v>118.21728336682824</v>
      </c>
      <c r="K73" s="11">
        <f t="shared" si="14"/>
        <v>156.34771732332709</v>
      </c>
      <c r="L73" s="11">
        <f t="shared" si="15"/>
        <v>270.19724398811132</v>
      </c>
      <c r="M73" s="11" t="str">
        <f t="shared" si="16"/>
        <v/>
      </c>
      <c r="N73" s="11" t="str">
        <f t="shared" si="17"/>
        <v/>
      </c>
      <c r="O73" s="38" t="str">
        <f t="shared" si="18"/>
        <v/>
      </c>
    </row>
    <row r="74" spans="1:15" x14ac:dyDescent="0.25">
      <c r="A74" s="156" t="s">
        <v>139</v>
      </c>
      <c r="B74" s="157"/>
      <c r="C74" s="157"/>
      <c r="D74" s="157"/>
      <c r="E74" s="157"/>
      <c r="F74" s="157"/>
      <c r="G74" s="157"/>
      <c r="H74" s="157"/>
      <c r="I74" s="34"/>
      <c r="J74" s="34"/>
      <c r="K74" s="34"/>
      <c r="L74" s="34"/>
      <c r="M74" s="34"/>
      <c r="N74" s="34"/>
      <c r="O74" s="40"/>
    </row>
    <row r="75" spans="1:15" ht="18.75" x14ac:dyDescent="0.3">
      <c r="A75" s="158" t="s">
        <v>89</v>
      </c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59"/>
    </row>
    <row r="76" spans="1:15" x14ac:dyDescent="0.25">
      <c r="A76" s="160" t="s">
        <v>2</v>
      </c>
      <c r="B76" s="105"/>
      <c r="C76" s="105"/>
      <c r="D76" s="106" t="s">
        <v>20</v>
      </c>
      <c r="E76" s="106"/>
      <c r="F76" s="106"/>
      <c r="G76" s="106"/>
      <c r="H76" s="106"/>
      <c r="I76" s="106"/>
      <c r="J76" s="106" t="s">
        <v>23</v>
      </c>
      <c r="K76" s="106"/>
      <c r="L76" s="106"/>
      <c r="M76" s="106"/>
      <c r="N76" s="106"/>
      <c r="O76" s="161"/>
    </row>
    <row r="77" spans="1:15" x14ac:dyDescent="0.25">
      <c r="A77" s="35" t="s">
        <v>5</v>
      </c>
      <c r="B77" s="6" t="s">
        <v>6</v>
      </c>
      <c r="C77" s="6" t="s">
        <v>7</v>
      </c>
      <c r="D77" s="7">
        <v>1</v>
      </c>
      <c r="E77" s="7">
        <v>4</v>
      </c>
      <c r="F77" s="7">
        <v>16</v>
      </c>
      <c r="G77" s="7">
        <v>32</v>
      </c>
      <c r="H77" s="7">
        <v>64</v>
      </c>
      <c r="I77" s="7">
        <v>80</v>
      </c>
      <c r="J77" s="7">
        <v>1</v>
      </c>
      <c r="K77" s="7">
        <v>4</v>
      </c>
      <c r="L77" s="7">
        <v>16</v>
      </c>
      <c r="M77" s="7">
        <v>32</v>
      </c>
      <c r="N77" s="7">
        <v>64</v>
      </c>
      <c r="O77" s="36">
        <v>80</v>
      </c>
    </row>
    <row r="78" spans="1:15" x14ac:dyDescent="0.25">
      <c r="A78" s="37" t="s">
        <v>8</v>
      </c>
      <c r="B78" s="9" t="s">
        <v>9</v>
      </c>
      <c r="C78" s="9" t="s">
        <v>10</v>
      </c>
      <c r="D78" s="12">
        <f>IF(D68="","",(D68-'2016'!D191)/'2016'!D191)</f>
        <v>-0.39396709323583179</v>
      </c>
      <c r="E78" s="12">
        <f>IF(E68="","",(E68-'2016'!E191)/'2016'!E191)</f>
        <v>-7.9512169143100608E-2</v>
      </c>
      <c r="F78" s="12">
        <f>IF(F68="","",(F68-'2016'!F191)/'2016'!F191)</f>
        <v>-0.10535378835316218</v>
      </c>
      <c r="G78" s="12" t="str">
        <f>IF(G68="","",(G68-'2014'!#REF!)/'2014'!#REF!)</f>
        <v/>
      </c>
      <c r="H78" s="12" t="str">
        <f>IF(H68="","",(H68-'2014'!#REF!)/'2014'!#REF!)</f>
        <v/>
      </c>
      <c r="I78" s="11" t="str">
        <f>IF(I68="","",(I68-'2014'!#REF!)/'2014'!#REF!)</f>
        <v/>
      </c>
      <c r="J78" s="11"/>
      <c r="K78" s="11"/>
      <c r="L78" s="11"/>
      <c r="M78" s="11" t="str">
        <f>IF(G78="","",M68-((1/'Proto 2013'!#REF!)*1000000))</f>
        <v/>
      </c>
      <c r="N78" s="11" t="str">
        <f>IF(H78="","",N68-((1/'Proto 2013'!#REF!)*1000000))</f>
        <v/>
      </c>
      <c r="O78" s="38" t="str">
        <f>IF(I78="","",O68-((1/'Proto 2013'!#REF!)*1000000))</f>
        <v/>
      </c>
    </row>
    <row r="79" spans="1:15" x14ac:dyDescent="0.25">
      <c r="A79" s="37" t="s">
        <v>11</v>
      </c>
      <c r="B79" s="9" t="s">
        <v>9</v>
      </c>
      <c r="C79" s="9" t="s">
        <v>12</v>
      </c>
      <c r="D79" s="12">
        <f>IF(D69="","",(D69-'2016'!D192)/'2016'!D192)</f>
        <v>-7.89914207993304E-2</v>
      </c>
      <c r="E79" s="12">
        <f>IF(E69="","",(E69-'2016'!E192)/'2016'!E192)</f>
        <v>-0.12722280334728034</v>
      </c>
      <c r="F79" s="12">
        <f>IF(F69="","",(F69-'2016'!F192)/'2016'!F192)</f>
        <v>-1.195886151638364E-2</v>
      </c>
      <c r="G79" s="12" t="str">
        <f>IF(G69="","",(G69-'2014'!#REF!)/'2014'!#REF!)</f>
        <v/>
      </c>
      <c r="H79" s="12" t="str">
        <f>IF(H69="","",(H69-'2014'!#REF!)/'2014'!#REF!)</f>
        <v/>
      </c>
      <c r="I79" s="12" t="str">
        <f>IF(I69="","",(I69-'2014'!#REF!)/'2014'!#REF!)</f>
        <v/>
      </c>
      <c r="J79" s="11"/>
      <c r="K79" s="11"/>
      <c r="L79" s="11"/>
      <c r="M79" s="11" t="str">
        <f>IF(G79="","",M69-((1/'Proto 2013'!#REF!)*1000000))</f>
        <v/>
      </c>
      <c r="N79" s="11" t="str">
        <f>IF(H79="","",N69-((1/'Proto 2013'!#REF!)*1000000))</f>
        <v/>
      </c>
      <c r="O79" s="38" t="str">
        <f>IF(I79="","",O69-((1/'Proto 2013'!#REF!)*1000000))</f>
        <v/>
      </c>
    </row>
    <row r="80" spans="1:15" x14ac:dyDescent="0.25">
      <c r="A80" s="39" t="s">
        <v>13</v>
      </c>
      <c r="B80" s="9" t="s">
        <v>14</v>
      </c>
      <c r="C80" s="9" t="s">
        <v>10</v>
      </c>
      <c r="D80" s="12">
        <f>IF(D70="","",(D70-'2016'!D193)/'2016'!D193)</f>
        <v>-0.35761009653964937</v>
      </c>
      <c r="E80" s="12">
        <f>IF(E70="","",(E70-'2016'!E193)/'2016'!E193)</f>
        <v>-0.13553859202714164</v>
      </c>
      <c r="F80" s="12">
        <f>IF(F70="","",(F70-'2016'!F193)/'2016'!F193)</f>
        <v>-8.9939566299324564E-2</v>
      </c>
      <c r="G80" s="12" t="str">
        <f>IF(G70="","",(G70-'2014'!#REF!)/'2014'!#REF!)</f>
        <v/>
      </c>
      <c r="H80" s="12" t="str">
        <f>IF(H70="","",(H70-'2014'!#REF!)/'2014'!#REF!)</f>
        <v/>
      </c>
      <c r="I80" s="12" t="str">
        <f>IF(I70="","",(I70-'2014'!#REF!)/'2014'!#REF!)</f>
        <v/>
      </c>
      <c r="J80" s="11"/>
      <c r="K80" s="11"/>
      <c r="L80" s="11"/>
      <c r="M80" s="11" t="str">
        <f>IF(G80="","",M70-((1/'Proto 2013'!#REF!)*1000000))</f>
        <v/>
      </c>
      <c r="N80" s="11" t="str">
        <f>IF(H80="","",N70-((1/'Proto 2013'!#REF!)*1000000))</f>
        <v/>
      </c>
      <c r="O80" s="38" t="str">
        <f>IF(I80="","",O70-((1/'Proto 2013'!#REF!)*1000000))</f>
        <v/>
      </c>
    </row>
    <row r="81" spans="1:15" x14ac:dyDescent="0.25">
      <c r="A81" s="39" t="s">
        <v>15</v>
      </c>
      <c r="B81" s="9" t="s">
        <v>14</v>
      </c>
      <c r="C81" s="9" t="s">
        <v>12</v>
      </c>
      <c r="D81" s="12">
        <f>IF(D71="","",(D71-'2016'!D194)/'2016'!D194)</f>
        <v>-3.8369565217391308E-2</v>
      </c>
      <c r="E81" s="12">
        <f>IF(E71="","",(E71-'2016'!E194)/'2016'!E194)</f>
        <v>-5.880665519219736E-3</v>
      </c>
      <c r="F81" s="12">
        <f>IF(F71="","",(F71-'2016'!F194)/'2016'!F194)</f>
        <v>-1.4729512587038029E-2</v>
      </c>
      <c r="G81" s="12" t="str">
        <f>IF(G71="","",(G71-'2014'!#REF!)/'2014'!#REF!)</f>
        <v/>
      </c>
      <c r="H81" s="12" t="str">
        <f>IF(H71="","",(H71-'2014'!#REF!)/'2014'!#REF!)</f>
        <v/>
      </c>
      <c r="I81" s="12" t="str">
        <f>IF(I71="","",(I71-'2014'!#REF!)/'2014'!#REF!)</f>
        <v/>
      </c>
      <c r="J81" s="11"/>
      <c r="K81" s="11"/>
      <c r="L81" s="11"/>
      <c r="M81" s="11" t="str">
        <f>IF(G81="","",M71-((1/'Proto 2013'!#REF!)*1000000))</f>
        <v/>
      </c>
      <c r="N81" s="11" t="str">
        <f>IF(H81="","",N71-((1/'Proto 2013'!#REF!)*1000000))</f>
        <v/>
      </c>
      <c r="O81" s="38" t="str">
        <f>IF(I81="","",O71-((1/'Proto 2013'!#REF!)*1000000))</f>
        <v/>
      </c>
    </row>
    <row r="82" spans="1:15" x14ac:dyDescent="0.25">
      <c r="A82" s="39" t="s">
        <v>16</v>
      </c>
      <c r="B82" s="9" t="s">
        <v>17</v>
      </c>
      <c r="C82" s="9" t="s">
        <v>12</v>
      </c>
      <c r="D82" s="12">
        <f>IF(D72="","",(D72-'2016'!D195)/'2016'!D195)</f>
        <v>0</v>
      </c>
      <c r="E82" s="12">
        <f>IF(E72="","",(E72-'2016'!E195)/'2016'!E195)</f>
        <v>-0.15220091072167793</v>
      </c>
      <c r="F82" s="12">
        <f>IF(F72="","",(F72-'2016'!F195)/'2016'!F195)</f>
        <v>-3.1162908538130224E-2</v>
      </c>
      <c r="G82" s="12" t="str">
        <f>IF(G72="","",(G72-'2014'!#REF!)/'2014'!#REF!)</f>
        <v/>
      </c>
      <c r="H82" s="12" t="str">
        <f>IF(H72="","",(H72-'2014'!#REF!)/'2014'!#REF!)</f>
        <v/>
      </c>
      <c r="I82" s="12" t="str">
        <f>IF(I72="","",(I72-'2014'!#REF!)/'2014'!#REF!)</f>
        <v/>
      </c>
      <c r="J82" s="11"/>
      <c r="K82" s="11"/>
      <c r="L82" s="11"/>
      <c r="M82" s="11" t="str">
        <f>IF(G82="","",M72-((1/'Proto 2013'!#REF!)*1000000))</f>
        <v/>
      </c>
      <c r="N82" s="11" t="str">
        <f>IF(H82="","",N72-((1/'Proto 2013'!#REF!)*1000000))</f>
        <v/>
      </c>
      <c r="O82" s="38" t="str">
        <f>IF(I82="","",O72-((1/'Proto 2013'!#REF!)*1000000))</f>
        <v/>
      </c>
    </row>
    <row r="83" spans="1:15" x14ac:dyDescent="0.25">
      <c r="A83" s="39" t="s">
        <v>18</v>
      </c>
      <c r="B83" s="8" t="s">
        <v>19</v>
      </c>
      <c r="C83" s="9" t="s">
        <v>12</v>
      </c>
      <c r="D83" s="12">
        <f>IF(D73="","",(D73-'2016'!D196)/'2016'!D196)</f>
        <v>5.6054931335830213E-2</v>
      </c>
      <c r="E83" s="12">
        <f>IF(E73="","",(E73-'2016'!E196)/'2016'!E196)</f>
        <v>-4.1797752808988765E-2</v>
      </c>
      <c r="F83" s="12">
        <f>IF(F73="","",(F73-'2016'!F196)/'2016'!F196)</f>
        <v>-7.0334086912835977E-2</v>
      </c>
      <c r="G83" s="12" t="str">
        <f>IF(G73="","",(G73-'2014'!#REF!)/'2014'!#REF!)</f>
        <v/>
      </c>
      <c r="H83" s="12" t="str">
        <f>IF(H73="","",(H73-'2014'!#REF!)/'2014'!#REF!)</f>
        <v/>
      </c>
      <c r="I83" s="12" t="str">
        <f>IF(I73="","",(I73-'2014'!#REF!)/'2014'!#REF!)</f>
        <v/>
      </c>
      <c r="J83" s="11"/>
      <c r="K83" s="11"/>
      <c r="L83" s="11"/>
      <c r="M83" s="11" t="str">
        <f>IF(G83="","",M73-((1/'Proto 2013'!#REF!)*1000000))</f>
        <v/>
      </c>
      <c r="N83" s="11" t="str">
        <f>IF(H83="","",N73-((1/'Proto 2013'!#REF!)*1000000))</f>
        <v/>
      </c>
      <c r="O83" s="38" t="str">
        <f>IF(I83="","",O73-((1/'Proto 2013'!#REF!)*1000000))</f>
        <v/>
      </c>
    </row>
    <row r="84" spans="1:15" ht="15.75" thickBot="1" x14ac:dyDescent="0.3">
      <c r="A84" s="41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3"/>
    </row>
    <row r="85" spans="1:15" ht="18.75" x14ac:dyDescent="0.3">
      <c r="A85" s="158" t="s">
        <v>132</v>
      </c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59"/>
    </row>
    <row r="86" spans="1:15" x14ac:dyDescent="0.25">
      <c r="A86" s="160" t="s">
        <v>2</v>
      </c>
      <c r="B86" s="105"/>
      <c r="C86" s="105"/>
      <c r="D86" s="106" t="s">
        <v>20</v>
      </c>
      <c r="E86" s="106"/>
      <c r="F86" s="106"/>
      <c r="G86" s="106"/>
      <c r="H86" s="106"/>
      <c r="I86" s="106"/>
      <c r="J86" s="106" t="s">
        <v>23</v>
      </c>
      <c r="K86" s="106"/>
      <c r="L86" s="106"/>
      <c r="M86" s="106"/>
      <c r="N86" s="106"/>
      <c r="O86" s="161"/>
    </row>
    <row r="87" spans="1:15" x14ac:dyDescent="0.25">
      <c r="A87" s="35" t="s">
        <v>5</v>
      </c>
      <c r="B87" s="6" t="s">
        <v>6</v>
      </c>
      <c r="C87" s="6" t="s">
        <v>7</v>
      </c>
      <c r="D87" s="7">
        <v>1</v>
      </c>
      <c r="E87" s="7">
        <v>4</v>
      </c>
      <c r="F87" s="7">
        <v>16</v>
      </c>
      <c r="G87" s="7">
        <v>32</v>
      </c>
      <c r="H87" s="7">
        <v>64</v>
      </c>
      <c r="I87" s="7">
        <v>80</v>
      </c>
      <c r="J87" s="7">
        <v>1</v>
      </c>
      <c r="K87" s="7">
        <v>4</v>
      </c>
      <c r="L87" s="7">
        <v>16</v>
      </c>
      <c r="M87" s="7">
        <v>32</v>
      </c>
      <c r="N87" s="7">
        <v>64</v>
      </c>
      <c r="O87" s="36">
        <v>80</v>
      </c>
    </row>
    <row r="88" spans="1:15" x14ac:dyDescent="0.25">
      <c r="A88" s="37" t="s">
        <v>8</v>
      </c>
      <c r="B88" s="9" t="s">
        <v>9</v>
      </c>
      <c r="C88" s="9" t="s">
        <v>10</v>
      </c>
      <c r="D88" s="12">
        <f>IF(D68="","",(D68-'2016'!D220)/'2016'!D220)</f>
        <v>-0.46751374616445973</v>
      </c>
      <c r="E88" s="12">
        <f>IF(E68="","",(E68-'2016'!E220)/'2016'!E220)</f>
        <v>-7.9512169143100608E-2</v>
      </c>
      <c r="F88" s="12">
        <f>IF(F68="","",(F68-'2016'!F220)/'2016'!F220)</f>
        <v>-9.6299810246679315E-2</v>
      </c>
      <c r="G88" s="12" t="str">
        <f>IF(G78="","",(G78-'2014'!#REF!)/'2014'!#REF!)</f>
        <v/>
      </c>
      <c r="H88" s="12" t="str">
        <f>IF(H78="","",(H78-'2014'!#REF!)/'2014'!#REF!)</f>
        <v/>
      </c>
      <c r="I88" s="11" t="str">
        <f>IF(I78="","",(I78-'2014'!#REF!)/'2014'!#REF!)</f>
        <v/>
      </c>
      <c r="J88" s="11"/>
      <c r="K88" s="11"/>
      <c r="L88" s="11"/>
      <c r="M88" s="11" t="str">
        <f>IF(G88="","",M78-((1/'Proto 2013'!#REF!)*1000000))</f>
        <v/>
      </c>
      <c r="N88" s="11" t="str">
        <f>IF(H88="","",N78-((1/'Proto 2013'!#REF!)*1000000))</f>
        <v/>
      </c>
      <c r="O88" s="38" t="str">
        <f>IF(I88="","",O78-((1/'Proto 2013'!#REF!)*1000000))</f>
        <v/>
      </c>
    </row>
    <row r="89" spans="1:15" x14ac:dyDescent="0.25">
      <c r="A89" s="37" t="s">
        <v>11</v>
      </c>
      <c r="B89" s="9" t="s">
        <v>9</v>
      </c>
      <c r="C89" s="9" t="s">
        <v>12</v>
      </c>
      <c r="D89" s="12">
        <f>IF(D69="","",(D69-'2016'!D221)/'2016'!D221)</f>
        <v>-8.0626631853785907E-2</v>
      </c>
      <c r="E89" s="12">
        <f>IF(E69="","",(E69-'2016'!E221)/'2016'!E221)</f>
        <v>-0.1381536475145255</v>
      </c>
      <c r="F89" s="12">
        <f>IF(F69="","",(F69-'2016'!F221)/'2016'!F221)</f>
        <v>2.4553571428571428E-2</v>
      </c>
      <c r="G89" s="12" t="str">
        <f>IF(G79="","",(G79-'2014'!#REF!)/'2014'!#REF!)</f>
        <v/>
      </c>
      <c r="H89" s="12" t="str">
        <f>IF(H79="","",(H79-'2014'!#REF!)/'2014'!#REF!)</f>
        <v/>
      </c>
      <c r="I89" s="12" t="str">
        <f>IF(I79="","",(I79-'2014'!#REF!)/'2014'!#REF!)</f>
        <v/>
      </c>
      <c r="J89" s="11"/>
      <c r="K89" s="11"/>
      <c r="L89" s="11"/>
      <c r="M89" s="11" t="str">
        <f>IF(G89="","",M79-((1/'Proto 2013'!#REF!)*1000000))</f>
        <v/>
      </c>
      <c r="N89" s="11" t="str">
        <f>IF(H89="","",N79-((1/'Proto 2013'!#REF!)*1000000))</f>
        <v/>
      </c>
      <c r="O89" s="38" t="str">
        <f>IF(I89="","",O79-((1/'Proto 2013'!#REF!)*1000000))</f>
        <v/>
      </c>
    </row>
    <row r="90" spans="1:15" x14ac:dyDescent="0.25">
      <c r="A90" s="39" t="s">
        <v>13</v>
      </c>
      <c r="B90" s="9" t="s">
        <v>14</v>
      </c>
      <c r="C90" s="9" t="s">
        <v>10</v>
      </c>
      <c r="D90" s="12">
        <f>IF(D70="","",(D70-'2016'!D222)/'2016'!D222)</f>
        <v>-0.23297813652332974</v>
      </c>
      <c r="E90" s="12">
        <f>IF(E70="","",(E70-'2016'!E222)/'2016'!E222)</f>
        <v>-9.1945830363506773E-2</v>
      </c>
      <c r="F90" s="12">
        <f>IF(F70="","",(F70-'2016'!F222)/'2016'!F222)</f>
        <v>-7.0274196477210824E-2</v>
      </c>
      <c r="G90" s="12" t="str">
        <f>IF(G80="","",(G80-'2014'!#REF!)/'2014'!#REF!)</f>
        <v/>
      </c>
      <c r="H90" s="12" t="str">
        <f>IF(H80="","",(H80-'2014'!#REF!)/'2014'!#REF!)</f>
        <v/>
      </c>
      <c r="I90" s="12" t="str">
        <f>IF(I80="","",(I80-'2014'!#REF!)/'2014'!#REF!)</f>
        <v/>
      </c>
      <c r="J90" s="11"/>
      <c r="K90" s="11"/>
      <c r="L90" s="11"/>
      <c r="M90" s="11" t="str">
        <f>IF(G90="","",M80-((1/'Proto 2013'!#REF!)*1000000))</f>
        <v/>
      </c>
      <c r="N90" s="11" t="str">
        <f>IF(H90="","",N80-((1/'Proto 2013'!#REF!)*1000000))</f>
        <v/>
      </c>
      <c r="O90" s="38" t="str">
        <f>IF(I90="","",O80-((1/'Proto 2013'!#REF!)*1000000))</f>
        <v/>
      </c>
    </row>
    <row r="91" spans="1:15" x14ac:dyDescent="0.25">
      <c r="A91" s="39" t="s">
        <v>15</v>
      </c>
      <c r="B91" s="9" t="s">
        <v>14</v>
      </c>
      <c r="C91" s="9" t="s">
        <v>12</v>
      </c>
      <c r="D91" s="12">
        <f>IF(D71="","",(D71-'2016'!D223)/'2016'!D223)</f>
        <v>5.2266787865015343E-3</v>
      </c>
      <c r="E91" s="12">
        <f>IF(E71="","",(E71-'2016'!E223)/'2016'!E223)</f>
        <v>-6.5930915866418234E-3</v>
      </c>
      <c r="F91" s="12">
        <f>IF(F71="","",(F71-'2016'!F223)/'2016'!F223)</f>
        <v>-2.4655355249204668E-2</v>
      </c>
      <c r="G91" s="12" t="str">
        <f>IF(G81="","",(G81-'2014'!#REF!)/'2014'!#REF!)</f>
        <v/>
      </c>
      <c r="H91" s="12" t="str">
        <f>IF(H81="","",(H81-'2014'!#REF!)/'2014'!#REF!)</f>
        <v/>
      </c>
      <c r="I91" s="12" t="str">
        <f>IF(I81="","",(I81-'2014'!#REF!)/'2014'!#REF!)</f>
        <v/>
      </c>
      <c r="J91" s="11"/>
      <c r="K91" s="11"/>
      <c r="L91" s="11"/>
      <c r="M91" s="11" t="str">
        <f>IF(G91="","",M81-((1/'Proto 2013'!#REF!)*1000000))</f>
        <v/>
      </c>
      <c r="N91" s="11" t="str">
        <f>IF(H91="","",N81-((1/'Proto 2013'!#REF!)*1000000))</f>
        <v/>
      </c>
      <c r="O91" s="38" t="str">
        <f>IF(I91="","",O81-((1/'Proto 2013'!#REF!)*1000000))</f>
        <v/>
      </c>
    </row>
    <row r="92" spans="1:15" x14ac:dyDescent="0.25">
      <c r="A92" s="39" t="s">
        <v>16</v>
      </c>
      <c r="B92" s="9" t="s">
        <v>17</v>
      </c>
      <c r="C92" s="9" t="s">
        <v>12</v>
      </c>
      <c r="D92" s="12">
        <f>IF(D72="","",(D72-'2016'!D224)/'2016'!D224)</f>
        <v>-3.6316029143897997E-2</v>
      </c>
      <c r="E92" s="12">
        <f>IF(E72="","",(E72-'2016'!E224)/'2016'!E224)</f>
        <v>-7.9550561797752814E-2</v>
      </c>
      <c r="F92" s="12">
        <f>IF(F72="","",(F72-'2016'!F224)/'2016'!F224)</f>
        <v>-3.1162908538130224E-2</v>
      </c>
      <c r="G92" s="12" t="str">
        <f>IF(G82="","",(G82-'2014'!#REF!)/'2014'!#REF!)</f>
        <v/>
      </c>
      <c r="H92" s="12" t="str">
        <f>IF(H82="","",(H82-'2014'!#REF!)/'2014'!#REF!)</f>
        <v/>
      </c>
      <c r="I92" s="12" t="str">
        <f>IF(I82="","",(I82-'2014'!#REF!)/'2014'!#REF!)</f>
        <v/>
      </c>
      <c r="J92" s="11"/>
      <c r="K92" s="11"/>
      <c r="L92" s="11"/>
      <c r="M92" s="11" t="str">
        <f>IF(G92="","",M82-((1/'Proto 2013'!#REF!)*1000000))</f>
        <v/>
      </c>
      <c r="N92" s="11" t="str">
        <f>IF(H92="","",N82-((1/'Proto 2013'!#REF!)*1000000))</f>
        <v/>
      </c>
      <c r="O92" s="38" t="str">
        <f>IF(I92="","",O82-((1/'Proto 2013'!#REF!)*1000000))</f>
        <v/>
      </c>
    </row>
    <row r="93" spans="1:15" x14ac:dyDescent="0.25">
      <c r="A93" s="39" t="s">
        <v>18</v>
      </c>
      <c r="B93" s="8" t="s">
        <v>19</v>
      </c>
      <c r="C93" s="9" t="s">
        <v>12</v>
      </c>
      <c r="D93" s="12">
        <f>IF(D73="","",(D73-'2016'!D225)/'2016'!D225)</f>
        <v>-3.2151029748283752E-2</v>
      </c>
      <c r="E93" s="12">
        <f>IF(E73="","",(E73-'2016'!E225)/'2016'!E225)</f>
        <v>-0.12371557747636662</v>
      </c>
      <c r="F93" s="12">
        <f>IF(F73="","",(F73-'2016'!F225)/'2016'!F225)</f>
        <v>-7.4518629657414348E-2</v>
      </c>
      <c r="G93" s="12" t="str">
        <f>IF(G83="","",(G83-'2014'!#REF!)/'2014'!#REF!)</f>
        <v/>
      </c>
      <c r="H93" s="12" t="str">
        <f>IF(H83="","",(H83-'2014'!#REF!)/'2014'!#REF!)</f>
        <v/>
      </c>
      <c r="I93" s="12" t="str">
        <f>IF(I83="","",(I83-'2014'!#REF!)/'2014'!#REF!)</f>
        <v/>
      </c>
      <c r="J93" s="11"/>
      <c r="K93" s="11"/>
      <c r="L93" s="11"/>
      <c r="M93" s="11" t="str">
        <f>IF(G93="","",M83-((1/'Proto 2013'!#REF!)*1000000))</f>
        <v/>
      </c>
      <c r="N93" s="11" t="str">
        <f>IF(H93="","",N83-((1/'Proto 2013'!#REF!)*1000000))</f>
        <v/>
      </c>
      <c r="O93" s="38" t="str">
        <f>IF(I93="","",O83-((1/'Proto 2013'!#REF!)*1000000))</f>
        <v/>
      </c>
    </row>
    <row r="94" spans="1:15" ht="15.75" thickBot="1" x14ac:dyDescent="0.3">
      <c r="A94" s="41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3"/>
    </row>
  </sheetData>
  <mergeCells count="48">
    <mergeCell ref="A85:O85"/>
    <mergeCell ref="A86:C86"/>
    <mergeCell ref="D86:I86"/>
    <mergeCell ref="J86:O86"/>
    <mergeCell ref="A74:F74"/>
    <mergeCell ref="G74:H74"/>
    <mergeCell ref="A75:O75"/>
    <mergeCell ref="A76:C76"/>
    <mergeCell ref="D76:I76"/>
    <mergeCell ref="J76:O76"/>
    <mergeCell ref="A64:O64"/>
    <mergeCell ref="A65:O65"/>
    <mergeCell ref="A66:C66"/>
    <mergeCell ref="D66:I66"/>
    <mergeCell ref="J66:O66"/>
    <mergeCell ref="A53:F53"/>
    <mergeCell ref="G53:H53"/>
    <mergeCell ref="A54:O54"/>
    <mergeCell ref="A55:C55"/>
    <mergeCell ref="D55:I55"/>
    <mergeCell ref="J55:O55"/>
    <mergeCell ref="A43:O43"/>
    <mergeCell ref="A44:O44"/>
    <mergeCell ref="A45:C45"/>
    <mergeCell ref="D45:I45"/>
    <mergeCell ref="J45:O45"/>
    <mergeCell ref="A1:O1"/>
    <mergeCell ref="A2:O2"/>
    <mergeCell ref="A3:C3"/>
    <mergeCell ref="D3:I3"/>
    <mergeCell ref="J3:O3"/>
    <mergeCell ref="A12:O12"/>
    <mergeCell ref="A13:C13"/>
    <mergeCell ref="D13:I13"/>
    <mergeCell ref="J13:O13"/>
    <mergeCell ref="A11:F11"/>
    <mergeCell ref="G11:H11"/>
    <mergeCell ref="A22:O22"/>
    <mergeCell ref="A23:O23"/>
    <mergeCell ref="A24:C24"/>
    <mergeCell ref="D24:I24"/>
    <mergeCell ref="J24:O24"/>
    <mergeCell ref="A32:F32"/>
    <mergeCell ref="G32:H32"/>
    <mergeCell ref="A33:O33"/>
    <mergeCell ref="A34:C34"/>
    <mergeCell ref="D34:I34"/>
    <mergeCell ref="J34:O34"/>
  </mergeCells>
  <conditionalFormatting sqref="D16:I20 D15:H15">
    <cfRule type="colorScale" priority="1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6:I20 D15:H15">
    <cfRule type="colorScale" priority="1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6:H36 D37:I41">
    <cfRule type="colorScale" priority="1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6:H36 D37:I41">
    <cfRule type="colorScale" priority="1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7:H57 D58:I62">
    <cfRule type="colorScale" priority="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7:H57 D58:I62">
    <cfRule type="colorScale" priority="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78:H78 D79:I83">
    <cfRule type="colorScale" priority="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78:H78 D79:I83">
    <cfRule type="colorScale" priority="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88:H88 D89:I93">
    <cfRule type="colorScale" priority="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88:H88 D89:I93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hyperlinks>
    <hyperlink ref="A11:F11" r:id="rId1" location="TSsummary" display="Worst of 100 iterations: 9068_sp_online_poll_17.0d79" xr:uid="{00000000-0004-0000-0600-000000000000}"/>
    <hyperlink ref="G11:H11" r:id="rId2" display="CAR : 607849" xr:uid="{00000000-0004-0000-0600-000001000000}"/>
    <hyperlink ref="A32:F32" r:id="rId3" location="TSsummary" display="Worst of 100 iterations: 9068_sp_online_poll_17.0a14" xr:uid="{00000000-0004-0000-0600-000002000000}"/>
    <hyperlink ref="G32:H32" r:id="rId4" display="CAR : 607849" xr:uid="{00000000-0004-0000-0600-000003000000}"/>
    <hyperlink ref="A53:F53" r:id="rId5" display="Worst of 100 iterations: 9068_sp_online_poll_17.0b6" xr:uid="{00000000-0004-0000-0600-000004000000}"/>
    <hyperlink ref="A74:F74" r:id="rId6" location="Test_cRIO-Benchmark.lvproj%5CRT%20Target%5CAI-AO%5CTest_cRIO_AI-AO_01_INT.vi" display="Worst of 100 iterations: 9068_sp_online_poll_17.0b24" xr:uid="{00000000-0004-0000-0600-000005000000}"/>
  </hyperlinks>
  <pageMargins left="0.7" right="0.7" top="0.75" bottom="0.75" header="0.3" footer="0.3"/>
  <pageSetup paperSize="9" orientation="portrait" r:id="rId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85"/>
  <sheetViews>
    <sheetView topLeftCell="A251" workbookViewId="0">
      <selection activeCell="D272" sqref="D272"/>
    </sheetView>
  </sheetViews>
  <sheetFormatPr defaultRowHeight="15" x14ac:dyDescent="0.25"/>
  <cols>
    <col min="1" max="1" width="9.140625" style="75"/>
    <col min="2" max="2" width="18.7109375" style="75" customWidth="1"/>
    <col min="3" max="3" width="30.42578125" style="75" customWidth="1"/>
    <col min="4" max="5" width="14" style="75" bestFit="1" customWidth="1"/>
    <col min="6" max="9" width="9.140625" style="75"/>
    <col min="10" max="10" width="22.42578125" style="75" bestFit="1" customWidth="1"/>
    <col min="11" max="16384" width="9.140625" style="75"/>
  </cols>
  <sheetData>
    <row r="1" spans="1:15" ht="18.75" x14ac:dyDescent="0.25">
      <c r="A1" s="171" t="s">
        <v>155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3"/>
    </row>
    <row r="2" spans="1:15" ht="15.75" x14ac:dyDescent="0.25">
      <c r="A2" s="181" t="s">
        <v>157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5"/>
    </row>
    <row r="3" spans="1:15" x14ac:dyDescent="0.25">
      <c r="A3" s="167" t="s">
        <v>2</v>
      </c>
      <c r="B3" s="168"/>
      <c r="C3" s="168"/>
      <c r="D3" s="169" t="s">
        <v>3</v>
      </c>
      <c r="E3" s="169"/>
      <c r="F3" s="169"/>
      <c r="G3" s="169"/>
      <c r="H3" s="169"/>
      <c r="I3" s="169"/>
      <c r="J3" s="169" t="s">
        <v>4</v>
      </c>
      <c r="K3" s="169"/>
      <c r="L3" s="169"/>
      <c r="M3" s="169"/>
      <c r="N3" s="169"/>
      <c r="O3" s="170"/>
    </row>
    <row r="4" spans="1:15" x14ac:dyDescent="0.25">
      <c r="A4" s="76" t="s">
        <v>5</v>
      </c>
      <c r="B4" s="77" t="s">
        <v>6</v>
      </c>
      <c r="C4" s="77" t="s">
        <v>7</v>
      </c>
      <c r="D4" s="78">
        <v>1</v>
      </c>
      <c r="E4" s="78">
        <v>4</v>
      </c>
      <c r="F4" s="78">
        <v>16</v>
      </c>
      <c r="G4" s="79">
        <v>32</v>
      </c>
      <c r="H4" s="79">
        <v>64</v>
      </c>
      <c r="I4" s="79">
        <v>80</v>
      </c>
      <c r="J4" s="79">
        <v>1</v>
      </c>
      <c r="K4" s="79">
        <v>4</v>
      </c>
      <c r="L4" s="79">
        <v>16</v>
      </c>
      <c r="M4" s="79">
        <v>32</v>
      </c>
      <c r="N4" s="79">
        <v>64</v>
      </c>
      <c r="O4" s="80">
        <v>80</v>
      </c>
    </row>
    <row r="5" spans="1:15" x14ac:dyDescent="0.25">
      <c r="A5" s="81" t="s">
        <v>8</v>
      </c>
      <c r="B5" s="82" t="s">
        <v>9</v>
      </c>
      <c r="C5" s="83" t="s">
        <v>10</v>
      </c>
      <c r="D5" s="84">
        <v>42666</v>
      </c>
      <c r="E5" s="84">
        <v>17284</v>
      </c>
      <c r="F5" s="84">
        <v>6003</v>
      </c>
      <c r="G5" s="85"/>
      <c r="H5" s="86"/>
      <c r="I5" s="86"/>
      <c r="J5" s="87">
        <f>IF(D5="","",(1/D5)*1000000)</f>
        <v>23.437866216659636</v>
      </c>
      <c r="K5" s="87">
        <f t="shared" ref="K5:O10" si="0">IF(E5="","",(1/E5)*1000000)</f>
        <v>57.856977551492712</v>
      </c>
      <c r="L5" s="87">
        <f t="shared" si="0"/>
        <v>166.58337497917708</v>
      </c>
      <c r="M5" s="87" t="str">
        <f t="shared" si="0"/>
        <v/>
      </c>
      <c r="N5" s="87" t="str">
        <f t="shared" si="0"/>
        <v/>
      </c>
      <c r="O5" s="88" t="str">
        <f t="shared" si="0"/>
        <v/>
      </c>
    </row>
    <row r="6" spans="1:15" x14ac:dyDescent="0.25">
      <c r="A6" s="81" t="s">
        <v>11</v>
      </c>
      <c r="B6" s="82" t="s">
        <v>9</v>
      </c>
      <c r="C6" s="83" t="s">
        <v>12</v>
      </c>
      <c r="D6" s="84">
        <v>9855</v>
      </c>
      <c r="E6" s="84">
        <v>7744</v>
      </c>
      <c r="F6" s="84">
        <v>4190</v>
      </c>
      <c r="G6" s="85"/>
      <c r="H6" s="86"/>
      <c r="I6" s="86"/>
      <c r="J6" s="87">
        <f t="shared" ref="J6:J10" si="1">IF(D6="","",(1/D6)*1000000)</f>
        <v>101.47133434804668</v>
      </c>
      <c r="K6" s="87">
        <f t="shared" si="0"/>
        <v>129.13223140495867</v>
      </c>
      <c r="L6" s="87">
        <f t="shared" si="0"/>
        <v>238.6634844868735</v>
      </c>
      <c r="M6" s="87" t="str">
        <f t="shared" si="0"/>
        <v/>
      </c>
      <c r="N6" s="87" t="str">
        <f t="shared" si="0"/>
        <v/>
      </c>
      <c r="O6" s="88" t="str">
        <f t="shared" si="0"/>
        <v/>
      </c>
    </row>
    <row r="7" spans="1:15" x14ac:dyDescent="0.25">
      <c r="A7" s="81" t="s">
        <v>13</v>
      </c>
      <c r="B7" s="82" t="s">
        <v>14</v>
      </c>
      <c r="C7" s="83" t="s">
        <v>10</v>
      </c>
      <c r="D7" s="84">
        <v>22015</v>
      </c>
      <c r="E7" s="84">
        <v>16945</v>
      </c>
      <c r="F7" s="84">
        <v>5541</v>
      </c>
      <c r="G7" s="85"/>
      <c r="H7" s="86"/>
      <c r="I7" s="86"/>
      <c r="J7" s="87">
        <f t="shared" si="1"/>
        <v>45.423574835339544</v>
      </c>
      <c r="K7" s="87">
        <f t="shared" si="0"/>
        <v>59.014458542342872</v>
      </c>
      <c r="L7" s="87">
        <f t="shared" si="0"/>
        <v>180.47283883775492</v>
      </c>
      <c r="M7" s="87" t="str">
        <f t="shared" si="0"/>
        <v/>
      </c>
      <c r="N7" s="87" t="str">
        <f t="shared" si="0"/>
        <v/>
      </c>
      <c r="O7" s="88" t="str">
        <f t="shared" si="0"/>
        <v/>
      </c>
    </row>
    <row r="8" spans="1:15" x14ac:dyDescent="0.25">
      <c r="A8" s="81" t="s">
        <v>15</v>
      </c>
      <c r="B8" s="82" t="s">
        <v>14</v>
      </c>
      <c r="C8" s="83" t="s">
        <v>12</v>
      </c>
      <c r="D8" s="84">
        <v>9612</v>
      </c>
      <c r="E8" s="84">
        <v>6916</v>
      </c>
      <c r="F8" s="84">
        <v>3914</v>
      </c>
      <c r="G8" s="85"/>
      <c r="H8" s="86"/>
      <c r="I8" s="86"/>
      <c r="J8" s="87">
        <f t="shared" si="1"/>
        <v>104.03662089055348</v>
      </c>
      <c r="K8" s="87">
        <f t="shared" si="0"/>
        <v>144.59224985540774</v>
      </c>
      <c r="L8" s="87">
        <f t="shared" si="0"/>
        <v>255.49310168625451</v>
      </c>
      <c r="M8" s="87" t="str">
        <f t="shared" si="0"/>
        <v/>
      </c>
      <c r="N8" s="87" t="str">
        <f t="shared" si="0"/>
        <v/>
      </c>
      <c r="O8" s="88" t="str">
        <f t="shared" si="0"/>
        <v/>
      </c>
    </row>
    <row r="9" spans="1:15" x14ac:dyDescent="0.25">
      <c r="A9" s="81" t="s">
        <v>16</v>
      </c>
      <c r="B9" s="82" t="s">
        <v>17</v>
      </c>
      <c r="C9" s="83" t="s">
        <v>12</v>
      </c>
      <c r="D9" s="84">
        <v>8457</v>
      </c>
      <c r="E9" s="84">
        <v>6675</v>
      </c>
      <c r="F9" s="84">
        <v>3914</v>
      </c>
      <c r="G9" s="85"/>
      <c r="H9" s="86"/>
      <c r="I9" s="86"/>
      <c r="J9" s="87">
        <f t="shared" si="1"/>
        <v>118.24524062906468</v>
      </c>
      <c r="K9" s="87">
        <f t="shared" si="0"/>
        <v>149.81273408239701</v>
      </c>
      <c r="L9" s="87">
        <f t="shared" si="0"/>
        <v>255.49310168625451</v>
      </c>
      <c r="M9" s="87" t="str">
        <f t="shared" si="0"/>
        <v/>
      </c>
      <c r="N9" s="87" t="str">
        <f t="shared" si="0"/>
        <v/>
      </c>
      <c r="O9" s="88" t="str">
        <f t="shared" si="0"/>
        <v/>
      </c>
    </row>
    <row r="10" spans="1:15" x14ac:dyDescent="0.25">
      <c r="A10" s="81" t="s">
        <v>18</v>
      </c>
      <c r="B10" s="82" t="s">
        <v>19</v>
      </c>
      <c r="C10" s="83" t="s">
        <v>12</v>
      </c>
      <c r="D10" s="84">
        <v>8271</v>
      </c>
      <c r="E10" s="84">
        <v>5952</v>
      </c>
      <c r="F10" s="84">
        <v>3848</v>
      </c>
      <c r="G10" s="85"/>
      <c r="H10" s="86"/>
      <c r="I10" s="86"/>
      <c r="J10" s="87">
        <f t="shared" si="1"/>
        <v>120.90436464756378</v>
      </c>
      <c r="K10" s="87">
        <f t="shared" si="0"/>
        <v>168.01075268817206</v>
      </c>
      <c r="L10" s="87">
        <f t="shared" si="0"/>
        <v>259.87525987525987</v>
      </c>
      <c r="M10" s="87" t="str">
        <f t="shared" si="0"/>
        <v/>
      </c>
      <c r="N10" s="87" t="str">
        <f t="shared" si="0"/>
        <v/>
      </c>
      <c r="O10" s="88" t="str">
        <f t="shared" si="0"/>
        <v/>
      </c>
    </row>
    <row r="11" spans="1:15" x14ac:dyDescent="0.25">
      <c r="A11" s="182" t="s">
        <v>156</v>
      </c>
      <c r="B11" s="183"/>
      <c r="C11" s="183"/>
      <c r="D11" s="183"/>
      <c r="E11" s="183"/>
      <c r="F11" s="183"/>
      <c r="G11" s="184"/>
      <c r="H11" s="184"/>
      <c r="I11" s="89"/>
      <c r="J11" s="89"/>
      <c r="K11" s="89"/>
      <c r="L11" s="89"/>
      <c r="M11" s="89"/>
      <c r="N11" s="89"/>
      <c r="O11" s="90"/>
    </row>
    <row r="12" spans="1:15" ht="18.75" x14ac:dyDescent="0.3">
      <c r="A12" s="180" t="s">
        <v>149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9"/>
    </row>
    <row r="13" spans="1:15" x14ac:dyDescent="0.25">
      <c r="A13" s="167" t="s">
        <v>2</v>
      </c>
      <c r="B13" s="168"/>
      <c r="C13" s="168"/>
      <c r="D13" s="169" t="s">
        <v>20</v>
      </c>
      <c r="E13" s="169"/>
      <c r="F13" s="169"/>
      <c r="G13" s="169"/>
      <c r="H13" s="169"/>
      <c r="I13" s="169"/>
      <c r="J13" s="169" t="s">
        <v>23</v>
      </c>
      <c r="K13" s="169"/>
      <c r="L13" s="169"/>
      <c r="M13" s="169"/>
      <c r="N13" s="169"/>
      <c r="O13" s="170"/>
    </row>
    <row r="14" spans="1:15" x14ac:dyDescent="0.25">
      <c r="A14" s="76" t="s">
        <v>5</v>
      </c>
      <c r="B14" s="77" t="s">
        <v>6</v>
      </c>
      <c r="C14" s="77" t="s">
        <v>7</v>
      </c>
      <c r="D14" s="79">
        <v>1</v>
      </c>
      <c r="E14" s="79">
        <v>4</v>
      </c>
      <c r="F14" s="79">
        <v>16</v>
      </c>
      <c r="G14" s="79">
        <v>32</v>
      </c>
      <c r="H14" s="79">
        <v>64</v>
      </c>
      <c r="I14" s="79">
        <v>80</v>
      </c>
      <c r="J14" s="79">
        <v>1</v>
      </c>
      <c r="K14" s="79">
        <v>4</v>
      </c>
      <c r="L14" s="79">
        <v>16</v>
      </c>
      <c r="M14" s="79">
        <v>32</v>
      </c>
      <c r="N14" s="79">
        <v>64</v>
      </c>
      <c r="O14" s="80">
        <v>80</v>
      </c>
    </row>
    <row r="15" spans="1:15" x14ac:dyDescent="0.25">
      <c r="A15" s="81" t="s">
        <v>8</v>
      </c>
      <c r="B15" s="82" t="s">
        <v>9</v>
      </c>
      <c r="C15" s="82" t="s">
        <v>10</v>
      </c>
      <c r="D15" s="91">
        <f>IF(D5="","",(D5-'2017'!D495)/'2017'!D495)</f>
        <v>0</v>
      </c>
      <c r="E15" s="91">
        <f>IF(E5="","",(E5-'2017'!E495)/'2017'!E495)</f>
        <v>-0.18139622998958038</v>
      </c>
      <c r="F15" s="91">
        <f>IF(F5="","",(F5-'2017'!F495)/'2017'!F495)</f>
        <v>5.55653244241252E-2</v>
      </c>
      <c r="G15" s="91" t="str">
        <f>IF(G5="","",(G5-'2014'!#REF!)/'2014'!#REF!)</f>
        <v/>
      </c>
      <c r="H15" s="91" t="str">
        <f>IF(H5="","",(H5-'2014'!#REF!)/'2014'!#REF!)</f>
        <v/>
      </c>
      <c r="I15" s="87" t="str">
        <f>IF(I5="","",(I5-'2014'!#REF!)/'2014'!#REF!)</f>
        <v/>
      </c>
      <c r="J15" s="87"/>
      <c r="K15" s="87"/>
      <c r="L15" s="87"/>
      <c r="M15" s="87" t="str">
        <f>IF(G15="","",M5-((1/'Proto 2013'!#REF!)*1000000))</f>
        <v/>
      </c>
      <c r="N15" s="87" t="str">
        <f>IF(H15="","",N5-((1/'Proto 2013'!#REF!)*1000000))</f>
        <v/>
      </c>
      <c r="O15" s="88" t="str">
        <f>IF(I15="","",O5-((1/'Proto 2013'!#REF!)*1000000))</f>
        <v/>
      </c>
    </row>
    <row r="16" spans="1:15" x14ac:dyDescent="0.25">
      <c r="A16" s="81" t="s">
        <v>11</v>
      </c>
      <c r="B16" s="82" t="s">
        <v>9</v>
      </c>
      <c r="C16" s="82" t="s">
        <v>12</v>
      </c>
      <c r="D16" s="91">
        <f>IF(D6="","",(D6-'2017'!D496)/'2017'!D496)</f>
        <v>-1.2623985572587917E-2</v>
      </c>
      <c r="E16" s="91">
        <f>IF(E6="","",(E6-'2017'!E496)/'2017'!E496)</f>
        <v>6.8911714991548561E-3</v>
      </c>
      <c r="F16" s="91">
        <f>IF(F6="","",(F6-'2017'!F496)/'2017'!F496)</f>
        <v>0.12212104981253348</v>
      </c>
      <c r="G16" s="91" t="str">
        <f>IF(G6="","",(G6-'2014'!#REF!)/'2014'!#REF!)</f>
        <v/>
      </c>
      <c r="H16" s="91" t="str">
        <f>IF(H6="","",(H6-'2014'!#REF!)/'2014'!#REF!)</f>
        <v/>
      </c>
      <c r="I16" s="91" t="str">
        <f>IF(I6="","",(I6-'2014'!#REF!)/'2014'!#REF!)</f>
        <v/>
      </c>
      <c r="J16" s="87"/>
      <c r="K16" s="87"/>
      <c r="L16" s="87"/>
      <c r="M16" s="87" t="str">
        <f>IF(G16="","",M6-((1/'Proto 2013'!#REF!)*1000000))</f>
        <v/>
      </c>
      <c r="N16" s="87" t="str">
        <f>IF(H16="","",N6-((1/'Proto 2013'!#REF!)*1000000))</f>
        <v/>
      </c>
      <c r="O16" s="88" t="str">
        <f>IF(I16="","",O6-((1/'Proto 2013'!#REF!)*1000000))</f>
        <v/>
      </c>
    </row>
    <row r="17" spans="1:15" x14ac:dyDescent="0.25">
      <c r="A17" s="81" t="s">
        <v>13</v>
      </c>
      <c r="B17" s="82" t="s">
        <v>14</v>
      </c>
      <c r="C17" s="82" t="s">
        <v>10</v>
      </c>
      <c r="D17" s="91">
        <f>IF(D7="","",(D7-'2017'!D497)/'2017'!D497)</f>
        <v>-0.49039351851851853</v>
      </c>
      <c r="E17" s="91">
        <f>IF(E7="","",(E7-'2017'!E497)/'2017'!E497)</f>
        <v>-3.6997044782905206E-2</v>
      </c>
      <c r="F17" s="91">
        <f>IF(F7="","",(F7-'2017'!F497)/'2017'!F497)</f>
        <v>1.1500547645125958E-2</v>
      </c>
      <c r="G17" s="91" t="str">
        <f>IF(G7="","",(G7-'2014'!#REF!)/'2014'!#REF!)</f>
        <v/>
      </c>
      <c r="H17" s="91" t="str">
        <f>IF(H7="","",(H7-'2014'!#REF!)/'2014'!#REF!)</f>
        <v/>
      </c>
      <c r="I17" s="91" t="str">
        <f>IF(I7="","",(I7-'2014'!#REF!)/'2014'!#REF!)</f>
        <v/>
      </c>
      <c r="J17" s="87"/>
      <c r="K17" s="87"/>
      <c r="L17" s="87"/>
      <c r="M17" s="87" t="str">
        <f>IF(G17="","",M7-((1/'Proto 2013'!#REF!)*1000000))</f>
        <v/>
      </c>
      <c r="N17" s="87" t="str">
        <f>IF(H17="","",N7-((1/'Proto 2013'!#REF!)*1000000))</f>
        <v/>
      </c>
      <c r="O17" s="88" t="str">
        <f>IF(I17="","",O7-((1/'Proto 2013'!#REF!)*1000000))</f>
        <v/>
      </c>
    </row>
    <row r="18" spans="1:15" x14ac:dyDescent="0.25">
      <c r="A18" s="81" t="s">
        <v>15</v>
      </c>
      <c r="B18" s="82" t="s">
        <v>14</v>
      </c>
      <c r="C18" s="82" t="s">
        <v>12</v>
      </c>
      <c r="D18" s="91">
        <f>IF(D8="","",(D8-'2017'!D498)/'2017'!D498)</f>
        <v>6.8474877723432637E-2</v>
      </c>
      <c r="E18" s="91">
        <f>IF(E8="","",(E8-'2017'!E498)/'2017'!E498)</f>
        <v>-5.5191256830601096E-2</v>
      </c>
      <c r="F18" s="91">
        <f>IF(F8="","",(F8-'2017'!F498)/'2017'!F498)</f>
        <v>1.2154124644427205E-2</v>
      </c>
      <c r="G18" s="91" t="str">
        <f>IF(G8="","",(G8-'2014'!#REF!)/'2014'!#REF!)</f>
        <v/>
      </c>
      <c r="H18" s="91" t="str">
        <f>IF(H8="","",(H8-'2014'!#REF!)/'2014'!#REF!)</f>
        <v/>
      </c>
      <c r="I18" s="91" t="str">
        <f>IF(I8="","",(I8-'2014'!#REF!)/'2014'!#REF!)</f>
        <v/>
      </c>
      <c r="J18" s="87"/>
      <c r="K18" s="87"/>
      <c r="L18" s="87"/>
      <c r="M18" s="87" t="str">
        <f>IF(G18="","",M8-((1/'Proto 2013'!#REF!)*1000000))</f>
        <v/>
      </c>
      <c r="N18" s="87" t="str">
        <f>IF(H18="","",N8-((1/'Proto 2013'!#REF!)*1000000))</f>
        <v/>
      </c>
      <c r="O18" s="88" t="str">
        <f>IF(I18="","",O8-((1/'Proto 2013'!#REF!)*1000000))</f>
        <v/>
      </c>
    </row>
    <row r="19" spans="1:15" x14ac:dyDescent="0.25">
      <c r="A19" s="81" t="s">
        <v>16</v>
      </c>
      <c r="B19" s="82" t="s">
        <v>17</v>
      </c>
      <c r="C19" s="82" t="s">
        <v>12</v>
      </c>
      <c r="D19" s="91">
        <f>IF(D9="","",(D9-'2017'!D499)/'2017'!D499)</f>
        <v>-2.5578983753888698E-2</v>
      </c>
      <c r="E19" s="91">
        <f>IF(E9="","",(E9-'2017'!E499)/'2017'!E499)</f>
        <v>8.9177750906892384E-3</v>
      </c>
      <c r="F19" s="91">
        <f>IF(F9="","",(F9-'2017'!F499)/'2017'!F499)</f>
        <v>1.2154124644427205E-2</v>
      </c>
      <c r="G19" s="91" t="str">
        <f>IF(G9="","",(G9-'2014'!#REF!)/'2014'!#REF!)</f>
        <v/>
      </c>
      <c r="H19" s="91" t="str">
        <f>IF(H9="","",(H9-'2014'!#REF!)/'2014'!#REF!)</f>
        <v/>
      </c>
      <c r="I19" s="91" t="str">
        <f>IF(I9="","",(I9-'2014'!#REF!)/'2014'!#REF!)</f>
        <v/>
      </c>
      <c r="J19" s="87"/>
      <c r="K19" s="87"/>
      <c r="L19" s="87"/>
      <c r="M19" s="87" t="str">
        <f>IF(G19="","",M9-((1/'Proto 2013'!#REF!)*1000000))</f>
        <v/>
      </c>
      <c r="N19" s="87" t="str">
        <f>IF(H19="","",N9-((1/'Proto 2013'!#REF!)*1000000))</f>
        <v/>
      </c>
      <c r="O19" s="88" t="str">
        <f>IF(I19="","",O9-((1/'Proto 2013'!#REF!)*1000000))</f>
        <v/>
      </c>
    </row>
    <row r="20" spans="1:15" ht="15.75" thickBot="1" x14ac:dyDescent="0.3">
      <c r="A20" s="92" t="s">
        <v>18</v>
      </c>
      <c r="B20" s="93" t="s">
        <v>19</v>
      </c>
      <c r="C20" s="93" t="s">
        <v>12</v>
      </c>
      <c r="D20" s="91">
        <f>IF(D10="","",(D10-'2017'!D500)/'2017'!D500)</f>
        <v>-2.4761230986911922E-2</v>
      </c>
      <c r="E20" s="91">
        <f>IF(E10="","",(E10-'2017'!E500)/'2017'!E500)</f>
        <v>-0.12637604579480405</v>
      </c>
      <c r="F20" s="91">
        <f>IF(F10="","",(F10-'2017'!F500)/'2017'!F500)</f>
        <v>-2.0746887966804979E-3</v>
      </c>
      <c r="G20" s="94" t="str">
        <f>IF(G10="","",(G10-'2014'!#REF!)/'2014'!#REF!)</f>
        <v/>
      </c>
      <c r="H20" s="94" t="str">
        <f>IF(H10="","",(H10-'2014'!#REF!)/'2014'!#REF!)</f>
        <v/>
      </c>
      <c r="I20" s="94" t="str">
        <f>IF(I10="","",(I10-'2014'!#REF!)/'2014'!#REF!)</f>
        <v/>
      </c>
      <c r="J20" s="95"/>
      <c r="K20" s="95"/>
      <c r="L20" s="95"/>
      <c r="M20" s="95" t="str">
        <f>IF(G20="","",M10-((1/'Proto 2013'!#REF!)*1000000))</f>
        <v/>
      </c>
      <c r="N20" s="95" t="str">
        <f>IF(H20="","",N10-((1/'Proto 2013'!#REF!)*1000000))</f>
        <v/>
      </c>
      <c r="O20" s="96" t="str">
        <f>IF(I20="","",O10-((1/'Proto 2013'!#REF!)*1000000))</f>
        <v/>
      </c>
    </row>
    <row r="21" spans="1:15" ht="15.75" thickBot="1" x14ac:dyDescent="0.3">
      <c r="A21" s="82"/>
      <c r="B21" s="82"/>
      <c r="C21" s="83"/>
      <c r="D21" s="86"/>
      <c r="E21" s="86"/>
      <c r="F21" s="86"/>
      <c r="G21" s="85"/>
      <c r="H21" s="86"/>
      <c r="I21" s="86"/>
      <c r="J21" s="87"/>
      <c r="K21" s="87"/>
      <c r="L21" s="87"/>
      <c r="M21" s="87"/>
      <c r="N21" s="87"/>
      <c r="O21" s="87"/>
    </row>
    <row r="22" spans="1:15" ht="18.75" x14ac:dyDescent="0.25">
      <c r="A22" s="171" t="s">
        <v>155</v>
      </c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3"/>
    </row>
    <row r="23" spans="1:15" ht="15.75" x14ac:dyDescent="0.25">
      <c r="A23" s="181" t="s">
        <v>159</v>
      </c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5"/>
    </row>
    <row r="24" spans="1:15" x14ac:dyDescent="0.25">
      <c r="A24" s="167" t="s">
        <v>2</v>
      </c>
      <c r="B24" s="168"/>
      <c r="C24" s="168"/>
      <c r="D24" s="169" t="s">
        <v>3</v>
      </c>
      <c r="E24" s="169"/>
      <c r="F24" s="169"/>
      <c r="G24" s="169"/>
      <c r="H24" s="169"/>
      <c r="I24" s="169"/>
      <c r="J24" s="169" t="s">
        <v>4</v>
      </c>
      <c r="K24" s="169"/>
      <c r="L24" s="169"/>
      <c r="M24" s="169"/>
      <c r="N24" s="169"/>
      <c r="O24" s="170"/>
    </row>
    <row r="25" spans="1:15" x14ac:dyDescent="0.25">
      <c r="A25" s="76" t="s">
        <v>5</v>
      </c>
      <c r="B25" s="77" t="s">
        <v>6</v>
      </c>
      <c r="C25" s="77" t="s">
        <v>7</v>
      </c>
      <c r="D25" s="78">
        <v>1</v>
      </c>
      <c r="E25" s="78">
        <v>4</v>
      </c>
      <c r="F25" s="78">
        <v>16</v>
      </c>
      <c r="G25" s="79">
        <v>32</v>
      </c>
      <c r="H25" s="79">
        <v>64</v>
      </c>
      <c r="I25" s="79">
        <v>80</v>
      </c>
      <c r="J25" s="79">
        <v>1</v>
      </c>
      <c r="K25" s="79">
        <v>4</v>
      </c>
      <c r="L25" s="79">
        <v>16</v>
      </c>
      <c r="M25" s="79">
        <v>32</v>
      </c>
      <c r="N25" s="79">
        <v>64</v>
      </c>
      <c r="O25" s="80">
        <v>80</v>
      </c>
    </row>
    <row r="26" spans="1:15" x14ac:dyDescent="0.25">
      <c r="A26" s="81" t="s">
        <v>8</v>
      </c>
      <c r="B26" s="82" t="s">
        <v>9</v>
      </c>
      <c r="C26" s="83" t="s">
        <v>10</v>
      </c>
      <c r="D26" s="84">
        <v>31029</v>
      </c>
      <c r="E26" s="84">
        <v>21033</v>
      </c>
      <c r="F26" s="84">
        <v>6292</v>
      </c>
      <c r="G26" s="85"/>
      <c r="H26" s="86"/>
      <c r="I26" s="86"/>
      <c r="J26" s="87">
        <f>IF(D26="","",(1/D26)*1000000)</f>
        <v>32.227915820683876</v>
      </c>
      <c r="K26" s="87">
        <f t="shared" ref="K26:K31" si="2">IF(E26="","",(1/E26)*1000000)</f>
        <v>47.54433509247373</v>
      </c>
      <c r="L26" s="87">
        <f t="shared" ref="L26:L31" si="3">IF(F26="","",(1/F26)*1000000)</f>
        <v>158.93197711379528</v>
      </c>
      <c r="M26" s="87" t="str">
        <f t="shared" ref="M26:M31" si="4">IF(G26="","",(1/G26)*1000000)</f>
        <v/>
      </c>
      <c r="N26" s="87" t="str">
        <f t="shared" ref="N26:N31" si="5">IF(H26="","",(1/H26)*1000000)</f>
        <v/>
      </c>
      <c r="O26" s="88" t="str">
        <f t="shared" ref="O26:O31" si="6">IF(I26="","",(1/I26)*1000000)</f>
        <v/>
      </c>
    </row>
    <row r="27" spans="1:15" x14ac:dyDescent="0.25">
      <c r="A27" s="81" t="s">
        <v>11</v>
      </c>
      <c r="B27" s="82" t="s">
        <v>9</v>
      </c>
      <c r="C27" s="83" t="s">
        <v>12</v>
      </c>
      <c r="D27" s="84">
        <v>8847</v>
      </c>
      <c r="E27" s="84">
        <v>7744</v>
      </c>
      <c r="F27" s="84">
        <v>4160</v>
      </c>
      <c r="G27" s="85"/>
      <c r="H27" s="86"/>
      <c r="I27" s="86"/>
      <c r="J27" s="87">
        <f t="shared" ref="J27:J31" si="7">IF(D27="","",(1/D27)*1000000)</f>
        <v>113.03266644060133</v>
      </c>
      <c r="K27" s="87">
        <f t="shared" si="2"/>
        <v>129.13223140495867</v>
      </c>
      <c r="L27" s="87">
        <f t="shared" si="3"/>
        <v>240.38461538461539</v>
      </c>
      <c r="M27" s="87" t="str">
        <f t="shared" si="4"/>
        <v/>
      </c>
      <c r="N27" s="87" t="str">
        <f t="shared" si="5"/>
        <v/>
      </c>
      <c r="O27" s="88" t="str">
        <f t="shared" si="6"/>
        <v/>
      </c>
    </row>
    <row r="28" spans="1:15" x14ac:dyDescent="0.25">
      <c r="A28" s="81" t="s">
        <v>13</v>
      </c>
      <c r="B28" s="82" t="s">
        <v>14</v>
      </c>
      <c r="C28" s="83" t="s">
        <v>10</v>
      </c>
      <c r="D28" s="84">
        <v>27666</v>
      </c>
      <c r="E28" s="84">
        <v>17017</v>
      </c>
      <c r="F28" s="84">
        <v>5507</v>
      </c>
      <c r="G28" s="85"/>
      <c r="H28" s="86"/>
      <c r="I28" s="86"/>
      <c r="J28" s="87">
        <f t="shared" si="7"/>
        <v>36.145449287934646</v>
      </c>
      <c r="K28" s="87">
        <f t="shared" si="2"/>
        <v>58.764764647117595</v>
      </c>
      <c r="L28" s="87">
        <f t="shared" si="3"/>
        <v>181.58707100054474</v>
      </c>
      <c r="M28" s="87" t="str">
        <f t="shared" si="4"/>
        <v/>
      </c>
      <c r="N28" s="87" t="str">
        <f t="shared" si="5"/>
        <v/>
      </c>
      <c r="O28" s="88" t="str">
        <f t="shared" si="6"/>
        <v/>
      </c>
    </row>
    <row r="29" spans="1:15" x14ac:dyDescent="0.25">
      <c r="A29" s="81" t="s">
        <v>15</v>
      </c>
      <c r="B29" s="82" t="s">
        <v>14</v>
      </c>
      <c r="C29" s="83" t="s">
        <v>12</v>
      </c>
      <c r="D29" s="84">
        <v>9691</v>
      </c>
      <c r="E29" s="84">
        <v>7156</v>
      </c>
      <c r="F29" s="84">
        <v>3856</v>
      </c>
      <c r="G29" s="85"/>
      <c r="H29" s="86"/>
      <c r="I29" s="86"/>
      <c r="J29" s="87">
        <f t="shared" si="7"/>
        <v>103.18852543597153</v>
      </c>
      <c r="K29" s="87">
        <f t="shared" si="2"/>
        <v>139.74287311347121</v>
      </c>
      <c r="L29" s="87">
        <f t="shared" si="3"/>
        <v>259.33609958506224</v>
      </c>
      <c r="M29" s="87" t="str">
        <f t="shared" si="4"/>
        <v/>
      </c>
      <c r="N29" s="87" t="str">
        <f t="shared" si="5"/>
        <v/>
      </c>
      <c r="O29" s="88" t="str">
        <f t="shared" si="6"/>
        <v/>
      </c>
    </row>
    <row r="30" spans="1:15" x14ac:dyDescent="0.25">
      <c r="A30" s="81" t="s">
        <v>16</v>
      </c>
      <c r="B30" s="82" t="s">
        <v>17</v>
      </c>
      <c r="C30" s="83" t="s">
        <v>12</v>
      </c>
      <c r="D30" s="84">
        <v>8391</v>
      </c>
      <c r="E30" s="84">
        <v>7028</v>
      </c>
      <c r="F30" s="84">
        <v>3867</v>
      </c>
      <c r="G30" s="85"/>
      <c r="H30" s="86"/>
      <c r="I30" s="86"/>
      <c r="J30" s="87">
        <f t="shared" si="7"/>
        <v>119.17530687641521</v>
      </c>
      <c r="K30" s="87">
        <f t="shared" si="2"/>
        <v>142.28799089356858</v>
      </c>
      <c r="L30" s="87">
        <f t="shared" si="3"/>
        <v>258.5983966899405</v>
      </c>
      <c r="M30" s="87" t="str">
        <f t="shared" si="4"/>
        <v/>
      </c>
      <c r="N30" s="87" t="str">
        <f t="shared" si="5"/>
        <v/>
      </c>
      <c r="O30" s="88" t="str">
        <f t="shared" si="6"/>
        <v/>
      </c>
    </row>
    <row r="31" spans="1:15" x14ac:dyDescent="0.25">
      <c r="A31" s="81" t="s">
        <v>18</v>
      </c>
      <c r="B31" s="82" t="s">
        <v>19</v>
      </c>
      <c r="C31" s="83" t="s">
        <v>12</v>
      </c>
      <c r="D31" s="84" t="s">
        <v>93</v>
      </c>
      <c r="E31" s="84" t="s">
        <v>93</v>
      </c>
      <c r="F31" s="84" t="s">
        <v>93</v>
      </c>
      <c r="G31" s="85"/>
      <c r="H31" s="86"/>
      <c r="I31" s="86"/>
      <c r="J31" s="87" t="e">
        <f t="shared" si="7"/>
        <v>#VALUE!</v>
      </c>
      <c r="K31" s="87" t="e">
        <f t="shared" si="2"/>
        <v>#VALUE!</v>
      </c>
      <c r="L31" s="87" t="e">
        <f t="shared" si="3"/>
        <v>#VALUE!</v>
      </c>
      <c r="M31" s="87" t="str">
        <f t="shared" si="4"/>
        <v/>
      </c>
      <c r="N31" s="87" t="str">
        <f t="shared" si="5"/>
        <v/>
      </c>
      <c r="O31" s="88" t="str">
        <f t="shared" si="6"/>
        <v/>
      </c>
    </row>
    <row r="32" spans="1:15" x14ac:dyDescent="0.25">
      <c r="A32" s="182" t="s">
        <v>158</v>
      </c>
      <c r="B32" s="183"/>
      <c r="C32" s="183"/>
      <c r="D32" s="183"/>
      <c r="E32" s="183"/>
      <c r="F32" s="183"/>
      <c r="G32" s="184" t="s">
        <v>160</v>
      </c>
      <c r="H32" s="184"/>
      <c r="I32" s="89"/>
      <c r="J32" s="89"/>
      <c r="K32" s="89"/>
      <c r="L32" s="89"/>
      <c r="M32" s="89"/>
      <c r="N32" s="89"/>
      <c r="O32" s="90"/>
    </row>
    <row r="33" spans="1:15" ht="18.75" x14ac:dyDescent="0.3">
      <c r="A33" s="180" t="s">
        <v>149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s="178"/>
      <c r="N33" s="178"/>
      <c r="O33" s="179"/>
    </row>
    <row r="34" spans="1:15" x14ac:dyDescent="0.25">
      <c r="A34" s="167" t="s">
        <v>2</v>
      </c>
      <c r="B34" s="168"/>
      <c r="C34" s="168"/>
      <c r="D34" s="169" t="s">
        <v>20</v>
      </c>
      <c r="E34" s="169"/>
      <c r="F34" s="169"/>
      <c r="G34" s="169"/>
      <c r="H34" s="169"/>
      <c r="I34" s="169"/>
      <c r="J34" s="169" t="s">
        <v>23</v>
      </c>
      <c r="K34" s="169"/>
      <c r="L34" s="169"/>
      <c r="M34" s="169"/>
      <c r="N34" s="169"/>
      <c r="O34" s="170"/>
    </row>
    <row r="35" spans="1:15" x14ac:dyDescent="0.25">
      <c r="A35" s="76" t="s">
        <v>5</v>
      </c>
      <c r="B35" s="77" t="s">
        <v>6</v>
      </c>
      <c r="C35" s="77" t="s">
        <v>7</v>
      </c>
      <c r="D35" s="79">
        <v>1</v>
      </c>
      <c r="E35" s="79">
        <v>4</v>
      </c>
      <c r="F35" s="79">
        <v>16</v>
      </c>
      <c r="G35" s="79">
        <v>32</v>
      </c>
      <c r="H35" s="79">
        <v>64</v>
      </c>
      <c r="I35" s="79">
        <v>80</v>
      </c>
      <c r="J35" s="79">
        <v>1</v>
      </c>
      <c r="K35" s="79">
        <v>4</v>
      </c>
      <c r="L35" s="79">
        <v>16</v>
      </c>
      <c r="M35" s="79">
        <v>32</v>
      </c>
      <c r="N35" s="79">
        <v>64</v>
      </c>
      <c r="O35" s="80">
        <v>80</v>
      </c>
    </row>
    <row r="36" spans="1:15" x14ac:dyDescent="0.25">
      <c r="A36" s="81" t="s">
        <v>8</v>
      </c>
      <c r="B36" s="82" t="s">
        <v>9</v>
      </c>
      <c r="C36" s="82" t="s">
        <v>10</v>
      </c>
      <c r="D36" s="91">
        <f>IF(D26="","",(D26-'2017'!D495)/'2017'!D495)</f>
        <v>-0.27274644916326818</v>
      </c>
      <c r="E36" s="91">
        <f>IF(E26="","",(E26-'2017'!E495)/'2017'!E495)</f>
        <v>-3.8363171355498722E-3</v>
      </c>
      <c r="F36" s="91">
        <f>IF(F26="","",(F26-'2017'!F495)/'2017'!F495)</f>
        <v>0.10638297872340426</v>
      </c>
      <c r="G36" s="91" t="str">
        <f>IF(G26="","",(G26-'2014'!#REF!)/'2014'!#REF!)</f>
        <v/>
      </c>
      <c r="H36" s="91" t="str">
        <f>IF(H26="","",(H26-'2014'!#REF!)/'2014'!#REF!)</f>
        <v/>
      </c>
      <c r="I36" s="87" t="str">
        <f>IF(I26="","",(I26-'2014'!#REF!)/'2014'!#REF!)</f>
        <v/>
      </c>
      <c r="J36" s="87"/>
      <c r="K36" s="87"/>
      <c r="L36" s="87"/>
      <c r="M36" s="87" t="str">
        <f>IF(G36="","",M26-((1/'Proto 2013'!#REF!)*1000000))</f>
        <v/>
      </c>
      <c r="N36" s="87" t="str">
        <f>IF(H36="","",N26-((1/'Proto 2013'!#REF!)*1000000))</f>
        <v/>
      </c>
      <c r="O36" s="88" t="str">
        <f>IF(I36="","",O26-((1/'Proto 2013'!#REF!)*1000000))</f>
        <v/>
      </c>
    </row>
    <row r="37" spans="1:15" x14ac:dyDescent="0.25">
      <c r="A37" s="81" t="s">
        <v>11</v>
      </c>
      <c r="B37" s="82" t="s">
        <v>9</v>
      </c>
      <c r="C37" s="82" t="s">
        <v>12</v>
      </c>
      <c r="D37" s="91">
        <f>IF(D27="","",(D27-'2017'!D496)/'2017'!D496)</f>
        <v>-0.11361587015329125</v>
      </c>
      <c r="E37" s="91">
        <f>IF(E27="","",(E27-'2017'!E496)/'2017'!E496)</f>
        <v>6.8911714991548561E-3</v>
      </c>
      <c r="F37" s="91">
        <f>IF(F27="","",(F27-'2017'!F496)/'2017'!F496)</f>
        <v>0.11408677021960364</v>
      </c>
      <c r="G37" s="91" t="str">
        <f>IF(G27="","",(G27-'2014'!#REF!)/'2014'!#REF!)</f>
        <v/>
      </c>
      <c r="H37" s="91" t="str">
        <f>IF(H27="","",(H27-'2014'!#REF!)/'2014'!#REF!)</f>
        <v/>
      </c>
      <c r="I37" s="91" t="str">
        <f>IF(I27="","",(I27-'2014'!#REF!)/'2014'!#REF!)</f>
        <v/>
      </c>
      <c r="J37" s="87"/>
      <c r="K37" s="87"/>
      <c r="L37" s="87"/>
      <c r="M37" s="87" t="str">
        <f>IF(G37="","",M27-((1/'Proto 2013'!#REF!)*1000000))</f>
        <v/>
      </c>
      <c r="N37" s="87" t="str">
        <f>IF(H37="","",N27-((1/'Proto 2013'!#REF!)*1000000))</f>
        <v/>
      </c>
      <c r="O37" s="88" t="str">
        <f>IF(I37="","",O27-((1/'Proto 2013'!#REF!)*1000000))</f>
        <v/>
      </c>
    </row>
    <row r="38" spans="1:15" x14ac:dyDescent="0.25">
      <c r="A38" s="81" t="s">
        <v>13</v>
      </c>
      <c r="B38" s="82" t="s">
        <v>14</v>
      </c>
      <c r="C38" s="82" t="s">
        <v>10</v>
      </c>
      <c r="D38" s="91">
        <f>IF(D28="","",(D28-'2017'!D497)/'2017'!D497)</f>
        <v>-0.35958333333333331</v>
      </c>
      <c r="E38" s="91">
        <f>IF(E28="","",(E28-'2017'!E497)/'2017'!E497)</f>
        <v>-3.2905205728574673E-2</v>
      </c>
      <c r="F38" s="91">
        <f>IF(F28="","",(F28-'2017'!F497)/'2017'!F497)</f>
        <v>5.2939028842643298E-3</v>
      </c>
      <c r="G38" s="91" t="str">
        <f>IF(G28="","",(G28-'2014'!#REF!)/'2014'!#REF!)</f>
        <v/>
      </c>
      <c r="H38" s="91" t="str">
        <f>IF(H28="","",(H28-'2014'!#REF!)/'2014'!#REF!)</f>
        <v/>
      </c>
      <c r="I38" s="91" t="str">
        <f>IF(I28="","",(I28-'2014'!#REF!)/'2014'!#REF!)</f>
        <v/>
      </c>
      <c r="J38" s="87"/>
      <c r="K38" s="87"/>
      <c r="L38" s="87"/>
      <c r="M38" s="87" t="str">
        <f>IF(G38="","",M28-((1/'Proto 2013'!#REF!)*1000000))</f>
        <v/>
      </c>
      <c r="N38" s="87" t="str">
        <f>IF(H38="","",N28-((1/'Proto 2013'!#REF!)*1000000))</f>
        <v/>
      </c>
      <c r="O38" s="88" t="str">
        <f>IF(I38="","",O28-((1/'Proto 2013'!#REF!)*1000000))</f>
        <v/>
      </c>
    </row>
    <row r="39" spans="1:15" x14ac:dyDescent="0.25">
      <c r="A39" s="81" t="s">
        <v>15</v>
      </c>
      <c r="B39" s="82" t="s">
        <v>14</v>
      </c>
      <c r="C39" s="82" t="s">
        <v>12</v>
      </c>
      <c r="D39" s="91">
        <f>IF(D29="","",(D29-'2017'!D498)/'2017'!D498)</f>
        <v>7.7256558470431308E-2</v>
      </c>
      <c r="E39" s="91">
        <f>IF(E29="","",(E29-'2017'!E498)/'2017'!E498)</f>
        <v>-2.2404371584699455E-2</v>
      </c>
      <c r="F39" s="91">
        <f>IF(F29="","",(F29-'2017'!F498)/'2017'!F498)</f>
        <v>-2.8445823635893457E-3</v>
      </c>
      <c r="G39" s="91" t="str">
        <f>IF(G29="","",(G29-'2014'!#REF!)/'2014'!#REF!)</f>
        <v/>
      </c>
      <c r="H39" s="91" t="str">
        <f>IF(H29="","",(H29-'2014'!#REF!)/'2014'!#REF!)</f>
        <v/>
      </c>
      <c r="I39" s="91" t="str">
        <f>IF(I29="","",(I29-'2014'!#REF!)/'2014'!#REF!)</f>
        <v/>
      </c>
      <c r="J39" s="87"/>
      <c r="K39" s="87"/>
      <c r="L39" s="87"/>
      <c r="M39" s="87" t="str">
        <f>IF(G39="","",M29-((1/'Proto 2013'!#REF!)*1000000))</f>
        <v/>
      </c>
      <c r="N39" s="87" t="str">
        <f>IF(H39="","",N29-((1/'Proto 2013'!#REF!)*1000000))</f>
        <v/>
      </c>
      <c r="O39" s="88" t="str">
        <f>IF(I39="","",O29-((1/'Proto 2013'!#REF!)*1000000))</f>
        <v/>
      </c>
    </row>
    <row r="40" spans="1:15" x14ac:dyDescent="0.25">
      <c r="A40" s="81" t="s">
        <v>16</v>
      </c>
      <c r="B40" s="82" t="s">
        <v>17</v>
      </c>
      <c r="C40" s="82" t="s">
        <v>12</v>
      </c>
      <c r="D40" s="91">
        <f>IF(D30="","",(D30-'2017'!D499)/'2017'!D499)</f>
        <v>-3.3183546491531282E-2</v>
      </c>
      <c r="E40" s="91">
        <f>IF(E30="","",(E30-'2017'!E499)/'2017'!E499)</f>
        <v>6.2273276904474005E-2</v>
      </c>
      <c r="F40" s="91">
        <f>IF(F30="","",(F30-'2017'!F499)/'2017'!F499)</f>
        <v>0</v>
      </c>
      <c r="G40" s="91" t="str">
        <f>IF(G30="","",(G30-'2014'!#REF!)/'2014'!#REF!)</f>
        <v/>
      </c>
      <c r="H40" s="91" t="str">
        <f>IF(H30="","",(H30-'2014'!#REF!)/'2014'!#REF!)</f>
        <v/>
      </c>
      <c r="I40" s="91" t="str">
        <f>IF(I30="","",(I30-'2014'!#REF!)/'2014'!#REF!)</f>
        <v/>
      </c>
      <c r="J40" s="87"/>
      <c r="K40" s="87"/>
      <c r="L40" s="87"/>
      <c r="M40" s="87" t="str">
        <f>IF(G40="","",M30-((1/'Proto 2013'!#REF!)*1000000))</f>
        <v/>
      </c>
      <c r="N40" s="87" t="str">
        <f>IF(H40="","",N30-((1/'Proto 2013'!#REF!)*1000000))</f>
        <v/>
      </c>
      <c r="O40" s="88" t="str">
        <f>IF(I40="","",O30-((1/'Proto 2013'!#REF!)*1000000))</f>
        <v/>
      </c>
    </row>
    <row r="41" spans="1:15" ht="15.75" thickBot="1" x14ac:dyDescent="0.3">
      <c r="A41" s="92" t="s">
        <v>18</v>
      </c>
      <c r="B41" s="93" t="s">
        <v>19</v>
      </c>
      <c r="C41" s="93" t="s">
        <v>12</v>
      </c>
      <c r="D41" s="91" t="e">
        <f>IF(D31="","",(D31-'2017'!D521)/'2017'!D521)</f>
        <v>#VALUE!</v>
      </c>
      <c r="E41" s="91" t="e">
        <f>IF(E31="","",(E31-'2017'!E521)/'2017'!E521)</f>
        <v>#VALUE!</v>
      </c>
      <c r="F41" s="91" t="e">
        <f>IF(F31="","",(F31-'2017'!F521)/'2017'!F521)</f>
        <v>#VALUE!</v>
      </c>
      <c r="G41" s="94" t="str">
        <f>IF(G31="","",(G31-'2014'!#REF!)/'2014'!#REF!)</f>
        <v/>
      </c>
      <c r="H41" s="94" t="str">
        <f>IF(H31="","",(H31-'2014'!#REF!)/'2014'!#REF!)</f>
        <v/>
      </c>
      <c r="I41" s="94" t="str">
        <f>IF(I31="","",(I31-'2014'!#REF!)/'2014'!#REF!)</f>
        <v/>
      </c>
      <c r="J41" s="95"/>
      <c r="K41" s="95"/>
      <c r="L41" s="95"/>
      <c r="M41" s="95" t="str">
        <f>IF(G41="","",M31-((1/'Proto 2013'!#REF!)*1000000))</f>
        <v/>
      </c>
      <c r="N41" s="95" t="str">
        <f>IF(H41="","",N31-((1/'Proto 2013'!#REF!)*1000000))</f>
        <v/>
      </c>
      <c r="O41" s="96" t="str">
        <f>IF(I41="","",O31-((1/'Proto 2013'!#REF!)*1000000))</f>
        <v/>
      </c>
    </row>
    <row r="42" spans="1:15" ht="18.75" x14ac:dyDescent="0.25">
      <c r="A42" s="171" t="s">
        <v>155</v>
      </c>
      <c r="B42" s="172"/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3"/>
    </row>
    <row r="43" spans="1:15" ht="15.75" x14ac:dyDescent="0.25">
      <c r="A43" s="181" t="s">
        <v>161</v>
      </c>
      <c r="B43" s="174"/>
      <c r="C43" s="174"/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5"/>
    </row>
    <row r="44" spans="1:15" x14ac:dyDescent="0.25">
      <c r="A44" s="167" t="s">
        <v>2</v>
      </c>
      <c r="B44" s="168"/>
      <c r="C44" s="168"/>
      <c r="D44" s="169" t="s">
        <v>3</v>
      </c>
      <c r="E44" s="169"/>
      <c r="F44" s="169"/>
      <c r="G44" s="169"/>
      <c r="H44" s="169"/>
      <c r="I44" s="169"/>
      <c r="J44" s="169" t="s">
        <v>4</v>
      </c>
      <c r="K44" s="169"/>
      <c r="L44" s="169"/>
      <c r="M44" s="169"/>
      <c r="N44" s="169"/>
      <c r="O44" s="170"/>
    </row>
    <row r="45" spans="1:15" x14ac:dyDescent="0.25">
      <c r="A45" s="76" t="s">
        <v>5</v>
      </c>
      <c r="B45" s="77" t="s">
        <v>6</v>
      </c>
      <c r="C45" s="77" t="s">
        <v>7</v>
      </c>
      <c r="D45" s="78">
        <v>1</v>
      </c>
      <c r="E45" s="78">
        <v>4</v>
      </c>
      <c r="F45" s="78">
        <v>16</v>
      </c>
      <c r="G45" s="79">
        <v>32</v>
      </c>
      <c r="H45" s="79">
        <v>64</v>
      </c>
      <c r="I45" s="79">
        <v>80</v>
      </c>
      <c r="J45" s="79">
        <v>1</v>
      </c>
      <c r="K45" s="79">
        <v>4</v>
      </c>
      <c r="L45" s="79">
        <v>16</v>
      </c>
      <c r="M45" s="79">
        <v>32</v>
      </c>
      <c r="N45" s="79">
        <v>64</v>
      </c>
      <c r="O45" s="80">
        <v>80</v>
      </c>
    </row>
    <row r="46" spans="1:15" x14ac:dyDescent="0.25">
      <c r="A46" s="81" t="s">
        <v>8</v>
      </c>
      <c r="B46" s="82" t="s">
        <v>9</v>
      </c>
      <c r="C46" s="83" t="s">
        <v>10</v>
      </c>
      <c r="D46" s="84">
        <v>35555</v>
      </c>
      <c r="E46" s="84">
        <v>20678</v>
      </c>
      <c r="F46" s="84">
        <v>6003</v>
      </c>
      <c r="G46" s="85"/>
      <c r="H46" s="86"/>
      <c r="I46" s="86"/>
      <c r="J46" s="87">
        <f>IF(D46="","",(1/D46)*1000000)</f>
        <v>28.125439459991561</v>
      </c>
      <c r="K46" s="87">
        <f t="shared" ref="K46:K51" si="8">IF(E46="","",(1/E46)*1000000)</f>
        <v>48.360576458071378</v>
      </c>
      <c r="L46" s="87">
        <f t="shared" ref="L46:L51" si="9">IF(F46="","",(1/F46)*1000000)</f>
        <v>166.58337497917708</v>
      </c>
      <c r="M46" s="87" t="str">
        <f t="shared" ref="M46:M51" si="10">IF(G46="","",(1/G46)*1000000)</f>
        <v/>
      </c>
      <c r="N46" s="87" t="str">
        <f t="shared" ref="N46:N51" si="11">IF(H46="","",(1/H46)*1000000)</f>
        <v/>
      </c>
      <c r="O46" s="88" t="str">
        <f t="shared" ref="O46:O51" si="12">IF(I46="","",(1/I46)*1000000)</f>
        <v/>
      </c>
    </row>
    <row r="47" spans="1:15" x14ac:dyDescent="0.25">
      <c r="A47" s="81" t="s">
        <v>11</v>
      </c>
      <c r="B47" s="82" t="s">
        <v>9</v>
      </c>
      <c r="C47" s="83" t="s">
        <v>12</v>
      </c>
      <c r="D47" s="84">
        <v>9612</v>
      </c>
      <c r="E47" s="84">
        <v>7966</v>
      </c>
      <c r="F47" s="84">
        <v>4211</v>
      </c>
      <c r="G47" s="85"/>
      <c r="H47" s="86"/>
      <c r="I47" s="86"/>
      <c r="J47" s="87">
        <f t="shared" ref="J47:J51" si="13">IF(D47="","",(1/D47)*1000000)</f>
        <v>104.03662089055348</v>
      </c>
      <c r="K47" s="87">
        <f t="shared" si="8"/>
        <v>125.53351744915892</v>
      </c>
      <c r="L47" s="87">
        <f t="shared" si="9"/>
        <v>237.47328425552126</v>
      </c>
      <c r="M47" s="87" t="str">
        <f t="shared" si="10"/>
        <v/>
      </c>
      <c r="N47" s="87" t="str">
        <f t="shared" si="11"/>
        <v/>
      </c>
      <c r="O47" s="88" t="str">
        <f t="shared" si="12"/>
        <v/>
      </c>
    </row>
    <row r="48" spans="1:15" x14ac:dyDescent="0.25">
      <c r="A48" s="81" t="s">
        <v>13</v>
      </c>
      <c r="B48" s="82" t="s">
        <v>14</v>
      </c>
      <c r="C48" s="83" t="s">
        <v>10</v>
      </c>
      <c r="D48" s="84">
        <v>41329</v>
      </c>
      <c r="E48" s="84">
        <v>17879</v>
      </c>
      <c r="F48" s="84">
        <v>5665</v>
      </c>
      <c r="G48" s="85"/>
      <c r="H48" s="86"/>
      <c r="I48" s="86"/>
      <c r="J48" s="87">
        <f t="shared" si="13"/>
        <v>24.196085073435121</v>
      </c>
      <c r="K48" s="87">
        <f t="shared" si="8"/>
        <v>55.931539795290561</v>
      </c>
      <c r="L48" s="87">
        <f t="shared" si="9"/>
        <v>176.522506619594</v>
      </c>
      <c r="M48" s="87" t="str">
        <f t="shared" si="10"/>
        <v/>
      </c>
      <c r="N48" s="87" t="str">
        <f t="shared" si="11"/>
        <v/>
      </c>
      <c r="O48" s="88" t="str">
        <f t="shared" si="12"/>
        <v/>
      </c>
    </row>
    <row r="49" spans="1:15" x14ac:dyDescent="0.25">
      <c r="A49" s="81" t="s">
        <v>15</v>
      </c>
      <c r="B49" s="82" t="s">
        <v>14</v>
      </c>
      <c r="C49" s="83" t="s">
        <v>12</v>
      </c>
      <c r="D49" s="84">
        <v>9674</v>
      </c>
      <c r="E49" s="84">
        <v>7336</v>
      </c>
      <c r="F49" s="84">
        <v>3914</v>
      </c>
      <c r="G49" s="85"/>
      <c r="H49" s="86"/>
      <c r="I49" s="86"/>
      <c r="J49" s="87">
        <f t="shared" si="13"/>
        <v>103.36985734959686</v>
      </c>
      <c r="K49" s="87">
        <f t="shared" si="8"/>
        <v>136.31406761177755</v>
      </c>
      <c r="L49" s="87">
        <f t="shared" si="9"/>
        <v>255.49310168625451</v>
      </c>
      <c r="M49" s="87" t="str">
        <f t="shared" si="10"/>
        <v/>
      </c>
      <c r="N49" s="87" t="str">
        <f t="shared" si="11"/>
        <v/>
      </c>
      <c r="O49" s="88" t="str">
        <f t="shared" si="12"/>
        <v/>
      </c>
    </row>
    <row r="50" spans="1:15" x14ac:dyDescent="0.25">
      <c r="A50" s="81" t="s">
        <v>16</v>
      </c>
      <c r="B50" s="82" t="s">
        <v>17</v>
      </c>
      <c r="C50" s="83" t="s">
        <v>12</v>
      </c>
      <c r="D50" s="84">
        <v>8609</v>
      </c>
      <c r="E50" s="84">
        <v>7028</v>
      </c>
      <c r="F50" s="84">
        <v>3900</v>
      </c>
      <c r="G50" s="85"/>
      <c r="H50" s="86"/>
      <c r="I50" s="86"/>
      <c r="J50" s="87">
        <f t="shared" si="13"/>
        <v>116.15750958299454</v>
      </c>
      <c r="K50" s="87">
        <f t="shared" si="8"/>
        <v>142.28799089356858</v>
      </c>
      <c r="L50" s="87">
        <f t="shared" si="9"/>
        <v>256.41025641025641</v>
      </c>
      <c r="M50" s="87" t="str">
        <f t="shared" si="10"/>
        <v/>
      </c>
      <c r="N50" s="87" t="str">
        <f t="shared" si="11"/>
        <v/>
      </c>
      <c r="O50" s="88" t="str">
        <f t="shared" si="12"/>
        <v/>
      </c>
    </row>
    <row r="51" spans="1:15" x14ac:dyDescent="0.25">
      <c r="A51" s="81" t="s">
        <v>18</v>
      </c>
      <c r="B51" s="82" t="s">
        <v>19</v>
      </c>
      <c r="C51" s="83" t="s">
        <v>12</v>
      </c>
      <c r="D51" s="84">
        <v>8378</v>
      </c>
      <c r="E51" s="84">
        <v>6410</v>
      </c>
      <c r="F51" s="84">
        <v>3772</v>
      </c>
      <c r="G51" s="85"/>
      <c r="H51" s="86"/>
      <c r="I51" s="86"/>
      <c r="J51" s="87">
        <f t="shared" si="13"/>
        <v>119.36022917164</v>
      </c>
      <c r="K51" s="87">
        <f t="shared" si="8"/>
        <v>156.00624024960999</v>
      </c>
      <c r="L51" s="87">
        <f t="shared" si="9"/>
        <v>265.1113467656416</v>
      </c>
      <c r="M51" s="87" t="str">
        <f t="shared" si="10"/>
        <v/>
      </c>
      <c r="N51" s="87" t="str">
        <f t="shared" si="11"/>
        <v/>
      </c>
      <c r="O51" s="88" t="str">
        <f t="shared" si="12"/>
        <v/>
      </c>
    </row>
    <row r="52" spans="1:15" x14ac:dyDescent="0.25">
      <c r="A52" s="182" t="s">
        <v>162</v>
      </c>
      <c r="B52" s="183"/>
      <c r="C52" s="183"/>
      <c r="D52" s="183"/>
      <c r="E52" s="183"/>
      <c r="F52" s="183"/>
      <c r="G52" s="184"/>
      <c r="H52" s="184"/>
      <c r="I52" s="89"/>
      <c r="J52" s="89"/>
      <c r="K52" s="89"/>
      <c r="L52" s="89"/>
      <c r="M52" s="89"/>
      <c r="N52" s="89"/>
      <c r="O52" s="90"/>
    </row>
    <row r="53" spans="1:15" ht="18.75" x14ac:dyDescent="0.3">
      <c r="A53" s="180" t="s">
        <v>149</v>
      </c>
      <c r="B53" s="178"/>
      <c r="C53" s="178"/>
      <c r="D53" s="178"/>
      <c r="E53" s="178"/>
      <c r="F53" s="178"/>
      <c r="G53" s="178"/>
      <c r="H53" s="178"/>
      <c r="I53" s="178"/>
      <c r="J53" s="178"/>
      <c r="K53" s="178"/>
      <c r="L53" s="178"/>
      <c r="M53" s="178"/>
      <c r="N53" s="178"/>
      <c r="O53" s="179"/>
    </row>
    <row r="54" spans="1:15" x14ac:dyDescent="0.25">
      <c r="A54" s="167" t="s">
        <v>2</v>
      </c>
      <c r="B54" s="168"/>
      <c r="C54" s="168"/>
      <c r="D54" s="169" t="s">
        <v>20</v>
      </c>
      <c r="E54" s="169"/>
      <c r="F54" s="169"/>
      <c r="G54" s="169"/>
      <c r="H54" s="169"/>
      <c r="I54" s="169"/>
      <c r="J54" s="169" t="s">
        <v>23</v>
      </c>
      <c r="K54" s="169"/>
      <c r="L54" s="169"/>
      <c r="M54" s="169"/>
      <c r="N54" s="169"/>
      <c r="O54" s="170"/>
    </row>
    <row r="55" spans="1:15" x14ac:dyDescent="0.25">
      <c r="A55" s="76" t="s">
        <v>5</v>
      </c>
      <c r="B55" s="77" t="s">
        <v>6</v>
      </c>
      <c r="C55" s="77" t="s">
        <v>7</v>
      </c>
      <c r="D55" s="79">
        <v>1</v>
      </c>
      <c r="E55" s="79">
        <v>4</v>
      </c>
      <c r="F55" s="79">
        <v>16</v>
      </c>
      <c r="G55" s="79">
        <v>32</v>
      </c>
      <c r="H55" s="79">
        <v>64</v>
      </c>
      <c r="I55" s="79">
        <v>80</v>
      </c>
      <c r="J55" s="79">
        <v>1</v>
      </c>
      <c r="K55" s="79">
        <v>4</v>
      </c>
      <c r="L55" s="79">
        <v>16</v>
      </c>
      <c r="M55" s="79">
        <v>32</v>
      </c>
      <c r="N55" s="79">
        <v>64</v>
      </c>
      <c r="O55" s="80">
        <v>80</v>
      </c>
    </row>
    <row r="56" spans="1:15" x14ac:dyDescent="0.25">
      <c r="A56" s="81" t="s">
        <v>8</v>
      </c>
      <c r="B56" s="82" t="s">
        <v>9</v>
      </c>
      <c r="C56" s="82" t="s">
        <v>10</v>
      </c>
      <c r="D56" s="91">
        <f>IF(D46="","",(D46-'2017'!D495)/'2017'!D495)</f>
        <v>-0.16666666666666666</v>
      </c>
      <c r="E56" s="91">
        <f>IF(E46="","",(E46-'2017'!E495)/'2017'!E495)</f>
        <v>-2.0649805816046224E-2</v>
      </c>
      <c r="F56" s="91">
        <f>IF(F46="","",(F46-'2017'!F495)/'2017'!F495)</f>
        <v>5.55653244241252E-2</v>
      </c>
      <c r="G56" s="91" t="str">
        <f>IF(G46="","",(G46-'2014'!#REF!)/'2014'!#REF!)</f>
        <v/>
      </c>
      <c r="H56" s="91" t="str">
        <f>IF(H46="","",(H46-'2014'!#REF!)/'2014'!#REF!)</f>
        <v/>
      </c>
      <c r="I56" s="87" t="str">
        <f>IF(I46="","",(I46-'2014'!#REF!)/'2014'!#REF!)</f>
        <v/>
      </c>
      <c r="J56" s="87"/>
      <c r="K56" s="87"/>
      <c r="L56" s="87"/>
      <c r="M56" s="87" t="str">
        <f>IF(G56="","",M46-((1/'Proto 2013'!#REF!)*1000000))</f>
        <v/>
      </c>
      <c r="N56" s="87" t="str">
        <f>IF(H56="","",N46-((1/'Proto 2013'!#REF!)*1000000))</f>
        <v/>
      </c>
      <c r="O56" s="88" t="str">
        <f>IF(I56="","",O46-((1/'Proto 2013'!#REF!)*1000000))</f>
        <v/>
      </c>
    </row>
    <row r="57" spans="1:15" x14ac:dyDescent="0.25">
      <c r="A57" s="81" t="s">
        <v>11</v>
      </c>
      <c r="B57" s="82" t="s">
        <v>9</v>
      </c>
      <c r="C57" s="82" t="s">
        <v>12</v>
      </c>
      <c r="D57" s="91">
        <f>IF(D47="","",(D47-'2017'!D496)/'2017'!D496)</f>
        <v>-3.6970243462578899E-2</v>
      </c>
      <c r="E57" s="91">
        <f>IF(E47="","",(E47-'2017'!E496)/'2017'!E496)</f>
        <v>3.5756078533350673E-2</v>
      </c>
      <c r="F57" s="91">
        <f>IF(F47="","",(F47-'2017'!F496)/'2017'!F496)</f>
        <v>0.12774504552758437</v>
      </c>
      <c r="G57" s="91" t="str">
        <f>IF(G47="","",(G47-'2014'!#REF!)/'2014'!#REF!)</f>
        <v/>
      </c>
      <c r="H57" s="91" t="str">
        <f>IF(H47="","",(H47-'2014'!#REF!)/'2014'!#REF!)</f>
        <v/>
      </c>
      <c r="I57" s="91" t="str">
        <f>IF(I47="","",(I47-'2014'!#REF!)/'2014'!#REF!)</f>
        <v/>
      </c>
      <c r="J57" s="87"/>
      <c r="K57" s="87"/>
      <c r="L57" s="87"/>
      <c r="M57" s="87" t="str">
        <f>IF(G57="","",M47-((1/'Proto 2013'!#REF!)*1000000))</f>
        <v/>
      </c>
      <c r="N57" s="87" t="str">
        <f>IF(H57="","",N47-((1/'Proto 2013'!#REF!)*1000000))</f>
        <v/>
      </c>
      <c r="O57" s="88" t="str">
        <f>IF(I57="","",O47-((1/'Proto 2013'!#REF!)*1000000))</f>
        <v/>
      </c>
    </row>
    <row r="58" spans="1:15" x14ac:dyDescent="0.25">
      <c r="A58" s="81" t="s">
        <v>13</v>
      </c>
      <c r="B58" s="82" t="s">
        <v>14</v>
      </c>
      <c r="C58" s="82" t="s">
        <v>10</v>
      </c>
      <c r="D58" s="91">
        <f>IF(D48="","",(D48-'2017'!D497)/'2017'!D497)</f>
        <v>-4.3310185185185188E-2</v>
      </c>
      <c r="E58" s="91">
        <f>IF(E48="","",(E48-'2017'!E497)/'2017'!E497)</f>
        <v>1.6083200727438053E-2</v>
      </c>
      <c r="F58" s="91">
        <f>IF(F48="","",(F48-'2017'!F497)/'2017'!F497)</f>
        <v>3.4136546184738957E-2</v>
      </c>
      <c r="G58" s="91" t="str">
        <f>IF(G48="","",(G48-'2014'!#REF!)/'2014'!#REF!)</f>
        <v/>
      </c>
      <c r="H58" s="91" t="str">
        <f>IF(H48="","",(H48-'2014'!#REF!)/'2014'!#REF!)</f>
        <v/>
      </c>
      <c r="I58" s="91" t="str">
        <f>IF(I48="","",(I48-'2014'!#REF!)/'2014'!#REF!)</f>
        <v/>
      </c>
      <c r="J58" s="87"/>
      <c r="K58" s="87"/>
      <c r="L58" s="87"/>
      <c r="M58" s="87" t="str">
        <f>IF(G58="","",M48-((1/'Proto 2013'!#REF!)*1000000))</f>
        <v/>
      </c>
      <c r="N58" s="87" t="str">
        <f>IF(H58="","",N48-((1/'Proto 2013'!#REF!)*1000000))</f>
        <v/>
      </c>
      <c r="O58" s="88" t="str">
        <f>IF(I58="","",O48-((1/'Proto 2013'!#REF!)*1000000))</f>
        <v/>
      </c>
    </row>
    <row r="59" spans="1:15" x14ac:dyDescent="0.25">
      <c r="A59" s="81" t="s">
        <v>15</v>
      </c>
      <c r="B59" s="82" t="s">
        <v>14</v>
      </c>
      <c r="C59" s="82" t="s">
        <v>12</v>
      </c>
      <c r="D59" s="91">
        <f>IF(D49="","",(D49-'2017'!D498)/'2017'!D498)</f>
        <v>7.5366829702089813E-2</v>
      </c>
      <c r="E59" s="91">
        <f>IF(E49="","",(E49-'2017'!E498)/'2017'!E498)</f>
        <v>2.185792349726776E-3</v>
      </c>
      <c r="F59" s="91">
        <f>IF(F49="","",(F49-'2017'!F498)/'2017'!F498)</f>
        <v>1.2154124644427205E-2</v>
      </c>
      <c r="G59" s="91" t="str">
        <f>IF(G49="","",(G49-'2014'!#REF!)/'2014'!#REF!)</f>
        <v/>
      </c>
      <c r="H59" s="91" t="str">
        <f>IF(H49="","",(H49-'2014'!#REF!)/'2014'!#REF!)</f>
        <v/>
      </c>
      <c r="I59" s="91" t="str">
        <f>IF(I49="","",(I49-'2014'!#REF!)/'2014'!#REF!)</f>
        <v/>
      </c>
      <c r="J59" s="87"/>
      <c r="K59" s="87"/>
      <c r="L59" s="87"/>
      <c r="M59" s="87" t="str">
        <f>IF(G59="","",M49-((1/'Proto 2013'!#REF!)*1000000))</f>
        <v/>
      </c>
      <c r="N59" s="87" t="str">
        <f>IF(H59="","",N49-((1/'Proto 2013'!#REF!)*1000000))</f>
        <v/>
      </c>
      <c r="O59" s="88" t="str">
        <f>IF(I59="","",O49-((1/'Proto 2013'!#REF!)*1000000))</f>
        <v/>
      </c>
    </row>
    <row r="60" spans="1:15" x14ac:dyDescent="0.25">
      <c r="A60" s="81" t="s">
        <v>16</v>
      </c>
      <c r="B60" s="82" t="s">
        <v>17</v>
      </c>
      <c r="C60" s="82" t="s">
        <v>12</v>
      </c>
      <c r="D60" s="91">
        <f>IF(D50="","",(D50-'2017'!D499)/'2017'!D499)</f>
        <v>-8.0654453278027425E-3</v>
      </c>
      <c r="E60" s="91">
        <f>IF(E50="","",(E50-'2017'!E499)/'2017'!E499)</f>
        <v>6.2273276904474005E-2</v>
      </c>
      <c r="F60" s="91">
        <f>IF(F50="","",(F50-'2017'!F499)/'2017'!F499)</f>
        <v>8.5337470907680367E-3</v>
      </c>
      <c r="G60" s="91" t="str">
        <f>IF(G50="","",(G50-'2014'!#REF!)/'2014'!#REF!)</f>
        <v/>
      </c>
      <c r="H60" s="91" t="str">
        <f>IF(H50="","",(H50-'2014'!#REF!)/'2014'!#REF!)</f>
        <v/>
      </c>
      <c r="I60" s="91" t="str">
        <f>IF(I50="","",(I50-'2014'!#REF!)/'2014'!#REF!)</f>
        <v/>
      </c>
      <c r="J60" s="87"/>
      <c r="K60" s="87"/>
      <c r="L60" s="87"/>
      <c r="M60" s="87" t="str">
        <f>IF(G60="","",M50-((1/'Proto 2013'!#REF!)*1000000))</f>
        <v/>
      </c>
      <c r="N60" s="87" t="str">
        <f>IF(H60="","",N50-((1/'Proto 2013'!#REF!)*1000000))</f>
        <v/>
      </c>
      <c r="O60" s="88" t="str">
        <f>IF(I60="","",O50-((1/'Proto 2013'!#REF!)*1000000))</f>
        <v/>
      </c>
    </row>
    <row r="61" spans="1:15" ht="15.75" thickBot="1" x14ac:dyDescent="0.3">
      <c r="A61" s="92" t="s">
        <v>18</v>
      </c>
      <c r="B61" s="93" t="s">
        <v>19</v>
      </c>
      <c r="C61" s="93" t="s">
        <v>12</v>
      </c>
      <c r="D61" s="91">
        <f>IF(D51="","",(D51-'2017'!D500)/'2017'!D500)</f>
        <v>-1.2144794245961561E-2</v>
      </c>
      <c r="E61" s="91">
        <f>IF(E51="","",(E51-'2017'!E500)/'2017'!E500)</f>
        <v>-5.9151621899310142E-2</v>
      </c>
      <c r="F61" s="91">
        <f>IF(F51="","",(F51-'2017'!F500)/'2017'!F500)</f>
        <v>-2.1784232365145227E-2</v>
      </c>
      <c r="G61" s="94" t="str">
        <f>IF(G51="","",(G51-'2014'!#REF!)/'2014'!#REF!)</f>
        <v/>
      </c>
      <c r="H61" s="94" t="str">
        <f>IF(H51="","",(H51-'2014'!#REF!)/'2014'!#REF!)</f>
        <v/>
      </c>
      <c r="I61" s="94" t="str">
        <f>IF(I51="","",(I51-'2014'!#REF!)/'2014'!#REF!)</f>
        <v/>
      </c>
      <c r="J61" s="95"/>
      <c r="K61" s="95"/>
      <c r="L61" s="95"/>
      <c r="M61" s="95" t="str">
        <f>IF(G61="","",M51-((1/'Proto 2013'!#REF!)*1000000))</f>
        <v/>
      </c>
      <c r="N61" s="95" t="str">
        <f>IF(H61="","",N51-((1/'Proto 2013'!#REF!)*1000000))</f>
        <v/>
      </c>
      <c r="O61" s="96" t="str">
        <f>IF(I61="","",O51-((1/'Proto 2013'!#REF!)*1000000))</f>
        <v/>
      </c>
    </row>
    <row r="62" spans="1:15" ht="18.75" x14ac:dyDescent="0.25">
      <c r="A62" s="171" t="s">
        <v>155</v>
      </c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3"/>
    </row>
    <row r="63" spans="1:15" ht="15.75" x14ac:dyDescent="0.25">
      <c r="A63" s="181" t="s">
        <v>163</v>
      </c>
      <c r="B63" s="174"/>
      <c r="C63" s="174"/>
      <c r="D63" s="174"/>
      <c r="E63" s="174"/>
      <c r="F63" s="174"/>
      <c r="G63" s="174"/>
      <c r="H63" s="174"/>
      <c r="I63" s="174"/>
      <c r="J63" s="174"/>
      <c r="K63" s="174"/>
      <c r="L63" s="174"/>
      <c r="M63" s="174"/>
      <c r="N63" s="174"/>
      <c r="O63" s="175"/>
    </row>
    <row r="64" spans="1:15" x14ac:dyDescent="0.25">
      <c r="A64" s="167" t="s">
        <v>2</v>
      </c>
      <c r="B64" s="168"/>
      <c r="C64" s="168"/>
      <c r="D64" s="169" t="s">
        <v>3</v>
      </c>
      <c r="E64" s="169"/>
      <c r="F64" s="169"/>
      <c r="G64" s="169"/>
      <c r="H64" s="169"/>
      <c r="I64" s="169"/>
      <c r="J64" s="169" t="s">
        <v>4</v>
      </c>
      <c r="K64" s="169"/>
      <c r="L64" s="169"/>
      <c r="M64" s="169"/>
      <c r="N64" s="169"/>
      <c r="O64" s="170"/>
    </row>
    <row r="65" spans="1:15" x14ac:dyDescent="0.25">
      <c r="A65" s="76" t="s">
        <v>5</v>
      </c>
      <c r="B65" s="77" t="s">
        <v>6</v>
      </c>
      <c r="C65" s="77" t="s">
        <v>7</v>
      </c>
      <c r="D65" s="78">
        <v>1</v>
      </c>
      <c r="E65" s="78">
        <v>4</v>
      </c>
      <c r="F65" s="78">
        <v>16</v>
      </c>
      <c r="G65" s="79">
        <v>32</v>
      </c>
      <c r="H65" s="79">
        <v>64</v>
      </c>
      <c r="I65" s="79">
        <v>80</v>
      </c>
      <c r="J65" s="79">
        <v>1</v>
      </c>
      <c r="K65" s="79">
        <v>4</v>
      </c>
      <c r="L65" s="79">
        <v>16</v>
      </c>
      <c r="M65" s="79">
        <v>32</v>
      </c>
      <c r="N65" s="79">
        <v>64</v>
      </c>
      <c r="O65" s="80">
        <v>80</v>
      </c>
    </row>
    <row r="66" spans="1:15" x14ac:dyDescent="0.25">
      <c r="A66" s="81" t="s">
        <v>8</v>
      </c>
      <c r="B66" s="82" t="s">
        <v>9</v>
      </c>
      <c r="C66" s="83" t="s">
        <v>10</v>
      </c>
      <c r="D66" s="84">
        <v>37345</v>
      </c>
      <c r="E66" s="84">
        <v>15648</v>
      </c>
      <c r="F66" s="84">
        <v>6164</v>
      </c>
      <c r="G66" s="85"/>
      <c r="H66" s="86"/>
      <c r="I66" s="86"/>
      <c r="J66" s="87">
        <f>IF(D66="","",(1/D66)*1000000)</f>
        <v>26.777346364975234</v>
      </c>
      <c r="K66" s="87">
        <f t="shared" ref="K66:K71" si="14">IF(E66="","",(1/E66)*1000000)</f>
        <v>63.905930470347656</v>
      </c>
      <c r="L66" s="87">
        <f t="shared" ref="L66:L71" si="15">IF(F66="","",(1/F66)*1000000)</f>
        <v>162.23231667748215</v>
      </c>
      <c r="M66" s="87" t="str">
        <f t="shared" ref="M66:M71" si="16">IF(G66="","",(1/G66)*1000000)</f>
        <v/>
      </c>
      <c r="N66" s="87" t="str">
        <f t="shared" ref="N66:N71" si="17">IF(H66="","",(1/H66)*1000000)</f>
        <v/>
      </c>
      <c r="O66" s="88" t="str">
        <f t="shared" ref="O66:O71" si="18">IF(I66="","",(1/I66)*1000000)</f>
        <v/>
      </c>
    </row>
    <row r="67" spans="1:15" x14ac:dyDescent="0.25">
      <c r="A67" s="81" t="s">
        <v>11</v>
      </c>
      <c r="B67" s="82" t="s">
        <v>9</v>
      </c>
      <c r="C67" s="83" t="s">
        <v>12</v>
      </c>
      <c r="D67" s="84">
        <v>9080</v>
      </c>
      <c r="E67" s="84">
        <v>7139</v>
      </c>
      <c r="F67" s="84">
        <v>3867</v>
      </c>
      <c r="G67" s="85"/>
      <c r="H67" s="86"/>
      <c r="I67" s="86"/>
      <c r="J67" s="87">
        <f>IF(D67="","",(1/D67)*1000000)</f>
        <v>110.13215859030838</v>
      </c>
      <c r="K67" s="87">
        <f t="shared" si="14"/>
        <v>140.07564084605687</v>
      </c>
      <c r="L67" s="87">
        <f t="shared" si="15"/>
        <v>258.5983966899405</v>
      </c>
      <c r="M67" s="87" t="str">
        <f t="shared" si="16"/>
        <v/>
      </c>
      <c r="N67" s="87" t="str">
        <f t="shared" si="17"/>
        <v/>
      </c>
      <c r="O67" s="88" t="str">
        <f t="shared" si="18"/>
        <v/>
      </c>
    </row>
    <row r="68" spans="1:15" x14ac:dyDescent="0.25">
      <c r="A68" s="81" t="s">
        <v>13</v>
      </c>
      <c r="B68" s="82" t="s">
        <v>14</v>
      </c>
      <c r="C68" s="83" t="s">
        <v>10</v>
      </c>
      <c r="D68" s="84">
        <v>31701</v>
      </c>
      <c r="E68" s="84">
        <v>15211</v>
      </c>
      <c r="F68" s="84">
        <v>5397</v>
      </c>
      <c r="G68" s="85"/>
      <c r="H68" s="86"/>
      <c r="I68" s="86"/>
      <c r="J68" s="87">
        <f t="shared" ref="J68:J71" si="19">IF(D68="","",(1/D68)*1000000)</f>
        <v>31.544746222516643</v>
      </c>
      <c r="K68" s="87">
        <f t="shared" si="14"/>
        <v>65.741897311156407</v>
      </c>
      <c r="L68" s="87">
        <f t="shared" si="15"/>
        <v>185.28812303131369</v>
      </c>
      <c r="M68" s="87" t="str">
        <f t="shared" si="16"/>
        <v/>
      </c>
      <c r="N68" s="87" t="str">
        <f t="shared" si="17"/>
        <v/>
      </c>
      <c r="O68" s="88" t="str">
        <f t="shared" si="18"/>
        <v/>
      </c>
    </row>
    <row r="69" spans="1:15" x14ac:dyDescent="0.25">
      <c r="A69" s="81" t="s">
        <v>15</v>
      </c>
      <c r="B69" s="82" t="s">
        <v>14</v>
      </c>
      <c r="C69" s="83" t="s">
        <v>12</v>
      </c>
      <c r="D69" s="84">
        <v>7983</v>
      </c>
      <c r="E69" s="84">
        <v>6617</v>
      </c>
      <c r="F69" s="84">
        <v>3649</v>
      </c>
      <c r="G69" s="85"/>
      <c r="H69" s="86"/>
      <c r="I69" s="86"/>
      <c r="J69" s="87">
        <f t="shared" si="19"/>
        <v>125.2661906551422</v>
      </c>
      <c r="K69" s="87">
        <f t="shared" si="14"/>
        <v>151.12588786459119</v>
      </c>
      <c r="L69" s="87">
        <f t="shared" si="15"/>
        <v>274.04768429706769</v>
      </c>
      <c r="M69" s="87" t="str">
        <f t="shared" si="16"/>
        <v/>
      </c>
      <c r="N69" s="87" t="str">
        <f t="shared" si="17"/>
        <v/>
      </c>
      <c r="O69" s="88" t="str">
        <f t="shared" si="18"/>
        <v/>
      </c>
    </row>
    <row r="70" spans="1:15" x14ac:dyDescent="0.25">
      <c r="A70" s="81" t="s">
        <v>16</v>
      </c>
      <c r="B70" s="82" t="s">
        <v>17</v>
      </c>
      <c r="C70" s="83" t="s">
        <v>12</v>
      </c>
      <c r="D70" s="84">
        <v>8295</v>
      </c>
      <c r="E70" s="84">
        <v>6453</v>
      </c>
      <c r="F70" s="84">
        <v>3679</v>
      </c>
      <c r="G70" s="85"/>
      <c r="H70" s="86"/>
      <c r="I70" s="86"/>
      <c r="J70" s="87">
        <f t="shared" si="19"/>
        <v>120.55455093429778</v>
      </c>
      <c r="K70" s="87">
        <f t="shared" si="14"/>
        <v>154.96668216333489</v>
      </c>
      <c r="L70" s="87">
        <f t="shared" si="15"/>
        <v>271.81299266104918</v>
      </c>
      <c r="M70" s="87" t="str">
        <f t="shared" si="16"/>
        <v/>
      </c>
      <c r="N70" s="87" t="str">
        <f t="shared" si="17"/>
        <v/>
      </c>
      <c r="O70" s="88" t="str">
        <f t="shared" si="18"/>
        <v/>
      </c>
    </row>
    <row r="71" spans="1:15" x14ac:dyDescent="0.25">
      <c r="A71" s="81" t="s">
        <v>18</v>
      </c>
      <c r="B71" s="82" t="s">
        <v>19</v>
      </c>
      <c r="C71" s="83" t="s">
        <v>12</v>
      </c>
      <c r="D71" s="84">
        <v>8258</v>
      </c>
      <c r="E71" s="84">
        <v>6399</v>
      </c>
      <c r="F71" s="84">
        <v>3673</v>
      </c>
      <c r="G71" s="85"/>
      <c r="H71" s="86"/>
      <c r="I71" s="86"/>
      <c r="J71" s="87">
        <f t="shared" si="19"/>
        <v>121.0946960523129</v>
      </c>
      <c r="K71" s="87">
        <f t="shared" si="14"/>
        <v>156.27441787779341</v>
      </c>
      <c r="L71" s="87">
        <f t="shared" si="15"/>
        <v>272.2570106180234</v>
      </c>
      <c r="M71" s="87" t="str">
        <f t="shared" si="16"/>
        <v/>
      </c>
      <c r="N71" s="87" t="str">
        <f t="shared" si="17"/>
        <v/>
      </c>
      <c r="O71" s="88" t="str">
        <f t="shared" si="18"/>
        <v/>
      </c>
    </row>
    <row r="72" spans="1:15" x14ac:dyDescent="0.25">
      <c r="A72" s="182" t="s">
        <v>164</v>
      </c>
      <c r="B72" s="183"/>
      <c r="C72" s="183"/>
      <c r="D72" s="183"/>
      <c r="E72" s="183"/>
      <c r="F72" s="183"/>
      <c r="G72" s="184" t="s">
        <v>165</v>
      </c>
      <c r="H72" s="184"/>
      <c r="I72" s="89"/>
      <c r="J72" s="89"/>
      <c r="K72" s="89"/>
      <c r="L72" s="89"/>
      <c r="M72" s="89"/>
      <c r="N72" s="89"/>
      <c r="O72" s="90"/>
    </row>
    <row r="73" spans="1:15" ht="18.75" x14ac:dyDescent="0.3">
      <c r="A73" s="180" t="s">
        <v>149</v>
      </c>
      <c r="B73" s="178"/>
      <c r="C73" s="178"/>
      <c r="D73" s="178"/>
      <c r="E73" s="178"/>
      <c r="F73" s="178"/>
      <c r="G73" s="178"/>
      <c r="H73" s="178"/>
      <c r="I73" s="178"/>
      <c r="J73" s="178"/>
      <c r="K73" s="178"/>
      <c r="L73" s="178"/>
      <c r="M73" s="178"/>
      <c r="N73" s="178"/>
      <c r="O73" s="179"/>
    </row>
    <row r="74" spans="1:15" x14ac:dyDescent="0.25">
      <c r="A74" s="167" t="s">
        <v>2</v>
      </c>
      <c r="B74" s="168"/>
      <c r="C74" s="168"/>
      <c r="D74" s="169" t="s">
        <v>20</v>
      </c>
      <c r="E74" s="169"/>
      <c r="F74" s="169"/>
      <c r="G74" s="169"/>
      <c r="H74" s="169"/>
      <c r="I74" s="169"/>
      <c r="J74" s="169" t="s">
        <v>23</v>
      </c>
      <c r="K74" s="169"/>
      <c r="L74" s="169"/>
      <c r="M74" s="169"/>
      <c r="N74" s="169"/>
      <c r="O74" s="170"/>
    </row>
    <row r="75" spans="1:15" x14ac:dyDescent="0.25">
      <c r="A75" s="76" t="s">
        <v>5</v>
      </c>
      <c r="B75" s="77" t="s">
        <v>6</v>
      </c>
      <c r="C75" s="77" t="s">
        <v>7</v>
      </c>
      <c r="D75" s="79">
        <v>1</v>
      </c>
      <c r="E75" s="79">
        <v>4</v>
      </c>
      <c r="F75" s="79">
        <v>16</v>
      </c>
      <c r="G75" s="79">
        <v>32</v>
      </c>
      <c r="H75" s="79">
        <v>64</v>
      </c>
      <c r="I75" s="79">
        <v>80</v>
      </c>
      <c r="J75" s="79">
        <v>1</v>
      </c>
      <c r="K75" s="79">
        <v>4</v>
      </c>
      <c r="L75" s="79">
        <v>16</v>
      </c>
      <c r="M75" s="79">
        <v>32</v>
      </c>
      <c r="N75" s="79">
        <v>64</v>
      </c>
      <c r="O75" s="80">
        <v>80</v>
      </c>
    </row>
    <row r="76" spans="1:15" x14ac:dyDescent="0.25">
      <c r="A76" s="81" t="s">
        <v>8</v>
      </c>
      <c r="B76" s="82" t="s">
        <v>9</v>
      </c>
      <c r="C76" s="82" t="s">
        <v>10</v>
      </c>
      <c r="D76" s="91">
        <f>IF(D66="","",(D66-'2017'!D495)/'2017'!D495)</f>
        <v>-0.12471288613884592</v>
      </c>
      <c r="E76" s="91">
        <f>IF(E66="","",(E66-'2017'!E495)/'2017'!E495)</f>
        <v>-0.2588803637396988</v>
      </c>
      <c r="F76" s="91">
        <f>IF(F66="","",(F66-'2017'!F495)/'2017'!F495)</f>
        <v>8.3875505538948472E-2</v>
      </c>
      <c r="G76" s="91" t="str">
        <f>IF(G66="","",(G66-'2014'!#REF!)/'2014'!#REF!)</f>
        <v/>
      </c>
      <c r="H76" s="91" t="str">
        <f>IF(H66="","",(H66-'2014'!#REF!)/'2014'!#REF!)</f>
        <v/>
      </c>
      <c r="I76" s="87" t="str">
        <f>IF(I66="","",(I66-'2014'!#REF!)/'2014'!#REF!)</f>
        <v/>
      </c>
      <c r="J76" s="87"/>
      <c r="K76" s="87"/>
      <c r="L76" s="87"/>
      <c r="M76" s="87" t="str">
        <f>IF(G76="","",M66-((1/'Proto 2013'!#REF!)*1000000))</f>
        <v/>
      </c>
      <c r="N76" s="87" t="str">
        <f>IF(H76="","",N66-((1/'Proto 2013'!#REF!)*1000000))</f>
        <v/>
      </c>
      <c r="O76" s="88" t="str">
        <f>IF(I76="","",O66-((1/'Proto 2013'!#REF!)*1000000))</f>
        <v/>
      </c>
    </row>
    <row r="77" spans="1:15" x14ac:dyDescent="0.25">
      <c r="A77" s="81" t="s">
        <v>11</v>
      </c>
      <c r="B77" s="82" t="s">
        <v>9</v>
      </c>
      <c r="C77" s="82" t="s">
        <v>12</v>
      </c>
      <c r="D77" s="91">
        <f>IF(D67="","",(D67-'2017'!D496)/'2017'!D496)</f>
        <v>-9.0271515880172321E-2</v>
      </c>
      <c r="E77" s="91">
        <f>IF(E67="","",(E67-'2017'!E496)/'2017'!E496)</f>
        <v>-7.1772201274216615E-2</v>
      </c>
      <c r="F77" s="91">
        <f>IF(F67="","",(F67-'2017'!F496)/'2017'!F496)</f>
        <v>3.5618639528655599E-2</v>
      </c>
      <c r="G77" s="91" t="str">
        <f>IF(G67="","",(G67-'2014'!#REF!)/'2014'!#REF!)</f>
        <v/>
      </c>
      <c r="H77" s="91" t="str">
        <f>IF(H67="","",(H67-'2014'!#REF!)/'2014'!#REF!)</f>
        <v/>
      </c>
      <c r="I77" s="91" t="str">
        <f>IF(I67="","",(I67-'2014'!#REF!)/'2014'!#REF!)</f>
        <v/>
      </c>
      <c r="J77" s="87"/>
      <c r="K77" s="87"/>
      <c r="L77" s="87"/>
      <c r="M77" s="87" t="str">
        <f>IF(G77="","",M67-((1/'Proto 2013'!#REF!)*1000000))</f>
        <v/>
      </c>
      <c r="N77" s="87" t="str">
        <f>IF(H77="","",N67-((1/'Proto 2013'!#REF!)*1000000))</f>
        <v/>
      </c>
      <c r="O77" s="88" t="str">
        <f>IF(I77="","",O67-((1/'Proto 2013'!#REF!)*1000000))</f>
        <v/>
      </c>
    </row>
    <row r="78" spans="1:15" x14ac:dyDescent="0.25">
      <c r="A78" s="81" t="s">
        <v>13</v>
      </c>
      <c r="B78" s="82" t="s">
        <v>14</v>
      </c>
      <c r="C78" s="82" t="s">
        <v>10</v>
      </c>
      <c r="D78" s="91">
        <f>IF(D68="","",(D68-'2017'!D497)/'2017'!D497)</f>
        <v>-0.26618055555555553</v>
      </c>
      <c r="E78" s="91">
        <f>IF(E68="","",(E68-'2017'!E497)/'2017'!E497)</f>
        <v>-0.13554216867469879</v>
      </c>
      <c r="F78" s="91">
        <f>IF(F68="","",(F68-'2017'!F497)/'2017'!F497)</f>
        <v>-1.4786418400876232E-2</v>
      </c>
      <c r="G78" s="91" t="str">
        <f>IF(G68="","",(G68-'2014'!#REF!)/'2014'!#REF!)</f>
        <v/>
      </c>
      <c r="H78" s="91" t="str">
        <f>IF(H68="","",(H68-'2014'!#REF!)/'2014'!#REF!)</f>
        <v/>
      </c>
      <c r="I78" s="91" t="str">
        <f>IF(I68="","",(I68-'2014'!#REF!)/'2014'!#REF!)</f>
        <v/>
      </c>
      <c r="J78" s="87"/>
      <c r="K78" s="87"/>
      <c r="L78" s="87"/>
      <c r="M78" s="87" t="str">
        <f>IF(G78="","",M68-((1/'Proto 2013'!#REF!)*1000000))</f>
        <v/>
      </c>
      <c r="N78" s="87" t="str">
        <f>IF(H78="","",N68-((1/'Proto 2013'!#REF!)*1000000))</f>
        <v/>
      </c>
      <c r="O78" s="88" t="str">
        <f>IF(I78="","",O68-((1/'Proto 2013'!#REF!)*1000000))</f>
        <v/>
      </c>
    </row>
    <row r="79" spans="1:15" x14ac:dyDescent="0.25">
      <c r="A79" s="81" t="s">
        <v>15</v>
      </c>
      <c r="B79" s="82" t="s">
        <v>14</v>
      </c>
      <c r="C79" s="82" t="s">
        <v>12</v>
      </c>
      <c r="D79" s="91">
        <f>IF(D69="","",(D69-'2017'!D498)/'2017'!D498)</f>
        <v>-0.11260560248999556</v>
      </c>
      <c r="E79" s="91">
        <f>IF(E69="","",(E69-'2017'!E498)/'2017'!E498)</f>
        <v>-9.6038251366120223E-2</v>
      </c>
      <c r="F79" s="91">
        <f>IF(F69="","",(F69-'2017'!F498)/'2017'!F498)</f>
        <v>-5.6374450478407036E-2</v>
      </c>
      <c r="G79" s="91" t="str">
        <f>IF(G69="","",(G69-'2014'!#REF!)/'2014'!#REF!)</f>
        <v/>
      </c>
      <c r="H79" s="91" t="str">
        <f>IF(H69="","",(H69-'2014'!#REF!)/'2014'!#REF!)</f>
        <v/>
      </c>
      <c r="I79" s="91" t="str">
        <f>IF(I69="","",(I69-'2014'!#REF!)/'2014'!#REF!)</f>
        <v/>
      </c>
      <c r="J79" s="87"/>
      <c r="K79" s="87"/>
      <c r="L79" s="87"/>
      <c r="M79" s="87" t="str">
        <f>IF(G79="","",M69-((1/'Proto 2013'!#REF!)*1000000))</f>
        <v/>
      </c>
      <c r="N79" s="87" t="str">
        <f>IF(H79="","",N69-((1/'Proto 2013'!#REF!)*1000000))</f>
        <v/>
      </c>
      <c r="O79" s="88" t="str">
        <f>IF(I79="","",O69-((1/'Proto 2013'!#REF!)*1000000))</f>
        <v/>
      </c>
    </row>
    <row r="80" spans="1:15" x14ac:dyDescent="0.25">
      <c r="A80" s="81" t="s">
        <v>16</v>
      </c>
      <c r="B80" s="82" t="s">
        <v>17</v>
      </c>
      <c r="C80" s="82" t="s">
        <v>12</v>
      </c>
      <c r="D80" s="91">
        <f>IF(D70="","",(D70-'2017'!D499)/'2017'!D499)</f>
        <v>-4.4244728655375043E-2</v>
      </c>
      <c r="E80" s="91">
        <f>IF(E70="","",(E70-'2017'!E499)/'2017'!E499)</f>
        <v>-2.4637243047158405E-2</v>
      </c>
      <c r="F80" s="91">
        <f>IF(F70="","",(F70-'2017'!F499)/'2017'!F499)</f>
        <v>-4.8616498577708819E-2</v>
      </c>
      <c r="G80" s="91" t="str">
        <f>IF(G70="","",(G70-'2014'!#REF!)/'2014'!#REF!)</f>
        <v/>
      </c>
      <c r="H80" s="91" t="str">
        <f>IF(H70="","",(H70-'2014'!#REF!)/'2014'!#REF!)</f>
        <v/>
      </c>
      <c r="I80" s="91" t="str">
        <f>IF(I70="","",(I70-'2014'!#REF!)/'2014'!#REF!)</f>
        <v/>
      </c>
      <c r="J80" s="87"/>
      <c r="K80" s="87"/>
      <c r="L80" s="87"/>
      <c r="M80" s="87" t="str">
        <f>IF(G80="","",M70-((1/'Proto 2013'!#REF!)*1000000))</f>
        <v/>
      </c>
      <c r="N80" s="87" t="str">
        <f>IF(H80="","",N70-((1/'Proto 2013'!#REF!)*1000000))</f>
        <v/>
      </c>
      <c r="O80" s="88" t="str">
        <f>IF(I80="","",O70-((1/'Proto 2013'!#REF!)*1000000))</f>
        <v/>
      </c>
    </row>
    <row r="81" spans="1:15" ht="15.75" thickBot="1" x14ac:dyDescent="0.3">
      <c r="A81" s="92" t="s">
        <v>18</v>
      </c>
      <c r="B81" s="93" t="s">
        <v>19</v>
      </c>
      <c r="C81" s="93" t="s">
        <v>12</v>
      </c>
      <c r="D81" s="91">
        <f>IF(D71="","",(D71-'2017'!D500)/'2017'!D500)</f>
        <v>-2.6294069095625514E-2</v>
      </c>
      <c r="E81" s="91">
        <f>IF(E71="","",(E71-'2017'!E500)/'2017'!E500)</f>
        <v>-6.0766182298546897E-2</v>
      </c>
      <c r="F81" s="91">
        <f>IF(F71="","",(F71-'2017'!F500)/'2017'!F500)</f>
        <v>-4.7458506224066388E-2</v>
      </c>
      <c r="G81" s="94" t="str">
        <f>IF(G71="","",(G71-'2014'!#REF!)/'2014'!#REF!)</f>
        <v/>
      </c>
      <c r="H81" s="94" t="str">
        <f>IF(H71="","",(H71-'2014'!#REF!)/'2014'!#REF!)</f>
        <v/>
      </c>
      <c r="I81" s="94" t="str">
        <f>IF(I71="","",(I71-'2014'!#REF!)/'2014'!#REF!)</f>
        <v/>
      </c>
      <c r="J81" s="95"/>
      <c r="K81" s="95"/>
      <c r="L81" s="95"/>
      <c r="M81" s="95" t="str">
        <f>IF(G81="","",M71-((1/'Proto 2013'!#REF!)*1000000))</f>
        <v/>
      </c>
      <c r="N81" s="95" t="str">
        <f>IF(H81="","",N71-((1/'Proto 2013'!#REF!)*1000000))</f>
        <v/>
      </c>
      <c r="O81" s="96" t="str">
        <f>IF(I81="","",O71-((1/'Proto 2013'!#REF!)*1000000))</f>
        <v/>
      </c>
    </row>
    <row r="82" spans="1:15" ht="18.75" x14ac:dyDescent="0.25">
      <c r="A82" s="171" t="s">
        <v>155</v>
      </c>
      <c r="B82" s="172"/>
      <c r="C82" s="172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3"/>
    </row>
    <row r="83" spans="1:15" ht="15.75" x14ac:dyDescent="0.25">
      <c r="A83" s="181" t="s">
        <v>167</v>
      </c>
      <c r="B83" s="174"/>
      <c r="C83" s="174"/>
      <c r="D83" s="174"/>
      <c r="E83" s="174"/>
      <c r="F83" s="174"/>
      <c r="G83" s="174"/>
      <c r="H83" s="174"/>
      <c r="I83" s="174"/>
      <c r="J83" s="174"/>
      <c r="K83" s="174"/>
      <c r="L83" s="174"/>
      <c r="M83" s="174"/>
      <c r="N83" s="174"/>
      <c r="O83" s="175"/>
    </row>
    <row r="84" spans="1:15" x14ac:dyDescent="0.25">
      <c r="A84" s="167" t="s">
        <v>2</v>
      </c>
      <c r="B84" s="168"/>
      <c r="C84" s="168"/>
      <c r="D84" s="169" t="s">
        <v>3</v>
      </c>
      <c r="E84" s="169"/>
      <c r="F84" s="169"/>
      <c r="G84" s="169"/>
      <c r="H84" s="169"/>
      <c r="I84" s="169"/>
      <c r="J84" s="169" t="s">
        <v>4</v>
      </c>
      <c r="K84" s="169"/>
      <c r="L84" s="169"/>
      <c r="M84" s="169"/>
      <c r="N84" s="169"/>
      <c r="O84" s="170"/>
    </row>
    <row r="85" spans="1:15" x14ac:dyDescent="0.25">
      <c r="A85" s="76" t="s">
        <v>5</v>
      </c>
      <c r="B85" s="77" t="s">
        <v>6</v>
      </c>
      <c r="C85" s="77" t="s">
        <v>7</v>
      </c>
      <c r="D85" s="78">
        <v>1</v>
      </c>
      <c r="E85" s="78">
        <v>4</v>
      </c>
      <c r="F85" s="78">
        <v>16</v>
      </c>
      <c r="G85" s="79">
        <v>32</v>
      </c>
      <c r="H85" s="79">
        <v>64</v>
      </c>
      <c r="I85" s="79">
        <v>80</v>
      </c>
      <c r="J85" s="79">
        <v>1</v>
      </c>
      <c r="K85" s="79">
        <v>4</v>
      </c>
      <c r="L85" s="79">
        <v>16</v>
      </c>
      <c r="M85" s="79">
        <v>32</v>
      </c>
      <c r="N85" s="79">
        <v>64</v>
      </c>
      <c r="O85" s="80">
        <v>80</v>
      </c>
    </row>
    <row r="86" spans="1:15" x14ac:dyDescent="0.25">
      <c r="A86" s="81" t="s">
        <v>8</v>
      </c>
      <c r="B86" s="82" t="s">
        <v>9</v>
      </c>
      <c r="C86" s="83" t="s">
        <v>10</v>
      </c>
      <c r="D86" s="84">
        <v>29629</v>
      </c>
      <c r="E86" s="84">
        <v>17284</v>
      </c>
      <c r="F86" s="84">
        <v>6217</v>
      </c>
      <c r="G86" s="85"/>
      <c r="H86" s="86"/>
      <c r="I86" s="86"/>
      <c r="J86" s="87">
        <f>IF(D86="","",(1/D86)*1000000)</f>
        <v>33.750717202740553</v>
      </c>
      <c r="K86" s="87">
        <f t="shared" ref="K86:K91" si="20">IF(E86="","",(1/E86)*1000000)</f>
        <v>57.856977551492712</v>
      </c>
      <c r="L86" s="87">
        <f t="shared" ref="L86:L91" si="21">IF(F86="","",(1/F86)*1000000)</f>
        <v>160.84928422068523</v>
      </c>
      <c r="M86" s="87" t="str">
        <f t="shared" ref="M86:M91" si="22">IF(G86="","",(1/G86)*1000000)</f>
        <v/>
      </c>
      <c r="N86" s="87" t="str">
        <f t="shared" ref="N86:N91" si="23">IF(H86="","",(1/H86)*1000000)</f>
        <v/>
      </c>
      <c r="O86" s="88" t="str">
        <f t="shared" ref="O86:O91" si="24">IF(I86="","",(1/I86)*1000000)</f>
        <v/>
      </c>
    </row>
    <row r="87" spans="1:15" x14ac:dyDescent="0.25">
      <c r="A87" s="81" t="s">
        <v>11</v>
      </c>
      <c r="B87" s="82" t="s">
        <v>9</v>
      </c>
      <c r="C87" s="83" t="s">
        <v>12</v>
      </c>
      <c r="D87" s="84">
        <v>9246</v>
      </c>
      <c r="E87" s="84">
        <v>7782</v>
      </c>
      <c r="F87" s="84">
        <v>4121</v>
      </c>
      <c r="G87" s="85"/>
      <c r="H87" s="86"/>
      <c r="I87" s="86"/>
      <c r="J87" s="87">
        <f>IF(D87="","",(1/D87)*1000000)</f>
        <v>108.15487778498812</v>
      </c>
      <c r="K87" s="87">
        <f t="shared" si="20"/>
        <v>128.50167052171679</v>
      </c>
      <c r="L87" s="87">
        <f t="shared" si="21"/>
        <v>242.65954865323951</v>
      </c>
      <c r="M87" s="87" t="str">
        <f t="shared" si="22"/>
        <v/>
      </c>
      <c r="N87" s="87" t="str">
        <f t="shared" si="23"/>
        <v/>
      </c>
      <c r="O87" s="88" t="str">
        <f t="shared" si="24"/>
        <v/>
      </c>
    </row>
    <row r="88" spans="1:15" x14ac:dyDescent="0.25">
      <c r="A88" s="81" t="s">
        <v>13</v>
      </c>
      <c r="B88" s="82" t="s">
        <v>14</v>
      </c>
      <c r="C88" s="83" t="s">
        <v>10</v>
      </c>
      <c r="D88" s="84">
        <v>40902</v>
      </c>
      <c r="E88" s="84">
        <v>16945</v>
      </c>
      <c r="F88" s="84">
        <v>5617</v>
      </c>
      <c r="G88" s="85"/>
      <c r="H88" s="86"/>
      <c r="I88" s="86"/>
      <c r="J88" s="87">
        <f t="shared" ref="J88:J91" si="25">IF(D88="","",(1/D88)*1000000)</f>
        <v>24.448682216028555</v>
      </c>
      <c r="K88" s="87">
        <f t="shared" si="20"/>
        <v>59.014458542342872</v>
      </c>
      <c r="L88" s="87">
        <f t="shared" si="21"/>
        <v>178.03097739006589</v>
      </c>
      <c r="M88" s="87" t="str">
        <f t="shared" si="22"/>
        <v/>
      </c>
      <c r="N88" s="87" t="str">
        <f t="shared" si="23"/>
        <v/>
      </c>
      <c r="O88" s="88" t="str">
        <f t="shared" si="24"/>
        <v/>
      </c>
    </row>
    <row r="89" spans="1:15" x14ac:dyDescent="0.25">
      <c r="A89" s="81" t="s">
        <v>15</v>
      </c>
      <c r="B89" s="82" t="s">
        <v>14</v>
      </c>
      <c r="C89" s="83" t="s">
        <v>12</v>
      </c>
      <c r="D89" s="84">
        <v>9595</v>
      </c>
      <c r="E89" s="84">
        <v>7046</v>
      </c>
      <c r="F89" s="84">
        <v>3856</v>
      </c>
      <c r="G89" s="85"/>
      <c r="H89" s="86"/>
      <c r="I89" s="86"/>
      <c r="J89" s="87">
        <f t="shared" si="25"/>
        <v>104.22094841063054</v>
      </c>
      <c r="K89" s="87">
        <f t="shared" si="20"/>
        <v>141.92449616803859</v>
      </c>
      <c r="L89" s="87">
        <f t="shared" si="21"/>
        <v>259.33609958506224</v>
      </c>
      <c r="M89" s="87" t="str">
        <f t="shared" si="22"/>
        <v/>
      </c>
      <c r="N89" s="87" t="str">
        <f t="shared" si="23"/>
        <v/>
      </c>
      <c r="O89" s="88" t="str">
        <f t="shared" si="24"/>
        <v/>
      </c>
    </row>
    <row r="90" spans="1:15" x14ac:dyDescent="0.25">
      <c r="A90" s="81" t="s">
        <v>16</v>
      </c>
      <c r="B90" s="82" t="s">
        <v>17</v>
      </c>
      <c r="C90" s="83" t="s">
        <v>12</v>
      </c>
      <c r="D90" s="84">
        <v>8378</v>
      </c>
      <c r="E90" s="84">
        <v>6878</v>
      </c>
      <c r="F90" s="84">
        <v>3817</v>
      </c>
      <c r="G90" s="85"/>
      <c r="H90" s="86"/>
      <c r="I90" s="86"/>
      <c r="J90" s="87">
        <f t="shared" si="25"/>
        <v>119.36022917164</v>
      </c>
      <c r="K90" s="87">
        <f t="shared" si="20"/>
        <v>145.39110206455365</v>
      </c>
      <c r="L90" s="87">
        <f t="shared" si="21"/>
        <v>261.98585276395079</v>
      </c>
      <c r="M90" s="87" t="str">
        <f t="shared" si="22"/>
        <v/>
      </c>
      <c r="N90" s="87" t="str">
        <f t="shared" si="23"/>
        <v/>
      </c>
      <c r="O90" s="88" t="str">
        <f t="shared" si="24"/>
        <v/>
      </c>
    </row>
    <row r="91" spans="1:15" x14ac:dyDescent="0.25">
      <c r="A91" s="81" t="s">
        <v>18</v>
      </c>
      <c r="B91" s="82" t="s">
        <v>19</v>
      </c>
      <c r="C91" s="83" t="s">
        <v>12</v>
      </c>
      <c r="D91" s="84">
        <v>8010</v>
      </c>
      <c r="E91" s="84">
        <v>6542</v>
      </c>
      <c r="F91" s="84">
        <v>3734</v>
      </c>
      <c r="G91" s="85"/>
      <c r="H91" s="86"/>
      <c r="I91" s="86"/>
      <c r="J91" s="87">
        <f t="shared" si="25"/>
        <v>124.84394506866417</v>
      </c>
      <c r="K91" s="87">
        <f t="shared" si="20"/>
        <v>152.85845307245489</v>
      </c>
      <c r="L91" s="87">
        <f t="shared" si="21"/>
        <v>267.80931976432777</v>
      </c>
      <c r="M91" s="87" t="str">
        <f t="shared" si="22"/>
        <v/>
      </c>
      <c r="N91" s="87" t="str">
        <f t="shared" si="23"/>
        <v/>
      </c>
      <c r="O91" s="88" t="str">
        <f t="shared" si="24"/>
        <v/>
      </c>
    </row>
    <row r="92" spans="1:15" x14ac:dyDescent="0.25">
      <c r="A92" s="176" t="s">
        <v>166</v>
      </c>
      <c r="B92" s="177"/>
      <c r="C92" s="177"/>
      <c r="D92" s="177"/>
      <c r="E92" s="177"/>
      <c r="F92" s="177"/>
      <c r="G92" s="157" t="s">
        <v>165</v>
      </c>
      <c r="H92" s="157"/>
      <c r="I92" s="89"/>
      <c r="J92" s="89"/>
      <c r="K92" s="89"/>
      <c r="L92" s="89"/>
      <c r="M92" s="89"/>
      <c r="N92" s="89"/>
      <c r="O92" s="90"/>
    </row>
    <row r="93" spans="1:15" ht="18.75" x14ac:dyDescent="0.3">
      <c r="A93" s="180" t="s">
        <v>149</v>
      </c>
      <c r="B93" s="178"/>
      <c r="C93" s="178"/>
      <c r="D93" s="178"/>
      <c r="E93" s="178"/>
      <c r="F93" s="178"/>
      <c r="G93" s="178"/>
      <c r="H93" s="178"/>
      <c r="I93" s="178"/>
      <c r="J93" s="178"/>
      <c r="K93" s="178"/>
      <c r="L93" s="178"/>
      <c r="M93" s="178"/>
      <c r="N93" s="178"/>
      <c r="O93" s="179"/>
    </row>
    <row r="94" spans="1:15" x14ac:dyDescent="0.25">
      <c r="A94" s="167" t="s">
        <v>2</v>
      </c>
      <c r="B94" s="168"/>
      <c r="C94" s="168"/>
      <c r="D94" s="169" t="s">
        <v>20</v>
      </c>
      <c r="E94" s="169"/>
      <c r="F94" s="169"/>
      <c r="G94" s="169"/>
      <c r="H94" s="169"/>
      <c r="I94" s="169"/>
      <c r="J94" s="169" t="s">
        <v>23</v>
      </c>
      <c r="K94" s="169"/>
      <c r="L94" s="169"/>
      <c r="M94" s="169"/>
      <c r="N94" s="169"/>
      <c r="O94" s="170"/>
    </row>
    <row r="95" spans="1:15" x14ac:dyDescent="0.25">
      <c r="A95" s="76" t="s">
        <v>5</v>
      </c>
      <c r="B95" s="77" t="s">
        <v>6</v>
      </c>
      <c r="C95" s="77" t="s">
        <v>7</v>
      </c>
      <c r="D95" s="79">
        <v>1</v>
      </c>
      <c r="E95" s="79">
        <v>4</v>
      </c>
      <c r="F95" s="79">
        <v>16</v>
      </c>
      <c r="G95" s="79">
        <v>32</v>
      </c>
      <c r="H95" s="79">
        <v>64</v>
      </c>
      <c r="I95" s="79">
        <v>80</v>
      </c>
      <c r="J95" s="79">
        <v>1</v>
      </c>
      <c r="K95" s="79">
        <v>4</v>
      </c>
      <c r="L95" s="79">
        <v>16</v>
      </c>
      <c r="M95" s="79">
        <v>32</v>
      </c>
      <c r="N95" s="79">
        <v>64</v>
      </c>
      <c r="O95" s="80">
        <v>80</v>
      </c>
    </row>
    <row r="96" spans="1:15" x14ac:dyDescent="0.25">
      <c r="A96" s="81" t="s">
        <v>8</v>
      </c>
      <c r="B96" s="82" t="s">
        <v>9</v>
      </c>
      <c r="C96" s="82" t="s">
        <v>10</v>
      </c>
      <c r="D96" s="91">
        <f>IF(D86="","",(D86-'2017'!D495)/'2017'!D495)</f>
        <v>-0.30555946186659166</v>
      </c>
      <c r="E96" s="91">
        <f>IF(E86="","",(E86-'2017'!E495)/'2017'!E495)</f>
        <v>-0.18139622998958038</v>
      </c>
      <c r="F96" s="91">
        <f>IF(F86="","",(F86-'2017'!F495)/'2017'!F495)</f>
        <v>9.3195006154387194E-2</v>
      </c>
      <c r="G96" s="91" t="str">
        <f>IF(G86="","",(G86-'2014'!#REF!)/'2014'!#REF!)</f>
        <v/>
      </c>
      <c r="H96" s="91" t="str">
        <f>IF(H86="","",(H86-'2014'!#REF!)/'2014'!#REF!)</f>
        <v/>
      </c>
      <c r="I96" s="87" t="str">
        <f>IF(I86="","",(I86-'2014'!#REF!)/'2014'!#REF!)</f>
        <v/>
      </c>
      <c r="J96" s="87"/>
      <c r="K96" s="87"/>
      <c r="L96" s="87"/>
      <c r="M96" s="87" t="str">
        <f>IF(G96="","",M86-((1/'Proto 2013'!#REF!)*1000000))</f>
        <v/>
      </c>
      <c r="N96" s="87" t="str">
        <f>IF(H96="","",N86-((1/'Proto 2013'!#REF!)*1000000))</f>
        <v/>
      </c>
      <c r="O96" s="88" t="str">
        <f>IF(I96="","",O86-((1/'Proto 2013'!#REF!)*1000000))</f>
        <v/>
      </c>
    </row>
    <row r="97" spans="1:15" x14ac:dyDescent="0.25">
      <c r="A97" s="81" t="s">
        <v>11</v>
      </c>
      <c r="B97" s="82" t="s">
        <v>9</v>
      </c>
      <c r="C97" s="82" t="s">
        <v>12</v>
      </c>
      <c r="D97" s="91">
        <f>IF(D87="","",(D87-'2017'!D496)/'2017'!D496)</f>
        <v>-7.3639915840096187E-2</v>
      </c>
      <c r="E97" s="91">
        <f>IF(E87="","",(E87-'2017'!E496)/'2017'!E496)</f>
        <v>1.1832011441945131E-2</v>
      </c>
      <c r="F97" s="91">
        <f>IF(F87="","",(F87-'2017'!F496)/'2017'!F496)</f>
        <v>0.10364220674879486</v>
      </c>
      <c r="G97" s="91" t="str">
        <f>IF(G87="","",(G87-'2014'!#REF!)/'2014'!#REF!)</f>
        <v/>
      </c>
      <c r="H97" s="91" t="str">
        <f>IF(H87="","",(H87-'2014'!#REF!)/'2014'!#REF!)</f>
        <v/>
      </c>
      <c r="I97" s="91" t="str">
        <f>IF(I87="","",(I87-'2014'!#REF!)/'2014'!#REF!)</f>
        <v/>
      </c>
      <c r="J97" s="87"/>
      <c r="K97" s="87"/>
      <c r="L97" s="87"/>
      <c r="M97" s="87" t="str">
        <f>IF(G97="","",M87-((1/'Proto 2013'!#REF!)*1000000))</f>
        <v/>
      </c>
      <c r="N97" s="87" t="str">
        <f>IF(H97="","",N87-((1/'Proto 2013'!#REF!)*1000000))</f>
        <v/>
      </c>
      <c r="O97" s="88" t="str">
        <f>IF(I97="","",O87-((1/'Proto 2013'!#REF!)*1000000))</f>
        <v/>
      </c>
    </row>
    <row r="98" spans="1:15" x14ac:dyDescent="0.25">
      <c r="A98" s="81" t="s">
        <v>13</v>
      </c>
      <c r="B98" s="82" t="s">
        <v>14</v>
      </c>
      <c r="C98" s="82" t="s">
        <v>10</v>
      </c>
      <c r="D98" s="91">
        <f>IF(D88="","",(D88-'2017'!D497)/'2017'!D497)</f>
        <v>-5.3194444444444447E-2</v>
      </c>
      <c r="E98" s="91">
        <f>IF(E88="","",(E88-'2017'!E497)/'2017'!E497)</f>
        <v>-3.6997044782905206E-2</v>
      </c>
      <c r="F98" s="91">
        <f>IF(F88="","",(F88-'2017'!F497)/'2017'!F497)</f>
        <v>2.5374224169404894E-2</v>
      </c>
      <c r="G98" s="91" t="str">
        <f>IF(G88="","",(G88-'2014'!#REF!)/'2014'!#REF!)</f>
        <v/>
      </c>
      <c r="H98" s="91" t="str">
        <f>IF(H88="","",(H88-'2014'!#REF!)/'2014'!#REF!)</f>
        <v/>
      </c>
      <c r="I98" s="91" t="str">
        <f>IF(I88="","",(I88-'2014'!#REF!)/'2014'!#REF!)</f>
        <v/>
      </c>
      <c r="J98" s="87"/>
      <c r="K98" s="87"/>
      <c r="L98" s="87"/>
      <c r="M98" s="87" t="str">
        <f>IF(G98="","",M88-((1/'Proto 2013'!#REF!)*1000000))</f>
        <v/>
      </c>
      <c r="N98" s="87" t="str">
        <f>IF(H98="","",N88-((1/'Proto 2013'!#REF!)*1000000))</f>
        <v/>
      </c>
      <c r="O98" s="88" t="str">
        <f>IF(I98="","",O88-((1/'Proto 2013'!#REF!)*1000000))</f>
        <v/>
      </c>
    </row>
    <row r="99" spans="1:15" x14ac:dyDescent="0.25">
      <c r="A99" s="81" t="s">
        <v>15</v>
      </c>
      <c r="B99" s="82" t="s">
        <v>14</v>
      </c>
      <c r="C99" s="82" t="s">
        <v>12</v>
      </c>
      <c r="D99" s="91">
        <f>IF(D89="","",(D89-'2017'!D498)/'2017'!D498)</f>
        <v>6.6585148955091156E-2</v>
      </c>
      <c r="E99" s="91">
        <f>IF(E89="","",(E89-'2017'!E498)/'2017'!E498)</f>
        <v>-3.7431693989071035E-2</v>
      </c>
      <c r="F99" s="91">
        <f>IF(F89="","",(F89-'2017'!F498)/'2017'!F498)</f>
        <v>-2.8445823635893457E-3</v>
      </c>
      <c r="G99" s="91" t="str">
        <f>IF(G89="","",(G89-'2014'!#REF!)/'2014'!#REF!)</f>
        <v/>
      </c>
      <c r="H99" s="91" t="str">
        <f>IF(H89="","",(H89-'2014'!#REF!)/'2014'!#REF!)</f>
        <v/>
      </c>
      <c r="I99" s="91" t="str">
        <f>IF(I89="","",(I89-'2014'!#REF!)/'2014'!#REF!)</f>
        <v/>
      </c>
      <c r="J99" s="87"/>
      <c r="K99" s="87"/>
      <c r="L99" s="87"/>
      <c r="M99" s="87" t="str">
        <f>IF(G99="","",M89-((1/'Proto 2013'!#REF!)*1000000))</f>
        <v/>
      </c>
      <c r="N99" s="87" t="str">
        <f>IF(H99="","",N89-((1/'Proto 2013'!#REF!)*1000000))</f>
        <v/>
      </c>
      <c r="O99" s="88" t="str">
        <f>IF(I99="","",O89-((1/'Proto 2013'!#REF!)*1000000))</f>
        <v/>
      </c>
    </row>
    <row r="100" spans="1:15" x14ac:dyDescent="0.25">
      <c r="A100" s="81" t="s">
        <v>16</v>
      </c>
      <c r="B100" s="82" t="s">
        <v>17</v>
      </c>
      <c r="C100" s="82" t="s">
        <v>12</v>
      </c>
      <c r="D100" s="91">
        <f>IF(D90="","",(D90-'2017'!D499)/'2017'!D499)</f>
        <v>-3.4681414909551789E-2</v>
      </c>
      <c r="E100" s="91">
        <f>IF(E90="","",(E90-'2017'!E499)/'2017'!E499)</f>
        <v>3.9600967351874246E-2</v>
      </c>
      <c r="F100" s="91">
        <f>IF(F90="","",(F90-'2017'!F499)/'2017'!F499)</f>
        <v>-1.2929919834497027E-2</v>
      </c>
      <c r="G100" s="91" t="str">
        <f>IF(G90="","",(G90-'2014'!#REF!)/'2014'!#REF!)</f>
        <v/>
      </c>
      <c r="H100" s="91" t="str">
        <f>IF(H90="","",(H90-'2014'!#REF!)/'2014'!#REF!)</f>
        <v/>
      </c>
      <c r="I100" s="91" t="str">
        <f>IF(I90="","",(I90-'2014'!#REF!)/'2014'!#REF!)</f>
        <v/>
      </c>
      <c r="J100" s="87"/>
      <c r="K100" s="87"/>
      <c r="L100" s="87"/>
      <c r="M100" s="87" t="str">
        <f>IF(G100="","",M90-((1/'Proto 2013'!#REF!)*1000000))</f>
        <v/>
      </c>
      <c r="N100" s="87" t="str">
        <f>IF(H100="","",N90-((1/'Proto 2013'!#REF!)*1000000))</f>
        <v/>
      </c>
      <c r="O100" s="88" t="str">
        <f>IF(I100="","",O90-((1/'Proto 2013'!#REF!)*1000000))</f>
        <v/>
      </c>
    </row>
    <row r="101" spans="1:15" ht="15.75" thickBot="1" x14ac:dyDescent="0.3">
      <c r="A101" s="92" t="s">
        <v>18</v>
      </c>
      <c r="B101" s="93" t="s">
        <v>19</v>
      </c>
      <c r="C101" s="93" t="s">
        <v>12</v>
      </c>
      <c r="D101" s="91">
        <f>IF(D91="","",(D91-'2017'!D500)/'2017'!D500)</f>
        <v>-5.5535903784931021E-2</v>
      </c>
      <c r="E101" s="91">
        <f>IF(E91="","",(E91-'2017'!E500)/'2017'!E500)</f>
        <v>-3.97768971084691E-2</v>
      </c>
      <c r="F101" s="91">
        <f>IF(F91="","",(F91-'2017'!F500)/'2017'!F500)</f>
        <v>-3.1639004149377592E-2</v>
      </c>
      <c r="G101" s="94" t="str">
        <f>IF(G91="","",(G91-'2014'!#REF!)/'2014'!#REF!)</f>
        <v/>
      </c>
      <c r="H101" s="94" t="str">
        <f>IF(H91="","",(H91-'2014'!#REF!)/'2014'!#REF!)</f>
        <v/>
      </c>
      <c r="I101" s="94" t="str">
        <f>IF(I91="","",(I91-'2014'!#REF!)/'2014'!#REF!)</f>
        <v/>
      </c>
      <c r="J101" s="95"/>
      <c r="K101" s="95"/>
      <c r="L101" s="95"/>
      <c r="M101" s="95" t="str">
        <f>IF(G101="","",M91-((1/'Proto 2013'!#REF!)*1000000))</f>
        <v/>
      </c>
      <c r="N101" s="95" t="str">
        <f>IF(H101="","",N91-((1/'Proto 2013'!#REF!)*1000000))</f>
        <v/>
      </c>
      <c r="O101" s="96" t="str">
        <f>IF(I101="","",O91-((1/'Proto 2013'!#REF!)*1000000))</f>
        <v/>
      </c>
    </row>
    <row r="102" spans="1:15" ht="18.75" x14ac:dyDescent="0.25">
      <c r="A102" s="171" t="s">
        <v>155</v>
      </c>
      <c r="B102" s="172"/>
      <c r="C102" s="172"/>
      <c r="D102" s="172"/>
      <c r="E102" s="172"/>
      <c r="F102" s="172"/>
      <c r="G102" s="172"/>
      <c r="H102" s="172"/>
      <c r="I102" s="172"/>
      <c r="J102" s="172"/>
      <c r="K102" s="172"/>
      <c r="L102" s="172"/>
      <c r="M102" s="172"/>
      <c r="N102" s="172"/>
      <c r="O102" s="173"/>
    </row>
    <row r="103" spans="1:15" ht="15.75" x14ac:dyDescent="0.25">
      <c r="A103" s="165" t="s">
        <v>168</v>
      </c>
      <c r="B103" s="174"/>
      <c r="C103" s="174"/>
      <c r="D103" s="174"/>
      <c r="E103" s="174"/>
      <c r="F103" s="174"/>
      <c r="G103" s="174"/>
      <c r="H103" s="174"/>
      <c r="I103" s="174"/>
      <c r="J103" s="174"/>
      <c r="K103" s="174"/>
      <c r="L103" s="174"/>
      <c r="M103" s="174"/>
      <c r="N103" s="174"/>
      <c r="O103" s="175"/>
    </row>
    <row r="104" spans="1:15" x14ac:dyDescent="0.25">
      <c r="A104" s="167" t="s">
        <v>2</v>
      </c>
      <c r="B104" s="168"/>
      <c r="C104" s="168"/>
      <c r="D104" s="169" t="s">
        <v>3</v>
      </c>
      <c r="E104" s="169"/>
      <c r="F104" s="169"/>
      <c r="G104" s="169"/>
      <c r="H104" s="169"/>
      <c r="I104" s="169"/>
      <c r="J104" s="169" t="s">
        <v>4</v>
      </c>
      <c r="K104" s="169"/>
      <c r="L104" s="169"/>
      <c r="M104" s="169"/>
      <c r="N104" s="169"/>
      <c r="O104" s="170"/>
    </row>
    <row r="105" spans="1:15" x14ac:dyDescent="0.25">
      <c r="A105" s="76" t="s">
        <v>5</v>
      </c>
      <c r="B105" s="77" t="s">
        <v>6</v>
      </c>
      <c r="C105" s="77" t="s">
        <v>7</v>
      </c>
      <c r="D105" s="78">
        <v>1</v>
      </c>
      <c r="E105" s="78">
        <v>4</v>
      </c>
      <c r="F105" s="78">
        <v>16</v>
      </c>
      <c r="G105" s="79">
        <v>32</v>
      </c>
      <c r="H105" s="79">
        <v>64</v>
      </c>
      <c r="I105" s="79">
        <v>80</v>
      </c>
      <c r="J105" s="79">
        <v>1</v>
      </c>
      <c r="K105" s="79">
        <v>4</v>
      </c>
      <c r="L105" s="79">
        <v>16</v>
      </c>
      <c r="M105" s="79">
        <v>32</v>
      </c>
      <c r="N105" s="79">
        <v>64</v>
      </c>
      <c r="O105" s="80">
        <v>80</v>
      </c>
    </row>
    <row r="106" spans="1:15" x14ac:dyDescent="0.25">
      <c r="A106" s="81" t="s">
        <v>8</v>
      </c>
      <c r="B106" s="82" t="s">
        <v>9</v>
      </c>
      <c r="C106" s="83" t="s">
        <v>10</v>
      </c>
      <c r="D106" s="84">
        <v>29629</v>
      </c>
      <c r="E106" s="84">
        <v>19456</v>
      </c>
      <c r="F106" s="84">
        <v>6158</v>
      </c>
      <c r="G106" s="85"/>
      <c r="H106" s="86"/>
      <c r="I106" s="86"/>
      <c r="J106" s="87">
        <f>IF(D106="","",(1/D106)*1000000)</f>
        <v>33.750717202740553</v>
      </c>
      <c r="K106" s="87">
        <f t="shared" ref="K106:K111" si="26">IF(E106="","",(1/E106)*1000000)</f>
        <v>51.398026315789473</v>
      </c>
      <c r="L106" s="87">
        <f t="shared" ref="L106:L111" si="27">IF(F106="","",(1/F106)*1000000)</f>
        <v>162.39038648911983</v>
      </c>
      <c r="M106" s="87" t="str">
        <f t="shared" ref="M106:M111" si="28">IF(G106="","",(1/G106)*1000000)</f>
        <v/>
      </c>
      <c r="N106" s="87" t="str">
        <f t="shared" ref="N106:N111" si="29">IF(H106="","",(1/H106)*1000000)</f>
        <v/>
      </c>
      <c r="O106" s="88" t="str">
        <f t="shared" ref="O106:O111" si="30">IF(I106="","",(1/I106)*1000000)</f>
        <v/>
      </c>
    </row>
    <row r="107" spans="1:15" x14ac:dyDescent="0.25">
      <c r="A107" s="81" t="s">
        <v>11</v>
      </c>
      <c r="B107" s="82" t="s">
        <v>9</v>
      </c>
      <c r="C107" s="83" t="s">
        <v>12</v>
      </c>
      <c r="D107" s="84">
        <v>9989</v>
      </c>
      <c r="E107" s="84">
        <v>7705</v>
      </c>
      <c r="F107" s="84">
        <v>4146</v>
      </c>
      <c r="G107" s="85"/>
      <c r="H107" s="86"/>
      <c r="I107" s="86"/>
      <c r="J107" s="87">
        <f>IF(D107="","",(1/D107)*1000000)</f>
        <v>100.11012113324657</v>
      </c>
      <c r="K107" s="87">
        <f t="shared" si="26"/>
        <v>129.78585334198573</v>
      </c>
      <c r="L107" s="87">
        <f t="shared" si="27"/>
        <v>241.19633381572601</v>
      </c>
      <c r="M107" s="87" t="str">
        <f t="shared" si="28"/>
        <v/>
      </c>
      <c r="N107" s="87" t="str">
        <f t="shared" si="29"/>
        <v/>
      </c>
      <c r="O107" s="88" t="str">
        <f t="shared" si="30"/>
        <v/>
      </c>
    </row>
    <row r="108" spans="1:15" x14ac:dyDescent="0.25">
      <c r="A108" s="81" t="s">
        <v>13</v>
      </c>
      <c r="B108" s="82" t="s">
        <v>14</v>
      </c>
      <c r="C108" s="83" t="s">
        <v>10</v>
      </c>
      <c r="D108" s="84">
        <v>27666</v>
      </c>
      <c r="E108" s="84">
        <v>17140</v>
      </c>
      <c r="F108" s="84">
        <v>5120</v>
      </c>
      <c r="G108" s="85"/>
      <c r="H108" s="86"/>
      <c r="I108" s="86"/>
      <c r="J108" s="87">
        <f t="shared" ref="J108:J111" si="31">IF(D108="","",(1/D108)*1000000)</f>
        <v>36.145449287934646</v>
      </c>
      <c r="K108" s="87">
        <f t="shared" si="26"/>
        <v>58.343057176196034</v>
      </c>
      <c r="L108" s="87">
        <f t="shared" si="27"/>
        <v>195.3125</v>
      </c>
      <c r="M108" s="87" t="str">
        <f t="shared" si="28"/>
        <v/>
      </c>
      <c r="N108" s="87" t="str">
        <f t="shared" si="29"/>
        <v/>
      </c>
      <c r="O108" s="88" t="str">
        <f t="shared" si="30"/>
        <v/>
      </c>
    </row>
    <row r="109" spans="1:15" x14ac:dyDescent="0.25">
      <c r="A109" s="81" t="s">
        <v>15</v>
      </c>
      <c r="B109" s="82" t="s">
        <v>14</v>
      </c>
      <c r="C109" s="83" t="s">
        <v>12</v>
      </c>
      <c r="D109" s="84">
        <v>9368</v>
      </c>
      <c r="E109" s="84">
        <v>7111</v>
      </c>
      <c r="F109" s="84">
        <v>3801</v>
      </c>
      <c r="G109" s="85"/>
      <c r="H109" s="86"/>
      <c r="I109" s="86"/>
      <c r="J109" s="87">
        <f t="shared" si="31"/>
        <v>106.7463706233988</v>
      </c>
      <c r="K109" s="87">
        <f t="shared" si="26"/>
        <v>140.6271972999578</v>
      </c>
      <c r="L109" s="87">
        <f t="shared" si="27"/>
        <v>263.08866087871615</v>
      </c>
      <c r="M109" s="87" t="str">
        <f t="shared" si="28"/>
        <v/>
      </c>
      <c r="N109" s="87" t="str">
        <f t="shared" si="29"/>
        <v/>
      </c>
      <c r="O109" s="88" t="str">
        <f t="shared" si="30"/>
        <v/>
      </c>
    </row>
    <row r="110" spans="1:15" x14ac:dyDescent="0.25">
      <c r="A110" s="81" t="s">
        <v>16</v>
      </c>
      <c r="B110" s="82" t="s">
        <v>17</v>
      </c>
      <c r="C110" s="83" t="s">
        <v>12</v>
      </c>
      <c r="D110" s="84">
        <v>8459</v>
      </c>
      <c r="E110" s="84">
        <v>6997</v>
      </c>
      <c r="F110" s="84">
        <v>3830</v>
      </c>
      <c r="G110" s="85"/>
      <c r="H110" s="86"/>
      <c r="I110" s="86"/>
      <c r="J110" s="87">
        <f t="shared" si="31"/>
        <v>118.21728336682824</v>
      </c>
      <c r="K110" s="87">
        <f t="shared" si="26"/>
        <v>142.91839359725597</v>
      </c>
      <c r="L110" s="87">
        <f t="shared" si="27"/>
        <v>261.09660574412533</v>
      </c>
      <c r="M110" s="87" t="str">
        <f t="shared" si="28"/>
        <v/>
      </c>
      <c r="N110" s="87" t="str">
        <f t="shared" si="29"/>
        <v/>
      </c>
      <c r="O110" s="88" t="str">
        <f t="shared" si="30"/>
        <v/>
      </c>
    </row>
    <row r="111" spans="1:15" x14ac:dyDescent="0.25">
      <c r="A111" s="81" t="s">
        <v>18</v>
      </c>
      <c r="B111" s="82" t="s">
        <v>19</v>
      </c>
      <c r="C111" s="83" t="s">
        <v>12</v>
      </c>
      <c r="D111" s="84">
        <v>8331</v>
      </c>
      <c r="E111" s="84">
        <v>6144</v>
      </c>
      <c r="F111" s="84">
        <v>3846</v>
      </c>
      <c r="G111" s="85"/>
      <c r="H111" s="86"/>
      <c r="I111" s="86"/>
      <c r="J111" s="87">
        <f t="shared" si="31"/>
        <v>120.03360941063497</v>
      </c>
      <c r="K111" s="87">
        <f t="shared" si="26"/>
        <v>162.76041666666666</v>
      </c>
      <c r="L111" s="87">
        <f t="shared" si="27"/>
        <v>260.01040041601669</v>
      </c>
      <c r="M111" s="87" t="str">
        <f t="shared" si="28"/>
        <v/>
      </c>
      <c r="N111" s="87" t="str">
        <f t="shared" si="29"/>
        <v/>
      </c>
      <c r="O111" s="88" t="str">
        <f t="shared" si="30"/>
        <v/>
      </c>
    </row>
    <row r="112" spans="1:15" x14ac:dyDescent="0.25">
      <c r="A112" s="176" t="s">
        <v>169</v>
      </c>
      <c r="B112" s="177"/>
      <c r="C112" s="177"/>
      <c r="D112" s="177"/>
      <c r="E112" s="177"/>
      <c r="F112" s="177"/>
      <c r="G112" s="157"/>
      <c r="H112" s="157"/>
      <c r="I112" s="89"/>
      <c r="J112" s="89"/>
      <c r="K112" s="89"/>
      <c r="L112" s="89"/>
      <c r="M112" s="89"/>
      <c r="N112" s="89"/>
      <c r="O112" s="90"/>
    </row>
    <row r="113" spans="1:15" ht="18.75" x14ac:dyDescent="0.3">
      <c r="A113" s="180" t="s">
        <v>149</v>
      </c>
      <c r="B113" s="178"/>
      <c r="C113" s="178"/>
      <c r="D113" s="178"/>
      <c r="E113" s="178"/>
      <c r="F113" s="178"/>
      <c r="G113" s="178"/>
      <c r="H113" s="178"/>
      <c r="I113" s="178"/>
      <c r="J113" s="178"/>
      <c r="K113" s="178"/>
      <c r="L113" s="178"/>
      <c r="M113" s="178"/>
      <c r="N113" s="178"/>
      <c r="O113" s="179"/>
    </row>
    <row r="114" spans="1:15" x14ac:dyDescent="0.25">
      <c r="A114" s="167" t="s">
        <v>2</v>
      </c>
      <c r="B114" s="168"/>
      <c r="C114" s="168"/>
      <c r="D114" s="169" t="s">
        <v>20</v>
      </c>
      <c r="E114" s="169"/>
      <c r="F114" s="169"/>
      <c r="G114" s="169"/>
      <c r="H114" s="169"/>
      <c r="I114" s="169"/>
      <c r="J114" s="169" t="s">
        <v>23</v>
      </c>
      <c r="K114" s="169"/>
      <c r="L114" s="169"/>
      <c r="M114" s="169"/>
      <c r="N114" s="169"/>
      <c r="O114" s="170"/>
    </row>
    <row r="115" spans="1:15" x14ac:dyDescent="0.25">
      <c r="A115" s="76" t="s">
        <v>5</v>
      </c>
      <c r="B115" s="77" t="s">
        <v>6</v>
      </c>
      <c r="C115" s="77" t="s">
        <v>7</v>
      </c>
      <c r="D115" s="79">
        <v>1</v>
      </c>
      <c r="E115" s="79">
        <v>4</v>
      </c>
      <c r="F115" s="79">
        <v>16</v>
      </c>
      <c r="G115" s="79">
        <v>32</v>
      </c>
      <c r="H115" s="79">
        <v>64</v>
      </c>
      <c r="I115" s="79">
        <v>80</v>
      </c>
      <c r="J115" s="79">
        <v>1</v>
      </c>
      <c r="K115" s="79">
        <v>4</v>
      </c>
      <c r="L115" s="79">
        <v>16</v>
      </c>
      <c r="M115" s="79">
        <v>32</v>
      </c>
      <c r="N115" s="79">
        <v>64</v>
      </c>
      <c r="O115" s="80">
        <v>80</v>
      </c>
    </row>
    <row r="116" spans="1:15" x14ac:dyDescent="0.25">
      <c r="A116" s="81" t="s">
        <v>8</v>
      </c>
      <c r="B116" s="82" t="s">
        <v>9</v>
      </c>
      <c r="C116" s="82" t="s">
        <v>10</v>
      </c>
      <c r="D116" s="91">
        <f>IF(D106="","",(D106-'2017'!D495)/'2017'!D495)</f>
        <v>-0.30555946186659166</v>
      </c>
      <c r="E116" s="91">
        <f>IF(E106="","",(E106-'2017'!E495)/'2017'!E495)</f>
        <v>-7.8526096428909731E-2</v>
      </c>
      <c r="F116" s="91">
        <f>IF(F106="","",(F106-'2017'!F495)/'2017'!F495)</f>
        <v>8.2820467733427119E-2</v>
      </c>
      <c r="G116" s="91" t="str">
        <f>IF(G106="","",(G106-'2014'!#REF!)/'2014'!#REF!)</f>
        <v/>
      </c>
      <c r="H116" s="91" t="str">
        <f>IF(H106="","",(H106-'2014'!#REF!)/'2014'!#REF!)</f>
        <v/>
      </c>
      <c r="I116" s="87" t="str">
        <f>IF(I106="","",(I106-'2014'!#REF!)/'2014'!#REF!)</f>
        <v/>
      </c>
      <c r="J116" s="87"/>
      <c r="K116" s="87"/>
      <c r="L116" s="87"/>
      <c r="M116" s="87" t="str">
        <f>IF(G116="","",M106-((1/'Proto 2013'!#REF!)*1000000))</f>
        <v/>
      </c>
      <c r="N116" s="87" t="str">
        <f>IF(H116="","",N106-((1/'Proto 2013'!#REF!)*1000000))</f>
        <v/>
      </c>
      <c r="O116" s="88" t="str">
        <f>IF(I116="","",O106-((1/'Proto 2013'!#REF!)*1000000))</f>
        <v/>
      </c>
    </row>
    <row r="117" spans="1:15" x14ac:dyDescent="0.25">
      <c r="A117" s="81" t="s">
        <v>11</v>
      </c>
      <c r="B117" s="82" t="s">
        <v>9</v>
      </c>
      <c r="C117" s="82" t="s">
        <v>12</v>
      </c>
      <c r="D117" s="91">
        <f>IF(D107="","",(D107-'2017'!D496)/'2017'!D496)</f>
        <v>8.0152289349764549E-4</v>
      </c>
      <c r="E117" s="91">
        <f>IF(E107="","",(E107-'2017'!E496)/'2017'!E496)</f>
        <v>1.8203094526069432E-3</v>
      </c>
      <c r="F117" s="91">
        <f>IF(F107="","",(F107-'2017'!F496)/'2017'!F496)</f>
        <v>0.11033743974290305</v>
      </c>
      <c r="G117" s="91" t="str">
        <f>IF(G107="","",(G107-'2014'!#REF!)/'2014'!#REF!)</f>
        <v/>
      </c>
      <c r="H117" s="91" t="str">
        <f>IF(H107="","",(H107-'2014'!#REF!)/'2014'!#REF!)</f>
        <v/>
      </c>
      <c r="I117" s="91" t="str">
        <f>IF(I107="","",(I107-'2014'!#REF!)/'2014'!#REF!)</f>
        <v/>
      </c>
      <c r="J117" s="87"/>
      <c r="K117" s="87"/>
      <c r="L117" s="87"/>
      <c r="M117" s="87" t="str">
        <f>IF(G117="","",M107-((1/'Proto 2013'!#REF!)*1000000))</f>
        <v/>
      </c>
      <c r="N117" s="87" t="str">
        <f>IF(H117="","",N107-((1/'Proto 2013'!#REF!)*1000000))</f>
        <v/>
      </c>
      <c r="O117" s="88" t="str">
        <f>IF(I117="","",O107-((1/'Proto 2013'!#REF!)*1000000))</f>
        <v/>
      </c>
    </row>
    <row r="118" spans="1:15" x14ac:dyDescent="0.25">
      <c r="A118" s="81" t="s">
        <v>13</v>
      </c>
      <c r="B118" s="82" t="s">
        <v>14</v>
      </c>
      <c r="C118" s="82" t="s">
        <v>10</v>
      </c>
      <c r="D118" s="91">
        <f>IF(D108="","",(D108-'2017'!D497)/'2017'!D497)</f>
        <v>-0.35958333333333331</v>
      </c>
      <c r="E118" s="91">
        <f>IF(E108="","",(E108-'2017'!E497)/'2017'!E497)</f>
        <v>-2.5914980677426688E-2</v>
      </c>
      <c r="F118" s="91">
        <f>IF(F108="","",(F108-'2017'!F497)/'2017'!F497)</f>
        <v>-6.5352318364366557E-2</v>
      </c>
      <c r="G118" s="91" t="str">
        <f>IF(G108="","",(G108-'2014'!#REF!)/'2014'!#REF!)</f>
        <v/>
      </c>
      <c r="H118" s="91" t="str">
        <f>IF(H108="","",(H108-'2014'!#REF!)/'2014'!#REF!)</f>
        <v/>
      </c>
      <c r="I118" s="91" t="str">
        <f>IF(I108="","",(I108-'2014'!#REF!)/'2014'!#REF!)</f>
        <v/>
      </c>
      <c r="J118" s="87"/>
      <c r="K118" s="87"/>
      <c r="L118" s="87"/>
      <c r="M118" s="87" t="str">
        <f>IF(G118="","",M108-((1/'Proto 2013'!#REF!)*1000000))</f>
        <v/>
      </c>
      <c r="N118" s="87" t="str">
        <f>IF(H118="","",N108-((1/'Proto 2013'!#REF!)*1000000))</f>
        <v/>
      </c>
      <c r="O118" s="88" t="str">
        <f>IF(I118="","",O108-((1/'Proto 2013'!#REF!)*1000000))</f>
        <v/>
      </c>
    </row>
    <row r="119" spans="1:15" x14ac:dyDescent="0.25">
      <c r="A119" s="81" t="s">
        <v>15</v>
      </c>
      <c r="B119" s="82" t="s">
        <v>14</v>
      </c>
      <c r="C119" s="82" t="s">
        <v>12</v>
      </c>
      <c r="D119" s="91">
        <f>IF(D109="","",(D109-'2017'!D498)/'2017'!D498)</f>
        <v>4.1351711871943087E-2</v>
      </c>
      <c r="E119" s="91">
        <f>IF(E109="","",(E109-'2017'!E498)/'2017'!E498)</f>
        <v>-2.8551912568306012E-2</v>
      </c>
      <c r="F119" s="91">
        <f>IF(F109="","",(F109-'2017'!F498)/'2017'!F498)</f>
        <v>-1.7067494181536073E-2</v>
      </c>
      <c r="G119" s="91" t="str">
        <f>IF(G109="","",(G109-'2014'!#REF!)/'2014'!#REF!)</f>
        <v/>
      </c>
      <c r="H119" s="91" t="str">
        <f>IF(H109="","",(H109-'2014'!#REF!)/'2014'!#REF!)</f>
        <v/>
      </c>
      <c r="I119" s="91" t="str">
        <f>IF(I109="","",(I109-'2014'!#REF!)/'2014'!#REF!)</f>
        <v/>
      </c>
      <c r="J119" s="87"/>
      <c r="K119" s="87"/>
      <c r="L119" s="87"/>
      <c r="M119" s="87" t="str">
        <f>IF(G119="","",M109-((1/'Proto 2013'!#REF!)*1000000))</f>
        <v/>
      </c>
      <c r="N119" s="87" t="str">
        <f>IF(H119="","",N109-((1/'Proto 2013'!#REF!)*1000000))</f>
        <v/>
      </c>
      <c r="O119" s="88" t="str">
        <f>IF(I119="","",O109-((1/'Proto 2013'!#REF!)*1000000))</f>
        <v/>
      </c>
    </row>
    <row r="120" spans="1:15" x14ac:dyDescent="0.25">
      <c r="A120" s="81" t="s">
        <v>16</v>
      </c>
      <c r="B120" s="82" t="s">
        <v>17</v>
      </c>
      <c r="C120" s="82" t="s">
        <v>12</v>
      </c>
      <c r="D120" s="91">
        <f>IF(D110="","",(D110-'2017'!D499)/'2017'!D499)</f>
        <v>-2.5348542458808618E-2</v>
      </c>
      <c r="E120" s="91">
        <f>IF(E110="","",(E110-'2017'!E499)/'2017'!E499)</f>
        <v>5.7587666263603385E-2</v>
      </c>
      <c r="F120" s="91">
        <f>IF(F110="","",(F110-'2017'!F499)/'2017'!F499)</f>
        <v>-9.5681406775277988E-3</v>
      </c>
      <c r="G120" s="91" t="str">
        <f>IF(G110="","",(G110-'2014'!#REF!)/'2014'!#REF!)</f>
        <v/>
      </c>
      <c r="H120" s="91" t="str">
        <f>IF(H110="","",(H110-'2014'!#REF!)/'2014'!#REF!)</f>
        <v/>
      </c>
      <c r="I120" s="91" t="str">
        <f>IF(I110="","",(I110-'2014'!#REF!)/'2014'!#REF!)</f>
        <v/>
      </c>
      <c r="J120" s="87"/>
      <c r="K120" s="87"/>
      <c r="L120" s="87"/>
      <c r="M120" s="87" t="str">
        <f>IF(G120="","",M110-((1/'Proto 2013'!#REF!)*1000000))</f>
        <v/>
      </c>
      <c r="N120" s="87" t="str">
        <f>IF(H120="","",N110-((1/'Proto 2013'!#REF!)*1000000))</f>
        <v/>
      </c>
      <c r="O120" s="88" t="str">
        <f>IF(I120="","",O110-((1/'Proto 2013'!#REF!)*1000000))</f>
        <v/>
      </c>
    </row>
    <row r="121" spans="1:15" ht="15.75" thickBot="1" x14ac:dyDescent="0.3">
      <c r="A121" s="92" t="s">
        <v>18</v>
      </c>
      <c r="B121" s="93" t="s">
        <v>19</v>
      </c>
      <c r="C121" s="93" t="s">
        <v>12</v>
      </c>
      <c r="D121" s="91">
        <f>IF(D111="","",(D111-'2017'!D500)/'2017'!D500)</f>
        <v>-1.7686593562079942E-2</v>
      </c>
      <c r="E121" s="91">
        <f>IF(E111="","",(E111-'2017'!E500)/'2017'!E500)</f>
        <v>-9.8194627917217087E-2</v>
      </c>
      <c r="F121" s="91">
        <f>IF(F111="","",(F111-'2017'!F500)/'2017'!F500)</f>
        <v>-2.5933609958506223E-3</v>
      </c>
      <c r="G121" s="94" t="str">
        <f>IF(G111="","",(G111-'2014'!#REF!)/'2014'!#REF!)</f>
        <v/>
      </c>
      <c r="H121" s="94" t="str">
        <f>IF(H111="","",(H111-'2014'!#REF!)/'2014'!#REF!)</f>
        <v/>
      </c>
      <c r="I121" s="94" t="str">
        <f>IF(I111="","",(I111-'2014'!#REF!)/'2014'!#REF!)</f>
        <v/>
      </c>
      <c r="J121" s="95"/>
      <c r="K121" s="95"/>
      <c r="L121" s="95"/>
      <c r="M121" s="95" t="str">
        <f>IF(G121="","",M111-((1/'Proto 2013'!#REF!)*1000000))</f>
        <v/>
      </c>
      <c r="N121" s="95" t="str">
        <f>IF(H121="","",N111-((1/'Proto 2013'!#REF!)*1000000))</f>
        <v/>
      </c>
      <c r="O121" s="96" t="str">
        <f>IF(I121="","",O111-((1/'Proto 2013'!#REF!)*1000000))</f>
        <v/>
      </c>
    </row>
    <row r="122" spans="1:15" ht="18.75" x14ac:dyDescent="0.25">
      <c r="A122" s="171" t="s">
        <v>155</v>
      </c>
      <c r="B122" s="172"/>
      <c r="C122" s="172"/>
      <c r="D122" s="172"/>
      <c r="E122" s="172"/>
      <c r="F122" s="172"/>
      <c r="G122" s="172"/>
      <c r="H122" s="172"/>
      <c r="I122" s="172"/>
      <c r="J122" s="172"/>
      <c r="K122" s="172"/>
      <c r="L122" s="172"/>
      <c r="M122" s="172"/>
      <c r="N122" s="172"/>
      <c r="O122" s="173"/>
    </row>
    <row r="123" spans="1:15" ht="15.75" x14ac:dyDescent="0.25">
      <c r="A123" s="165" t="s">
        <v>170</v>
      </c>
      <c r="B123" s="174"/>
      <c r="C123" s="174"/>
      <c r="D123" s="174"/>
      <c r="E123" s="174"/>
      <c r="F123" s="174"/>
      <c r="G123" s="174"/>
      <c r="H123" s="174"/>
      <c r="I123" s="174"/>
      <c r="J123" s="174"/>
      <c r="K123" s="174"/>
      <c r="L123" s="174"/>
      <c r="M123" s="174"/>
      <c r="N123" s="174"/>
      <c r="O123" s="175"/>
    </row>
    <row r="124" spans="1:15" x14ac:dyDescent="0.25">
      <c r="A124" s="167" t="s">
        <v>2</v>
      </c>
      <c r="B124" s="168"/>
      <c r="C124" s="168"/>
      <c r="D124" s="169" t="s">
        <v>3</v>
      </c>
      <c r="E124" s="169"/>
      <c r="F124" s="169"/>
      <c r="G124" s="169"/>
      <c r="H124" s="169"/>
      <c r="I124" s="169"/>
      <c r="J124" s="169" t="s">
        <v>4</v>
      </c>
      <c r="K124" s="169"/>
      <c r="L124" s="169"/>
      <c r="M124" s="169"/>
      <c r="N124" s="169"/>
      <c r="O124" s="170"/>
    </row>
    <row r="125" spans="1:15" x14ac:dyDescent="0.25">
      <c r="A125" s="76" t="s">
        <v>5</v>
      </c>
      <c r="B125" s="77" t="s">
        <v>6</v>
      </c>
      <c r="C125" s="77" t="s">
        <v>7</v>
      </c>
      <c r="D125" s="78">
        <v>1</v>
      </c>
      <c r="E125" s="78">
        <v>4</v>
      </c>
      <c r="F125" s="78">
        <v>16</v>
      </c>
      <c r="G125" s="79">
        <v>32</v>
      </c>
      <c r="H125" s="79">
        <v>64</v>
      </c>
      <c r="I125" s="79">
        <v>80</v>
      </c>
      <c r="J125" s="79">
        <v>1</v>
      </c>
      <c r="K125" s="79">
        <v>4</v>
      </c>
      <c r="L125" s="79">
        <v>16</v>
      </c>
      <c r="M125" s="79">
        <v>32</v>
      </c>
      <c r="N125" s="79">
        <v>64</v>
      </c>
      <c r="O125" s="80">
        <v>80</v>
      </c>
    </row>
    <row r="126" spans="1:15" x14ac:dyDescent="0.25">
      <c r="A126" s="81" t="s">
        <v>8</v>
      </c>
      <c r="B126" s="82" t="s">
        <v>9</v>
      </c>
      <c r="C126" s="83" t="s">
        <v>10</v>
      </c>
      <c r="D126" s="84">
        <v>41222</v>
      </c>
      <c r="E126" s="84">
        <v>19262</v>
      </c>
      <c r="F126" s="84">
        <v>6003</v>
      </c>
      <c r="G126" s="85"/>
      <c r="H126" s="86"/>
      <c r="I126" s="86"/>
      <c r="J126" s="87">
        <f>IF(D126="","",(1/D126)*1000000)</f>
        <v>24.258890883508808</v>
      </c>
      <c r="K126" s="87">
        <f t="shared" ref="K126:K131" si="32">IF(E126="","",(1/E126)*1000000)</f>
        <v>51.915688921191986</v>
      </c>
      <c r="L126" s="87">
        <f t="shared" ref="L126:L131" si="33">IF(F126="","",(1/F126)*1000000)</f>
        <v>166.58337497917708</v>
      </c>
      <c r="M126" s="87" t="str">
        <f t="shared" ref="M126:M131" si="34">IF(G126="","",(1/G126)*1000000)</f>
        <v/>
      </c>
      <c r="N126" s="87" t="str">
        <f t="shared" ref="N126:N131" si="35">IF(H126="","",(1/H126)*1000000)</f>
        <v/>
      </c>
      <c r="O126" s="88" t="str">
        <f t="shared" ref="O126:O131" si="36">IF(I126="","",(1/I126)*1000000)</f>
        <v/>
      </c>
    </row>
    <row r="127" spans="1:15" x14ac:dyDescent="0.25">
      <c r="A127" s="81" t="s">
        <v>11</v>
      </c>
      <c r="B127" s="82" t="s">
        <v>9</v>
      </c>
      <c r="C127" s="83" t="s">
        <v>12</v>
      </c>
      <c r="D127" s="84">
        <v>10019</v>
      </c>
      <c r="E127" s="84">
        <v>7744</v>
      </c>
      <c r="F127" s="84">
        <v>4254</v>
      </c>
      <c r="G127" s="85"/>
      <c r="H127" s="86"/>
      <c r="I127" s="86"/>
      <c r="J127" s="87">
        <f>IF(D127="","",(1/D127)*1000000)</f>
        <v>99.810360315400729</v>
      </c>
      <c r="K127" s="87">
        <f t="shared" si="32"/>
        <v>129.13223140495867</v>
      </c>
      <c r="L127" s="87">
        <f t="shared" si="33"/>
        <v>235.07287259050304</v>
      </c>
      <c r="M127" s="87" t="str">
        <f t="shared" si="34"/>
        <v/>
      </c>
      <c r="N127" s="87" t="str">
        <f t="shared" si="35"/>
        <v/>
      </c>
      <c r="O127" s="88" t="str">
        <f t="shared" si="36"/>
        <v/>
      </c>
    </row>
    <row r="128" spans="1:15" x14ac:dyDescent="0.25">
      <c r="A128" s="81" t="s">
        <v>13</v>
      </c>
      <c r="B128" s="82" t="s">
        <v>14</v>
      </c>
      <c r="C128" s="83" t="s">
        <v>10</v>
      </c>
      <c r="D128" s="84">
        <v>26417</v>
      </c>
      <c r="E128" s="84">
        <v>16057</v>
      </c>
      <c r="F128" s="84">
        <v>5562</v>
      </c>
      <c r="G128" s="85"/>
      <c r="H128" s="86"/>
      <c r="I128" s="86"/>
      <c r="J128" s="87">
        <f t="shared" ref="J128:J131" si="37">IF(D128="","",(1/D128)*1000000)</f>
        <v>37.854411931710636</v>
      </c>
      <c r="K128" s="87">
        <f t="shared" si="32"/>
        <v>62.278134147100957</v>
      </c>
      <c r="L128" s="87">
        <f t="shared" si="33"/>
        <v>179.79144192736425</v>
      </c>
      <c r="M128" s="87" t="str">
        <f t="shared" si="34"/>
        <v/>
      </c>
      <c r="N128" s="87" t="str">
        <f t="shared" si="35"/>
        <v/>
      </c>
      <c r="O128" s="88" t="str">
        <f t="shared" si="36"/>
        <v/>
      </c>
    </row>
    <row r="129" spans="1:15" x14ac:dyDescent="0.25">
      <c r="A129" s="81" t="s">
        <v>15</v>
      </c>
      <c r="B129" s="82" t="s">
        <v>14</v>
      </c>
      <c r="C129" s="83" t="s">
        <v>12</v>
      </c>
      <c r="D129" s="84">
        <v>9467</v>
      </c>
      <c r="E129" s="84">
        <v>7077</v>
      </c>
      <c r="F129" s="84">
        <v>3716</v>
      </c>
      <c r="G129" s="85"/>
      <c r="H129" s="86"/>
      <c r="I129" s="86"/>
      <c r="J129" s="87">
        <f t="shared" si="37"/>
        <v>105.63008344776593</v>
      </c>
      <c r="K129" s="87">
        <f t="shared" si="32"/>
        <v>141.30281192595731</v>
      </c>
      <c r="L129" s="87">
        <f t="shared" si="33"/>
        <v>269.10656620021524</v>
      </c>
      <c r="M129" s="87" t="str">
        <f t="shared" si="34"/>
        <v/>
      </c>
      <c r="N129" s="87" t="str">
        <f t="shared" si="35"/>
        <v/>
      </c>
      <c r="O129" s="88" t="str">
        <f t="shared" si="36"/>
        <v/>
      </c>
    </row>
    <row r="130" spans="1:15" x14ac:dyDescent="0.25">
      <c r="A130" s="81" t="s">
        <v>16</v>
      </c>
      <c r="B130" s="82" t="s">
        <v>17</v>
      </c>
      <c r="C130" s="83" t="s">
        <v>12</v>
      </c>
      <c r="D130" s="84" t="s">
        <v>93</v>
      </c>
      <c r="E130" s="84" t="s">
        <v>93</v>
      </c>
      <c r="F130" s="84">
        <v>3601</v>
      </c>
      <c r="G130" s="85"/>
      <c r="H130" s="86"/>
      <c r="I130" s="86"/>
      <c r="J130" s="87" t="e">
        <f t="shared" si="37"/>
        <v>#VALUE!</v>
      </c>
      <c r="K130" s="87" t="e">
        <f t="shared" si="32"/>
        <v>#VALUE!</v>
      </c>
      <c r="L130" s="87">
        <f t="shared" si="33"/>
        <v>277.70063871146903</v>
      </c>
      <c r="M130" s="87" t="str">
        <f t="shared" si="34"/>
        <v/>
      </c>
      <c r="N130" s="87" t="str">
        <f t="shared" si="35"/>
        <v/>
      </c>
      <c r="O130" s="88" t="str">
        <f t="shared" si="36"/>
        <v/>
      </c>
    </row>
    <row r="131" spans="1:15" x14ac:dyDescent="0.25">
      <c r="A131" s="81" t="s">
        <v>18</v>
      </c>
      <c r="B131" s="82" t="s">
        <v>19</v>
      </c>
      <c r="C131" s="83" t="s">
        <v>12</v>
      </c>
      <c r="D131" s="84">
        <v>8524</v>
      </c>
      <c r="E131" s="84">
        <v>6539</v>
      </c>
      <c r="F131" s="84">
        <v>3734</v>
      </c>
      <c r="G131" s="85"/>
      <c r="H131" s="86"/>
      <c r="I131" s="86"/>
      <c r="J131" s="87">
        <f t="shared" si="37"/>
        <v>117.31581417175035</v>
      </c>
      <c r="K131" s="87">
        <f t="shared" si="32"/>
        <v>152.92858235204159</v>
      </c>
      <c r="L131" s="87">
        <f t="shared" si="33"/>
        <v>267.80931976432777</v>
      </c>
      <c r="M131" s="87" t="str">
        <f t="shared" si="34"/>
        <v/>
      </c>
      <c r="N131" s="87" t="str">
        <f t="shared" si="35"/>
        <v/>
      </c>
      <c r="O131" s="88" t="str">
        <f t="shared" si="36"/>
        <v/>
      </c>
    </row>
    <row r="132" spans="1:15" x14ac:dyDescent="0.25">
      <c r="A132" s="176" t="s">
        <v>171</v>
      </c>
      <c r="B132" s="177"/>
      <c r="C132" s="177"/>
      <c r="D132" s="177"/>
      <c r="E132" s="177"/>
      <c r="F132" s="177"/>
      <c r="G132" s="157" t="s">
        <v>172</v>
      </c>
      <c r="H132" s="157"/>
      <c r="I132" s="89"/>
      <c r="J132" s="89"/>
      <c r="K132" s="89"/>
      <c r="L132" s="89"/>
      <c r="M132" s="89"/>
      <c r="N132" s="89"/>
      <c r="O132" s="90"/>
    </row>
    <row r="133" spans="1:15" ht="18.75" x14ac:dyDescent="0.3">
      <c r="A133" s="180" t="s">
        <v>149</v>
      </c>
      <c r="B133" s="178"/>
      <c r="C133" s="178"/>
      <c r="D133" s="178"/>
      <c r="E133" s="178"/>
      <c r="F133" s="178"/>
      <c r="G133" s="178"/>
      <c r="H133" s="178"/>
      <c r="I133" s="178"/>
      <c r="J133" s="178"/>
      <c r="K133" s="178"/>
      <c r="L133" s="178"/>
      <c r="M133" s="178"/>
      <c r="N133" s="178"/>
      <c r="O133" s="179"/>
    </row>
    <row r="134" spans="1:15" x14ac:dyDescent="0.25">
      <c r="A134" s="167" t="s">
        <v>2</v>
      </c>
      <c r="B134" s="168"/>
      <c r="C134" s="168"/>
      <c r="D134" s="169" t="s">
        <v>20</v>
      </c>
      <c r="E134" s="169"/>
      <c r="F134" s="169"/>
      <c r="G134" s="169"/>
      <c r="H134" s="169"/>
      <c r="I134" s="169"/>
      <c r="J134" s="169" t="s">
        <v>23</v>
      </c>
      <c r="K134" s="169"/>
      <c r="L134" s="169"/>
      <c r="M134" s="169"/>
      <c r="N134" s="169"/>
      <c r="O134" s="170"/>
    </row>
    <row r="135" spans="1:15" x14ac:dyDescent="0.25">
      <c r="A135" s="76" t="s">
        <v>5</v>
      </c>
      <c r="B135" s="77" t="s">
        <v>6</v>
      </c>
      <c r="C135" s="77" t="s">
        <v>7</v>
      </c>
      <c r="D135" s="79">
        <v>1</v>
      </c>
      <c r="E135" s="79">
        <v>4</v>
      </c>
      <c r="F135" s="79">
        <v>16</v>
      </c>
      <c r="G135" s="79">
        <v>32</v>
      </c>
      <c r="H135" s="79">
        <v>64</v>
      </c>
      <c r="I135" s="79">
        <v>80</v>
      </c>
      <c r="J135" s="79">
        <v>1</v>
      </c>
      <c r="K135" s="79">
        <v>4</v>
      </c>
      <c r="L135" s="79">
        <v>16</v>
      </c>
      <c r="M135" s="79">
        <v>32</v>
      </c>
      <c r="N135" s="79">
        <v>64</v>
      </c>
      <c r="O135" s="80">
        <v>80</v>
      </c>
    </row>
    <row r="136" spans="1:15" x14ac:dyDescent="0.25">
      <c r="A136" s="81" t="s">
        <v>8</v>
      </c>
      <c r="B136" s="82" t="s">
        <v>9</v>
      </c>
      <c r="C136" s="82" t="s">
        <v>10</v>
      </c>
      <c r="D136" s="91">
        <f>IF(D126="","",(D126-'2017'!D495)/'2017'!D495)</f>
        <v>-3.3844278816856511E-2</v>
      </c>
      <c r="E136" s="91">
        <f>IF(E126="","",(E126-'2017'!E495)/'2017'!E495)</f>
        <v>-8.7714312778251396E-2</v>
      </c>
      <c r="F136" s="91">
        <f>IF(F126="","",(F126-'2017'!F495)/'2017'!F495)</f>
        <v>5.55653244241252E-2</v>
      </c>
      <c r="G136" s="91" t="str">
        <f>IF(G126="","",(G126-'2014'!#REF!)/'2014'!#REF!)</f>
        <v/>
      </c>
      <c r="H136" s="91" t="str">
        <f>IF(H126="","",(H126-'2014'!#REF!)/'2014'!#REF!)</f>
        <v/>
      </c>
      <c r="I136" s="87" t="str">
        <f>IF(I126="","",(I126-'2014'!#REF!)/'2014'!#REF!)</f>
        <v/>
      </c>
      <c r="J136" s="87"/>
      <c r="K136" s="87"/>
      <c r="L136" s="87"/>
      <c r="M136" s="87" t="str">
        <f>IF(G136="","",M126-((1/'Proto 2013'!#REF!)*1000000))</f>
        <v/>
      </c>
      <c r="N136" s="87" t="str">
        <f>IF(H136="","",N126-((1/'Proto 2013'!#REF!)*1000000))</f>
        <v/>
      </c>
      <c r="O136" s="88" t="str">
        <f>IF(I136="","",O126-((1/'Proto 2013'!#REF!)*1000000))</f>
        <v/>
      </c>
    </row>
    <row r="137" spans="1:15" x14ac:dyDescent="0.25">
      <c r="A137" s="81" t="s">
        <v>11</v>
      </c>
      <c r="B137" s="82" t="s">
        <v>9</v>
      </c>
      <c r="C137" s="82" t="s">
        <v>12</v>
      </c>
      <c r="D137" s="91">
        <f>IF(D127="","",(D127-'2017'!D496)/'2017'!D496)</f>
        <v>3.8072337441138163E-3</v>
      </c>
      <c r="E137" s="91">
        <f>IF(E127="","",(E127-'2017'!E496)/'2017'!E496)</f>
        <v>6.8911714991548561E-3</v>
      </c>
      <c r="F137" s="91">
        <f>IF(F127="","",(F127-'2017'!F496)/'2017'!F496)</f>
        <v>0.13926084627745045</v>
      </c>
      <c r="G137" s="91" t="str">
        <f>IF(G127="","",(G127-'2014'!#REF!)/'2014'!#REF!)</f>
        <v/>
      </c>
      <c r="H137" s="91" t="str">
        <f>IF(H127="","",(H127-'2014'!#REF!)/'2014'!#REF!)</f>
        <v/>
      </c>
      <c r="I137" s="91" t="str">
        <f>IF(I127="","",(I127-'2014'!#REF!)/'2014'!#REF!)</f>
        <v/>
      </c>
      <c r="J137" s="87"/>
      <c r="K137" s="87"/>
      <c r="L137" s="87"/>
      <c r="M137" s="87" t="str">
        <f>IF(G137="","",M127-((1/'Proto 2013'!#REF!)*1000000))</f>
        <v/>
      </c>
      <c r="N137" s="87" t="str">
        <f>IF(H137="","",N127-((1/'Proto 2013'!#REF!)*1000000))</f>
        <v/>
      </c>
      <c r="O137" s="88" t="str">
        <f>IF(I137="","",O127-((1/'Proto 2013'!#REF!)*1000000))</f>
        <v/>
      </c>
    </row>
    <row r="138" spans="1:15" x14ac:dyDescent="0.25">
      <c r="A138" s="81" t="s">
        <v>13</v>
      </c>
      <c r="B138" s="82" t="s">
        <v>14</v>
      </c>
      <c r="C138" s="82" t="s">
        <v>10</v>
      </c>
      <c r="D138" s="91">
        <f>IF(D128="","",(D128-'2017'!D497)/'2017'!D497)</f>
        <v>-0.38849537037037035</v>
      </c>
      <c r="E138" s="91">
        <f>IF(E128="","",(E128-'2017'!E497)/'2017'!E497)</f>
        <v>-8.7463059786315078E-2</v>
      </c>
      <c r="F138" s="91">
        <f>IF(F128="","",(F128-'2017'!F497)/'2017'!F497)</f>
        <v>1.5334063526834611E-2</v>
      </c>
      <c r="G138" s="91" t="str">
        <f>IF(G128="","",(G128-'2014'!#REF!)/'2014'!#REF!)</f>
        <v/>
      </c>
      <c r="H138" s="91" t="str">
        <f>IF(H128="","",(H128-'2014'!#REF!)/'2014'!#REF!)</f>
        <v/>
      </c>
      <c r="I138" s="91" t="str">
        <f>IF(I128="","",(I128-'2014'!#REF!)/'2014'!#REF!)</f>
        <v/>
      </c>
      <c r="J138" s="87"/>
      <c r="K138" s="87"/>
      <c r="L138" s="87"/>
      <c r="M138" s="87" t="str">
        <f>IF(G138="","",M128-((1/'Proto 2013'!#REF!)*1000000))</f>
        <v/>
      </c>
      <c r="N138" s="87" t="str">
        <f>IF(H138="","",N128-((1/'Proto 2013'!#REF!)*1000000))</f>
        <v/>
      </c>
      <c r="O138" s="88" t="str">
        <f>IF(I138="","",O128-((1/'Proto 2013'!#REF!)*1000000))</f>
        <v/>
      </c>
    </row>
    <row r="139" spans="1:15" x14ac:dyDescent="0.25">
      <c r="A139" s="81" t="s">
        <v>15</v>
      </c>
      <c r="B139" s="82" t="s">
        <v>14</v>
      </c>
      <c r="C139" s="82" t="s">
        <v>12</v>
      </c>
      <c r="D139" s="91">
        <f>IF(D129="","",(D129-'2017'!D498)/'2017'!D498)</f>
        <v>5.2356602934637619E-2</v>
      </c>
      <c r="E139" s="91">
        <f>IF(E129="","",(E129-'2017'!E498)/'2017'!E498)</f>
        <v>-3.3196721311475406E-2</v>
      </c>
      <c r="F139" s="91">
        <f>IF(F129="","",(F129-'2017'!F498)/'2017'!F498)</f>
        <v>-3.9048357900181019E-2</v>
      </c>
      <c r="G139" s="91" t="str">
        <f>IF(G129="","",(G129-'2014'!#REF!)/'2014'!#REF!)</f>
        <v/>
      </c>
      <c r="H139" s="91" t="str">
        <f>IF(H129="","",(H129-'2014'!#REF!)/'2014'!#REF!)</f>
        <v/>
      </c>
      <c r="I139" s="91" t="str">
        <f>IF(I129="","",(I129-'2014'!#REF!)/'2014'!#REF!)</f>
        <v/>
      </c>
      <c r="J139" s="87"/>
      <c r="K139" s="87"/>
      <c r="L139" s="87"/>
      <c r="M139" s="87" t="str">
        <f>IF(G139="","",M129-((1/'Proto 2013'!#REF!)*1000000))</f>
        <v/>
      </c>
      <c r="N139" s="87" t="str">
        <f>IF(H139="","",N129-((1/'Proto 2013'!#REF!)*1000000))</f>
        <v/>
      </c>
      <c r="O139" s="88" t="str">
        <f>IF(I139="","",O129-((1/'Proto 2013'!#REF!)*1000000))</f>
        <v/>
      </c>
    </row>
    <row r="140" spans="1:15" x14ac:dyDescent="0.25">
      <c r="A140" s="81" t="s">
        <v>16</v>
      </c>
      <c r="B140" s="82" t="s">
        <v>17</v>
      </c>
      <c r="C140" s="82" t="s">
        <v>12</v>
      </c>
      <c r="D140" s="91" t="e">
        <f>IF(D130="","",(D130-'2017'!D499)/'2017'!D499)</f>
        <v>#VALUE!</v>
      </c>
      <c r="E140" s="91" t="e">
        <f>IF(E130="","",(E130-'2017'!E499)/'2017'!E499)</f>
        <v>#VALUE!</v>
      </c>
      <c r="F140" s="91">
        <f>IF(F130="","",(F130-'2017'!F499)/'2017'!F499)</f>
        <v>-6.8787173519524181E-2</v>
      </c>
      <c r="G140" s="91" t="str">
        <f>IF(G130="","",(G130-'2014'!#REF!)/'2014'!#REF!)</f>
        <v/>
      </c>
      <c r="H140" s="91" t="str">
        <f>IF(H130="","",(H130-'2014'!#REF!)/'2014'!#REF!)</f>
        <v/>
      </c>
      <c r="I140" s="91" t="str">
        <f>IF(I130="","",(I130-'2014'!#REF!)/'2014'!#REF!)</f>
        <v/>
      </c>
      <c r="J140" s="87"/>
      <c r="K140" s="87"/>
      <c r="L140" s="87"/>
      <c r="M140" s="87" t="str">
        <f>IF(G140="","",M130-((1/'Proto 2013'!#REF!)*1000000))</f>
        <v/>
      </c>
      <c r="N140" s="87" t="str">
        <f>IF(H140="","",N130-((1/'Proto 2013'!#REF!)*1000000))</f>
        <v/>
      </c>
      <c r="O140" s="88" t="str">
        <f>IF(I140="","",O130-((1/'Proto 2013'!#REF!)*1000000))</f>
        <v/>
      </c>
    </row>
    <row r="141" spans="1:15" ht="15.75" thickBot="1" x14ac:dyDescent="0.3">
      <c r="A141" s="92" t="s">
        <v>18</v>
      </c>
      <c r="B141" s="93" t="s">
        <v>19</v>
      </c>
      <c r="C141" s="93" t="s">
        <v>12</v>
      </c>
      <c r="D141" s="91">
        <f>IF(D131="","",(D131-'2017'!D500)/'2017'!D500)</f>
        <v>5.0701568211295837E-3</v>
      </c>
      <c r="E141" s="91">
        <f>IF(E131="","",(E131-'2017'!E500)/'2017'!E500)</f>
        <v>-4.02172317628064E-2</v>
      </c>
      <c r="F141" s="91">
        <f>IF(F131="","",(F131-'2017'!F500)/'2017'!F500)</f>
        <v>-3.1639004149377592E-2</v>
      </c>
      <c r="G141" s="94" t="str">
        <f>IF(G131="","",(G131-'2014'!#REF!)/'2014'!#REF!)</f>
        <v/>
      </c>
      <c r="H141" s="94" t="str">
        <f>IF(H131="","",(H131-'2014'!#REF!)/'2014'!#REF!)</f>
        <v/>
      </c>
      <c r="I141" s="94" t="str">
        <f>IF(I131="","",(I131-'2014'!#REF!)/'2014'!#REF!)</f>
        <v/>
      </c>
      <c r="J141" s="95"/>
      <c r="K141" s="95"/>
      <c r="L141" s="95"/>
      <c r="M141" s="95" t="str">
        <f>IF(G141="","",M131-((1/'Proto 2013'!#REF!)*1000000))</f>
        <v/>
      </c>
      <c r="N141" s="95" t="str">
        <f>IF(H141="","",N131-((1/'Proto 2013'!#REF!)*1000000))</f>
        <v/>
      </c>
      <c r="O141" s="96" t="str">
        <f>IF(I141="","",O131-((1/'Proto 2013'!#REF!)*1000000))</f>
        <v/>
      </c>
    </row>
    <row r="142" spans="1:15" ht="18.75" x14ac:dyDescent="0.25">
      <c r="A142" s="171" t="s">
        <v>155</v>
      </c>
      <c r="B142" s="172"/>
      <c r="C142" s="172"/>
      <c r="D142" s="172"/>
      <c r="E142" s="172"/>
      <c r="F142" s="172"/>
      <c r="G142" s="172"/>
      <c r="H142" s="172"/>
      <c r="I142" s="172"/>
      <c r="J142" s="172"/>
      <c r="K142" s="172"/>
      <c r="L142" s="172"/>
      <c r="M142" s="172"/>
      <c r="N142" s="172"/>
      <c r="O142" s="173"/>
    </row>
    <row r="143" spans="1:15" ht="15.75" x14ac:dyDescent="0.25">
      <c r="A143" s="165" t="s">
        <v>173</v>
      </c>
      <c r="B143" s="174"/>
      <c r="C143" s="174"/>
      <c r="D143" s="174"/>
      <c r="E143" s="174"/>
      <c r="F143" s="174"/>
      <c r="G143" s="174"/>
      <c r="H143" s="174"/>
      <c r="I143" s="174"/>
      <c r="J143" s="174"/>
      <c r="K143" s="174"/>
      <c r="L143" s="174"/>
      <c r="M143" s="174"/>
      <c r="N143" s="174"/>
      <c r="O143" s="175"/>
    </row>
    <row r="144" spans="1:15" x14ac:dyDescent="0.25">
      <c r="A144" s="167" t="s">
        <v>2</v>
      </c>
      <c r="B144" s="168"/>
      <c r="C144" s="168"/>
      <c r="D144" s="169" t="s">
        <v>3</v>
      </c>
      <c r="E144" s="169"/>
      <c r="F144" s="169"/>
      <c r="G144" s="169"/>
      <c r="H144" s="169"/>
      <c r="I144" s="169"/>
      <c r="J144" s="169" t="s">
        <v>4</v>
      </c>
      <c r="K144" s="169"/>
      <c r="L144" s="169"/>
      <c r="M144" s="169"/>
      <c r="N144" s="169"/>
      <c r="O144" s="170"/>
    </row>
    <row r="145" spans="1:15" x14ac:dyDescent="0.25">
      <c r="A145" s="76" t="s">
        <v>5</v>
      </c>
      <c r="B145" s="77" t="s">
        <v>6</v>
      </c>
      <c r="C145" s="77" t="s">
        <v>7</v>
      </c>
      <c r="D145" s="78">
        <v>1</v>
      </c>
      <c r="E145" s="78">
        <v>4</v>
      </c>
      <c r="F145" s="78">
        <v>16</v>
      </c>
      <c r="G145" s="79">
        <v>32</v>
      </c>
      <c r="H145" s="79">
        <v>64</v>
      </c>
      <c r="I145" s="79">
        <v>80</v>
      </c>
      <c r="J145" s="79">
        <v>1</v>
      </c>
      <c r="K145" s="79">
        <v>4</v>
      </c>
      <c r="L145" s="79">
        <v>16</v>
      </c>
      <c r="M145" s="79">
        <v>32</v>
      </c>
      <c r="N145" s="79">
        <v>64</v>
      </c>
      <c r="O145" s="80">
        <v>80</v>
      </c>
    </row>
    <row r="146" spans="1:15" x14ac:dyDescent="0.25">
      <c r="A146" s="81" t="s">
        <v>8</v>
      </c>
      <c r="B146" s="82" t="s">
        <v>9</v>
      </c>
      <c r="C146" s="83" t="s">
        <v>10</v>
      </c>
      <c r="D146" s="84">
        <v>41413</v>
      </c>
      <c r="E146" s="84">
        <v>21008</v>
      </c>
      <c r="F146" s="84">
        <v>6324</v>
      </c>
      <c r="G146" s="85"/>
      <c r="H146" s="86"/>
      <c r="I146" s="86"/>
      <c r="J146" s="87">
        <f>IF(D146="","",(1/D146)*1000000)</f>
        <v>24.147006978485017</v>
      </c>
      <c r="K146" s="87">
        <f t="shared" ref="K146:K151" si="38">IF(E146="","",(1/E146)*1000000)</f>
        <v>47.600913937547602</v>
      </c>
      <c r="L146" s="87">
        <f t="shared" ref="L146:L151" si="39">IF(F146="","",(1/F146)*1000000)</f>
        <v>158.12776723592663</v>
      </c>
      <c r="M146" s="87" t="str">
        <f t="shared" ref="M146:M151" si="40">IF(G146="","",(1/G146)*1000000)</f>
        <v/>
      </c>
      <c r="N146" s="87" t="str">
        <f t="shared" ref="N146:N151" si="41">IF(H146="","",(1/H146)*1000000)</f>
        <v/>
      </c>
      <c r="O146" s="88" t="str">
        <f t="shared" ref="O146:O151" si="42">IF(I146="","",(1/I146)*1000000)</f>
        <v/>
      </c>
    </row>
    <row r="147" spans="1:15" x14ac:dyDescent="0.25">
      <c r="A147" s="81" t="s">
        <v>11</v>
      </c>
      <c r="B147" s="82" t="s">
        <v>9</v>
      </c>
      <c r="C147" s="83" t="s">
        <v>12</v>
      </c>
      <c r="D147" s="84">
        <v>9810</v>
      </c>
      <c r="E147" s="84">
        <v>7743</v>
      </c>
      <c r="F147" s="84">
        <v>4162</v>
      </c>
      <c r="G147" s="85"/>
      <c r="H147" s="86"/>
      <c r="I147" s="86"/>
      <c r="J147" s="87">
        <f>IF(D147="","",(1/D147)*1000000)</f>
        <v>101.9367991845056</v>
      </c>
      <c r="K147" s="87">
        <f t="shared" si="38"/>
        <v>129.14890869172154</v>
      </c>
      <c r="L147" s="87">
        <f t="shared" si="39"/>
        <v>240.26910139356079</v>
      </c>
      <c r="M147" s="87" t="str">
        <f t="shared" si="40"/>
        <v/>
      </c>
      <c r="N147" s="87" t="str">
        <f t="shared" si="41"/>
        <v/>
      </c>
      <c r="O147" s="88" t="str">
        <f t="shared" si="42"/>
        <v/>
      </c>
    </row>
    <row r="148" spans="1:15" x14ac:dyDescent="0.25">
      <c r="A148" s="81" t="s">
        <v>13</v>
      </c>
      <c r="B148" s="82" t="s">
        <v>14</v>
      </c>
      <c r="C148" s="83" t="s">
        <v>10</v>
      </c>
      <c r="D148" s="84">
        <v>37851</v>
      </c>
      <c r="E148" s="84">
        <v>16057</v>
      </c>
      <c r="F148" s="84">
        <v>5580</v>
      </c>
      <c r="G148" s="85"/>
      <c r="H148" s="86"/>
      <c r="I148" s="86"/>
      <c r="J148" s="87">
        <f t="shared" ref="J148:J151" si="43">IF(D148="","",(1/D148)*1000000)</f>
        <v>26.419381258090937</v>
      </c>
      <c r="K148" s="87">
        <f t="shared" si="38"/>
        <v>62.278134147100957</v>
      </c>
      <c r="L148" s="87">
        <f t="shared" si="39"/>
        <v>179.21146953405017</v>
      </c>
      <c r="M148" s="87" t="str">
        <f t="shared" si="40"/>
        <v/>
      </c>
      <c r="N148" s="87" t="str">
        <f t="shared" si="41"/>
        <v/>
      </c>
      <c r="O148" s="88" t="str">
        <f t="shared" si="42"/>
        <v/>
      </c>
    </row>
    <row r="149" spans="1:15" x14ac:dyDescent="0.25">
      <c r="A149" s="81" t="s">
        <v>15</v>
      </c>
      <c r="B149" s="82" t="s">
        <v>14</v>
      </c>
      <c r="C149" s="83" t="s">
        <v>12</v>
      </c>
      <c r="D149" s="84">
        <v>9569</v>
      </c>
      <c r="E149" s="84">
        <v>7032</v>
      </c>
      <c r="F149" s="84">
        <v>3734</v>
      </c>
      <c r="G149" s="85"/>
      <c r="H149" s="86"/>
      <c r="I149" s="86"/>
      <c r="J149" s="87">
        <f t="shared" si="43"/>
        <v>104.50412791305256</v>
      </c>
      <c r="K149" s="87">
        <f t="shared" si="38"/>
        <v>142.2070534698521</v>
      </c>
      <c r="L149" s="87">
        <f t="shared" si="39"/>
        <v>267.80931976432777</v>
      </c>
      <c r="M149" s="87" t="str">
        <f t="shared" si="40"/>
        <v/>
      </c>
      <c r="N149" s="87" t="str">
        <f t="shared" si="41"/>
        <v/>
      </c>
      <c r="O149" s="88" t="str">
        <f t="shared" si="42"/>
        <v/>
      </c>
    </row>
    <row r="150" spans="1:15" x14ac:dyDescent="0.25">
      <c r="A150" s="81" t="s">
        <v>16</v>
      </c>
      <c r="B150" s="82" t="s">
        <v>17</v>
      </c>
      <c r="C150" s="83" t="s">
        <v>12</v>
      </c>
      <c r="D150" s="84" t="s">
        <v>93</v>
      </c>
      <c r="E150" s="84" t="s">
        <v>93</v>
      </c>
      <c r="F150" s="97" t="s">
        <v>93</v>
      </c>
      <c r="G150" s="85"/>
      <c r="H150" s="86"/>
      <c r="I150" s="86"/>
      <c r="J150" s="87" t="e">
        <f t="shared" si="43"/>
        <v>#VALUE!</v>
      </c>
      <c r="K150" s="87" t="e">
        <f t="shared" si="38"/>
        <v>#VALUE!</v>
      </c>
      <c r="L150" s="87" t="e">
        <f t="shared" si="39"/>
        <v>#VALUE!</v>
      </c>
      <c r="M150" s="87" t="str">
        <f t="shared" si="40"/>
        <v/>
      </c>
      <c r="N150" s="87" t="str">
        <f t="shared" si="41"/>
        <v/>
      </c>
      <c r="O150" s="88" t="str">
        <f t="shared" si="42"/>
        <v/>
      </c>
    </row>
    <row r="151" spans="1:15" x14ac:dyDescent="0.25">
      <c r="A151" s="81" t="s">
        <v>18</v>
      </c>
      <c r="B151" s="82" t="s">
        <v>19</v>
      </c>
      <c r="C151" s="83" t="s">
        <v>12</v>
      </c>
      <c r="D151" s="97" t="s">
        <v>93</v>
      </c>
      <c r="E151" s="97" t="s">
        <v>93</v>
      </c>
      <c r="F151" s="97" t="s">
        <v>93</v>
      </c>
      <c r="G151" s="85"/>
      <c r="H151" s="86"/>
      <c r="I151" s="86"/>
      <c r="J151" s="87" t="e">
        <f t="shared" si="43"/>
        <v>#VALUE!</v>
      </c>
      <c r="K151" s="87" t="e">
        <f t="shared" si="38"/>
        <v>#VALUE!</v>
      </c>
      <c r="L151" s="87" t="e">
        <f t="shared" si="39"/>
        <v>#VALUE!</v>
      </c>
      <c r="M151" s="87" t="str">
        <f t="shared" si="40"/>
        <v/>
      </c>
      <c r="N151" s="87" t="str">
        <f t="shared" si="41"/>
        <v/>
      </c>
      <c r="O151" s="88" t="str">
        <f t="shared" si="42"/>
        <v/>
      </c>
    </row>
    <row r="152" spans="1:15" x14ac:dyDescent="0.25">
      <c r="A152" s="176" t="s">
        <v>174</v>
      </c>
      <c r="B152" s="177"/>
      <c r="C152" s="177"/>
      <c r="D152" s="177"/>
      <c r="E152" s="177"/>
      <c r="F152" s="177"/>
      <c r="G152" s="157" t="s">
        <v>172</v>
      </c>
      <c r="H152" s="157"/>
      <c r="I152" s="89"/>
      <c r="J152" s="89"/>
      <c r="K152" s="89"/>
      <c r="L152" s="89"/>
      <c r="M152" s="89"/>
      <c r="N152" s="89"/>
      <c r="O152" s="90"/>
    </row>
    <row r="153" spans="1:15" ht="18.75" x14ac:dyDescent="0.3">
      <c r="A153" s="180" t="s">
        <v>149</v>
      </c>
      <c r="B153" s="178"/>
      <c r="C153" s="178"/>
      <c r="D153" s="178"/>
      <c r="E153" s="178"/>
      <c r="F153" s="178"/>
      <c r="G153" s="178"/>
      <c r="H153" s="178"/>
      <c r="I153" s="178"/>
      <c r="J153" s="178"/>
      <c r="K153" s="178"/>
      <c r="L153" s="178"/>
      <c r="M153" s="178"/>
      <c r="N153" s="178"/>
      <c r="O153" s="179"/>
    </row>
    <row r="154" spans="1:15" x14ac:dyDescent="0.25">
      <c r="A154" s="167" t="s">
        <v>2</v>
      </c>
      <c r="B154" s="168"/>
      <c r="C154" s="168"/>
      <c r="D154" s="169" t="s">
        <v>20</v>
      </c>
      <c r="E154" s="169"/>
      <c r="F154" s="169"/>
      <c r="G154" s="169"/>
      <c r="H154" s="169"/>
      <c r="I154" s="169"/>
      <c r="J154" s="169" t="s">
        <v>23</v>
      </c>
      <c r="K154" s="169"/>
      <c r="L154" s="169"/>
      <c r="M154" s="169"/>
      <c r="N154" s="169"/>
      <c r="O154" s="170"/>
    </row>
    <row r="155" spans="1:15" x14ac:dyDescent="0.25">
      <c r="A155" s="76" t="s">
        <v>5</v>
      </c>
      <c r="B155" s="77" t="s">
        <v>6</v>
      </c>
      <c r="C155" s="77" t="s">
        <v>7</v>
      </c>
      <c r="D155" s="79">
        <v>1</v>
      </c>
      <c r="E155" s="79">
        <v>4</v>
      </c>
      <c r="F155" s="79">
        <v>16</v>
      </c>
      <c r="G155" s="79">
        <v>32</v>
      </c>
      <c r="H155" s="79">
        <v>64</v>
      </c>
      <c r="I155" s="79">
        <v>80</v>
      </c>
      <c r="J155" s="79">
        <v>1</v>
      </c>
      <c r="K155" s="79">
        <v>4</v>
      </c>
      <c r="L155" s="79">
        <v>16</v>
      </c>
      <c r="M155" s="79">
        <v>32</v>
      </c>
      <c r="N155" s="79">
        <v>64</v>
      </c>
      <c r="O155" s="80">
        <v>80</v>
      </c>
    </row>
    <row r="156" spans="1:15" x14ac:dyDescent="0.25">
      <c r="A156" s="81" t="s">
        <v>8</v>
      </c>
      <c r="B156" s="82" t="s">
        <v>9</v>
      </c>
      <c r="C156" s="82" t="s">
        <v>10</v>
      </c>
      <c r="D156" s="91">
        <f>IF(D146="","",(D146-'2017'!D495)/'2017'!D495)</f>
        <v>-2.9367646369474525E-2</v>
      </c>
      <c r="E156" s="91">
        <f>IF(E146="","",(E146-'2017'!E495)/'2017'!E495)</f>
        <v>-5.0203656341763761E-3</v>
      </c>
      <c r="F156" s="91">
        <f>IF(F146="","",(F146-'2017'!F495)/'2017'!F495)</f>
        <v>0.1120098470195182</v>
      </c>
      <c r="G156" s="91" t="str">
        <f>IF(G146="","",(G146-'2014'!#REF!)/'2014'!#REF!)</f>
        <v/>
      </c>
      <c r="H156" s="91" t="str">
        <f>IF(H146="","",(H146-'2014'!#REF!)/'2014'!#REF!)</f>
        <v/>
      </c>
      <c r="I156" s="87" t="str">
        <f>IF(I146="","",(I146-'2014'!#REF!)/'2014'!#REF!)</f>
        <v/>
      </c>
      <c r="J156" s="87"/>
      <c r="K156" s="87"/>
      <c r="L156" s="87"/>
      <c r="M156" s="87" t="str">
        <f>IF(G156="","",M146-((1/'Proto 2013'!#REF!)*1000000))</f>
        <v/>
      </c>
      <c r="N156" s="87" t="str">
        <f>IF(H156="","",N146-((1/'Proto 2013'!#REF!)*1000000))</f>
        <v/>
      </c>
      <c r="O156" s="88" t="str">
        <f>IF(I156="","",O146-((1/'Proto 2013'!#REF!)*1000000))</f>
        <v/>
      </c>
    </row>
    <row r="157" spans="1:15" x14ac:dyDescent="0.25">
      <c r="A157" s="81" t="s">
        <v>11</v>
      </c>
      <c r="B157" s="82" t="s">
        <v>9</v>
      </c>
      <c r="C157" s="82" t="s">
        <v>12</v>
      </c>
      <c r="D157" s="91">
        <f>IF(D147="","",(D147-'2017'!D496)/'2017'!D496)</f>
        <v>-1.7132551848512173E-2</v>
      </c>
      <c r="E157" s="91">
        <f>IF(E147="","",(E147-'2017'!E496)/'2017'!E496)</f>
        <v>6.7611493953972177E-3</v>
      </c>
      <c r="F157" s="91">
        <f>IF(F147="","",(F147-'2017'!F496)/'2017'!F496)</f>
        <v>0.1146223888591323</v>
      </c>
      <c r="G157" s="91" t="str">
        <f>IF(G147="","",(G147-'2014'!#REF!)/'2014'!#REF!)</f>
        <v/>
      </c>
      <c r="H157" s="91" t="str">
        <f>IF(H147="","",(H147-'2014'!#REF!)/'2014'!#REF!)</f>
        <v/>
      </c>
      <c r="I157" s="91" t="str">
        <f>IF(I147="","",(I147-'2014'!#REF!)/'2014'!#REF!)</f>
        <v/>
      </c>
      <c r="J157" s="87"/>
      <c r="K157" s="87"/>
      <c r="L157" s="87"/>
      <c r="M157" s="87" t="str">
        <f>IF(G157="","",M147-((1/'Proto 2013'!#REF!)*1000000))</f>
        <v/>
      </c>
      <c r="N157" s="87" t="str">
        <f>IF(H157="","",N147-((1/'Proto 2013'!#REF!)*1000000))</f>
        <v/>
      </c>
      <c r="O157" s="88" t="str">
        <f>IF(I157="","",O147-((1/'Proto 2013'!#REF!)*1000000))</f>
        <v/>
      </c>
    </row>
    <row r="158" spans="1:15" x14ac:dyDescent="0.25">
      <c r="A158" s="81" t="s">
        <v>13</v>
      </c>
      <c r="B158" s="82" t="s">
        <v>14</v>
      </c>
      <c r="C158" s="82" t="s">
        <v>10</v>
      </c>
      <c r="D158" s="91">
        <f>IF(D148="","",(D148-'2017'!D497)/'2017'!D497)</f>
        <v>-0.12381944444444444</v>
      </c>
      <c r="E158" s="91">
        <f>IF(E148="","",(E148-'2017'!E497)/'2017'!E497)</f>
        <v>-8.7463059786315078E-2</v>
      </c>
      <c r="F158" s="91">
        <f>IF(F148="","",(F148-'2017'!F497)/'2017'!F497)</f>
        <v>1.8619934282584884E-2</v>
      </c>
      <c r="G158" s="91" t="str">
        <f>IF(G148="","",(G148-'2014'!#REF!)/'2014'!#REF!)</f>
        <v/>
      </c>
      <c r="H158" s="91" t="str">
        <f>IF(H148="","",(H148-'2014'!#REF!)/'2014'!#REF!)</f>
        <v/>
      </c>
      <c r="I158" s="91" t="str">
        <f>IF(I148="","",(I148-'2014'!#REF!)/'2014'!#REF!)</f>
        <v/>
      </c>
      <c r="J158" s="87"/>
      <c r="K158" s="87"/>
      <c r="L158" s="87"/>
      <c r="M158" s="87" t="str">
        <f>IF(G158="","",M148-((1/'Proto 2013'!#REF!)*1000000))</f>
        <v/>
      </c>
      <c r="N158" s="87" t="str">
        <f>IF(H158="","",N148-((1/'Proto 2013'!#REF!)*1000000))</f>
        <v/>
      </c>
      <c r="O158" s="88" t="str">
        <f>IF(I158="","",O148-((1/'Proto 2013'!#REF!)*1000000))</f>
        <v/>
      </c>
    </row>
    <row r="159" spans="1:15" x14ac:dyDescent="0.25">
      <c r="A159" s="81" t="s">
        <v>15</v>
      </c>
      <c r="B159" s="82" t="s">
        <v>14</v>
      </c>
      <c r="C159" s="82" t="s">
        <v>12</v>
      </c>
      <c r="D159" s="91">
        <f>IF(D149="","",(D149-'2017'!D498)/'2017'!D498)</f>
        <v>6.3694975544686533E-2</v>
      </c>
      <c r="E159" s="91">
        <f>IF(E149="","",(E149-'2017'!E498)/'2017'!E498)</f>
        <v>-3.9344262295081971E-2</v>
      </c>
      <c r="F159" s="91">
        <f>IF(F149="","",(F149-'2017'!F498)/'2017'!F498)</f>
        <v>-3.439358675976209E-2</v>
      </c>
      <c r="G159" s="91" t="str">
        <f>IF(G149="","",(G149-'2014'!#REF!)/'2014'!#REF!)</f>
        <v/>
      </c>
      <c r="H159" s="91" t="str">
        <f>IF(H149="","",(H149-'2014'!#REF!)/'2014'!#REF!)</f>
        <v/>
      </c>
      <c r="I159" s="91" t="str">
        <f>IF(I149="","",(I149-'2014'!#REF!)/'2014'!#REF!)</f>
        <v/>
      </c>
      <c r="J159" s="87"/>
      <c r="K159" s="87"/>
      <c r="L159" s="87"/>
      <c r="M159" s="87" t="str">
        <f>IF(G159="","",M149-((1/'Proto 2013'!#REF!)*1000000))</f>
        <v/>
      </c>
      <c r="N159" s="87" t="str">
        <f>IF(H159="","",N149-((1/'Proto 2013'!#REF!)*1000000))</f>
        <v/>
      </c>
      <c r="O159" s="88" t="str">
        <f>IF(I159="","",O149-((1/'Proto 2013'!#REF!)*1000000))</f>
        <v/>
      </c>
    </row>
    <row r="160" spans="1:15" x14ac:dyDescent="0.25">
      <c r="A160" s="81" t="s">
        <v>16</v>
      </c>
      <c r="B160" s="82" t="s">
        <v>17</v>
      </c>
      <c r="C160" s="82" t="s">
        <v>12</v>
      </c>
      <c r="D160" s="91" t="e">
        <f>IF(D150="","",(D150-'2017'!D499)/'2017'!D499)</f>
        <v>#VALUE!</v>
      </c>
      <c r="E160" s="91" t="e">
        <f>IF(E150="","",(E150-'2017'!E519)/'2017'!E519)</f>
        <v>#VALUE!</v>
      </c>
      <c r="F160" s="91" t="e">
        <f>IF(F150="","",(F150-'2017'!F519)/'2017'!F519)</f>
        <v>#VALUE!</v>
      </c>
      <c r="G160" s="91" t="str">
        <f>IF(G150="","",(G150-'2014'!#REF!)/'2014'!#REF!)</f>
        <v/>
      </c>
      <c r="H160" s="91" t="str">
        <f>IF(H150="","",(H150-'2014'!#REF!)/'2014'!#REF!)</f>
        <v/>
      </c>
      <c r="I160" s="91" t="str">
        <f>IF(I150="","",(I150-'2014'!#REF!)/'2014'!#REF!)</f>
        <v/>
      </c>
      <c r="J160" s="87"/>
      <c r="K160" s="87"/>
      <c r="L160" s="87"/>
      <c r="M160" s="87" t="str">
        <f>IF(G160="","",M150-((1/'Proto 2013'!#REF!)*1000000))</f>
        <v/>
      </c>
      <c r="N160" s="87" t="str">
        <f>IF(H160="","",N150-((1/'Proto 2013'!#REF!)*1000000))</f>
        <v/>
      </c>
      <c r="O160" s="88" t="str">
        <f>IF(I160="","",O150-((1/'Proto 2013'!#REF!)*1000000))</f>
        <v/>
      </c>
    </row>
    <row r="161" spans="1:15" ht="15.75" thickBot="1" x14ac:dyDescent="0.3">
      <c r="A161" s="92" t="s">
        <v>18</v>
      </c>
      <c r="B161" s="93" t="s">
        <v>19</v>
      </c>
      <c r="C161" s="93" t="s">
        <v>12</v>
      </c>
      <c r="D161" s="91" t="e">
        <f>IF(D151="","",(D151-'2017'!D500)/'2017'!D500)</f>
        <v>#VALUE!</v>
      </c>
      <c r="E161" s="91" t="e">
        <f>IF(E151="","",(E151-'2017'!E520)/'2017'!E520)</f>
        <v>#VALUE!</v>
      </c>
      <c r="F161" s="91" t="e">
        <f>IF(F151="","",(F151-'2017'!F520)/'2017'!F520)</f>
        <v>#VALUE!</v>
      </c>
      <c r="G161" s="94" t="str">
        <f>IF(G151="","",(G151-'2014'!#REF!)/'2014'!#REF!)</f>
        <v/>
      </c>
      <c r="H161" s="94" t="str">
        <f>IF(H151="","",(H151-'2014'!#REF!)/'2014'!#REF!)</f>
        <v/>
      </c>
      <c r="I161" s="94" t="str">
        <f>IF(I151="","",(I151-'2014'!#REF!)/'2014'!#REF!)</f>
        <v/>
      </c>
      <c r="J161" s="95"/>
      <c r="K161" s="95"/>
      <c r="L161" s="95"/>
      <c r="M161" s="95" t="str">
        <f>IF(G161="","",M151-((1/'Proto 2013'!#REF!)*1000000))</f>
        <v/>
      </c>
      <c r="N161" s="95" t="str">
        <f>IF(H161="","",N151-((1/'Proto 2013'!#REF!)*1000000))</f>
        <v/>
      </c>
      <c r="O161" s="96" t="str">
        <f>IF(I161="","",O151-((1/'Proto 2013'!#REF!)*1000000))</f>
        <v/>
      </c>
    </row>
    <row r="162" spans="1:15" ht="18.75" x14ac:dyDescent="0.25">
      <c r="A162" s="171" t="s">
        <v>155</v>
      </c>
      <c r="B162" s="172"/>
      <c r="C162" s="172"/>
      <c r="D162" s="172"/>
      <c r="E162" s="172"/>
      <c r="F162" s="172"/>
      <c r="G162" s="172"/>
      <c r="H162" s="172"/>
      <c r="I162" s="172"/>
      <c r="J162" s="172"/>
      <c r="K162" s="172"/>
      <c r="L162" s="172"/>
      <c r="M162" s="172"/>
      <c r="N162" s="172"/>
      <c r="O162" s="173"/>
    </row>
    <row r="163" spans="1:15" ht="15.75" x14ac:dyDescent="0.25">
      <c r="A163" s="165" t="s">
        <v>175</v>
      </c>
      <c r="B163" s="174"/>
      <c r="C163" s="174"/>
      <c r="D163" s="174"/>
      <c r="E163" s="174"/>
      <c r="F163" s="174"/>
      <c r="G163" s="174"/>
      <c r="H163" s="174"/>
      <c r="I163" s="174"/>
      <c r="J163" s="174"/>
      <c r="K163" s="174"/>
      <c r="L163" s="174"/>
      <c r="M163" s="174"/>
      <c r="N163" s="174"/>
      <c r="O163" s="175"/>
    </row>
    <row r="164" spans="1:15" x14ac:dyDescent="0.25">
      <c r="A164" s="167" t="s">
        <v>2</v>
      </c>
      <c r="B164" s="168"/>
      <c r="C164" s="168"/>
      <c r="D164" s="169" t="s">
        <v>3</v>
      </c>
      <c r="E164" s="169"/>
      <c r="F164" s="169"/>
      <c r="G164" s="169"/>
      <c r="H164" s="169"/>
      <c r="I164" s="169"/>
      <c r="J164" s="169" t="s">
        <v>4</v>
      </c>
      <c r="K164" s="169"/>
      <c r="L164" s="169"/>
      <c r="M164" s="169"/>
      <c r="N164" s="169"/>
      <c r="O164" s="170"/>
    </row>
    <row r="165" spans="1:15" x14ac:dyDescent="0.25">
      <c r="A165" s="76" t="s">
        <v>5</v>
      </c>
      <c r="B165" s="77" t="s">
        <v>6</v>
      </c>
      <c r="C165" s="77" t="s">
        <v>7</v>
      </c>
      <c r="D165" s="78">
        <v>1</v>
      </c>
      <c r="E165" s="78">
        <v>4</v>
      </c>
      <c r="F165" s="78">
        <v>16</v>
      </c>
      <c r="G165" s="79">
        <v>32</v>
      </c>
      <c r="H165" s="79">
        <v>64</v>
      </c>
      <c r="I165" s="79">
        <v>80</v>
      </c>
      <c r="J165" s="79">
        <v>1</v>
      </c>
      <c r="K165" s="79">
        <v>4</v>
      </c>
      <c r="L165" s="79">
        <v>16</v>
      </c>
      <c r="M165" s="79">
        <v>32</v>
      </c>
      <c r="N165" s="79">
        <v>64</v>
      </c>
      <c r="O165" s="80">
        <v>80</v>
      </c>
    </row>
    <row r="166" spans="1:15" x14ac:dyDescent="0.25">
      <c r="A166" s="81" t="s">
        <v>8</v>
      </c>
      <c r="B166" s="82" t="s">
        <v>9</v>
      </c>
      <c r="C166" s="83" t="s">
        <v>10</v>
      </c>
      <c r="D166" s="84">
        <v>47766</v>
      </c>
      <c r="E166" s="84">
        <v>20232</v>
      </c>
      <c r="F166" s="84">
        <v>6388</v>
      </c>
      <c r="G166" s="85"/>
      <c r="H166" s="86"/>
      <c r="I166" s="86"/>
      <c r="J166" s="87">
        <f>IF(D166="","",(1/D166)*1000000)</f>
        <v>20.935393376041535</v>
      </c>
      <c r="K166" s="87">
        <f t="shared" ref="K166:K171" si="44">IF(E166="","",(1/E166)*1000000)</f>
        <v>49.426650850138394</v>
      </c>
      <c r="L166" s="87">
        <f t="shared" ref="L166:L171" si="45">IF(F166="","",(1/F166)*1000000)</f>
        <v>156.54351909830933</v>
      </c>
      <c r="M166" s="87" t="str">
        <f t="shared" ref="M166:M171" si="46">IF(G166="","",(1/G166)*1000000)</f>
        <v/>
      </c>
      <c r="N166" s="87" t="str">
        <f t="shared" ref="N166:N171" si="47">IF(H166="","",(1/H166)*1000000)</f>
        <v/>
      </c>
      <c r="O166" s="88" t="str">
        <f t="shared" ref="O166:O171" si="48">IF(I166="","",(1/I166)*1000000)</f>
        <v/>
      </c>
    </row>
    <row r="167" spans="1:15" x14ac:dyDescent="0.25">
      <c r="A167" s="81" t="s">
        <v>11</v>
      </c>
      <c r="B167" s="82" t="s">
        <v>9</v>
      </c>
      <c r="C167" s="83" t="s">
        <v>12</v>
      </c>
      <c r="D167" s="84">
        <v>9612</v>
      </c>
      <c r="E167" s="84">
        <v>7980</v>
      </c>
      <c r="F167" s="84">
        <v>4275</v>
      </c>
      <c r="G167" s="85"/>
      <c r="H167" s="86"/>
      <c r="I167" s="86"/>
      <c r="J167" s="87">
        <f>IF(D167="","",(1/D167)*1000000)</f>
        <v>104.03662089055348</v>
      </c>
      <c r="K167" s="87">
        <f t="shared" si="44"/>
        <v>125.31328320802005</v>
      </c>
      <c r="L167" s="87">
        <f t="shared" si="45"/>
        <v>233.91812865497076</v>
      </c>
      <c r="M167" s="87" t="str">
        <f t="shared" si="46"/>
        <v/>
      </c>
      <c r="N167" s="87" t="str">
        <f t="shared" si="47"/>
        <v/>
      </c>
      <c r="O167" s="88" t="str">
        <f t="shared" si="48"/>
        <v/>
      </c>
    </row>
    <row r="168" spans="1:15" x14ac:dyDescent="0.25">
      <c r="A168" s="81" t="s">
        <v>13</v>
      </c>
      <c r="B168" s="82" t="s">
        <v>14</v>
      </c>
      <c r="C168" s="83" t="s">
        <v>10</v>
      </c>
      <c r="D168" s="84">
        <v>38041</v>
      </c>
      <c r="E168" s="84">
        <v>17487</v>
      </c>
      <c r="F168" s="84">
        <v>5628</v>
      </c>
      <c r="G168" s="85"/>
      <c r="H168" s="86"/>
      <c r="I168" s="86"/>
      <c r="J168" s="87">
        <f t="shared" ref="J168:J171" si="49">IF(D168="","",(1/D168)*1000000)</f>
        <v>26.287426723798006</v>
      </c>
      <c r="K168" s="87">
        <f t="shared" si="44"/>
        <v>57.185337679418993</v>
      </c>
      <c r="L168" s="87">
        <f t="shared" si="45"/>
        <v>177.68301350390902</v>
      </c>
      <c r="M168" s="87" t="str">
        <f t="shared" si="46"/>
        <v/>
      </c>
      <c r="N168" s="87" t="str">
        <f t="shared" si="47"/>
        <v/>
      </c>
      <c r="O168" s="88" t="str">
        <f t="shared" si="48"/>
        <v/>
      </c>
    </row>
    <row r="169" spans="1:15" x14ac:dyDescent="0.25">
      <c r="A169" s="81" t="s">
        <v>15</v>
      </c>
      <c r="B169" s="82" t="s">
        <v>14</v>
      </c>
      <c r="C169" s="83" t="s">
        <v>12</v>
      </c>
      <c r="D169" s="84">
        <v>9691</v>
      </c>
      <c r="E169" s="84">
        <v>7336</v>
      </c>
      <c r="F169" s="84">
        <v>3867</v>
      </c>
      <c r="G169" s="85"/>
      <c r="H169" s="86"/>
      <c r="I169" s="86"/>
      <c r="J169" s="87">
        <f t="shared" si="49"/>
        <v>103.18852543597153</v>
      </c>
      <c r="K169" s="87">
        <f t="shared" si="44"/>
        <v>136.31406761177755</v>
      </c>
      <c r="L169" s="87">
        <f t="shared" si="45"/>
        <v>258.5983966899405</v>
      </c>
      <c r="M169" s="87" t="str">
        <f t="shared" si="46"/>
        <v/>
      </c>
      <c r="N169" s="87" t="str">
        <f t="shared" si="47"/>
        <v/>
      </c>
      <c r="O169" s="88" t="str">
        <f t="shared" si="48"/>
        <v/>
      </c>
    </row>
    <row r="170" spans="1:15" x14ac:dyDescent="0.25">
      <c r="A170" s="81" t="s">
        <v>16</v>
      </c>
      <c r="B170" s="82" t="s">
        <v>17</v>
      </c>
      <c r="C170" s="83" t="s">
        <v>12</v>
      </c>
      <c r="D170" s="84" t="s">
        <v>93</v>
      </c>
      <c r="E170" s="84" t="s">
        <v>93</v>
      </c>
      <c r="F170" s="97" t="s">
        <v>93</v>
      </c>
      <c r="G170" s="85"/>
      <c r="H170" s="86"/>
      <c r="I170" s="86"/>
      <c r="J170" s="87" t="e">
        <f t="shared" si="49"/>
        <v>#VALUE!</v>
      </c>
      <c r="K170" s="87" t="e">
        <f t="shared" si="44"/>
        <v>#VALUE!</v>
      </c>
      <c r="L170" s="87" t="e">
        <f t="shared" si="45"/>
        <v>#VALUE!</v>
      </c>
      <c r="M170" s="87" t="str">
        <f t="shared" si="46"/>
        <v/>
      </c>
      <c r="N170" s="87" t="str">
        <f t="shared" si="47"/>
        <v/>
      </c>
      <c r="O170" s="88" t="str">
        <f t="shared" si="48"/>
        <v/>
      </c>
    </row>
    <row r="171" spans="1:15" x14ac:dyDescent="0.25">
      <c r="A171" s="81" t="s">
        <v>18</v>
      </c>
      <c r="B171" s="82" t="s">
        <v>19</v>
      </c>
      <c r="C171" s="83" t="s">
        <v>12</v>
      </c>
      <c r="D171" s="97" t="s">
        <v>93</v>
      </c>
      <c r="E171" s="97" t="s">
        <v>93</v>
      </c>
      <c r="F171" s="97" t="s">
        <v>93</v>
      </c>
      <c r="G171" s="85"/>
      <c r="H171" s="86"/>
      <c r="I171" s="86"/>
      <c r="J171" s="87" t="e">
        <f t="shared" si="49"/>
        <v>#VALUE!</v>
      </c>
      <c r="K171" s="87" t="e">
        <f t="shared" si="44"/>
        <v>#VALUE!</v>
      </c>
      <c r="L171" s="87" t="e">
        <f t="shared" si="45"/>
        <v>#VALUE!</v>
      </c>
      <c r="M171" s="87" t="str">
        <f t="shared" si="46"/>
        <v/>
      </c>
      <c r="N171" s="87" t="str">
        <f t="shared" si="47"/>
        <v/>
      </c>
      <c r="O171" s="88" t="str">
        <f t="shared" si="48"/>
        <v/>
      </c>
    </row>
    <row r="172" spans="1:15" x14ac:dyDescent="0.25">
      <c r="A172" s="176" t="s">
        <v>176</v>
      </c>
      <c r="B172" s="177"/>
      <c r="C172" s="177"/>
      <c r="D172" s="177"/>
      <c r="E172" s="177"/>
      <c r="F172" s="177"/>
      <c r="G172" s="157" t="s">
        <v>172</v>
      </c>
      <c r="H172" s="157"/>
      <c r="I172" s="89"/>
      <c r="J172" s="89"/>
      <c r="K172" s="89"/>
      <c r="L172" s="89"/>
      <c r="M172" s="89"/>
      <c r="N172" s="89"/>
      <c r="O172" s="90"/>
    </row>
    <row r="173" spans="1:15" ht="18.75" x14ac:dyDescent="0.3">
      <c r="A173" s="180" t="s">
        <v>149</v>
      </c>
      <c r="B173" s="178"/>
      <c r="C173" s="178"/>
      <c r="D173" s="178"/>
      <c r="E173" s="178"/>
      <c r="F173" s="178"/>
      <c r="G173" s="178"/>
      <c r="H173" s="178"/>
      <c r="I173" s="178"/>
      <c r="J173" s="178"/>
      <c r="K173" s="178"/>
      <c r="L173" s="178"/>
      <c r="M173" s="178"/>
      <c r="N173" s="178"/>
      <c r="O173" s="179"/>
    </row>
    <row r="174" spans="1:15" x14ac:dyDescent="0.25">
      <c r="A174" s="167" t="s">
        <v>2</v>
      </c>
      <c r="B174" s="168"/>
      <c r="C174" s="168"/>
      <c r="D174" s="169" t="s">
        <v>20</v>
      </c>
      <c r="E174" s="169"/>
      <c r="F174" s="169"/>
      <c r="G174" s="169"/>
      <c r="H174" s="169"/>
      <c r="I174" s="169"/>
      <c r="J174" s="169" t="s">
        <v>23</v>
      </c>
      <c r="K174" s="169"/>
      <c r="L174" s="169"/>
      <c r="M174" s="169"/>
      <c r="N174" s="169"/>
      <c r="O174" s="170"/>
    </row>
    <row r="175" spans="1:15" x14ac:dyDescent="0.25">
      <c r="A175" s="76" t="s">
        <v>5</v>
      </c>
      <c r="B175" s="77" t="s">
        <v>6</v>
      </c>
      <c r="C175" s="77" t="s">
        <v>7</v>
      </c>
      <c r="D175" s="79">
        <v>1</v>
      </c>
      <c r="E175" s="79">
        <v>4</v>
      </c>
      <c r="F175" s="79">
        <v>16</v>
      </c>
      <c r="G175" s="79">
        <v>32</v>
      </c>
      <c r="H175" s="79">
        <v>64</v>
      </c>
      <c r="I175" s="79">
        <v>80</v>
      </c>
      <c r="J175" s="79">
        <v>1</v>
      </c>
      <c r="K175" s="79">
        <v>4</v>
      </c>
      <c r="L175" s="79">
        <v>16</v>
      </c>
      <c r="M175" s="79">
        <v>32</v>
      </c>
      <c r="N175" s="79">
        <v>64</v>
      </c>
      <c r="O175" s="80">
        <v>80</v>
      </c>
    </row>
    <row r="176" spans="1:15" x14ac:dyDescent="0.25">
      <c r="A176" s="81" t="s">
        <v>8</v>
      </c>
      <c r="B176" s="82" t="s">
        <v>9</v>
      </c>
      <c r="C176" s="82" t="s">
        <v>10</v>
      </c>
      <c r="D176" s="91">
        <f>IF(D166="","",(D166-'2017'!D495)/'2017'!D495)</f>
        <v>0.11953311770496414</v>
      </c>
      <c r="E176" s="91">
        <f>IF(E166="","",(E166-'2017'!E495)/'2017'!E495)</f>
        <v>-4.1773231031543054E-2</v>
      </c>
      <c r="F176" s="91">
        <f>IF(F166="","",(F166-'2017'!F495)/'2017'!F495)</f>
        <v>0.12326358361174609</v>
      </c>
      <c r="G176" s="91" t="str">
        <f>IF(G166="","",(G166-'2014'!#REF!)/'2014'!#REF!)</f>
        <v/>
      </c>
      <c r="H176" s="91" t="str">
        <f>IF(H166="","",(H166-'2014'!#REF!)/'2014'!#REF!)</f>
        <v/>
      </c>
      <c r="I176" s="87" t="str">
        <f>IF(I166="","",(I166-'2014'!#REF!)/'2014'!#REF!)</f>
        <v/>
      </c>
      <c r="J176" s="87"/>
      <c r="K176" s="87"/>
      <c r="L176" s="87"/>
      <c r="M176" s="87" t="str">
        <f>IF(G176="","",M166-((1/'Proto 2013'!#REF!)*1000000))</f>
        <v/>
      </c>
      <c r="N176" s="87" t="str">
        <f>IF(H176="","",N166-((1/'Proto 2013'!#REF!)*1000000))</f>
        <v/>
      </c>
      <c r="O176" s="88" t="str">
        <f>IF(I176="","",O166-((1/'Proto 2013'!#REF!)*1000000))</f>
        <v/>
      </c>
    </row>
    <row r="177" spans="1:15" x14ac:dyDescent="0.25">
      <c r="A177" s="81" t="s">
        <v>11</v>
      </c>
      <c r="B177" s="82" t="s">
        <v>9</v>
      </c>
      <c r="C177" s="82" t="s">
        <v>12</v>
      </c>
      <c r="D177" s="91">
        <f>IF(D167="","",(D167-'2017'!D496)/'2017'!D496)</f>
        <v>-3.6970243462578899E-2</v>
      </c>
      <c r="E177" s="91">
        <f>IF(E167="","",(E167-'2017'!E496)/'2017'!E496)</f>
        <v>3.757638798595761E-2</v>
      </c>
      <c r="F177" s="91">
        <f>IF(F167="","",(F167-'2017'!F496)/'2017'!F496)</f>
        <v>0.14488484199250135</v>
      </c>
      <c r="G177" s="91" t="str">
        <f>IF(G167="","",(G167-'2014'!#REF!)/'2014'!#REF!)</f>
        <v/>
      </c>
      <c r="H177" s="91" t="str">
        <f>IF(H167="","",(H167-'2014'!#REF!)/'2014'!#REF!)</f>
        <v/>
      </c>
      <c r="I177" s="91" t="str">
        <f>IF(I167="","",(I167-'2014'!#REF!)/'2014'!#REF!)</f>
        <v/>
      </c>
      <c r="J177" s="87"/>
      <c r="K177" s="87"/>
      <c r="L177" s="87"/>
      <c r="M177" s="87" t="str">
        <f>IF(G177="","",M167-((1/'Proto 2013'!#REF!)*1000000))</f>
        <v/>
      </c>
      <c r="N177" s="87" t="str">
        <f>IF(H177="","",N167-((1/'Proto 2013'!#REF!)*1000000))</f>
        <v/>
      </c>
      <c r="O177" s="88" t="str">
        <f>IF(I177="","",O167-((1/'Proto 2013'!#REF!)*1000000))</f>
        <v/>
      </c>
    </row>
    <row r="178" spans="1:15" x14ac:dyDescent="0.25">
      <c r="A178" s="81" t="s">
        <v>13</v>
      </c>
      <c r="B178" s="82" t="s">
        <v>14</v>
      </c>
      <c r="C178" s="82" t="s">
        <v>10</v>
      </c>
      <c r="D178" s="91">
        <f>IF(D168="","",(D168-'2017'!D497)/'2017'!D497)</f>
        <v>-0.1194212962962963</v>
      </c>
      <c r="E178" s="91">
        <f>IF(E168="","",(E168-'2017'!E497)/'2017'!E497)</f>
        <v>-6.194589679472607E-3</v>
      </c>
      <c r="F178" s="91">
        <f>IF(F168="","",(F168-'2017'!F497)/'2017'!F497)</f>
        <v>2.7382256297918947E-2</v>
      </c>
      <c r="G178" s="91" t="str">
        <f>IF(G168="","",(G168-'2014'!#REF!)/'2014'!#REF!)</f>
        <v/>
      </c>
      <c r="H178" s="91" t="str">
        <f>IF(H168="","",(H168-'2014'!#REF!)/'2014'!#REF!)</f>
        <v/>
      </c>
      <c r="I178" s="91" t="str">
        <f>IF(I168="","",(I168-'2014'!#REF!)/'2014'!#REF!)</f>
        <v/>
      </c>
      <c r="J178" s="87"/>
      <c r="K178" s="87"/>
      <c r="L178" s="87"/>
      <c r="M178" s="87" t="str">
        <f>IF(G178="","",M168-((1/'Proto 2013'!#REF!)*1000000))</f>
        <v/>
      </c>
      <c r="N178" s="87" t="str">
        <f>IF(H178="","",N168-((1/'Proto 2013'!#REF!)*1000000))</f>
        <v/>
      </c>
      <c r="O178" s="88" t="str">
        <f>IF(I178="","",O168-((1/'Proto 2013'!#REF!)*1000000))</f>
        <v/>
      </c>
    </row>
    <row r="179" spans="1:15" x14ac:dyDescent="0.25">
      <c r="A179" s="81" t="s">
        <v>15</v>
      </c>
      <c r="B179" s="82" t="s">
        <v>14</v>
      </c>
      <c r="C179" s="82" t="s">
        <v>12</v>
      </c>
      <c r="D179" s="91">
        <f>IF(D169="","",(D169-'2017'!D498)/'2017'!D498)</f>
        <v>7.7256558470431308E-2</v>
      </c>
      <c r="E179" s="91">
        <f>IF(E169="","",(E169-'2017'!E498)/'2017'!E498)</f>
        <v>2.185792349726776E-3</v>
      </c>
      <c r="F179" s="91">
        <f>IF(F169="","",(F169-'2017'!F498)/'2017'!F498)</f>
        <v>0</v>
      </c>
      <c r="G179" s="91" t="str">
        <f>IF(G169="","",(G169-'2014'!#REF!)/'2014'!#REF!)</f>
        <v/>
      </c>
      <c r="H179" s="91" t="str">
        <f>IF(H169="","",(H169-'2014'!#REF!)/'2014'!#REF!)</f>
        <v/>
      </c>
      <c r="I179" s="91" t="str">
        <f>IF(I169="","",(I169-'2014'!#REF!)/'2014'!#REF!)</f>
        <v/>
      </c>
      <c r="J179" s="87"/>
      <c r="K179" s="87"/>
      <c r="L179" s="87"/>
      <c r="M179" s="87" t="str">
        <f>IF(G179="","",M169-((1/'Proto 2013'!#REF!)*1000000))</f>
        <v/>
      </c>
      <c r="N179" s="87" t="str">
        <f>IF(H179="","",N169-((1/'Proto 2013'!#REF!)*1000000))</f>
        <v/>
      </c>
      <c r="O179" s="88" t="str">
        <f>IF(I179="","",O169-((1/'Proto 2013'!#REF!)*1000000))</f>
        <v/>
      </c>
    </row>
    <row r="180" spans="1:15" x14ac:dyDescent="0.25">
      <c r="A180" s="81" t="s">
        <v>16</v>
      </c>
      <c r="B180" s="82" t="s">
        <v>17</v>
      </c>
      <c r="C180" s="82" t="s">
        <v>12</v>
      </c>
      <c r="D180" s="91" t="e">
        <f>IF(D170="","",(D170-'2017'!D499)/'2017'!D499)</f>
        <v>#VALUE!</v>
      </c>
      <c r="E180" s="91" t="e">
        <f>IF(E170="","",(E170-'2017'!E539)/'2017'!E539)</f>
        <v>#VALUE!</v>
      </c>
      <c r="F180" s="91" t="e">
        <f>IF(F170="","",(F170-'2017'!F539)/'2017'!F539)</f>
        <v>#VALUE!</v>
      </c>
      <c r="G180" s="91" t="str">
        <f>IF(G170="","",(G170-'2014'!#REF!)/'2014'!#REF!)</f>
        <v/>
      </c>
      <c r="H180" s="91" t="str">
        <f>IF(H170="","",(H170-'2014'!#REF!)/'2014'!#REF!)</f>
        <v/>
      </c>
      <c r="I180" s="91" t="str">
        <f>IF(I170="","",(I170-'2014'!#REF!)/'2014'!#REF!)</f>
        <v/>
      </c>
      <c r="J180" s="87"/>
      <c r="K180" s="87"/>
      <c r="L180" s="87"/>
      <c r="M180" s="87" t="str">
        <f>IF(G180="","",M170-((1/'Proto 2013'!#REF!)*1000000))</f>
        <v/>
      </c>
      <c r="N180" s="87" t="str">
        <f>IF(H180="","",N170-((1/'Proto 2013'!#REF!)*1000000))</f>
        <v/>
      </c>
      <c r="O180" s="88" t="str">
        <f>IF(I180="","",O170-((1/'Proto 2013'!#REF!)*1000000))</f>
        <v/>
      </c>
    </row>
    <row r="181" spans="1:15" ht="15.75" thickBot="1" x14ac:dyDescent="0.3">
      <c r="A181" s="92" t="s">
        <v>18</v>
      </c>
      <c r="B181" s="93" t="s">
        <v>19</v>
      </c>
      <c r="C181" s="93" t="s">
        <v>12</v>
      </c>
      <c r="D181" s="91" t="e">
        <f>IF(D171="","",(D171-'2017'!D500)/'2017'!D500)</f>
        <v>#VALUE!</v>
      </c>
      <c r="E181" s="91" t="e">
        <f>IF(E171="","",(E171-'2017'!E540)/'2017'!E540)</f>
        <v>#VALUE!</v>
      </c>
      <c r="F181" s="91" t="e">
        <f>IF(F171="","",(F171-'2017'!F540)/'2017'!F540)</f>
        <v>#VALUE!</v>
      </c>
      <c r="G181" s="94" t="str">
        <f>IF(G171="","",(G171-'2014'!#REF!)/'2014'!#REF!)</f>
        <v/>
      </c>
      <c r="H181" s="94" t="str">
        <f>IF(H171="","",(H171-'2014'!#REF!)/'2014'!#REF!)</f>
        <v/>
      </c>
      <c r="I181" s="94" t="str">
        <f>IF(I171="","",(I171-'2014'!#REF!)/'2014'!#REF!)</f>
        <v/>
      </c>
      <c r="J181" s="95"/>
      <c r="K181" s="95"/>
      <c r="L181" s="95"/>
      <c r="M181" s="95" t="str">
        <f>IF(G181="","",M171-((1/'Proto 2013'!#REF!)*1000000))</f>
        <v/>
      </c>
      <c r="N181" s="95" t="str">
        <f>IF(H181="","",N171-((1/'Proto 2013'!#REF!)*1000000))</f>
        <v/>
      </c>
      <c r="O181" s="96" t="str">
        <f>IF(I181="","",O171-((1/'Proto 2013'!#REF!)*1000000))</f>
        <v/>
      </c>
    </row>
    <row r="182" spans="1:15" ht="18.75" x14ac:dyDescent="0.25">
      <c r="A182" s="171" t="s">
        <v>155</v>
      </c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3"/>
    </row>
    <row r="183" spans="1:15" ht="15.75" x14ac:dyDescent="0.25">
      <c r="A183" s="165" t="s">
        <v>177</v>
      </c>
      <c r="B183" s="174"/>
      <c r="C183" s="174"/>
      <c r="D183" s="174"/>
      <c r="E183" s="174"/>
      <c r="F183" s="174"/>
      <c r="G183" s="174"/>
      <c r="H183" s="174"/>
      <c r="I183" s="174"/>
      <c r="J183" s="174"/>
      <c r="K183" s="174"/>
      <c r="L183" s="174"/>
      <c r="M183" s="174"/>
      <c r="N183" s="174"/>
      <c r="O183" s="175"/>
    </row>
    <row r="184" spans="1:15" x14ac:dyDescent="0.25">
      <c r="A184" s="167" t="s">
        <v>2</v>
      </c>
      <c r="B184" s="168"/>
      <c r="C184" s="168"/>
      <c r="D184" s="169" t="s">
        <v>3</v>
      </c>
      <c r="E184" s="169"/>
      <c r="F184" s="169"/>
      <c r="G184" s="169"/>
      <c r="H184" s="169"/>
      <c r="I184" s="169"/>
      <c r="J184" s="169" t="s">
        <v>4</v>
      </c>
      <c r="K184" s="169"/>
      <c r="L184" s="169"/>
      <c r="M184" s="169"/>
      <c r="N184" s="169"/>
      <c r="O184" s="170"/>
    </row>
    <row r="185" spans="1:15" x14ac:dyDescent="0.25">
      <c r="A185" s="76" t="s">
        <v>5</v>
      </c>
      <c r="B185" s="77" t="s">
        <v>6</v>
      </c>
      <c r="C185" s="77" t="s">
        <v>7</v>
      </c>
      <c r="D185" s="78">
        <v>1</v>
      </c>
      <c r="E185" s="78">
        <v>4</v>
      </c>
      <c r="F185" s="78">
        <v>16</v>
      </c>
      <c r="G185" s="79">
        <v>32</v>
      </c>
      <c r="H185" s="79">
        <v>64</v>
      </c>
      <c r="I185" s="79">
        <v>80</v>
      </c>
      <c r="J185" s="79">
        <v>1</v>
      </c>
      <c r="K185" s="79">
        <v>4</v>
      </c>
      <c r="L185" s="79">
        <v>16</v>
      </c>
      <c r="M185" s="79">
        <v>32</v>
      </c>
      <c r="N185" s="79">
        <v>64</v>
      </c>
      <c r="O185" s="80">
        <v>80</v>
      </c>
    </row>
    <row r="186" spans="1:15" x14ac:dyDescent="0.25">
      <c r="A186" s="81" t="s">
        <v>8</v>
      </c>
      <c r="B186" s="82" t="s">
        <v>9</v>
      </c>
      <c r="C186" s="83" t="s">
        <v>10</v>
      </c>
      <c r="D186" s="84">
        <v>47766</v>
      </c>
      <c r="E186" s="84">
        <v>21273</v>
      </c>
      <c r="F186" s="84">
        <v>6217</v>
      </c>
      <c r="G186" s="85"/>
      <c r="H186" s="86"/>
      <c r="I186" s="86"/>
      <c r="J186" s="87">
        <f>IF(D186="","",(1/D186)*1000000)</f>
        <v>20.935393376041535</v>
      </c>
      <c r="K186" s="87">
        <f t="shared" ref="K186:K191" si="50">IF(E186="","",(1/E186)*1000000)</f>
        <v>47.007944342593902</v>
      </c>
      <c r="L186" s="87">
        <f t="shared" ref="L186:L191" si="51">IF(F186="","",(1/F186)*1000000)</f>
        <v>160.84928422068523</v>
      </c>
      <c r="M186" s="87" t="str">
        <f t="shared" ref="M186:M191" si="52">IF(G186="","",(1/G186)*1000000)</f>
        <v/>
      </c>
      <c r="N186" s="87" t="str">
        <f t="shared" ref="N186:N191" si="53">IF(H186="","",(1/H186)*1000000)</f>
        <v/>
      </c>
      <c r="O186" s="88" t="str">
        <f t="shared" ref="O186:O191" si="54">IF(I186="","",(1/I186)*1000000)</f>
        <v/>
      </c>
    </row>
    <row r="187" spans="1:15" x14ac:dyDescent="0.25">
      <c r="A187" s="81" t="s">
        <v>11</v>
      </c>
      <c r="B187" s="82" t="s">
        <v>9</v>
      </c>
      <c r="C187" s="83" t="s">
        <v>12</v>
      </c>
      <c r="D187" s="84">
        <v>10126</v>
      </c>
      <c r="E187" s="84">
        <v>7882</v>
      </c>
      <c r="F187" s="84">
        <v>4162</v>
      </c>
      <c r="G187" s="85"/>
      <c r="H187" s="86"/>
      <c r="I187" s="86"/>
      <c r="J187" s="87">
        <f>IF(D187="","",(1/D187)*1000000)</f>
        <v>98.755678451510974</v>
      </c>
      <c r="K187" s="87">
        <f t="shared" si="50"/>
        <v>126.87135244861712</v>
      </c>
      <c r="L187" s="87">
        <f t="shared" si="51"/>
        <v>240.26910139356079</v>
      </c>
      <c r="M187" s="87" t="str">
        <f t="shared" si="52"/>
        <v/>
      </c>
      <c r="N187" s="87" t="str">
        <f t="shared" si="53"/>
        <v/>
      </c>
      <c r="O187" s="88" t="str">
        <f t="shared" si="54"/>
        <v/>
      </c>
    </row>
    <row r="188" spans="1:15" x14ac:dyDescent="0.25">
      <c r="A188" s="81" t="s">
        <v>13</v>
      </c>
      <c r="B188" s="82" t="s">
        <v>14</v>
      </c>
      <c r="C188" s="83" t="s">
        <v>10</v>
      </c>
      <c r="D188" s="84">
        <v>31701</v>
      </c>
      <c r="E188" s="84">
        <v>16057</v>
      </c>
      <c r="F188" s="84">
        <v>5646</v>
      </c>
      <c r="G188" s="85"/>
      <c r="H188" s="86"/>
      <c r="I188" s="86"/>
      <c r="J188" s="87">
        <f t="shared" ref="J188:J191" si="55">IF(D188="","",(1/D188)*1000000)</f>
        <v>31.544746222516643</v>
      </c>
      <c r="K188" s="87">
        <f t="shared" si="50"/>
        <v>62.278134147100957</v>
      </c>
      <c r="L188" s="87">
        <f t="shared" si="51"/>
        <v>177.11654268508678</v>
      </c>
      <c r="M188" s="87" t="str">
        <f t="shared" si="52"/>
        <v/>
      </c>
      <c r="N188" s="87" t="str">
        <f t="shared" si="53"/>
        <v/>
      </c>
      <c r="O188" s="88" t="str">
        <f t="shared" si="54"/>
        <v/>
      </c>
    </row>
    <row r="189" spans="1:15" x14ac:dyDescent="0.25">
      <c r="A189" s="81" t="s">
        <v>15</v>
      </c>
      <c r="B189" s="82" t="s">
        <v>14</v>
      </c>
      <c r="C189" s="83" t="s">
        <v>12</v>
      </c>
      <c r="D189" s="84">
        <v>9757</v>
      </c>
      <c r="E189" s="84">
        <v>7373</v>
      </c>
      <c r="F189" s="84">
        <v>3959</v>
      </c>
      <c r="G189" s="85"/>
      <c r="H189" s="86"/>
      <c r="I189" s="86"/>
      <c r="J189" s="87">
        <f t="shared" si="55"/>
        <v>102.49051962693451</v>
      </c>
      <c r="K189" s="87">
        <f t="shared" si="50"/>
        <v>135.6300013563</v>
      </c>
      <c r="L189" s="87">
        <f t="shared" si="51"/>
        <v>252.58903763576663</v>
      </c>
      <c r="M189" s="87" t="str">
        <f t="shared" si="52"/>
        <v/>
      </c>
      <c r="N189" s="87" t="str">
        <f t="shared" si="53"/>
        <v/>
      </c>
      <c r="O189" s="88" t="str">
        <f t="shared" si="54"/>
        <v/>
      </c>
    </row>
    <row r="190" spans="1:15" x14ac:dyDescent="0.25">
      <c r="A190" s="81" t="s">
        <v>16</v>
      </c>
      <c r="B190" s="82" t="s">
        <v>17</v>
      </c>
      <c r="C190" s="83" t="s">
        <v>12</v>
      </c>
      <c r="D190" s="97" t="s">
        <v>93</v>
      </c>
      <c r="E190" s="84" t="s">
        <v>93</v>
      </c>
      <c r="F190" s="84" t="s">
        <v>93</v>
      </c>
      <c r="G190" s="85"/>
      <c r="H190" s="86"/>
      <c r="I190" s="86"/>
      <c r="J190" s="87" t="e">
        <f t="shared" si="55"/>
        <v>#VALUE!</v>
      </c>
      <c r="K190" s="87" t="e">
        <f t="shared" si="50"/>
        <v>#VALUE!</v>
      </c>
      <c r="L190" s="87" t="e">
        <f t="shared" si="51"/>
        <v>#VALUE!</v>
      </c>
      <c r="M190" s="87" t="str">
        <f t="shared" si="52"/>
        <v/>
      </c>
      <c r="N190" s="87" t="str">
        <f t="shared" si="53"/>
        <v/>
      </c>
      <c r="O190" s="88" t="str">
        <f t="shared" si="54"/>
        <v/>
      </c>
    </row>
    <row r="191" spans="1:15" x14ac:dyDescent="0.25">
      <c r="A191" s="81" t="s">
        <v>18</v>
      </c>
      <c r="B191" s="82" t="s">
        <v>19</v>
      </c>
      <c r="C191" s="83" t="s">
        <v>12</v>
      </c>
      <c r="D191" s="84" t="s">
        <v>93</v>
      </c>
      <c r="E191" s="84" t="s">
        <v>93</v>
      </c>
      <c r="F191" s="84">
        <v>3822</v>
      </c>
      <c r="G191" s="85"/>
      <c r="H191" s="86"/>
      <c r="I191" s="86"/>
      <c r="J191" s="87" t="e">
        <f t="shared" si="55"/>
        <v>#VALUE!</v>
      </c>
      <c r="K191" s="87" t="e">
        <f t="shared" si="50"/>
        <v>#VALUE!</v>
      </c>
      <c r="L191" s="87">
        <f t="shared" si="51"/>
        <v>261.64311878597596</v>
      </c>
      <c r="M191" s="87" t="str">
        <f t="shared" si="52"/>
        <v/>
      </c>
      <c r="N191" s="87" t="str">
        <f t="shared" si="53"/>
        <v/>
      </c>
      <c r="O191" s="88" t="str">
        <f t="shared" si="54"/>
        <v/>
      </c>
    </row>
    <row r="192" spans="1:15" x14ac:dyDescent="0.25">
      <c r="A192" s="176" t="s">
        <v>178</v>
      </c>
      <c r="B192" s="177"/>
      <c r="C192" s="177"/>
      <c r="D192" s="177"/>
      <c r="E192" s="177"/>
      <c r="F192" s="177"/>
      <c r="G192" s="157" t="s">
        <v>172</v>
      </c>
      <c r="H192" s="157"/>
      <c r="I192" s="89"/>
      <c r="J192" s="89"/>
      <c r="K192" s="89"/>
      <c r="L192" s="89"/>
      <c r="M192" s="89"/>
      <c r="N192" s="89"/>
      <c r="O192" s="90"/>
    </row>
    <row r="193" spans="1:15" ht="18.75" x14ac:dyDescent="0.3">
      <c r="A193" s="180" t="s">
        <v>149</v>
      </c>
      <c r="B193" s="178"/>
      <c r="C193" s="178"/>
      <c r="D193" s="178"/>
      <c r="E193" s="178"/>
      <c r="F193" s="178"/>
      <c r="G193" s="178"/>
      <c r="H193" s="178"/>
      <c r="I193" s="178"/>
      <c r="J193" s="178"/>
      <c r="K193" s="178"/>
      <c r="L193" s="178"/>
      <c r="M193" s="178"/>
      <c r="N193" s="178"/>
      <c r="O193" s="179"/>
    </row>
    <row r="194" spans="1:15" x14ac:dyDescent="0.25">
      <c r="A194" s="167" t="s">
        <v>2</v>
      </c>
      <c r="B194" s="168"/>
      <c r="C194" s="168"/>
      <c r="D194" s="169" t="s">
        <v>20</v>
      </c>
      <c r="E194" s="169"/>
      <c r="F194" s="169"/>
      <c r="G194" s="169"/>
      <c r="H194" s="169"/>
      <c r="I194" s="169"/>
      <c r="J194" s="169" t="s">
        <v>23</v>
      </c>
      <c r="K194" s="169"/>
      <c r="L194" s="169"/>
      <c r="M194" s="169"/>
      <c r="N194" s="169"/>
      <c r="O194" s="170"/>
    </row>
    <row r="195" spans="1:15" x14ac:dyDescent="0.25">
      <c r="A195" s="76" t="s">
        <v>5</v>
      </c>
      <c r="B195" s="77" t="s">
        <v>6</v>
      </c>
      <c r="C195" s="77" t="s">
        <v>7</v>
      </c>
      <c r="D195" s="79">
        <v>1</v>
      </c>
      <c r="E195" s="79">
        <v>4</v>
      </c>
      <c r="F195" s="79">
        <v>16</v>
      </c>
      <c r="G195" s="79">
        <v>32</v>
      </c>
      <c r="H195" s="79">
        <v>64</v>
      </c>
      <c r="I195" s="79">
        <v>80</v>
      </c>
      <c r="J195" s="79">
        <v>1</v>
      </c>
      <c r="K195" s="79">
        <v>4</v>
      </c>
      <c r="L195" s="79">
        <v>16</v>
      </c>
      <c r="M195" s="79">
        <v>32</v>
      </c>
      <c r="N195" s="79">
        <v>64</v>
      </c>
      <c r="O195" s="80">
        <v>80</v>
      </c>
    </row>
    <row r="196" spans="1:15" x14ac:dyDescent="0.25">
      <c r="A196" s="81" t="s">
        <v>8</v>
      </c>
      <c r="B196" s="82" t="s">
        <v>9</v>
      </c>
      <c r="C196" s="82" t="s">
        <v>10</v>
      </c>
      <c r="D196" s="91">
        <f>IF(D186="","",(D186-'2017'!D495)/'2017'!D495)</f>
        <v>0.11953311770496414</v>
      </c>
      <c r="E196" s="91">
        <f>IF(E186="","",(E186-'2017'!E495)/'2017'!E495)</f>
        <v>7.5305484512645637E-3</v>
      </c>
      <c r="F196" s="91">
        <f>IF(F186="","",(F186-'2017'!F495)/'2017'!F495)</f>
        <v>9.3195006154387194E-2</v>
      </c>
      <c r="G196" s="91" t="str">
        <f>IF(G186="","",(G186-'2014'!#REF!)/'2014'!#REF!)</f>
        <v/>
      </c>
      <c r="H196" s="91" t="str">
        <f>IF(H186="","",(H186-'2014'!#REF!)/'2014'!#REF!)</f>
        <v/>
      </c>
      <c r="I196" s="87" t="str">
        <f>IF(I186="","",(I186-'2014'!#REF!)/'2014'!#REF!)</f>
        <v/>
      </c>
      <c r="J196" s="87"/>
      <c r="K196" s="87"/>
      <c r="L196" s="87"/>
      <c r="M196" s="87" t="str">
        <f>IF(G196="","",M186-((1/'Proto 2013'!#REF!)*1000000))</f>
        <v/>
      </c>
      <c r="N196" s="87" t="str">
        <f>IF(H196="","",N186-((1/'Proto 2013'!#REF!)*1000000))</f>
        <v/>
      </c>
      <c r="O196" s="88" t="str">
        <f>IF(I196="","",O186-((1/'Proto 2013'!#REF!)*1000000))</f>
        <v/>
      </c>
    </row>
    <row r="197" spans="1:15" x14ac:dyDescent="0.25">
      <c r="A197" s="81" t="s">
        <v>11</v>
      </c>
      <c r="B197" s="82" t="s">
        <v>9</v>
      </c>
      <c r="C197" s="82" t="s">
        <v>12</v>
      </c>
      <c r="D197" s="91">
        <f>IF(D187="","",(D187-'2017'!D496)/'2017'!D496)</f>
        <v>1.4527602444644825E-2</v>
      </c>
      <c r="E197" s="91">
        <f>IF(E187="","",(E187-'2017'!E496)/'2017'!E496)</f>
        <v>2.4834221817709012E-2</v>
      </c>
      <c r="F197" s="91">
        <f>IF(F187="","",(F187-'2017'!F496)/'2017'!F496)</f>
        <v>0.1146223888591323</v>
      </c>
      <c r="G197" s="91" t="str">
        <f>IF(G187="","",(G187-'2014'!#REF!)/'2014'!#REF!)</f>
        <v/>
      </c>
      <c r="H197" s="91" t="str">
        <f>IF(H187="","",(H187-'2014'!#REF!)/'2014'!#REF!)</f>
        <v/>
      </c>
      <c r="I197" s="91" t="str">
        <f>IF(I187="","",(I187-'2014'!#REF!)/'2014'!#REF!)</f>
        <v/>
      </c>
      <c r="J197" s="87"/>
      <c r="K197" s="87"/>
      <c r="L197" s="87"/>
      <c r="M197" s="87" t="str">
        <f>IF(G197="","",M187-((1/'Proto 2013'!#REF!)*1000000))</f>
        <v/>
      </c>
      <c r="N197" s="87" t="str">
        <f>IF(H197="","",N187-((1/'Proto 2013'!#REF!)*1000000))</f>
        <v/>
      </c>
      <c r="O197" s="88" t="str">
        <f>IF(I197="","",O187-((1/'Proto 2013'!#REF!)*1000000))</f>
        <v/>
      </c>
    </row>
    <row r="198" spans="1:15" x14ac:dyDescent="0.25">
      <c r="A198" s="81" t="s">
        <v>13</v>
      </c>
      <c r="B198" s="82" t="s">
        <v>14</v>
      </c>
      <c r="C198" s="82" t="s">
        <v>10</v>
      </c>
      <c r="D198" s="91">
        <f>IF(D188="","",(D188-'2017'!D497)/'2017'!D497)</f>
        <v>-0.26618055555555553</v>
      </c>
      <c r="E198" s="91">
        <f>IF(E188="","",(E188-'2017'!E497)/'2017'!E497)</f>
        <v>-8.7463059786315078E-2</v>
      </c>
      <c r="F198" s="91">
        <f>IF(F188="","",(F188-'2017'!F497)/'2017'!F497)</f>
        <v>3.0668127053669222E-2</v>
      </c>
      <c r="G198" s="91" t="str">
        <f>IF(G188="","",(G188-'2014'!#REF!)/'2014'!#REF!)</f>
        <v/>
      </c>
      <c r="H198" s="91" t="str">
        <f>IF(H188="","",(H188-'2014'!#REF!)/'2014'!#REF!)</f>
        <v/>
      </c>
      <c r="I198" s="91" t="str">
        <f>IF(I188="","",(I188-'2014'!#REF!)/'2014'!#REF!)</f>
        <v/>
      </c>
      <c r="J198" s="87"/>
      <c r="K198" s="87"/>
      <c r="L198" s="87"/>
      <c r="M198" s="87" t="str">
        <f>IF(G198="","",M188-((1/'Proto 2013'!#REF!)*1000000))</f>
        <v/>
      </c>
      <c r="N198" s="87" t="str">
        <f>IF(H198="","",N188-((1/'Proto 2013'!#REF!)*1000000))</f>
        <v/>
      </c>
      <c r="O198" s="88" t="str">
        <f>IF(I198="","",O188-((1/'Proto 2013'!#REF!)*1000000))</f>
        <v/>
      </c>
    </row>
    <row r="199" spans="1:15" x14ac:dyDescent="0.25">
      <c r="A199" s="81" t="s">
        <v>15</v>
      </c>
      <c r="B199" s="82" t="s">
        <v>14</v>
      </c>
      <c r="C199" s="82" t="s">
        <v>12</v>
      </c>
      <c r="D199" s="91">
        <f>IF(D189="","",(D189-'2017'!D498)/'2017'!D498)</f>
        <v>8.4593152512227654E-2</v>
      </c>
      <c r="E199" s="91">
        <f>IF(E189="","",(E189-'2017'!E498)/'2017'!E498)</f>
        <v>7.2404371584699452E-3</v>
      </c>
      <c r="F199" s="91">
        <f>IF(F189="","",(F189-'2017'!F498)/'2017'!F498)</f>
        <v>2.3791052495474529E-2</v>
      </c>
      <c r="G199" s="91" t="str">
        <f>IF(G189="","",(G189-'2014'!#REF!)/'2014'!#REF!)</f>
        <v/>
      </c>
      <c r="H199" s="91" t="str">
        <f>IF(H189="","",(H189-'2014'!#REF!)/'2014'!#REF!)</f>
        <v/>
      </c>
      <c r="I199" s="91" t="str">
        <f>IF(I189="","",(I189-'2014'!#REF!)/'2014'!#REF!)</f>
        <v/>
      </c>
      <c r="J199" s="87"/>
      <c r="K199" s="87"/>
      <c r="L199" s="87"/>
      <c r="M199" s="87" t="str">
        <f>IF(G199="","",M189-((1/'Proto 2013'!#REF!)*1000000))</f>
        <v/>
      </c>
      <c r="N199" s="87" t="str">
        <f>IF(H199="","",N189-((1/'Proto 2013'!#REF!)*1000000))</f>
        <v/>
      </c>
      <c r="O199" s="88" t="str">
        <f>IF(I199="","",O189-((1/'Proto 2013'!#REF!)*1000000))</f>
        <v/>
      </c>
    </row>
    <row r="200" spans="1:15" x14ac:dyDescent="0.25">
      <c r="A200" s="81" t="s">
        <v>16</v>
      </c>
      <c r="B200" s="82" t="s">
        <v>17</v>
      </c>
      <c r="C200" s="82" t="s">
        <v>12</v>
      </c>
      <c r="D200" s="91" t="e">
        <f>IF(D190="","",(D190-'2017'!D499)/'2017'!D499)</f>
        <v>#VALUE!</v>
      </c>
      <c r="E200" s="91" t="e">
        <f>IF(E190="","",(E190-'2017'!E499)/'2017'!E499)</f>
        <v>#VALUE!</v>
      </c>
      <c r="F200" s="91" t="e">
        <f>IF(F190="","",(F190-'2017'!F499)/'2017'!F499)</f>
        <v>#VALUE!</v>
      </c>
      <c r="G200" s="91" t="str">
        <f>IF(G190="","",(G190-'2014'!#REF!)/'2014'!#REF!)</f>
        <v/>
      </c>
      <c r="H200" s="91" t="str">
        <f>IF(H190="","",(H190-'2014'!#REF!)/'2014'!#REF!)</f>
        <v/>
      </c>
      <c r="I200" s="91" t="str">
        <f>IF(I190="","",(I190-'2014'!#REF!)/'2014'!#REF!)</f>
        <v/>
      </c>
      <c r="J200" s="87"/>
      <c r="K200" s="87"/>
      <c r="L200" s="87"/>
      <c r="M200" s="87" t="str">
        <f>IF(G200="","",M190-((1/'Proto 2013'!#REF!)*1000000))</f>
        <v/>
      </c>
      <c r="N200" s="87" t="str">
        <f>IF(H200="","",N190-((1/'Proto 2013'!#REF!)*1000000))</f>
        <v/>
      </c>
      <c r="O200" s="88" t="str">
        <f>IF(I200="","",O190-((1/'Proto 2013'!#REF!)*1000000))</f>
        <v/>
      </c>
    </row>
    <row r="201" spans="1:15" ht="15.75" thickBot="1" x14ac:dyDescent="0.3">
      <c r="A201" s="92" t="s">
        <v>18</v>
      </c>
      <c r="B201" s="93" t="s">
        <v>19</v>
      </c>
      <c r="C201" s="93" t="s">
        <v>12</v>
      </c>
      <c r="D201" s="91" t="e">
        <f>IF(D191="","",(D191-'2017'!D500)/'2017'!D500)</f>
        <v>#VALUE!</v>
      </c>
      <c r="E201" s="91" t="e">
        <f>IF(E191="","",(E191-'2017'!E500)/'2017'!E500)</f>
        <v>#VALUE!</v>
      </c>
      <c r="F201" s="91">
        <f>IF(F191="","",(F191-'2017'!F500)/'2017'!F500)</f>
        <v>-8.8174273858921161E-3</v>
      </c>
      <c r="G201" s="94" t="str">
        <f>IF(G191="","",(G191-'2014'!#REF!)/'2014'!#REF!)</f>
        <v/>
      </c>
      <c r="H201" s="94" t="str">
        <f>IF(H191="","",(H191-'2014'!#REF!)/'2014'!#REF!)</f>
        <v/>
      </c>
      <c r="I201" s="94" t="str">
        <f>IF(I191="","",(I191-'2014'!#REF!)/'2014'!#REF!)</f>
        <v/>
      </c>
      <c r="J201" s="95"/>
      <c r="K201" s="95"/>
      <c r="L201" s="95"/>
      <c r="M201" s="95" t="str">
        <f>IF(G201="","",M191-((1/'Proto 2013'!#REF!)*1000000))</f>
        <v/>
      </c>
      <c r="N201" s="95" t="str">
        <f>IF(H201="","",N191-((1/'Proto 2013'!#REF!)*1000000))</f>
        <v/>
      </c>
      <c r="O201" s="96" t="str">
        <f>IF(I201="","",O191-((1/'Proto 2013'!#REF!)*1000000))</f>
        <v/>
      </c>
    </row>
    <row r="202" spans="1:15" ht="18.75" x14ac:dyDescent="0.25">
      <c r="A202" s="171" t="s">
        <v>155</v>
      </c>
      <c r="B202" s="172"/>
      <c r="C202" s="172"/>
      <c r="D202" s="172"/>
      <c r="E202" s="172"/>
      <c r="F202" s="172"/>
      <c r="G202" s="172"/>
      <c r="H202" s="172"/>
      <c r="I202" s="172"/>
      <c r="J202" s="172"/>
      <c r="K202" s="172"/>
      <c r="L202" s="172"/>
      <c r="M202" s="172"/>
      <c r="N202" s="172"/>
      <c r="O202" s="173"/>
    </row>
    <row r="203" spans="1:15" ht="15.75" x14ac:dyDescent="0.25">
      <c r="A203" s="165" t="s">
        <v>179</v>
      </c>
      <c r="B203" s="174"/>
      <c r="C203" s="174"/>
      <c r="D203" s="174"/>
      <c r="E203" s="174"/>
      <c r="F203" s="174"/>
      <c r="G203" s="174"/>
      <c r="H203" s="174"/>
      <c r="I203" s="174"/>
      <c r="J203" s="174"/>
      <c r="K203" s="174"/>
      <c r="L203" s="174"/>
      <c r="M203" s="174"/>
      <c r="N203" s="174"/>
      <c r="O203" s="175"/>
    </row>
    <row r="204" spans="1:15" x14ac:dyDescent="0.25">
      <c r="A204" s="167" t="s">
        <v>2</v>
      </c>
      <c r="B204" s="168"/>
      <c r="C204" s="168"/>
      <c r="D204" s="169" t="s">
        <v>3</v>
      </c>
      <c r="E204" s="169"/>
      <c r="F204" s="169"/>
      <c r="G204" s="169"/>
      <c r="H204" s="169"/>
      <c r="I204" s="169"/>
      <c r="J204" s="169" t="s">
        <v>4</v>
      </c>
      <c r="K204" s="169"/>
      <c r="L204" s="169"/>
      <c r="M204" s="169"/>
      <c r="N204" s="169"/>
      <c r="O204" s="170"/>
    </row>
    <row r="205" spans="1:15" x14ac:dyDescent="0.25">
      <c r="A205" s="76" t="s">
        <v>5</v>
      </c>
      <c r="B205" s="77" t="s">
        <v>6</v>
      </c>
      <c r="C205" s="77" t="s">
        <v>7</v>
      </c>
      <c r="D205" s="78">
        <v>1</v>
      </c>
      <c r="E205" s="78">
        <v>4</v>
      </c>
      <c r="F205" s="78">
        <v>16</v>
      </c>
      <c r="G205" s="79">
        <v>32</v>
      </c>
      <c r="H205" s="79">
        <v>64</v>
      </c>
      <c r="I205" s="79">
        <v>80</v>
      </c>
      <c r="J205" s="79">
        <v>1</v>
      </c>
      <c r="K205" s="79">
        <v>4</v>
      </c>
      <c r="L205" s="79">
        <v>16</v>
      </c>
      <c r="M205" s="79">
        <v>32</v>
      </c>
      <c r="N205" s="79">
        <v>64</v>
      </c>
      <c r="O205" s="80">
        <v>80</v>
      </c>
    </row>
    <row r="206" spans="1:15" x14ac:dyDescent="0.25">
      <c r="A206" s="81" t="s">
        <v>8</v>
      </c>
      <c r="B206" s="82" t="s">
        <v>9</v>
      </c>
      <c r="C206" s="83" t="s">
        <v>10</v>
      </c>
      <c r="D206" s="84">
        <v>24691</v>
      </c>
      <c r="E206" s="84">
        <v>20417</v>
      </c>
      <c r="F206" s="84">
        <v>6399</v>
      </c>
      <c r="G206" s="85"/>
      <c r="H206" s="86"/>
      <c r="I206" s="86"/>
      <c r="J206" s="87">
        <f>IF(D206="","",(1/D206)*1000000)</f>
        <v>40.500587258515246</v>
      </c>
      <c r="K206" s="87">
        <f t="shared" ref="K206:K211" si="56">IF(E206="","",(1/E206)*1000000)</f>
        <v>48.978792182984769</v>
      </c>
      <c r="L206" s="87">
        <f t="shared" ref="L206:L211" si="57">IF(F206="","",(1/F206)*1000000)</f>
        <v>156.27441787779341</v>
      </c>
      <c r="M206" s="87" t="str">
        <f t="shared" ref="M206:M211" si="58">IF(G206="","",(1/G206)*1000000)</f>
        <v/>
      </c>
      <c r="N206" s="87" t="str">
        <f t="shared" ref="N206:N211" si="59">IF(H206="","",(1/H206)*1000000)</f>
        <v/>
      </c>
      <c r="O206" s="88" t="str">
        <f t="shared" ref="O206:O211" si="60">IF(I206="","",(1/I206)*1000000)</f>
        <v/>
      </c>
    </row>
    <row r="207" spans="1:15" x14ac:dyDescent="0.25">
      <c r="A207" s="81" t="s">
        <v>11</v>
      </c>
      <c r="B207" s="82" t="s">
        <v>9</v>
      </c>
      <c r="C207" s="83" t="s">
        <v>12</v>
      </c>
      <c r="D207" s="84">
        <v>9612</v>
      </c>
      <c r="E207" s="84">
        <v>7995</v>
      </c>
      <c r="F207" s="84">
        <v>4162</v>
      </c>
      <c r="G207" s="85"/>
      <c r="H207" s="86"/>
      <c r="I207" s="86"/>
      <c r="J207" s="87">
        <f>IF(D207="","",(1/D207)*1000000)</f>
        <v>104.03662089055348</v>
      </c>
      <c r="K207" s="87">
        <f t="shared" si="56"/>
        <v>125.07817385866166</v>
      </c>
      <c r="L207" s="87">
        <f t="shared" si="57"/>
        <v>240.26910139356079</v>
      </c>
      <c r="M207" s="87" t="str">
        <f t="shared" si="58"/>
        <v/>
      </c>
      <c r="N207" s="87" t="str">
        <f t="shared" si="59"/>
        <v/>
      </c>
      <c r="O207" s="88" t="str">
        <f t="shared" si="60"/>
        <v/>
      </c>
    </row>
    <row r="208" spans="1:15" x14ac:dyDescent="0.25">
      <c r="A208" s="81" t="s">
        <v>13</v>
      </c>
      <c r="B208" s="82" t="s">
        <v>14</v>
      </c>
      <c r="C208" s="83" t="s">
        <v>10</v>
      </c>
      <c r="D208" s="84">
        <v>31701</v>
      </c>
      <c r="E208" s="84">
        <v>15288</v>
      </c>
      <c r="F208" s="84">
        <v>5378</v>
      </c>
      <c r="G208" s="85"/>
      <c r="H208" s="86"/>
      <c r="I208" s="86"/>
      <c r="J208" s="87">
        <f t="shared" ref="J208:J211" si="61">IF(D208="","",(1/D208)*1000000)</f>
        <v>31.544746222516643</v>
      </c>
      <c r="K208" s="87">
        <f t="shared" si="56"/>
        <v>65.410779696493989</v>
      </c>
      <c r="L208" s="87">
        <f t="shared" si="57"/>
        <v>185.94272963927111</v>
      </c>
      <c r="M208" s="87" t="str">
        <f t="shared" si="58"/>
        <v/>
      </c>
      <c r="N208" s="87" t="str">
        <f t="shared" si="59"/>
        <v/>
      </c>
      <c r="O208" s="88" t="str">
        <f t="shared" si="60"/>
        <v/>
      </c>
    </row>
    <row r="209" spans="1:15" x14ac:dyDescent="0.25">
      <c r="A209" s="81" t="s">
        <v>15</v>
      </c>
      <c r="B209" s="82" t="s">
        <v>14</v>
      </c>
      <c r="C209" s="83" t="s">
        <v>12</v>
      </c>
      <c r="D209" s="84">
        <v>9714</v>
      </c>
      <c r="E209" s="84">
        <v>7373</v>
      </c>
      <c r="F209" s="84">
        <v>3867</v>
      </c>
      <c r="G209" s="85"/>
      <c r="H209" s="86"/>
      <c r="I209" s="86"/>
      <c r="J209" s="87">
        <f t="shared" si="61"/>
        <v>102.94420424130121</v>
      </c>
      <c r="K209" s="87">
        <f t="shared" si="56"/>
        <v>135.6300013563</v>
      </c>
      <c r="L209" s="87">
        <f t="shared" si="57"/>
        <v>258.5983966899405</v>
      </c>
      <c r="M209" s="87" t="str">
        <f t="shared" si="58"/>
        <v/>
      </c>
      <c r="N209" s="87" t="str">
        <f t="shared" si="59"/>
        <v/>
      </c>
      <c r="O209" s="88" t="str">
        <f t="shared" si="60"/>
        <v/>
      </c>
    </row>
    <row r="210" spans="1:15" x14ac:dyDescent="0.25">
      <c r="A210" s="81" t="s">
        <v>16</v>
      </c>
      <c r="B210" s="82" t="s">
        <v>17</v>
      </c>
      <c r="C210" s="83" t="s">
        <v>12</v>
      </c>
      <c r="D210" s="84" t="s">
        <v>93</v>
      </c>
      <c r="E210" s="84" t="s">
        <v>93</v>
      </c>
      <c r="F210" s="84">
        <v>3901</v>
      </c>
      <c r="G210" s="85"/>
      <c r="H210" s="86"/>
      <c r="I210" s="86"/>
      <c r="J210" s="87" t="e">
        <f t="shared" si="61"/>
        <v>#VALUE!</v>
      </c>
      <c r="K210" s="87" t="e">
        <f t="shared" si="56"/>
        <v>#VALUE!</v>
      </c>
      <c r="L210" s="87">
        <f t="shared" si="57"/>
        <v>256.34452704434761</v>
      </c>
      <c r="M210" s="87" t="str">
        <f t="shared" si="58"/>
        <v/>
      </c>
      <c r="N210" s="87" t="str">
        <f t="shared" si="59"/>
        <v/>
      </c>
      <c r="O210" s="88" t="str">
        <f t="shared" si="60"/>
        <v/>
      </c>
    </row>
    <row r="211" spans="1:15" x14ac:dyDescent="0.25">
      <c r="A211" s="81" t="s">
        <v>18</v>
      </c>
      <c r="B211" s="82" t="s">
        <v>19</v>
      </c>
      <c r="C211" s="83" t="s">
        <v>12</v>
      </c>
      <c r="D211" s="84">
        <v>8544</v>
      </c>
      <c r="E211" s="84">
        <v>6453</v>
      </c>
      <c r="F211" s="84">
        <v>3824</v>
      </c>
      <c r="G211" s="85"/>
      <c r="H211" s="86"/>
      <c r="I211" s="86"/>
      <c r="J211" s="87">
        <f t="shared" si="61"/>
        <v>117.04119850187266</v>
      </c>
      <c r="K211" s="87">
        <f t="shared" si="56"/>
        <v>154.96668216333489</v>
      </c>
      <c r="L211" s="87">
        <f t="shared" si="57"/>
        <v>261.50627615062757</v>
      </c>
      <c r="M211" s="87" t="str">
        <f t="shared" si="58"/>
        <v/>
      </c>
      <c r="N211" s="87" t="str">
        <f t="shared" si="59"/>
        <v/>
      </c>
      <c r="O211" s="88" t="str">
        <f t="shared" si="60"/>
        <v/>
      </c>
    </row>
    <row r="212" spans="1:15" x14ac:dyDescent="0.25">
      <c r="A212" s="176" t="s">
        <v>180</v>
      </c>
      <c r="B212" s="177"/>
      <c r="C212" s="177"/>
      <c r="D212" s="177"/>
      <c r="E212" s="177"/>
      <c r="F212" s="177"/>
      <c r="G212" s="157" t="s">
        <v>172</v>
      </c>
      <c r="H212" s="157"/>
      <c r="I212" s="89"/>
      <c r="J212" s="89"/>
      <c r="K212" s="89"/>
      <c r="L212" s="89"/>
      <c r="M212" s="89"/>
      <c r="N212" s="89"/>
      <c r="O212" s="90"/>
    </row>
    <row r="213" spans="1:15" ht="18.75" x14ac:dyDescent="0.3">
      <c r="A213" s="180" t="s">
        <v>149</v>
      </c>
      <c r="B213" s="178"/>
      <c r="C213" s="178"/>
      <c r="D213" s="178"/>
      <c r="E213" s="178"/>
      <c r="F213" s="178"/>
      <c r="G213" s="178"/>
      <c r="H213" s="178"/>
      <c r="I213" s="178"/>
      <c r="J213" s="178"/>
      <c r="K213" s="178"/>
      <c r="L213" s="178"/>
      <c r="M213" s="178"/>
      <c r="N213" s="178"/>
      <c r="O213" s="179"/>
    </row>
    <row r="214" spans="1:15" x14ac:dyDescent="0.25">
      <c r="A214" s="167" t="s">
        <v>2</v>
      </c>
      <c r="B214" s="168"/>
      <c r="C214" s="168"/>
      <c r="D214" s="169" t="s">
        <v>20</v>
      </c>
      <c r="E214" s="169"/>
      <c r="F214" s="169"/>
      <c r="G214" s="169"/>
      <c r="H214" s="169"/>
      <c r="I214" s="169"/>
      <c r="J214" s="169" t="s">
        <v>23</v>
      </c>
      <c r="K214" s="169"/>
      <c r="L214" s="169"/>
      <c r="M214" s="169"/>
      <c r="N214" s="169"/>
      <c r="O214" s="170"/>
    </row>
    <row r="215" spans="1:15" x14ac:dyDescent="0.25">
      <c r="A215" s="76" t="s">
        <v>5</v>
      </c>
      <c r="B215" s="77" t="s">
        <v>6</v>
      </c>
      <c r="C215" s="77" t="s">
        <v>7</v>
      </c>
      <c r="D215" s="79">
        <v>1</v>
      </c>
      <c r="E215" s="79">
        <v>4</v>
      </c>
      <c r="F215" s="79">
        <v>16</v>
      </c>
      <c r="G215" s="79">
        <v>32</v>
      </c>
      <c r="H215" s="79">
        <v>64</v>
      </c>
      <c r="I215" s="79">
        <v>80</v>
      </c>
      <c r="J215" s="79">
        <v>1</v>
      </c>
      <c r="K215" s="79">
        <v>4</v>
      </c>
      <c r="L215" s="79">
        <v>16</v>
      </c>
      <c r="M215" s="79">
        <v>32</v>
      </c>
      <c r="N215" s="79">
        <v>64</v>
      </c>
      <c r="O215" s="80">
        <v>80</v>
      </c>
    </row>
    <row r="216" spans="1:15" x14ac:dyDescent="0.25">
      <c r="A216" s="81" t="s">
        <v>8</v>
      </c>
      <c r="B216" s="82" t="s">
        <v>9</v>
      </c>
      <c r="C216" s="82" t="s">
        <v>10</v>
      </c>
      <c r="D216" s="91">
        <f>IF(D206="","",(D206-'2017'!D495)/'2017'!D495)</f>
        <v>-0.42129564524445695</v>
      </c>
      <c r="E216" s="91">
        <f>IF(E206="","",(E206-'2017'!E495)/'2017'!E495)</f>
        <v>-3.3011272141706925E-2</v>
      </c>
      <c r="F216" s="91">
        <f>IF(F206="","",(F206-'2017'!F495)/'2017'!F495)</f>
        <v>0.12519781958853526</v>
      </c>
      <c r="G216" s="91" t="str">
        <f>IF(G206="","",(G206-'2014'!#REF!)/'2014'!#REF!)</f>
        <v/>
      </c>
      <c r="H216" s="91" t="str">
        <f>IF(H206="","",(H206-'2014'!#REF!)/'2014'!#REF!)</f>
        <v/>
      </c>
      <c r="I216" s="87" t="str">
        <f>IF(I206="","",(I206-'2014'!#REF!)/'2014'!#REF!)</f>
        <v/>
      </c>
      <c r="J216" s="87"/>
      <c r="K216" s="87"/>
      <c r="L216" s="87"/>
      <c r="M216" s="87" t="str">
        <f>IF(G216="","",M206-((1/'Proto 2013'!#REF!)*1000000))</f>
        <v/>
      </c>
      <c r="N216" s="87" t="str">
        <f>IF(H216="","",N206-((1/'Proto 2013'!#REF!)*1000000))</f>
        <v/>
      </c>
      <c r="O216" s="88" t="str">
        <f>IF(I216="","",O206-((1/'Proto 2013'!#REF!)*1000000))</f>
        <v/>
      </c>
    </row>
    <row r="217" spans="1:15" x14ac:dyDescent="0.25">
      <c r="A217" s="81" t="s">
        <v>11</v>
      </c>
      <c r="B217" s="82" t="s">
        <v>9</v>
      </c>
      <c r="C217" s="82" t="s">
        <v>12</v>
      </c>
      <c r="D217" s="91">
        <f>IF(D207="","",(D207-'2017'!D496)/'2017'!D496)</f>
        <v>-3.6970243462578899E-2</v>
      </c>
      <c r="E217" s="91">
        <f>IF(E207="","",(E207-'2017'!E496)/'2017'!E496)</f>
        <v>3.9526719542322196E-2</v>
      </c>
      <c r="F217" s="91">
        <f>IF(F207="","",(F207-'2017'!F496)/'2017'!F496)</f>
        <v>0.1146223888591323</v>
      </c>
      <c r="G217" s="91" t="str">
        <f>IF(G207="","",(G207-'2014'!#REF!)/'2014'!#REF!)</f>
        <v/>
      </c>
      <c r="H217" s="91" t="str">
        <f>IF(H207="","",(H207-'2014'!#REF!)/'2014'!#REF!)</f>
        <v/>
      </c>
      <c r="I217" s="91" t="str">
        <f>IF(I207="","",(I207-'2014'!#REF!)/'2014'!#REF!)</f>
        <v/>
      </c>
      <c r="J217" s="87"/>
      <c r="K217" s="87"/>
      <c r="L217" s="87"/>
      <c r="M217" s="87" t="str">
        <f>IF(G217="","",M207-((1/'Proto 2013'!#REF!)*1000000))</f>
        <v/>
      </c>
      <c r="N217" s="87" t="str">
        <f>IF(H217="","",N207-((1/'Proto 2013'!#REF!)*1000000))</f>
        <v/>
      </c>
      <c r="O217" s="88" t="str">
        <f>IF(I217="","",O207-((1/'Proto 2013'!#REF!)*1000000))</f>
        <v/>
      </c>
    </row>
    <row r="218" spans="1:15" x14ac:dyDescent="0.25">
      <c r="A218" s="81" t="s">
        <v>13</v>
      </c>
      <c r="B218" s="82" t="s">
        <v>14</v>
      </c>
      <c r="C218" s="82" t="s">
        <v>10</v>
      </c>
      <c r="D218" s="91">
        <f>IF(D208="","",(D208-'2017'!D497)/'2017'!D497)</f>
        <v>-0.26618055555555553</v>
      </c>
      <c r="E218" s="91">
        <f>IF(E208="","",(E208-'2017'!E497)/'2017'!E497)</f>
        <v>-0.1311661741304842</v>
      </c>
      <c r="F218" s="91">
        <f>IF(F208="","",(F208-'2017'!F497)/'2017'!F497)</f>
        <v>-1.8254837531945966E-2</v>
      </c>
      <c r="G218" s="91" t="str">
        <f>IF(G208="","",(G208-'2014'!#REF!)/'2014'!#REF!)</f>
        <v/>
      </c>
      <c r="H218" s="91" t="str">
        <f>IF(H208="","",(H208-'2014'!#REF!)/'2014'!#REF!)</f>
        <v/>
      </c>
      <c r="I218" s="91" t="str">
        <f>IF(I208="","",(I208-'2014'!#REF!)/'2014'!#REF!)</f>
        <v/>
      </c>
      <c r="J218" s="87"/>
      <c r="K218" s="87"/>
      <c r="L218" s="87"/>
      <c r="M218" s="87" t="str">
        <f>IF(G218="","",M208-((1/'Proto 2013'!#REF!)*1000000))</f>
        <v/>
      </c>
      <c r="N218" s="87" t="str">
        <f>IF(H218="","",N208-((1/'Proto 2013'!#REF!)*1000000))</f>
        <v/>
      </c>
      <c r="O218" s="88" t="str">
        <f>IF(I218="","",O208-((1/'Proto 2013'!#REF!)*1000000))</f>
        <v/>
      </c>
    </row>
    <row r="219" spans="1:15" x14ac:dyDescent="0.25">
      <c r="A219" s="81" t="s">
        <v>15</v>
      </c>
      <c r="B219" s="82" t="s">
        <v>14</v>
      </c>
      <c r="C219" s="82" t="s">
        <v>12</v>
      </c>
      <c r="D219" s="91">
        <f>IF(D209="","",(D209-'2017'!D498)/'2017'!D498)</f>
        <v>7.981325033348155E-2</v>
      </c>
      <c r="E219" s="91">
        <f>IF(E209="","",(E209-'2017'!E498)/'2017'!E498)</f>
        <v>7.2404371584699452E-3</v>
      </c>
      <c r="F219" s="91">
        <f>IF(F209="","",(F209-'2017'!F498)/'2017'!F498)</f>
        <v>0</v>
      </c>
      <c r="G219" s="91" t="str">
        <f>IF(G209="","",(G209-'2014'!#REF!)/'2014'!#REF!)</f>
        <v/>
      </c>
      <c r="H219" s="91" t="str">
        <f>IF(H209="","",(H209-'2014'!#REF!)/'2014'!#REF!)</f>
        <v/>
      </c>
      <c r="I219" s="91" t="str">
        <f>IF(I209="","",(I209-'2014'!#REF!)/'2014'!#REF!)</f>
        <v/>
      </c>
      <c r="J219" s="87"/>
      <c r="K219" s="87"/>
      <c r="L219" s="87"/>
      <c r="M219" s="87" t="str">
        <f>IF(G219="","",M209-((1/'Proto 2013'!#REF!)*1000000))</f>
        <v/>
      </c>
      <c r="N219" s="87" t="str">
        <f>IF(H219="","",N209-((1/'Proto 2013'!#REF!)*1000000))</f>
        <v/>
      </c>
      <c r="O219" s="88" t="str">
        <f>IF(I219="","",O209-((1/'Proto 2013'!#REF!)*1000000))</f>
        <v/>
      </c>
    </row>
    <row r="220" spans="1:15" x14ac:dyDescent="0.25">
      <c r="A220" s="81" t="s">
        <v>16</v>
      </c>
      <c r="B220" s="82" t="s">
        <v>17</v>
      </c>
      <c r="C220" s="82" t="s">
        <v>12</v>
      </c>
      <c r="D220" s="91" t="e">
        <f>IF(D210="","",(D210-'2017'!D499)/'2017'!D499)</f>
        <v>#VALUE!</v>
      </c>
      <c r="E220" s="91" t="e">
        <f>IF(E210="","",(E210-'2017'!E499)/'2017'!E499)</f>
        <v>#VALUE!</v>
      </c>
      <c r="F220" s="91">
        <f>IF(F210="","",(F210-'2017'!F499)/'2017'!F499)</f>
        <v>8.7923454874579785E-3</v>
      </c>
      <c r="G220" s="91" t="str">
        <f>IF(G210="","",(G210-'2014'!#REF!)/'2014'!#REF!)</f>
        <v/>
      </c>
      <c r="H220" s="91" t="str">
        <f>IF(H210="","",(H210-'2014'!#REF!)/'2014'!#REF!)</f>
        <v/>
      </c>
      <c r="I220" s="91" t="str">
        <f>IF(I210="","",(I210-'2014'!#REF!)/'2014'!#REF!)</f>
        <v/>
      </c>
      <c r="J220" s="87"/>
      <c r="K220" s="87"/>
      <c r="L220" s="87"/>
      <c r="M220" s="87" t="str">
        <f>IF(G220="","",M210-((1/'Proto 2013'!#REF!)*1000000))</f>
        <v/>
      </c>
      <c r="N220" s="87" t="str">
        <f>IF(H220="","",N210-((1/'Proto 2013'!#REF!)*1000000))</f>
        <v/>
      </c>
      <c r="O220" s="88" t="str">
        <f>IF(I220="","",O210-((1/'Proto 2013'!#REF!)*1000000))</f>
        <v/>
      </c>
    </row>
    <row r="221" spans="1:15" ht="15.75" thickBot="1" x14ac:dyDescent="0.3">
      <c r="A221" s="92" t="s">
        <v>18</v>
      </c>
      <c r="B221" s="93" t="s">
        <v>19</v>
      </c>
      <c r="C221" s="93" t="s">
        <v>12</v>
      </c>
      <c r="D221" s="91">
        <f>IF(D211="","",(D211-'2017'!D500)/'2017'!D500)</f>
        <v>7.428369296073576E-3</v>
      </c>
      <c r="E221" s="91">
        <f>IF(E211="","",(E211-'2017'!E500)/'2017'!E500)</f>
        <v>-5.2840158520475564E-2</v>
      </c>
      <c r="F221" s="91">
        <f>IF(F211="","",(F211-'2017'!F500)/'2017'!F500)</f>
        <v>-8.2987551867219917E-3</v>
      </c>
      <c r="G221" s="94" t="str">
        <f>IF(G211="","",(G211-'2014'!#REF!)/'2014'!#REF!)</f>
        <v/>
      </c>
      <c r="H221" s="94" t="str">
        <f>IF(H211="","",(H211-'2014'!#REF!)/'2014'!#REF!)</f>
        <v/>
      </c>
      <c r="I221" s="94" t="str">
        <f>IF(I211="","",(I211-'2014'!#REF!)/'2014'!#REF!)</f>
        <v/>
      </c>
      <c r="J221" s="95"/>
      <c r="K221" s="95"/>
      <c r="L221" s="95"/>
      <c r="M221" s="95" t="str">
        <f>IF(G221="","",M211-((1/'Proto 2013'!#REF!)*1000000))</f>
        <v/>
      </c>
      <c r="N221" s="95" t="str">
        <f>IF(H221="","",N211-((1/'Proto 2013'!#REF!)*1000000))</f>
        <v/>
      </c>
      <c r="O221" s="96" t="str">
        <f>IF(I221="","",O211-((1/'Proto 2013'!#REF!)*1000000))</f>
        <v/>
      </c>
    </row>
    <row r="222" spans="1:15" ht="18.75" x14ac:dyDescent="0.25">
      <c r="A222" s="171" t="s">
        <v>155</v>
      </c>
      <c r="B222" s="172"/>
      <c r="C222" s="172"/>
      <c r="D222" s="172"/>
      <c r="E222" s="172"/>
      <c r="F222" s="172"/>
      <c r="G222" s="172"/>
      <c r="H222" s="172"/>
      <c r="I222" s="172"/>
      <c r="J222" s="172"/>
      <c r="K222" s="172"/>
      <c r="L222" s="172"/>
      <c r="M222" s="172"/>
      <c r="N222" s="172"/>
      <c r="O222" s="173"/>
    </row>
    <row r="223" spans="1:15" ht="15.75" x14ac:dyDescent="0.25">
      <c r="A223" s="165" t="s">
        <v>181</v>
      </c>
      <c r="B223" s="174"/>
      <c r="C223" s="174"/>
      <c r="D223" s="174"/>
      <c r="E223" s="174"/>
      <c r="F223" s="174"/>
      <c r="G223" s="174"/>
      <c r="H223" s="174"/>
      <c r="I223" s="174"/>
      <c r="J223" s="174"/>
      <c r="K223" s="174"/>
      <c r="L223" s="174"/>
      <c r="M223" s="174"/>
      <c r="N223" s="174"/>
      <c r="O223" s="175"/>
    </row>
    <row r="224" spans="1:15" x14ac:dyDescent="0.25">
      <c r="A224" s="167" t="s">
        <v>2</v>
      </c>
      <c r="B224" s="168"/>
      <c r="C224" s="168"/>
      <c r="D224" s="169" t="s">
        <v>3</v>
      </c>
      <c r="E224" s="169"/>
      <c r="F224" s="169"/>
      <c r="G224" s="169"/>
      <c r="H224" s="169"/>
      <c r="I224" s="169"/>
      <c r="J224" s="169" t="s">
        <v>4</v>
      </c>
      <c r="K224" s="169"/>
      <c r="L224" s="169"/>
      <c r="M224" s="169"/>
      <c r="N224" s="169"/>
      <c r="O224" s="170"/>
    </row>
    <row r="225" spans="1:15" x14ac:dyDescent="0.25">
      <c r="A225" s="76" t="s">
        <v>5</v>
      </c>
      <c r="B225" s="77" t="s">
        <v>6</v>
      </c>
      <c r="C225" s="77" t="s">
        <v>7</v>
      </c>
      <c r="D225" s="78">
        <v>1</v>
      </c>
      <c r="E225" s="78">
        <v>4</v>
      </c>
      <c r="F225" s="78">
        <v>16</v>
      </c>
      <c r="G225" s="79">
        <v>32</v>
      </c>
      <c r="H225" s="79">
        <v>64</v>
      </c>
      <c r="I225" s="79">
        <v>80</v>
      </c>
      <c r="J225" s="79">
        <v>1</v>
      </c>
      <c r="K225" s="79">
        <v>4</v>
      </c>
      <c r="L225" s="79">
        <v>16</v>
      </c>
      <c r="M225" s="79">
        <v>32</v>
      </c>
      <c r="N225" s="79">
        <v>64</v>
      </c>
      <c r="O225" s="80">
        <v>80</v>
      </c>
    </row>
    <row r="226" spans="1:15" x14ac:dyDescent="0.25">
      <c r="A226" s="81" t="s">
        <v>8</v>
      </c>
      <c r="B226" s="82" t="s">
        <v>9</v>
      </c>
      <c r="C226" s="83" t="s">
        <v>10</v>
      </c>
      <c r="D226" s="84">
        <v>42452</v>
      </c>
      <c r="E226" s="84">
        <v>20094</v>
      </c>
      <c r="F226" s="84">
        <v>6003</v>
      </c>
      <c r="G226" s="85"/>
      <c r="H226" s="86"/>
      <c r="I226" s="86"/>
      <c r="J226" s="87">
        <f>IF(D226="","",(1/D226)*1000000)</f>
        <v>23.556016206539152</v>
      </c>
      <c r="K226" s="87">
        <f t="shared" ref="K226:K231" si="62">IF(E226="","",(1/E226)*1000000)</f>
        <v>49.766099333134271</v>
      </c>
      <c r="L226" s="87">
        <f t="shared" ref="L226:L231" si="63">IF(F226="","",(1/F226)*1000000)</f>
        <v>166.58337497917708</v>
      </c>
      <c r="M226" s="87" t="str">
        <f t="shared" ref="M226:M231" si="64">IF(G226="","",(1/G226)*1000000)</f>
        <v/>
      </c>
      <c r="N226" s="87" t="str">
        <f t="shared" ref="N226:N231" si="65">IF(H226="","",(1/H226)*1000000)</f>
        <v/>
      </c>
      <c r="O226" s="88" t="str">
        <f t="shared" ref="O226:O231" si="66">IF(I226="","",(1/I226)*1000000)</f>
        <v/>
      </c>
    </row>
    <row r="227" spans="1:15" x14ac:dyDescent="0.25">
      <c r="A227" s="81" t="s">
        <v>11</v>
      </c>
      <c r="B227" s="82" t="s">
        <v>9</v>
      </c>
      <c r="C227" s="83" t="s">
        <v>12</v>
      </c>
      <c r="D227" s="84">
        <v>10185</v>
      </c>
      <c r="E227" s="84">
        <v>7890</v>
      </c>
      <c r="F227" s="84">
        <v>4211</v>
      </c>
      <c r="G227" s="85"/>
      <c r="H227" s="86"/>
      <c r="I227" s="86"/>
      <c r="J227" s="87">
        <f>IF(D227="","",(1/D227)*1000000)</f>
        <v>98.18360333824252</v>
      </c>
      <c r="K227" s="87">
        <f t="shared" si="62"/>
        <v>126.74271229404309</v>
      </c>
      <c r="L227" s="87">
        <f t="shared" si="63"/>
        <v>237.47328425552126</v>
      </c>
      <c r="M227" s="87" t="str">
        <f t="shared" si="64"/>
        <v/>
      </c>
      <c r="N227" s="87" t="str">
        <f t="shared" si="65"/>
        <v/>
      </c>
      <c r="O227" s="88" t="str">
        <f t="shared" si="66"/>
        <v/>
      </c>
    </row>
    <row r="228" spans="1:15" x14ac:dyDescent="0.25">
      <c r="A228" s="81" t="s">
        <v>13</v>
      </c>
      <c r="B228" s="82" t="s">
        <v>14</v>
      </c>
      <c r="C228" s="83" t="s">
        <v>10</v>
      </c>
      <c r="D228" s="84">
        <v>37724</v>
      </c>
      <c r="E228" s="84">
        <v>15977</v>
      </c>
      <c r="F228" s="84">
        <v>5534</v>
      </c>
      <c r="G228" s="85"/>
      <c r="H228" s="86"/>
      <c r="I228" s="86"/>
      <c r="J228" s="87">
        <f t="shared" ref="J228:J231" si="67">IF(D228="","",(1/D228)*1000000)</f>
        <v>26.508323613614678</v>
      </c>
      <c r="K228" s="87">
        <f t="shared" si="62"/>
        <v>62.589973086311566</v>
      </c>
      <c r="L228" s="87">
        <f t="shared" si="63"/>
        <v>180.70112034694617</v>
      </c>
      <c r="M228" s="87" t="str">
        <f t="shared" si="64"/>
        <v/>
      </c>
      <c r="N228" s="87" t="str">
        <f t="shared" si="65"/>
        <v/>
      </c>
      <c r="O228" s="88" t="str">
        <f t="shared" si="66"/>
        <v/>
      </c>
    </row>
    <row r="229" spans="1:15" x14ac:dyDescent="0.25">
      <c r="A229" s="81" t="s">
        <v>15</v>
      </c>
      <c r="B229" s="82" t="s">
        <v>14</v>
      </c>
      <c r="C229" s="83" t="s">
        <v>12</v>
      </c>
      <c r="D229" s="84">
        <v>9547</v>
      </c>
      <c r="E229" s="84">
        <v>7175</v>
      </c>
      <c r="F229" s="84">
        <v>3734</v>
      </c>
      <c r="G229" s="85"/>
      <c r="H229" s="86"/>
      <c r="I229" s="86"/>
      <c r="J229" s="87">
        <f t="shared" si="67"/>
        <v>104.74494605635277</v>
      </c>
      <c r="K229" s="87">
        <f t="shared" si="62"/>
        <v>139.37282229965157</v>
      </c>
      <c r="L229" s="87">
        <f t="shared" si="63"/>
        <v>267.80931976432777</v>
      </c>
      <c r="M229" s="87" t="str">
        <f t="shared" si="64"/>
        <v/>
      </c>
      <c r="N229" s="87" t="str">
        <f t="shared" si="65"/>
        <v/>
      </c>
      <c r="O229" s="88" t="str">
        <f t="shared" si="66"/>
        <v/>
      </c>
    </row>
    <row r="230" spans="1:15" x14ac:dyDescent="0.25">
      <c r="A230" s="81" t="s">
        <v>16</v>
      </c>
      <c r="B230" s="82" t="s">
        <v>17</v>
      </c>
      <c r="C230" s="83" t="s">
        <v>12</v>
      </c>
      <c r="D230" s="84">
        <v>8706</v>
      </c>
      <c r="E230" s="84">
        <v>6824</v>
      </c>
      <c r="F230" s="84">
        <v>3966</v>
      </c>
      <c r="G230" s="85"/>
      <c r="H230" s="86"/>
      <c r="I230" s="86"/>
      <c r="J230" s="87">
        <f t="shared" si="67"/>
        <v>114.86331265793706</v>
      </c>
      <c r="K230" s="87">
        <f t="shared" si="62"/>
        <v>146.54161781946073</v>
      </c>
      <c r="L230" s="87">
        <f t="shared" si="63"/>
        <v>252.14321734745337</v>
      </c>
      <c r="M230" s="87" t="str">
        <f t="shared" si="64"/>
        <v/>
      </c>
      <c r="N230" s="87" t="str">
        <f t="shared" si="65"/>
        <v/>
      </c>
      <c r="O230" s="88" t="str">
        <f t="shared" si="66"/>
        <v/>
      </c>
    </row>
    <row r="231" spans="1:15" x14ac:dyDescent="0.25">
      <c r="A231" s="81" t="s">
        <v>18</v>
      </c>
      <c r="B231" s="82" t="s">
        <v>19</v>
      </c>
      <c r="C231" s="83" t="s">
        <v>12</v>
      </c>
      <c r="D231" s="84">
        <v>8462</v>
      </c>
      <c r="E231" s="84">
        <v>6113</v>
      </c>
      <c r="F231" s="84">
        <v>3734</v>
      </c>
      <c r="G231" s="85"/>
      <c r="H231" s="86"/>
      <c r="I231" s="86"/>
      <c r="J231" s="87">
        <f t="shared" si="67"/>
        <v>118.1753722524226</v>
      </c>
      <c r="K231" s="87">
        <f t="shared" si="62"/>
        <v>163.58580075249469</v>
      </c>
      <c r="L231" s="87">
        <f t="shared" si="63"/>
        <v>267.80931976432777</v>
      </c>
      <c r="M231" s="87" t="str">
        <f t="shared" si="64"/>
        <v/>
      </c>
      <c r="N231" s="87" t="str">
        <f t="shared" si="65"/>
        <v/>
      </c>
      <c r="O231" s="88" t="str">
        <f t="shared" si="66"/>
        <v/>
      </c>
    </row>
    <row r="232" spans="1:15" x14ac:dyDescent="0.25">
      <c r="A232" s="176" t="s">
        <v>182</v>
      </c>
      <c r="B232" s="177"/>
      <c r="C232" s="177"/>
      <c r="D232" s="177"/>
      <c r="E232" s="177"/>
      <c r="F232" s="177"/>
      <c r="G232" s="157" t="s">
        <v>183</v>
      </c>
      <c r="H232" s="157"/>
      <c r="I232" s="157"/>
      <c r="J232" s="98" t="s">
        <v>184</v>
      </c>
      <c r="M232" s="157" t="s">
        <v>172</v>
      </c>
      <c r="N232" s="157"/>
      <c r="O232" s="90"/>
    </row>
    <row r="233" spans="1:15" ht="18.75" x14ac:dyDescent="0.3">
      <c r="A233" s="180" t="s">
        <v>149</v>
      </c>
      <c r="B233" s="178"/>
      <c r="C233" s="178"/>
      <c r="D233" s="178"/>
      <c r="E233" s="178"/>
      <c r="F233" s="178"/>
      <c r="G233" s="178"/>
      <c r="H233" s="178"/>
      <c r="I233" s="178"/>
      <c r="J233" s="178"/>
      <c r="K233" s="178"/>
      <c r="L233" s="178"/>
      <c r="M233" s="178"/>
      <c r="N233" s="178"/>
      <c r="O233" s="179"/>
    </row>
    <row r="234" spans="1:15" x14ac:dyDescent="0.25">
      <c r="A234" s="167" t="s">
        <v>2</v>
      </c>
      <c r="B234" s="168"/>
      <c r="C234" s="168"/>
      <c r="D234" s="169" t="s">
        <v>20</v>
      </c>
      <c r="E234" s="169"/>
      <c r="F234" s="169"/>
      <c r="G234" s="169"/>
      <c r="H234" s="169"/>
      <c r="I234" s="169"/>
      <c r="J234" s="169" t="s">
        <v>23</v>
      </c>
      <c r="K234" s="169"/>
      <c r="L234" s="169"/>
      <c r="M234" s="169"/>
      <c r="N234" s="169"/>
      <c r="O234" s="170"/>
    </row>
    <row r="235" spans="1:15" x14ac:dyDescent="0.25">
      <c r="A235" s="76" t="s">
        <v>5</v>
      </c>
      <c r="B235" s="77" t="s">
        <v>6</v>
      </c>
      <c r="C235" s="77" t="s">
        <v>7</v>
      </c>
      <c r="D235" s="79">
        <v>1</v>
      </c>
      <c r="E235" s="79">
        <v>4</v>
      </c>
      <c r="F235" s="79">
        <v>16</v>
      </c>
      <c r="G235" s="79">
        <v>32</v>
      </c>
      <c r="H235" s="79">
        <v>64</v>
      </c>
      <c r="I235" s="79">
        <v>80</v>
      </c>
      <c r="J235" s="79">
        <v>1</v>
      </c>
      <c r="K235" s="79">
        <v>4</v>
      </c>
      <c r="L235" s="79">
        <v>16</v>
      </c>
      <c r="M235" s="79">
        <v>32</v>
      </c>
      <c r="N235" s="79">
        <v>64</v>
      </c>
      <c r="O235" s="80">
        <v>80</v>
      </c>
    </row>
    <row r="236" spans="1:15" x14ac:dyDescent="0.25">
      <c r="A236" s="81" t="s">
        <v>8</v>
      </c>
      <c r="B236" s="82" t="s">
        <v>9</v>
      </c>
      <c r="C236" s="82" t="s">
        <v>10</v>
      </c>
      <c r="D236" s="91">
        <f>IF(D226="","",(D226-'2017'!D495)/'2017'!D495)</f>
        <v>-5.015703370365162E-3</v>
      </c>
      <c r="E236" s="91">
        <f>IF(E226="","",(E226-'2017'!E495)/'2017'!E495)</f>
        <v>-4.8309178743961352E-2</v>
      </c>
      <c r="F236" s="91">
        <f>IF(F226="","",(F226-'2017'!F495)/'2017'!F495)</f>
        <v>5.55653244241252E-2</v>
      </c>
      <c r="G236" s="91" t="str">
        <f>IF(G226="","",(G226-'2014'!#REF!)/'2014'!#REF!)</f>
        <v/>
      </c>
      <c r="H236" s="91" t="str">
        <f>IF(H226="","",(H226-'2014'!#REF!)/'2014'!#REF!)</f>
        <v/>
      </c>
      <c r="I236" s="87" t="str">
        <f>IF(I226="","",(I226-'2014'!#REF!)/'2014'!#REF!)</f>
        <v/>
      </c>
      <c r="J236" s="87"/>
      <c r="K236" s="87"/>
      <c r="L236" s="87"/>
      <c r="M236" s="87" t="str">
        <f>IF(G236="","",M226-((1/'Proto 2013'!#REF!)*1000000))</f>
        <v/>
      </c>
      <c r="N236" s="87" t="str">
        <f>IF(H236="","",N226-((1/'Proto 2013'!#REF!)*1000000))</f>
        <v/>
      </c>
      <c r="O236" s="88" t="str">
        <f>IF(I236="","",O226-((1/'Proto 2013'!#REF!)*1000000))</f>
        <v/>
      </c>
    </row>
    <row r="237" spans="1:15" x14ac:dyDescent="0.25">
      <c r="A237" s="81" t="s">
        <v>11</v>
      </c>
      <c r="B237" s="82" t="s">
        <v>9</v>
      </c>
      <c r="C237" s="82" t="s">
        <v>12</v>
      </c>
      <c r="D237" s="91">
        <f>IF(D227="","",(D227-'2017'!D496)/'2017'!D496)</f>
        <v>2.0438833784189959E-2</v>
      </c>
      <c r="E237" s="91">
        <f>IF(E227="","",(E227-'2017'!E496)/'2017'!E496)</f>
        <v>2.5874398647770122E-2</v>
      </c>
      <c r="F237" s="91">
        <f>IF(F227="","",(F227-'2017'!F496)/'2017'!F496)</f>
        <v>0.12774504552758437</v>
      </c>
      <c r="G237" s="91" t="str">
        <f>IF(G227="","",(G227-'2014'!#REF!)/'2014'!#REF!)</f>
        <v/>
      </c>
      <c r="H237" s="91" t="str">
        <f>IF(H227="","",(H227-'2014'!#REF!)/'2014'!#REF!)</f>
        <v/>
      </c>
      <c r="I237" s="91" t="str">
        <f>IF(I227="","",(I227-'2014'!#REF!)/'2014'!#REF!)</f>
        <v/>
      </c>
      <c r="J237" s="87"/>
      <c r="K237" s="87"/>
      <c r="L237" s="87"/>
      <c r="M237" s="87" t="str">
        <f>IF(G237="","",M227-((1/'Proto 2013'!#REF!)*1000000))</f>
        <v/>
      </c>
      <c r="N237" s="87" t="str">
        <f>IF(H237="","",N227-((1/'Proto 2013'!#REF!)*1000000))</f>
        <v/>
      </c>
      <c r="O237" s="88" t="str">
        <f>IF(I237="","",O227-((1/'Proto 2013'!#REF!)*1000000))</f>
        <v/>
      </c>
    </row>
    <row r="238" spans="1:15" x14ac:dyDescent="0.25">
      <c r="A238" s="81" t="s">
        <v>13</v>
      </c>
      <c r="B238" s="82" t="s">
        <v>14</v>
      </c>
      <c r="C238" s="82" t="s">
        <v>10</v>
      </c>
      <c r="D238" s="91">
        <f>IF(D228="","",(D228-'2017'!D497)/'2017'!D497)</f>
        <v>-0.12675925925925927</v>
      </c>
      <c r="E238" s="91">
        <f>IF(E228="","",(E228-'2017'!E497)/'2017'!E497)</f>
        <v>-9.2009547624460106E-2</v>
      </c>
      <c r="F238" s="91">
        <f>IF(F228="","",(F228-'2017'!F497)/'2017'!F497)</f>
        <v>1.022270901788974E-2</v>
      </c>
      <c r="G238" s="91" t="str">
        <f>IF(G228="","",(G228-'2014'!#REF!)/'2014'!#REF!)</f>
        <v/>
      </c>
      <c r="H238" s="91" t="str">
        <f>IF(H228="","",(H228-'2014'!#REF!)/'2014'!#REF!)</f>
        <v/>
      </c>
      <c r="I238" s="91" t="str">
        <f>IF(I228="","",(I228-'2014'!#REF!)/'2014'!#REF!)</f>
        <v/>
      </c>
      <c r="J238" s="87"/>
      <c r="K238" s="87"/>
      <c r="L238" s="87"/>
      <c r="M238" s="87" t="str">
        <f>IF(G238="","",M228-((1/'Proto 2013'!#REF!)*1000000))</f>
        <v/>
      </c>
      <c r="N238" s="87" t="str">
        <f>IF(H238="","",N228-((1/'Proto 2013'!#REF!)*1000000))</f>
        <v/>
      </c>
      <c r="O238" s="88" t="str">
        <f>IF(I238="","",O228-((1/'Proto 2013'!#REF!)*1000000))</f>
        <v/>
      </c>
    </row>
    <row r="239" spans="1:15" x14ac:dyDescent="0.25">
      <c r="A239" s="81" t="s">
        <v>15</v>
      </c>
      <c r="B239" s="82" t="s">
        <v>14</v>
      </c>
      <c r="C239" s="82" t="s">
        <v>12</v>
      </c>
      <c r="D239" s="91">
        <f>IF(D229="","",(D229-'2017'!D498)/'2017'!D498)</f>
        <v>6.1249444197421073E-2</v>
      </c>
      <c r="E239" s="91">
        <f>IF(E229="","",(E229-'2017'!E498)/'2017'!E498)</f>
        <v>-1.9808743169398908E-2</v>
      </c>
      <c r="F239" s="91">
        <f>IF(F229="","",(F229-'2017'!F498)/'2017'!F498)</f>
        <v>-3.439358675976209E-2</v>
      </c>
      <c r="G239" s="91" t="str">
        <f>IF(G229="","",(G229-'2014'!#REF!)/'2014'!#REF!)</f>
        <v/>
      </c>
      <c r="H239" s="91" t="str">
        <f>IF(H229="","",(H229-'2014'!#REF!)/'2014'!#REF!)</f>
        <v/>
      </c>
      <c r="I239" s="91" t="str">
        <f>IF(I229="","",(I229-'2014'!#REF!)/'2014'!#REF!)</f>
        <v/>
      </c>
      <c r="J239" s="87"/>
      <c r="K239" s="87"/>
      <c r="L239" s="87"/>
      <c r="M239" s="87" t="str">
        <f>IF(G239="","",M229-((1/'Proto 2013'!#REF!)*1000000))</f>
        <v/>
      </c>
      <c r="N239" s="87" t="str">
        <f>IF(H239="","",N229-((1/'Proto 2013'!#REF!)*1000000))</f>
        <v/>
      </c>
      <c r="O239" s="88" t="str">
        <f>IF(I239="","",O229-((1/'Proto 2013'!#REF!)*1000000))</f>
        <v/>
      </c>
    </row>
    <row r="240" spans="1:15" x14ac:dyDescent="0.25">
      <c r="A240" s="81" t="s">
        <v>16</v>
      </c>
      <c r="B240" s="82" t="s">
        <v>17</v>
      </c>
      <c r="C240" s="82" t="s">
        <v>12</v>
      </c>
      <c r="D240" s="91">
        <f>IF(D230="","",(D230-'2017'!D499)/'2017'!D499)</f>
        <v>3.1109574835810577E-3</v>
      </c>
      <c r="E240" s="91">
        <f>IF(E230="","",(E230-'2017'!E499)/'2017'!E499)</f>
        <v>3.143893591293833E-2</v>
      </c>
      <c r="F240" s="91">
        <f>IF(F230="","",(F230-'2017'!F499)/'2017'!F499)</f>
        <v>2.560124127230411E-2</v>
      </c>
      <c r="G240" s="91" t="str">
        <f>IF(G230="","",(G230-'2014'!#REF!)/'2014'!#REF!)</f>
        <v/>
      </c>
      <c r="H240" s="91" t="str">
        <f>IF(H230="","",(H230-'2014'!#REF!)/'2014'!#REF!)</f>
        <v/>
      </c>
      <c r="I240" s="91" t="str">
        <f>IF(I230="","",(I230-'2014'!#REF!)/'2014'!#REF!)</f>
        <v/>
      </c>
      <c r="J240" s="87"/>
      <c r="K240" s="87"/>
      <c r="L240" s="87"/>
      <c r="M240" s="87" t="str">
        <f>IF(G240="","",M230-((1/'Proto 2013'!#REF!)*1000000))</f>
        <v/>
      </c>
      <c r="N240" s="87" t="str">
        <f>IF(H240="","",N230-((1/'Proto 2013'!#REF!)*1000000))</f>
        <v/>
      </c>
      <c r="O240" s="88" t="str">
        <f>IF(I240="","",O230-((1/'Proto 2013'!#REF!)*1000000))</f>
        <v/>
      </c>
    </row>
    <row r="241" spans="1:15" ht="15.75" thickBot="1" x14ac:dyDescent="0.3">
      <c r="A241" s="92" t="s">
        <v>18</v>
      </c>
      <c r="B241" s="93" t="s">
        <v>19</v>
      </c>
      <c r="C241" s="93" t="s">
        <v>12</v>
      </c>
      <c r="D241" s="91">
        <f>IF(D231="","",(D231-'2017'!D500)/'2017'!D500)</f>
        <v>-2.2403018511967928E-3</v>
      </c>
      <c r="E241" s="91">
        <f>IF(E231="","",(E231-'2017'!E500)/'2017'!E500)</f>
        <v>-0.10274475267870248</v>
      </c>
      <c r="F241" s="91">
        <f>IF(F231="","",(F231-'2017'!F500)/'2017'!F500)</f>
        <v>-3.1639004149377592E-2</v>
      </c>
      <c r="G241" s="94" t="str">
        <f>IF(G231="","",(G231-'2014'!#REF!)/'2014'!#REF!)</f>
        <v/>
      </c>
      <c r="H241" s="94" t="str">
        <f>IF(H231="","",(H231-'2014'!#REF!)/'2014'!#REF!)</f>
        <v/>
      </c>
      <c r="I241" s="94" t="str">
        <f>IF(I231="","",(I231-'2014'!#REF!)/'2014'!#REF!)</f>
        <v/>
      </c>
      <c r="J241" s="95"/>
      <c r="K241" s="95"/>
      <c r="L241" s="95"/>
      <c r="M241" s="95" t="str">
        <f>IF(G241="","",M231-((1/'Proto 2013'!#REF!)*1000000))</f>
        <v/>
      </c>
      <c r="N241" s="95" t="str">
        <f>IF(H241="","",N231-((1/'Proto 2013'!#REF!)*1000000))</f>
        <v/>
      </c>
      <c r="O241" s="96" t="str">
        <f>IF(I241="","",O231-((1/'Proto 2013'!#REF!)*1000000))</f>
        <v/>
      </c>
    </row>
    <row r="243" spans="1:15" ht="15.75" thickBot="1" x14ac:dyDescent="0.3"/>
    <row r="244" spans="1:15" ht="18.75" x14ac:dyDescent="0.25">
      <c r="A244" s="171" t="s">
        <v>155</v>
      </c>
      <c r="B244" s="172"/>
      <c r="C244" s="172"/>
      <c r="D244" s="172"/>
      <c r="E244" s="172"/>
      <c r="F244" s="172"/>
      <c r="G244" s="172"/>
      <c r="H244" s="172"/>
      <c r="I244" s="172"/>
      <c r="J244" s="172"/>
      <c r="K244" s="172"/>
      <c r="L244" s="172"/>
      <c r="M244" s="172"/>
      <c r="N244" s="172"/>
      <c r="O244" s="173"/>
    </row>
    <row r="245" spans="1:15" ht="15.75" x14ac:dyDescent="0.25">
      <c r="A245" s="165" t="s">
        <v>188</v>
      </c>
      <c r="B245" s="174"/>
      <c r="C245" s="174"/>
      <c r="D245" s="174"/>
      <c r="E245" s="174"/>
      <c r="F245" s="174"/>
      <c r="G245" s="174"/>
      <c r="H245" s="174"/>
      <c r="I245" s="174"/>
      <c r="J245" s="174"/>
      <c r="K245" s="174"/>
      <c r="L245" s="174"/>
      <c r="M245" s="174"/>
      <c r="N245" s="174"/>
      <c r="O245" s="175"/>
    </row>
    <row r="246" spans="1:15" x14ac:dyDescent="0.25">
      <c r="A246" s="167" t="s">
        <v>2</v>
      </c>
      <c r="B246" s="168"/>
      <c r="C246" s="168"/>
      <c r="D246" s="169" t="s">
        <v>3</v>
      </c>
      <c r="E246" s="169"/>
      <c r="F246" s="169"/>
      <c r="G246" s="169"/>
      <c r="H246" s="169"/>
      <c r="I246" s="169"/>
      <c r="J246" s="169" t="s">
        <v>4</v>
      </c>
      <c r="K246" s="169"/>
      <c r="L246" s="169"/>
      <c r="M246" s="169"/>
      <c r="N246" s="169"/>
      <c r="O246" s="170"/>
    </row>
    <row r="247" spans="1:15" x14ac:dyDescent="0.25">
      <c r="A247" s="76" t="s">
        <v>5</v>
      </c>
      <c r="B247" s="77" t="s">
        <v>6</v>
      </c>
      <c r="C247" s="77" t="s">
        <v>7</v>
      </c>
      <c r="D247" s="78">
        <v>1</v>
      </c>
      <c r="E247" s="78">
        <v>4</v>
      </c>
      <c r="F247" s="78">
        <v>16</v>
      </c>
      <c r="G247" s="79">
        <v>32</v>
      </c>
      <c r="H247" s="79">
        <v>64</v>
      </c>
      <c r="I247" s="79">
        <v>80</v>
      </c>
      <c r="J247" s="79">
        <v>1</v>
      </c>
      <c r="K247" s="79">
        <v>4</v>
      </c>
      <c r="L247" s="79">
        <v>16</v>
      </c>
      <c r="M247" s="79">
        <v>32</v>
      </c>
      <c r="N247" s="79">
        <v>64</v>
      </c>
      <c r="O247" s="80">
        <v>80</v>
      </c>
    </row>
    <row r="248" spans="1:15" x14ac:dyDescent="0.25">
      <c r="A248" s="81" t="s">
        <v>8</v>
      </c>
      <c r="B248" s="82" t="s">
        <v>9</v>
      </c>
      <c r="C248" s="83" t="s">
        <v>10</v>
      </c>
      <c r="D248" s="84">
        <v>48465</v>
      </c>
      <c r="E248" s="84">
        <v>21704</v>
      </c>
      <c r="F248" s="84">
        <v>6324</v>
      </c>
      <c r="G248" s="85"/>
      <c r="H248" s="86"/>
      <c r="I248" s="86"/>
      <c r="J248" s="87">
        <f>IF(D248="","",(1/D248)*1000000)</f>
        <v>20.633446817290828</v>
      </c>
      <c r="K248" s="87">
        <f t="shared" ref="K248:K253" si="68">IF(E248="","",(1/E248)*1000000)</f>
        <v>46.074456321415404</v>
      </c>
      <c r="L248" s="87">
        <f t="shared" ref="L248:L253" si="69">IF(F248="","",(1/F248)*1000000)</f>
        <v>158.12776723592663</v>
      </c>
      <c r="M248" s="87" t="str">
        <f t="shared" ref="M248:M253" si="70">IF(G248="","",(1/G248)*1000000)</f>
        <v/>
      </c>
      <c r="N248" s="87" t="str">
        <f t="shared" ref="N248:N253" si="71">IF(H248="","",(1/H248)*1000000)</f>
        <v/>
      </c>
      <c r="O248" s="88" t="str">
        <f t="shared" ref="O248:O253" si="72">IF(I248="","",(1/I248)*1000000)</f>
        <v/>
      </c>
    </row>
    <row r="249" spans="1:15" x14ac:dyDescent="0.25">
      <c r="A249" s="81" t="s">
        <v>11</v>
      </c>
      <c r="B249" s="82" t="s">
        <v>9</v>
      </c>
      <c r="C249" s="83" t="s">
        <v>12</v>
      </c>
      <c r="D249" s="84">
        <v>9612</v>
      </c>
      <c r="E249" s="84">
        <v>7962</v>
      </c>
      <c r="F249" s="84">
        <v>4162</v>
      </c>
      <c r="G249" s="85"/>
      <c r="H249" s="86"/>
      <c r="I249" s="86"/>
      <c r="J249" s="87">
        <f>IF(D249="","",(1/D249)*1000000)</f>
        <v>104.03662089055348</v>
      </c>
      <c r="K249" s="87">
        <f t="shared" si="68"/>
        <v>125.59658377292136</v>
      </c>
      <c r="L249" s="87">
        <f t="shared" si="69"/>
        <v>240.26910139356079</v>
      </c>
      <c r="M249" s="87" t="str">
        <f t="shared" si="70"/>
        <v/>
      </c>
      <c r="N249" s="87" t="str">
        <f t="shared" si="71"/>
        <v/>
      </c>
      <c r="O249" s="88" t="str">
        <f t="shared" si="72"/>
        <v/>
      </c>
    </row>
    <row r="250" spans="1:15" x14ac:dyDescent="0.25">
      <c r="A250" s="81" t="s">
        <v>13</v>
      </c>
      <c r="B250" s="82" t="s">
        <v>14</v>
      </c>
      <c r="C250" s="83" t="s">
        <v>10</v>
      </c>
      <c r="D250" s="84">
        <v>40902</v>
      </c>
      <c r="E250" s="84">
        <v>17201</v>
      </c>
      <c r="F250" s="84">
        <v>5608</v>
      </c>
      <c r="G250" s="85"/>
      <c r="H250" s="86"/>
      <c r="I250" s="86"/>
      <c r="J250" s="87">
        <f t="shared" ref="J250:J253" si="73">IF(D250="","",(1/D250)*1000000)</f>
        <v>24.448682216028555</v>
      </c>
      <c r="K250" s="87">
        <f t="shared" si="68"/>
        <v>58.136154874716588</v>
      </c>
      <c r="L250" s="87">
        <f t="shared" si="69"/>
        <v>178.31669044222539</v>
      </c>
      <c r="M250" s="87" t="str">
        <f t="shared" si="70"/>
        <v/>
      </c>
      <c r="N250" s="87" t="str">
        <f t="shared" si="71"/>
        <v/>
      </c>
      <c r="O250" s="88" t="str">
        <f t="shared" si="72"/>
        <v/>
      </c>
    </row>
    <row r="251" spans="1:15" x14ac:dyDescent="0.25">
      <c r="A251" s="81" t="s">
        <v>15</v>
      </c>
      <c r="B251" s="82" t="s">
        <v>14</v>
      </c>
      <c r="C251" s="83" t="s">
        <v>12</v>
      </c>
      <c r="D251" s="84">
        <v>9691</v>
      </c>
      <c r="E251" s="84">
        <v>7123</v>
      </c>
      <c r="F251" s="84">
        <v>3914</v>
      </c>
      <c r="G251" s="85"/>
      <c r="H251" s="86"/>
      <c r="I251" s="86"/>
      <c r="J251" s="87">
        <f t="shared" si="73"/>
        <v>103.18852543597153</v>
      </c>
      <c r="K251" s="87">
        <f t="shared" si="68"/>
        <v>140.39028499227854</v>
      </c>
      <c r="L251" s="87">
        <f t="shared" si="69"/>
        <v>255.49310168625451</v>
      </c>
      <c r="M251" s="87" t="str">
        <f t="shared" si="70"/>
        <v/>
      </c>
      <c r="N251" s="87" t="str">
        <f t="shared" si="71"/>
        <v/>
      </c>
      <c r="O251" s="88" t="str">
        <f t="shared" si="72"/>
        <v/>
      </c>
    </row>
    <row r="252" spans="1:15" x14ac:dyDescent="0.25">
      <c r="A252" s="81" t="s">
        <v>16</v>
      </c>
      <c r="B252" s="82" t="s">
        <v>17</v>
      </c>
      <c r="C252" s="83" t="s">
        <v>12</v>
      </c>
      <c r="D252" s="84">
        <v>8672</v>
      </c>
      <c r="E252" s="84">
        <v>6675</v>
      </c>
      <c r="F252" s="84">
        <v>3875</v>
      </c>
      <c r="G252" s="85"/>
      <c r="H252" s="86"/>
      <c r="I252" s="86"/>
      <c r="J252" s="87">
        <f t="shared" si="73"/>
        <v>115.31365313653136</v>
      </c>
      <c r="K252" s="87">
        <f t="shared" si="68"/>
        <v>149.81273408239701</v>
      </c>
      <c r="L252" s="87">
        <f t="shared" si="69"/>
        <v>258.06451612903226</v>
      </c>
      <c r="M252" s="87" t="str">
        <f t="shared" si="70"/>
        <v/>
      </c>
      <c r="N252" s="87" t="str">
        <f t="shared" si="71"/>
        <v/>
      </c>
      <c r="O252" s="88" t="str">
        <f t="shared" si="72"/>
        <v/>
      </c>
    </row>
    <row r="253" spans="1:15" x14ac:dyDescent="0.25">
      <c r="A253" s="81" t="s">
        <v>18</v>
      </c>
      <c r="B253" s="82" t="s">
        <v>19</v>
      </c>
      <c r="C253" s="83" t="s">
        <v>12</v>
      </c>
      <c r="D253" s="97">
        <v>8587</v>
      </c>
      <c r="E253" s="97">
        <v>6389</v>
      </c>
      <c r="F253" s="97">
        <v>3762</v>
      </c>
      <c r="G253" s="85"/>
      <c r="H253" s="86"/>
      <c r="I253" s="86"/>
      <c r="J253" s="87">
        <f t="shared" si="73"/>
        <v>116.45510655642249</v>
      </c>
      <c r="K253" s="87">
        <f t="shared" si="68"/>
        <v>156.51901706057285</v>
      </c>
      <c r="L253" s="87">
        <f t="shared" si="69"/>
        <v>265.8160552897395</v>
      </c>
      <c r="M253" s="87" t="str">
        <f t="shared" si="70"/>
        <v/>
      </c>
      <c r="N253" s="87" t="str">
        <f t="shared" si="71"/>
        <v/>
      </c>
      <c r="O253" s="88" t="str">
        <f t="shared" si="72"/>
        <v/>
      </c>
    </row>
    <row r="254" spans="1:15" x14ac:dyDescent="0.25">
      <c r="A254" s="176" t="s">
        <v>185</v>
      </c>
      <c r="B254" s="177"/>
      <c r="C254" s="177"/>
      <c r="D254" s="177"/>
      <c r="E254" s="177"/>
      <c r="F254" s="177"/>
      <c r="G254" s="157" t="s">
        <v>183</v>
      </c>
      <c r="H254" s="157"/>
      <c r="I254" s="157"/>
      <c r="J254" s="98" t="s">
        <v>184</v>
      </c>
      <c r="M254" s="157" t="s">
        <v>172</v>
      </c>
      <c r="N254" s="157"/>
      <c r="O254" s="90"/>
    </row>
    <row r="255" spans="1:15" ht="18.75" x14ac:dyDescent="0.3">
      <c r="A255" s="158" t="s">
        <v>186</v>
      </c>
      <c r="B255" s="178"/>
      <c r="C255" s="178"/>
      <c r="D255" s="178"/>
      <c r="E255" s="178"/>
      <c r="F255" s="178"/>
      <c r="G255" s="178"/>
      <c r="H255" s="178"/>
      <c r="I255" s="178"/>
      <c r="J255" s="178"/>
      <c r="K255" s="178"/>
      <c r="L255" s="178"/>
      <c r="M255" s="178"/>
      <c r="N255" s="178"/>
      <c r="O255" s="179"/>
    </row>
    <row r="256" spans="1:15" x14ac:dyDescent="0.25">
      <c r="A256" s="167" t="s">
        <v>2</v>
      </c>
      <c r="B256" s="168"/>
      <c r="C256" s="168"/>
      <c r="D256" s="169" t="s">
        <v>20</v>
      </c>
      <c r="E256" s="169"/>
      <c r="F256" s="169"/>
      <c r="G256" s="169"/>
      <c r="H256" s="169"/>
      <c r="I256" s="169"/>
      <c r="J256" s="169" t="s">
        <v>23</v>
      </c>
      <c r="K256" s="169"/>
      <c r="L256" s="169"/>
      <c r="M256" s="169"/>
      <c r="N256" s="169"/>
      <c r="O256" s="170"/>
    </row>
    <row r="257" spans="1:15" x14ac:dyDescent="0.25">
      <c r="A257" s="76" t="s">
        <v>5</v>
      </c>
      <c r="B257" s="77" t="s">
        <v>6</v>
      </c>
      <c r="C257" s="77" t="s">
        <v>7</v>
      </c>
      <c r="D257" s="79">
        <v>1</v>
      </c>
      <c r="E257" s="79">
        <v>4</v>
      </c>
      <c r="F257" s="79">
        <v>16</v>
      </c>
      <c r="G257" s="79">
        <v>32</v>
      </c>
      <c r="H257" s="79">
        <v>64</v>
      </c>
      <c r="I257" s="79">
        <v>80</v>
      </c>
      <c r="J257" s="79">
        <v>1</v>
      </c>
      <c r="K257" s="79">
        <v>4</v>
      </c>
      <c r="L257" s="79">
        <v>16</v>
      </c>
      <c r="M257" s="79">
        <v>32</v>
      </c>
      <c r="N257" s="79">
        <v>64</v>
      </c>
      <c r="O257" s="80">
        <v>80</v>
      </c>
    </row>
    <row r="258" spans="1:15" x14ac:dyDescent="0.25">
      <c r="A258" s="81" t="s">
        <v>8</v>
      </c>
      <c r="B258" s="82" t="s">
        <v>9</v>
      </c>
      <c r="C258" s="82" t="s">
        <v>10</v>
      </c>
      <c r="D258" s="91">
        <f>IF(D248="","",(D248-'2018'!D226)/'2018'!D226)</f>
        <v>0.14164232544991992</v>
      </c>
      <c r="E258" s="91">
        <f>IF(E248="","",(E248-'2018'!E226)/'2018'!E226)</f>
        <v>8.0123419926346168E-2</v>
      </c>
      <c r="F258" s="91">
        <f>IF(F248="","",(F248-'2018'!F226)/'2018'!F226)</f>
        <v>5.3473263368315843E-2</v>
      </c>
      <c r="G258" s="91" t="str">
        <f>IF(G248="","",(G248-'2014'!#REF!)/'2014'!#REF!)</f>
        <v/>
      </c>
      <c r="H258" s="91" t="str">
        <f>IF(H248="","",(H248-'2014'!#REF!)/'2014'!#REF!)</f>
        <v/>
      </c>
      <c r="I258" s="87" t="str">
        <f>IF(I248="","",(I248-'2014'!#REF!)/'2014'!#REF!)</f>
        <v/>
      </c>
      <c r="J258" s="87"/>
      <c r="K258" s="87"/>
      <c r="L258" s="87"/>
      <c r="M258" s="87" t="str">
        <f>IF(G258="","",M248-((1/'Proto 2013'!#REF!)*1000000))</f>
        <v/>
      </c>
      <c r="N258" s="87" t="str">
        <f>IF(H258="","",N248-((1/'Proto 2013'!#REF!)*1000000))</f>
        <v/>
      </c>
      <c r="O258" s="88" t="str">
        <f>IF(I258="","",O248-((1/'Proto 2013'!#REF!)*1000000))</f>
        <v/>
      </c>
    </row>
    <row r="259" spans="1:15" x14ac:dyDescent="0.25">
      <c r="A259" s="81" t="s">
        <v>11</v>
      </c>
      <c r="B259" s="82" t="s">
        <v>9</v>
      </c>
      <c r="C259" s="82" t="s">
        <v>12</v>
      </c>
      <c r="D259" s="91">
        <f>IF(D249="","",(D249-'2018'!D227)/'2018'!D227)</f>
        <v>-5.6259204712812962E-2</v>
      </c>
      <c r="E259" s="91">
        <f>IF(E249="","",(E249-'2018'!E227)/'2018'!E227)</f>
        <v>9.125475285171103E-3</v>
      </c>
      <c r="F259" s="91">
        <f>IF(F249="","",(F249-'2018'!F227)/'2018'!F227)</f>
        <v>-1.1636190928520541E-2</v>
      </c>
      <c r="G259" s="91" t="str">
        <f>IF(G249="","",(G249-'2014'!#REF!)/'2014'!#REF!)</f>
        <v/>
      </c>
      <c r="H259" s="91" t="str">
        <f>IF(H249="","",(H249-'2014'!#REF!)/'2014'!#REF!)</f>
        <v/>
      </c>
      <c r="I259" s="91" t="str">
        <f>IF(I249="","",(I249-'2014'!#REF!)/'2014'!#REF!)</f>
        <v/>
      </c>
      <c r="J259" s="87"/>
      <c r="K259" s="87"/>
      <c r="L259" s="87"/>
      <c r="M259" s="87" t="str">
        <f>IF(G259="","",M249-((1/'Proto 2013'!#REF!)*1000000))</f>
        <v/>
      </c>
      <c r="N259" s="87" t="str">
        <f>IF(H259="","",N249-((1/'Proto 2013'!#REF!)*1000000))</f>
        <v/>
      </c>
      <c r="O259" s="88" t="str">
        <f>IF(I259="","",O249-((1/'Proto 2013'!#REF!)*1000000))</f>
        <v/>
      </c>
    </row>
    <row r="260" spans="1:15" x14ac:dyDescent="0.25">
      <c r="A260" s="81" t="s">
        <v>13</v>
      </c>
      <c r="B260" s="82" t="s">
        <v>14</v>
      </c>
      <c r="C260" s="82" t="s">
        <v>10</v>
      </c>
      <c r="D260" s="91">
        <f>IF(D250="","",(D250-'2018'!D228)/'2018'!D228)</f>
        <v>8.4243452444067432E-2</v>
      </c>
      <c r="E260" s="91">
        <f>IF(E250="","",(E250-'2018'!E228)/'2018'!E228)</f>
        <v>7.6610127057645361E-2</v>
      </c>
      <c r="F260" s="91">
        <f>IF(F250="","",(F250-'2018'!F228)/'2018'!F228)</f>
        <v>1.3371882905674015E-2</v>
      </c>
      <c r="G260" s="91" t="str">
        <f>IF(G250="","",(G250-'2014'!#REF!)/'2014'!#REF!)</f>
        <v/>
      </c>
      <c r="H260" s="91" t="str">
        <f>IF(H250="","",(H250-'2014'!#REF!)/'2014'!#REF!)</f>
        <v/>
      </c>
      <c r="I260" s="91" t="str">
        <f>IF(I250="","",(I250-'2014'!#REF!)/'2014'!#REF!)</f>
        <v/>
      </c>
      <c r="J260" s="87"/>
      <c r="K260" s="87"/>
      <c r="L260" s="87"/>
      <c r="M260" s="87" t="str">
        <f>IF(G260="","",M250-((1/'Proto 2013'!#REF!)*1000000))</f>
        <v/>
      </c>
      <c r="N260" s="87" t="str">
        <f>IF(H260="","",N250-((1/'Proto 2013'!#REF!)*1000000))</f>
        <v/>
      </c>
      <c r="O260" s="88" t="str">
        <f>IF(I260="","",O250-((1/'Proto 2013'!#REF!)*1000000))</f>
        <v/>
      </c>
    </row>
    <row r="261" spans="1:15" x14ac:dyDescent="0.25">
      <c r="A261" s="81" t="s">
        <v>15</v>
      </c>
      <c r="B261" s="82" t="s">
        <v>14</v>
      </c>
      <c r="C261" s="82" t="s">
        <v>12</v>
      </c>
      <c r="D261" s="91">
        <f>IF(D251="","",(D251-'2018'!D229)/'2018'!D229)</f>
        <v>1.50832722321148E-2</v>
      </c>
      <c r="E261" s="91">
        <f>IF(E251="","",(E251-'2018'!E229)/'2018'!E229)</f>
        <v>-7.2473867595818815E-3</v>
      </c>
      <c r="F261" s="91">
        <f>IF(F251="","",(F251-'2018'!F229)/'2018'!F229)</f>
        <v>4.8205677557579006E-2</v>
      </c>
      <c r="G261" s="91" t="str">
        <f>IF(G251="","",(G251-'2014'!#REF!)/'2014'!#REF!)</f>
        <v/>
      </c>
      <c r="H261" s="91" t="str">
        <f>IF(H251="","",(H251-'2014'!#REF!)/'2014'!#REF!)</f>
        <v/>
      </c>
      <c r="I261" s="91" t="str">
        <f>IF(I251="","",(I251-'2014'!#REF!)/'2014'!#REF!)</f>
        <v/>
      </c>
      <c r="J261" s="87"/>
      <c r="K261" s="87"/>
      <c r="L261" s="87"/>
      <c r="M261" s="87" t="str">
        <f>IF(G261="","",M251-((1/'Proto 2013'!#REF!)*1000000))</f>
        <v/>
      </c>
      <c r="N261" s="87" t="str">
        <f>IF(H261="","",N251-((1/'Proto 2013'!#REF!)*1000000))</f>
        <v/>
      </c>
      <c r="O261" s="88" t="str">
        <f>IF(I261="","",O251-((1/'Proto 2013'!#REF!)*1000000))</f>
        <v/>
      </c>
    </row>
    <row r="262" spans="1:15" x14ac:dyDescent="0.25">
      <c r="A262" s="81" t="s">
        <v>16</v>
      </c>
      <c r="B262" s="82" t="s">
        <v>17</v>
      </c>
      <c r="C262" s="82" t="s">
        <v>12</v>
      </c>
      <c r="D262" s="91">
        <f>IF(D252="","",(D252-'2018'!D230)/'2018'!D230)</f>
        <v>-3.90535263036986E-3</v>
      </c>
      <c r="E262" s="91">
        <f>IF(E252="","",(E252-'2018'!E230)/'2018'!E230)</f>
        <v>-2.1834701055099649E-2</v>
      </c>
      <c r="F262" s="91">
        <f>IF(F252="","",(F252-'2018'!F230)/'2018'!F230)</f>
        <v>-2.2945032778618254E-2</v>
      </c>
      <c r="G262" s="91" t="str">
        <f>IF(G252="","",(G252-'2014'!#REF!)/'2014'!#REF!)</f>
        <v/>
      </c>
      <c r="H262" s="91" t="str">
        <f>IF(H252="","",(H252-'2014'!#REF!)/'2014'!#REF!)</f>
        <v/>
      </c>
      <c r="I262" s="91" t="str">
        <f>IF(I252="","",(I252-'2014'!#REF!)/'2014'!#REF!)</f>
        <v/>
      </c>
      <c r="J262" s="87"/>
      <c r="K262" s="87"/>
      <c r="L262" s="87"/>
      <c r="M262" s="87" t="str">
        <f>IF(G262="","",M252-((1/'Proto 2013'!#REF!)*1000000))</f>
        <v/>
      </c>
      <c r="N262" s="87" t="str">
        <f>IF(H262="","",N252-((1/'Proto 2013'!#REF!)*1000000))</f>
        <v/>
      </c>
      <c r="O262" s="88" t="str">
        <f>IF(I262="","",O252-((1/'Proto 2013'!#REF!)*1000000))</f>
        <v/>
      </c>
    </row>
    <row r="263" spans="1:15" ht="15.75" thickBot="1" x14ac:dyDescent="0.3">
      <c r="A263" s="92" t="s">
        <v>18</v>
      </c>
      <c r="B263" s="93" t="s">
        <v>19</v>
      </c>
      <c r="C263" s="93" t="s">
        <v>12</v>
      </c>
      <c r="D263" s="91">
        <f>IF(D253="","",(D253-'2018'!D231)/'2018'!D231)</f>
        <v>1.4771921531552825E-2</v>
      </c>
      <c r="E263" s="91">
        <f>IF(E253="","",(E253-'2018'!E231)/'2018'!E231)</f>
        <v>4.5149681007688534E-2</v>
      </c>
      <c r="F263" s="91">
        <f>IF(F253="","",(F253-'2018'!F231)/'2018'!F231)</f>
        <v>7.4986609534011782E-3</v>
      </c>
      <c r="G263" s="94" t="str">
        <f>IF(G253="","",(G253-'2014'!#REF!)/'2014'!#REF!)</f>
        <v/>
      </c>
      <c r="H263" s="94" t="str">
        <f>IF(H253="","",(H253-'2014'!#REF!)/'2014'!#REF!)</f>
        <v/>
      </c>
      <c r="I263" s="94" t="str">
        <f>IF(I253="","",(I253-'2014'!#REF!)/'2014'!#REF!)</f>
        <v/>
      </c>
      <c r="J263" s="95"/>
      <c r="K263" s="95"/>
      <c r="L263" s="95"/>
      <c r="M263" s="95" t="str">
        <f>IF(G263="","",M253-((1/'Proto 2013'!#REF!)*1000000))</f>
        <v/>
      </c>
      <c r="N263" s="95" t="str">
        <f>IF(H263="","",N253-((1/'Proto 2013'!#REF!)*1000000))</f>
        <v/>
      </c>
      <c r="O263" s="96" t="str">
        <f>IF(I263="","",O253-((1/'Proto 2013'!#REF!)*1000000))</f>
        <v/>
      </c>
    </row>
    <row r="265" spans="1:15" ht="15.75" thickBot="1" x14ac:dyDescent="0.3"/>
    <row r="266" spans="1:15" ht="18.75" x14ac:dyDescent="0.25">
      <c r="A266" s="171" t="s">
        <v>155</v>
      </c>
      <c r="B266" s="172"/>
      <c r="C266" s="172"/>
      <c r="D266" s="172"/>
      <c r="E266" s="172"/>
      <c r="F266" s="172"/>
      <c r="G266" s="172"/>
      <c r="H266" s="172"/>
      <c r="I266" s="172"/>
      <c r="J266" s="172"/>
      <c r="K266" s="172"/>
      <c r="L266" s="172"/>
      <c r="M266" s="172"/>
      <c r="N266" s="172"/>
      <c r="O266" s="173"/>
    </row>
    <row r="267" spans="1:15" ht="15.75" x14ac:dyDescent="0.25">
      <c r="A267" s="165" t="s">
        <v>190</v>
      </c>
      <c r="B267" s="174"/>
      <c r="C267" s="174"/>
      <c r="D267" s="174"/>
      <c r="E267" s="174"/>
      <c r="F267" s="174"/>
      <c r="G267" s="174"/>
      <c r="H267" s="174"/>
      <c r="I267" s="174"/>
      <c r="J267" s="174"/>
      <c r="K267" s="174"/>
      <c r="L267" s="174"/>
      <c r="M267" s="174"/>
      <c r="N267" s="174"/>
      <c r="O267" s="175"/>
    </row>
    <row r="268" spans="1:15" x14ac:dyDescent="0.25">
      <c r="A268" s="167" t="s">
        <v>2</v>
      </c>
      <c r="B268" s="168"/>
      <c r="C268" s="168"/>
      <c r="D268" s="106" t="s">
        <v>3</v>
      </c>
      <c r="E268" s="169"/>
      <c r="F268" s="169"/>
      <c r="G268" s="169"/>
      <c r="H268" s="169"/>
      <c r="I268" s="169"/>
      <c r="J268" s="169" t="s">
        <v>4</v>
      </c>
      <c r="K268" s="169"/>
      <c r="L268" s="169"/>
      <c r="M268" s="169"/>
      <c r="N268" s="169"/>
      <c r="O268" s="170"/>
    </row>
    <row r="269" spans="1:15" x14ac:dyDescent="0.25">
      <c r="A269" s="76" t="s">
        <v>5</v>
      </c>
      <c r="B269" s="77" t="s">
        <v>6</v>
      </c>
      <c r="C269" s="77" t="s">
        <v>7</v>
      </c>
      <c r="D269" s="78">
        <v>1</v>
      </c>
      <c r="E269" s="78">
        <v>4</v>
      </c>
      <c r="F269" s="78">
        <v>16</v>
      </c>
      <c r="G269" s="79">
        <v>32</v>
      </c>
      <c r="H269" s="79">
        <v>64</v>
      </c>
      <c r="I269" s="79">
        <v>80</v>
      </c>
      <c r="J269" s="79">
        <v>1</v>
      </c>
      <c r="K269" s="79">
        <v>4</v>
      </c>
      <c r="L269" s="79">
        <v>16</v>
      </c>
      <c r="M269" s="79">
        <v>32</v>
      </c>
      <c r="N269" s="79">
        <v>64</v>
      </c>
      <c r="O269" s="80">
        <v>80</v>
      </c>
    </row>
    <row r="270" spans="1:15" x14ac:dyDescent="0.25">
      <c r="A270" s="81" t="s">
        <v>8</v>
      </c>
      <c r="B270" s="82" t="s">
        <v>9</v>
      </c>
      <c r="C270" s="83" t="s">
        <v>10</v>
      </c>
      <c r="D270" s="97">
        <v>42333</v>
      </c>
      <c r="E270" s="97">
        <v>15648</v>
      </c>
      <c r="F270" s="84">
        <v>6003</v>
      </c>
      <c r="G270" s="85"/>
      <c r="H270" s="86"/>
      <c r="I270" s="86"/>
      <c r="J270" s="87">
        <f>IF(D270="","",(1/D270)*1000000)</f>
        <v>23.622233245931067</v>
      </c>
      <c r="K270" s="87">
        <f t="shared" ref="K270:K275" si="74">IF(E270="","",(1/E270)*1000000)</f>
        <v>63.905930470347656</v>
      </c>
      <c r="L270" s="87">
        <f t="shared" ref="L270:L275" si="75">IF(F270="","",(1/F270)*1000000)</f>
        <v>166.58337497917708</v>
      </c>
      <c r="M270" s="87" t="str">
        <f t="shared" ref="M270:M275" si="76">IF(G270="","",(1/G270)*1000000)</f>
        <v/>
      </c>
      <c r="N270" s="87" t="str">
        <f t="shared" ref="N270:N275" si="77">IF(H270="","",(1/H270)*1000000)</f>
        <v/>
      </c>
      <c r="O270" s="88" t="str">
        <f t="shared" ref="O270:O275" si="78">IF(I270="","",(1/I270)*1000000)</f>
        <v/>
      </c>
    </row>
    <row r="271" spans="1:15" x14ac:dyDescent="0.25">
      <c r="A271" s="81" t="s">
        <v>11</v>
      </c>
      <c r="B271" s="82" t="s">
        <v>9</v>
      </c>
      <c r="C271" s="83" t="s">
        <v>12</v>
      </c>
      <c r="D271" s="97">
        <v>9612</v>
      </c>
      <c r="E271" s="84">
        <v>7931</v>
      </c>
      <c r="F271" s="84">
        <v>4254</v>
      </c>
      <c r="G271" s="85"/>
      <c r="H271" s="86"/>
      <c r="I271" s="86"/>
      <c r="J271" s="87">
        <f>IF(D271="","",(1/D271)*1000000)</f>
        <v>104.03662089055348</v>
      </c>
      <c r="K271" s="87">
        <f t="shared" si="74"/>
        <v>126.08750472828143</v>
      </c>
      <c r="L271" s="87">
        <f t="shared" si="75"/>
        <v>235.07287259050304</v>
      </c>
      <c r="M271" s="87" t="str">
        <f t="shared" si="76"/>
        <v/>
      </c>
      <c r="N271" s="87" t="str">
        <f t="shared" si="77"/>
        <v/>
      </c>
      <c r="O271" s="88" t="str">
        <f t="shared" si="78"/>
        <v/>
      </c>
    </row>
    <row r="272" spans="1:15" x14ac:dyDescent="0.25">
      <c r="A272" s="81" t="s">
        <v>13</v>
      </c>
      <c r="B272" s="82" t="s">
        <v>14</v>
      </c>
      <c r="C272" s="83" t="s">
        <v>10</v>
      </c>
      <c r="D272" s="84">
        <v>26417</v>
      </c>
      <c r="E272" s="84">
        <v>17879</v>
      </c>
      <c r="F272" s="97">
        <v>5378</v>
      </c>
      <c r="G272" s="85"/>
      <c r="H272" s="86"/>
      <c r="I272" s="86"/>
      <c r="J272" s="87">
        <f t="shared" ref="J272:J275" si="79">IF(D272="","",(1/D272)*1000000)</f>
        <v>37.854411931710636</v>
      </c>
      <c r="K272" s="87">
        <f t="shared" si="74"/>
        <v>55.931539795290561</v>
      </c>
      <c r="L272" s="87">
        <f t="shared" si="75"/>
        <v>185.94272963927111</v>
      </c>
      <c r="M272" s="87" t="str">
        <f t="shared" si="76"/>
        <v/>
      </c>
      <c r="N272" s="87" t="str">
        <f t="shared" si="77"/>
        <v/>
      </c>
      <c r="O272" s="88" t="str">
        <f t="shared" si="78"/>
        <v/>
      </c>
    </row>
    <row r="273" spans="1:15" x14ac:dyDescent="0.25">
      <c r="A273" s="81" t="s">
        <v>15</v>
      </c>
      <c r="B273" s="82" t="s">
        <v>14</v>
      </c>
      <c r="C273" s="83" t="s">
        <v>12</v>
      </c>
      <c r="D273" s="97">
        <v>9612</v>
      </c>
      <c r="E273" s="84">
        <v>7431</v>
      </c>
      <c r="F273" s="84">
        <v>3941</v>
      </c>
      <c r="G273" s="85"/>
      <c r="H273" s="86"/>
      <c r="I273" s="86"/>
      <c r="J273" s="87">
        <f t="shared" si="79"/>
        <v>104.03662089055348</v>
      </c>
      <c r="K273" s="87">
        <f t="shared" si="74"/>
        <v>134.57139012245997</v>
      </c>
      <c r="L273" s="87">
        <f t="shared" si="75"/>
        <v>253.74270489723423</v>
      </c>
      <c r="M273" s="87" t="str">
        <f t="shared" si="76"/>
        <v/>
      </c>
      <c r="N273" s="87" t="str">
        <f t="shared" si="77"/>
        <v/>
      </c>
      <c r="O273" s="88" t="str">
        <f t="shared" si="78"/>
        <v/>
      </c>
    </row>
    <row r="274" spans="1:15" x14ac:dyDescent="0.25">
      <c r="A274" s="81" t="s">
        <v>16</v>
      </c>
      <c r="B274" s="82" t="s">
        <v>17</v>
      </c>
      <c r="C274" s="83" t="s">
        <v>12</v>
      </c>
      <c r="D274" s="84">
        <v>8465</v>
      </c>
      <c r="E274" s="84">
        <v>6502</v>
      </c>
      <c r="F274" s="84">
        <v>3856</v>
      </c>
      <c r="G274" s="85"/>
      <c r="H274" s="86"/>
      <c r="I274" s="86"/>
      <c r="J274" s="87">
        <f t="shared" si="79"/>
        <v>118.13349084465446</v>
      </c>
      <c r="K274" s="87">
        <f t="shared" si="74"/>
        <v>153.79883112888342</v>
      </c>
      <c r="L274" s="87">
        <f t="shared" si="75"/>
        <v>259.33609958506224</v>
      </c>
      <c r="M274" s="87" t="str">
        <f t="shared" si="76"/>
        <v/>
      </c>
      <c r="N274" s="87" t="str">
        <f t="shared" si="77"/>
        <v/>
      </c>
      <c r="O274" s="88" t="str">
        <f t="shared" si="78"/>
        <v/>
      </c>
    </row>
    <row r="275" spans="1:15" x14ac:dyDescent="0.25">
      <c r="A275" s="81" t="s">
        <v>18</v>
      </c>
      <c r="B275" s="82" t="s">
        <v>19</v>
      </c>
      <c r="C275" s="83" t="s">
        <v>12</v>
      </c>
      <c r="D275" s="97">
        <v>8579</v>
      </c>
      <c r="E275" s="97">
        <v>6411</v>
      </c>
      <c r="F275" s="97">
        <v>3791</v>
      </c>
      <c r="G275" s="85"/>
      <c r="H275" s="86"/>
      <c r="I275" s="86"/>
      <c r="J275" s="87">
        <f t="shared" si="79"/>
        <v>116.56370206317752</v>
      </c>
      <c r="K275" s="87">
        <f t="shared" si="74"/>
        <v>155.98190609889252</v>
      </c>
      <c r="L275" s="87">
        <f t="shared" si="75"/>
        <v>263.78264310208391</v>
      </c>
      <c r="M275" s="87" t="str">
        <f t="shared" si="76"/>
        <v/>
      </c>
      <c r="N275" s="87" t="str">
        <f t="shared" si="77"/>
        <v/>
      </c>
      <c r="O275" s="88" t="str">
        <f t="shared" si="78"/>
        <v/>
      </c>
    </row>
    <row r="276" spans="1:15" x14ac:dyDescent="0.25">
      <c r="A276" s="176" t="s">
        <v>189</v>
      </c>
      <c r="B276" s="177"/>
      <c r="C276" s="177"/>
      <c r="D276" s="177"/>
      <c r="E276" s="177"/>
      <c r="F276" s="177"/>
      <c r="G276" s="157" t="s">
        <v>187</v>
      </c>
      <c r="H276" s="157"/>
      <c r="I276" s="157"/>
      <c r="J276" s="98"/>
      <c r="M276" s="157" t="s">
        <v>172</v>
      </c>
      <c r="N276" s="157"/>
      <c r="O276" s="90"/>
    </row>
    <row r="277" spans="1:15" ht="18.75" x14ac:dyDescent="0.3">
      <c r="A277" s="158" t="s">
        <v>186</v>
      </c>
      <c r="B277" s="178"/>
      <c r="C277" s="178"/>
      <c r="D277" s="178"/>
      <c r="E277" s="178"/>
      <c r="F277" s="178"/>
      <c r="G277" s="178"/>
      <c r="H277" s="178"/>
      <c r="I277" s="178"/>
      <c r="J277" s="178"/>
      <c r="K277" s="178"/>
      <c r="L277" s="178"/>
      <c r="M277" s="178"/>
      <c r="N277" s="178"/>
      <c r="O277" s="179"/>
    </row>
    <row r="278" spans="1:15" x14ac:dyDescent="0.25">
      <c r="A278" s="167" t="s">
        <v>2</v>
      </c>
      <c r="B278" s="168"/>
      <c r="C278" s="168"/>
      <c r="D278" s="169" t="s">
        <v>20</v>
      </c>
      <c r="E278" s="169"/>
      <c r="F278" s="169"/>
      <c r="G278" s="169"/>
      <c r="H278" s="169"/>
      <c r="I278" s="169"/>
      <c r="J278" s="169" t="s">
        <v>23</v>
      </c>
      <c r="K278" s="169"/>
      <c r="L278" s="169"/>
      <c r="M278" s="169"/>
      <c r="N278" s="169"/>
      <c r="O278" s="170"/>
    </row>
    <row r="279" spans="1:15" x14ac:dyDescent="0.25">
      <c r="A279" s="76" t="s">
        <v>5</v>
      </c>
      <c r="B279" s="77" t="s">
        <v>6</v>
      </c>
      <c r="C279" s="77" t="s">
        <v>7</v>
      </c>
      <c r="D279" s="79">
        <v>1</v>
      </c>
      <c r="E279" s="79">
        <v>4</v>
      </c>
      <c r="F279" s="79">
        <v>16</v>
      </c>
      <c r="G279" s="79">
        <v>32</v>
      </c>
      <c r="H279" s="79">
        <v>64</v>
      </c>
      <c r="I279" s="79">
        <v>80</v>
      </c>
      <c r="J279" s="79">
        <v>1</v>
      </c>
      <c r="K279" s="79">
        <v>4</v>
      </c>
      <c r="L279" s="79">
        <v>16</v>
      </c>
      <c r="M279" s="79">
        <v>32</v>
      </c>
      <c r="N279" s="79">
        <v>64</v>
      </c>
      <c r="O279" s="80">
        <v>80</v>
      </c>
    </row>
    <row r="280" spans="1:15" x14ac:dyDescent="0.25">
      <c r="A280" s="81" t="s">
        <v>8</v>
      </c>
      <c r="B280" s="82" t="s">
        <v>9</v>
      </c>
      <c r="C280" s="82" t="s">
        <v>10</v>
      </c>
      <c r="D280" s="91">
        <f>IF(D270="","",(D270-'2018'!D226)/'2018'!D226)</f>
        <v>-2.8031659285781591E-3</v>
      </c>
      <c r="E280" s="91">
        <f>IF(E270="","",(E270-'2018'!E226)/'2018'!E226)</f>
        <v>-0.22126007763511496</v>
      </c>
      <c r="F280" s="91">
        <f>IF(F270="","",(F270-'2018'!F226)/'2018'!F226)</f>
        <v>0</v>
      </c>
      <c r="G280" s="91" t="str">
        <f>IF(G270="","",(G270-'2014'!#REF!)/'2014'!#REF!)</f>
        <v/>
      </c>
      <c r="H280" s="91" t="str">
        <f>IF(H270="","",(H270-'2014'!#REF!)/'2014'!#REF!)</f>
        <v/>
      </c>
      <c r="I280" s="87" t="str">
        <f>IF(I270="","",(I270-'2014'!#REF!)/'2014'!#REF!)</f>
        <v/>
      </c>
      <c r="J280" s="87"/>
      <c r="K280" s="87"/>
      <c r="L280" s="87"/>
      <c r="M280" s="87" t="str">
        <f>IF(G280="","",M270-((1/'Proto 2013'!#REF!)*1000000))</f>
        <v/>
      </c>
      <c r="N280" s="87" t="str">
        <f>IF(H280="","",N270-((1/'Proto 2013'!#REF!)*1000000))</f>
        <v/>
      </c>
      <c r="O280" s="88" t="str">
        <f>IF(I280="","",O270-((1/'Proto 2013'!#REF!)*1000000))</f>
        <v/>
      </c>
    </row>
    <row r="281" spans="1:15" x14ac:dyDescent="0.25">
      <c r="A281" s="81" t="s">
        <v>11</v>
      </c>
      <c r="B281" s="82" t="s">
        <v>9</v>
      </c>
      <c r="C281" s="82" t="s">
        <v>12</v>
      </c>
      <c r="D281" s="91">
        <f>IF(D271="","",(D271-'2018'!D227)/'2018'!D227)</f>
        <v>-5.6259204712812962E-2</v>
      </c>
      <c r="E281" s="91">
        <f>IF(E271="","",(E271-'2018'!E227)/'2018'!E227)</f>
        <v>5.1964512040557666E-3</v>
      </c>
      <c r="F281" s="91">
        <f>IF(F271="","",(F271-'2018'!F227)/'2018'!F227)</f>
        <v>1.0211351222987414E-2</v>
      </c>
      <c r="G281" s="91" t="str">
        <f>IF(G271="","",(G271-'2014'!#REF!)/'2014'!#REF!)</f>
        <v/>
      </c>
      <c r="H281" s="91" t="str">
        <f>IF(H271="","",(H271-'2014'!#REF!)/'2014'!#REF!)</f>
        <v/>
      </c>
      <c r="I281" s="91" t="str">
        <f>IF(I271="","",(I271-'2014'!#REF!)/'2014'!#REF!)</f>
        <v/>
      </c>
      <c r="J281" s="87"/>
      <c r="K281" s="87"/>
      <c r="L281" s="87"/>
      <c r="M281" s="87" t="str">
        <f>IF(G281="","",M271-((1/'Proto 2013'!#REF!)*1000000))</f>
        <v/>
      </c>
      <c r="N281" s="87" t="str">
        <f>IF(H281="","",N271-((1/'Proto 2013'!#REF!)*1000000))</f>
        <v/>
      </c>
      <c r="O281" s="88" t="str">
        <f>IF(I281="","",O271-((1/'Proto 2013'!#REF!)*1000000))</f>
        <v/>
      </c>
    </row>
    <row r="282" spans="1:15" x14ac:dyDescent="0.25">
      <c r="A282" s="81" t="s">
        <v>13</v>
      </c>
      <c r="B282" s="82" t="s">
        <v>14</v>
      </c>
      <c r="C282" s="82" t="s">
        <v>10</v>
      </c>
      <c r="D282" s="91">
        <f>IF(D272="","",(D272-'2018'!D228)/'2018'!D228)</f>
        <v>-0.29972961509914114</v>
      </c>
      <c r="E282" s="91">
        <f>IF(E272="","",(E272-'2018'!E228)/'2018'!E228)</f>
        <v>0.11904612881016462</v>
      </c>
      <c r="F282" s="91">
        <f>IF(F272="","",(F272-'2018'!F228)/'2018'!F228)</f>
        <v>-2.8189374774123598E-2</v>
      </c>
      <c r="G282" s="91" t="str">
        <f>IF(G272="","",(G272-'2014'!#REF!)/'2014'!#REF!)</f>
        <v/>
      </c>
      <c r="H282" s="91" t="str">
        <f>IF(H272="","",(H272-'2014'!#REF!)/'2014'!#REF!)</f>
        <v/>
      </c>
      <c r="I282" s="91" t="str">
        <f>IF(I272="","",(I272-'2014'!#REF!)/'2014'!#REF!)</f>
        <v/>
      </c>
      <c r="J282" s="87"/>
      <c r="K282" s="87"/>
      <c r="L282" s="87"/>
      <c r="M282" s="87" t="str">
        <f>IF(G282="","",M272-((1/'Proto 2013'!#REF!)*1000000))</f>
        <v/>
      </c>
      <c r="N282" s="87" t="str">
        <f>IF(H282="","",N272-((1/'Proto 2013'!#REF!)*1000000))</f>
        <v/>
      </c>
      <c r="O282" s="88" t="str">
        <f>IF(I282="","",O272-((1/'Proto 2013'!#REF!)*1000000))</f>
        <v/>
      </c>
    </row>
    <row r="283" spans="1:15" x14ac:dyDescent="0.25">
      <c r="A283" s="81" t="s">
        <v>15</v>
      </c>
      <c r="B283" s="82" t="s">
        <v>14</v>
      </c>
      <c r="C283" s="82" t="s">
        <v>12</v>
      </c>
      <c r="D283" s="91">
        <f>IF(D273="","",(D273-'2018'!D229)/'2018'!D229)</f>
        <v>6.8084214936629311E-3</v>
      </c>
      <c r="E283" s="91">
        <f>IF(E273="","",(E273-'2018'!E229)/'2018'!E229)</f>
        <v>3.5679442508710801E-2</v>
      </c>
      <c r="F283" s="91">
        <f>IF(F273="","",(F273-'2018'!F229)/'2018'!F229)</f>
        <v>5.5436529191215854E-2</v>
      </c>
      <c r="G283" s="91" t="str">
        <f>IF(G273="","",(G273-'2014'!#REF!)/'2014'!#REF!)</f>
        <v/>
      </c>
      <c r="H283" s="91" t="str">
        <f>IF(H273="","",(H273-'2014'!#REF!)/'2014'!#REF!)</f>
        <v/>
      </c>
      <c r="I283" s="91" t="str">
        <f>IF(I273="","",(I273-'2014'!#REF!)/'2014'!#REF!)</f>
        <v/>
      </c>
      <c r="J283" s="87"/>
      <c r="K283" s="87"/>
      <c r="L283" s="87"/>
      <c r="M283" s="87" t="str">
        <f>IF(G283="","",M273-((1/'Proto 2013'!#REF!)*1000000))</f>
        <v/>
      </c>
      <c r="N283" s="87" t="str">
        <f>IF(H283="","",N273-((1/'Proto 2013'!#REF!)*1000000))</f>
        <v/>
      </c>
      <c r="O283" s="88" t="str">
        <f>IF(I283="","",O273-((1/'Proto 2013'!#REF!)*1000000))</f>
        <v/>
      </c>
    </row>
    <row r="284" spans="1:15" x14ac:dyDescent="0.25">
      <c r="A284" s="81" t="s">
        <v>16</v>
      </c>
      <c r="B284" s="82" t="s">
        <v>17</v>
      </c>
      <c r="C284" s="82" t="s">
        <v>12</v>
      </c>
      <c r="D284" s="91">
        <f>IF(D274="","",(D274-'2018'!D230)/'2018'!D230)</f>
        <v>-2.7682058350562831E-2</v>
      </c>
      <c r="E284" s="91">
        <f>IF(E274="","",(E274-'2018'!E230)/'2018'!E230)</f>
        <v>-4.7186400937866357E-2</v>
      </c>
      <c r="F284" s="91">
        <f>IF(F274="","",(F274-'2018'!F230)/'2018'!F230)</f>
        <v>-2.7735753908219869E-2</v>
      </c>
      <c r="G284" s="91" t="str">
        <f>IF(G274="","",(G274-'2014'!#REF!)/'2014'!#REF!)</f>
        <v/>
      </c>
      <c r="H284" s="91" t="str">
        <f>IF(H274="","",(H274-'2014'!#REF!)/'2014'!#REF!)</f>
        <v/>
      </c>
      <c r="I284" s="91" t="str">
        <f>IF(I274="","",(I274-'2014'!#REF!)/'2014'!#REF!)</f>
        <v/>
      </c>
      <c r="J284" s="87"/>
      <c r="K284" s="87"/>
      <c r="L284" s="87"/>
      <c r="M284" s="87" t="str">
        <f>IF(G284="","",M274-((1/'Proto 2013'!#REF!)*1000000))</f>
        <v/>
      </c>
      <c r="N284" s="87" t="str">
        <f>IF(H284="","",N274-((1/'Proto 2013'!#REF!)*1000000))</f>
        <v/>
      </c>
      <c r="O284" s="88" t="str">
        <f>IF(I284="","",O274-((1/'Proto 2013'!#REF!)*1000000))</f>
        <v/>
      </c>
    </row>
    <row r="285" spans="1:15" ht="15.75" thickBot="1" x14ac:dyDescent="0.3">
      <c r="A285" s="92" t="s">
        <v>18</v>
      </c>
      <c r="B285" s="93" t="s">
        <v>19</v>
      </c>
      <c r="C285" s="93" t="s">
        <v>12</v>
      </c>
      <c r="D285" s="91">
        <f>IF(D275="","",(D275-'2018'!D231)/'2018'!D231)</f>
        <v>1.3826518553533444E-2</v>
      </c>
      <c r="E285" s="91">
        <f>IF(E275="","",(E275-'2018'!E231)/'2018'!E231)</f>
        <v>4.8748568624243413E-2</v>
      </c>
      <c r="F285" s="91">
        <f>IF(F275="","",(F275-'2018'!F231)/'2018'!F231)</f>
        <v>1.5265131226566685E-2</v>
      </c>
      <c r="G285" s="94" t="str">
        <f>IF(G275="","",(G275-'2014'!#REF!)/'2014'!#REF!)</f>
        <v/>
      </c>
      <c r="H285" s="94" t="str">
        <f>IF(H275="","",(H275-'2014'!#REF!)/'2014'!#REF!)</f>
        <v/>
      </c>
      <c r="I285" s="94" t="str">
        <f>IF(I275="","",(I275-'2014'!#REF!)/'2014'!#REF!)</f>
        <v/>
      </c>
      <c r="J285" s="95"/>
      <c r="K285" s="95"/>
      <c r="L285" s="95"/>
      <c r="M285" s="95" t="str">
        <f>IF(G285="","",M275-((1/'Proto 2013'!#REF!)*1000000))</f>
        <v/>
      </c>
      <c r="N285" s="95" t="str">
        <f>IF(H285="","",N275-((1/'Proto 2013'!#REF!)*1000000))</f>
        <v/>
      </c>
      <c r="O285" s="96" t="str">
        <f>IF(I285="","",O275-((1/'Proto 2013'!#REF!)*1000000))</f>
        <v/>
      </c>
    </row>
  </sheetData>
  <mergeCells count="157">
    <mergeCell ref="A256:C256"/>
    <mergeCell ref="D256:I256"/>
    <mergeCell ref="J256:O256"/>
    <mergeCell ref="A244:O244"/>
    <mergeCell ref="A245:O245"/>
    <mergeCell ref="A246:C246"/>
    <mergeCell ref="D246:I246"/>
    <mergeCell ref="J246:O246"/>
    <mergeCell ref="A254:F254"/>
    <mergeCell ref="G254:I254"/>
    <mergeCell ref="M254:N254"/>
    <mergeCell ref="A255:O255"/>
    <mergeCell ref="A202:O202"/>
    <mergeCell ref="A203:O203"/>
    <mergeCell ref="A204:C204"/>
    <mergeCell ref="D204:I204"/>
    <mergeCell ref="J204:O204"/>
    <mergeCell ref="A212:F212"/>
    <mergeCell ref="G212:H212"/>
    <mergeCell ref="A213:O213"/>
    <mergeCell ref="A214:C214"/>
    <mergeCell ref="D214:I214"/>
    <mergeCell ref="J214:O214"/>
    <mergeCell ref="A162:O162"/>
    <mergeCell ref="A163:O163"/>
    <mergeCell ref="A164:C164"/>
    <mergeCell ref="D164:I164"/>
    <mergeCell ref="J164:O164"/>
    <mergeCell ref="A172:F172"/>
    <mergeCell ref="G172:H172"/>
    <mergeCell ref="A173:O173"/>
    <mergeCell ref="A174:C174"/>
    <mergeCell ref="D174:I174"/>
    <mergeCell ref="J174:O174"/>
    <mergeCell ref="A102:O102"/>
    <mergeCell ref="A103:O103"/>
    <mergeCell ref="A104:C104"/>
    <mergeCell ref="D104:I104"/>
    <mergeCell ref="J104:O104"/>
    <mergeCell ref="A112:F112"/>
    <mergeCell ref="G112:H112"/>
    <mergeCell ref="A113:O113"/>
    <mergeCell ref="A114:C114"/>
    <mergeCell ref="D114:I114"/>
    <mergeCell ref="J114:O114"/>
    <mergeCell ref="A42:O42"/>
    <mergeCell ref="A43:O43"/>
    <mergeCell ref="A44:C44"/>
    <mergeCell ref="D44:I44"/>
    <mergeCell ref="J44:O44"/>
    <mergeCell ref="A52:F52"/>
    <mergeCell ref="G52:H52"/>
    <mergeCell ref="A53:O53"/>
    <mergeCell ref="A54:C54"/>
    <mergeCell ref="D54:I54"/>
    <mergeCell ref="J54:O54"/>
    <mergeCell ref="A22:O22"/>
    <mergeCell ref="A12:O12"/>
    <mergeCell ref="A1:O1"/>
    <mergeCell ref="A2:O2"/>
    <mergeCell ref="A3:C3"/>
    <mergeCell ref="D3:I3"/>
    <mergeCell ref="J3:O3"/>
    <mergeCell ref="A11:F11"/>
    <mergeCell ref="G11:H11"/>
    <mergeCell ref="A13:C13"/>
    <mergeCell ref="D13:I13"/>
    <mergeCell ref="J13:O13"/>
    <mergeCell ref="A33:O33"/>
    <mergeCell ref="A34:C34"/>
    <mergeCell ref="D34:I34"/>
    <mergeCell ref="J34:O34"/>
    <mergeCell ref="A23:O23"/>
    <mergeCell ref="A24:C24"/>
    <mergeCell ref="D24:I24"/>
    <mergeCell ref="J24:O24"/>
    <mergeCell ref="A32:F32"/>
    <mergeCell ref="G32:H32"/>
    <mergeCell ref="A72:F72"/>
    <mergeCell ref="G72:H72"/>
    <mergeCell ref="A73:O73"/>
    <mergeCell ref="A74:C74"/>
    <mergeCell ref="D74:I74"/>
    <mergeCell ref="J74:O74"/>
    <mergeCell ref="A62:O62"/>
    <mergeCell ref="A63:O63"/>
    <mergeCell ref="A64:C64"/>
    <mergeCell ref="D64:I64"/>
    <mergeCell ref="J64:O64"/>
    <mergeCell ref="A92:F92"/>
    <mergeCell ref="G92:H92"/>
    <mergeCell ref="A93:O93"/>
    <mergeCell ref="A94:C94"/>
    <mergeCell ref="D94:I94"/>
    <mergeCell ref="J94:O94"/>
    <mergeCell ref="A82:O82"/>
    <mergeCell ref="A83:O83"/>
    <mergeCell ref="A84:C84"/>
    <mergeCell ref="D84:I84"/>
    <mergeCell ref="J84:O84"/>
    <mergeCell ref="A132:F132"/>
    <mergeCell ref="G132:H132"/>
    <mergeCell ref="A133:O133"/>
    <mergeCell ref="A134:C134"/>
    <mergeCell ref="D134:I134"/>
    <mergeCell ref="J134:O134"/>
    <mergeCell ref="A122:O122"/>
    <mergeCell ref="A123:O123"/>
    <mergeCell ref="A124:C124"/>
    <mergeCell ref="D124:I124"/>
    <mergeCell ref="J124:O124"/>
    <mergeCell ref="A152:F152"/>
    <mergeCell ref="G152:H152"/>
    <mergeCell ref="A153:O153"/>
    <mergeCell ref="A154:C154"/>
    <mergeCell ref="D154:I154"/>
    <mergeCell ref="J154:O154"/>
    <mergeCell ref="A142:O142"/>
    <mergeCell ref="A143:O143"/>
    <mergeCell ref="A144:C144"/>
    <mergeCell ref="D144:I144"/>
    <mergeCell ref="J144:O144"/>
    <mergeCell ref="A192:F192"/>
    <mergeCell ref="G192:H192"/>
    <mergeCell ref="A193:O193"/>
    <mergeCell ref="A194:C194"/>
    <mergeCell ref="D194:I194"/>
    <mergeCell ref="J194:O194"/>
    <mergeCell ref="A182:O182"/>
    <mergeCell ref="A183:O183"/>
    <mergeCell ref="A184:C184"/>
    <mergeCell ref="D184:I184"/>
    <mergeCell ref="J184:O184"/>
    <mergeCell ref="A222:O222"/>
    <mergeCell ref="A223:O223"/>
    <mergeCell ref="A224:C224"/>
    <mergeCell ref="D224:I224"/>
    <mergeCell ref="J224:O224"/>
    <mergeCell ref="A232:F232"/>
    <mergeCell ref="M232:N232"/>
    <mergeCell ref="A233:O233"/>
    <mergeCell ref="A234:C234"/>
    <mergeCell ref="D234:I234"/>
    <mergeCell ref="J234:O234"/>
    <mergeCell ref="G232:I232"/>
    <mergeCell ref="A278:C278"/>
    <mergeCell ref="D278:I278"/>
    <mergeCell ref="J278:O278"/>
    <mergeCell ref="A266:O266"/>
    <mergeCell ref="A267:O267"/>
    <mergeCell ref="A268:C268"/>
    <mergeCell ref="D268:I268"/>
    <mergeCell ref="J268:O268"/>
    <mergeCell ref="A276:F276"/>
    <mergeCell ref="G276:I276"/>
    <mergeCell ref="M276:N276"/>
    <mergeCell ref="A277:O277"/>
  </mergeCells>
  <conditionalFormatting sqref="D15:H15 D16:I20">
    <cfRule type="colorScale" priority="3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6:H36 D37:I41">
    <cfRule type="colorScale" priority="2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6:H56 D57:I61">
    <cfRule type="colorScale" priority="2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76:H76 D77:I81">
    <cfRule type="colorScale" priority="2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96:H96 D97:I101">
    <cfRule type="colorScale" priority="2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16:H116 D117:I121">
    <cfRule type="colorScale" priority="2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36:H136 D137:I141">
    <cfRule type="colorScale" priority="1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56:H156 D157:I161">
    <cfRule type="colorScale" priority="1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76:H176 D177:I181">
    <cfRule type="colorScale" priority="1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96:H196 D197:I201">
    <cfRule type="colorScale" priority="1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16:H216 D217:I221">
    <cfRule type="colorScale" priority="1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36:H236 D237:I241">
    <cfRule type="colorScale" priority="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58:H258 D259:I263">
    <cfRule type="colorScale" priority="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80:H280 D281:I285">
    <cfRule type="colorScale" priority="4">
      <colorScale>
        <cfvo type="min"/>
        <cfvo type="num" val="0"/>
        <cfvo type="max"/>
        <color rgb="FFF8696B"/>
        <color rgb="FFFCFCFF"/>
        <color rgb="FF63BE7B"/>
      </colorScale>
    </cfRule>
  </conditionalFormatting>
  <hyperlinks>
    <hyperlink ref="A11:F11" r:id="rId1" location="system_information" display="Worst of 10 iterations: 9068_sp_online_poll_18.0a2" xr:uid="{FBF4ED89-163D-4F7B-BE3A-56C2BC282CDD}"/>
    <hyperlink ref="A32:F32" r:id="rId2" location="Test_cRIO-Benchmark.lvproj%5CRT%20Target%5CAI-AO%5CTest_cRIO_AI-AO_01_INT.vi" display="Worst of 10 iterations: 9068_sp_online_poll_18.0a11" xr:uid="{14EA7C1D-BD5F-4F8F-80E9-103C731B5BCC}"/>
    <hyperlink ref="G32:H32" r:id="rId3" location="Test_cRIO-Benchmark.lvproj%5CRT%20Target%5CAI-AO-FILE%5CTest_cRIO_AI-AO-FILE_01_INT.vi" display="T3 Cases run again" xr:uid="{B64BBECB-8952-4E8F-957F-68D01DAFF066}"/>
    <hyperlink ref="A52:F52" r:id="rId4" location="Test_cRIO-Benchmark.lvproj%5CRT%20Target%5CAI-AO%5CTest_cRIO_AI-AO_01_INT.vi" display="Worst of 10 iterations: 9068_sp_online_poll_18.0b0" xr:uid="{BAA58A96-1982-4C19-9D99-C3C4744BFEDB}"/>
    <hyperlink ref="A72:F72" r:id="rId5" location="Test_cRIO-Benchmark.lvproj%5CRT%20Target%5CAI-AO%5CTest_cRIO_AI-AO_01_INT.vi" display="Worst of 10 iterations: 9068_sp_online_poll_18.0b5" xr:uid="{AD6D7932-BC0F-489E-965A-597930DB5794}"/>
    <hyperlink ref="G72:H72" r:id="rId6" location="Test_cRIO-Benchmark.lvproj%5CRT%20Target%5CAI-AO-PID%5CTest_cRIO_AI-AO-PID_16_POLL.vi" display="T3 and T4 Cases were run again" xr:uid="{242AF0AF-BECA-4317-A43B-F52F0ECF5BE6}"/>
    <hyperlink ref="A92:F92" r:id="rId7" display="Worst of 10 iterations: 9068_sp_online_poll_18.0b13" xr:uid="{2CB79563-0C9D-42F4-90A3-CBE94429676E}"/>
    <hyperlink ref="G92:H92" r:id="rId8" display="T3 and T4 Cases were run again" xr:uid="{46F299BF-1D7A-4B7B-8960-E9EF8262A3D6}"/>
    <hyperlink ref="A112:F112" r:id="rId9" location="Test_cRIO-Benchmark.lvproj%5CRT%20Target%5CAI-AO%5CTest_cRIO_AI-AO_01_INT.vi" display="Worst of 10 iterations: 9068_sp_online_poll_18.0b22" xr:uid="{B499EDCB-82C3-42BB-9250-09AA87053104}"/>
    <hyperlink ref="A132:F132" r:id="rId10" location="Test_cRIO-Benchmark.lvproj%5CRT%20Target%5CAI-AO%5CTest_cRIO_AI-AO_01_INT.vi" display="Worst of 10 iterations: 9068_sp_online_poll_18.0b30" xr:uid="{0FA02003-7646-464F-AEA5-EEC3CDFA1E43}"/>
    <hyperlink ref="G132:H132" r:id="rId11" display="CAR : 681734" xr:uid="{B0677C6F-A8F2-4E98-B47A-A102A638DD34}"/>
    <hyperlink ref="A152:F152" r:id="rId12" display="Worst of 10 iterations: 9068_sp_online_poll_18.0b46" xr:uid="{00C574A6-46FB-4ED6-AA7F-8FBEC62A6278}"/>
    <hyperlink ref="G152:H152" r:id="rId13" display="CAR : 681734" xr:uid="{7149ABA2-0CF6-4763-9AC9-ED80A3042637}"/>
    <hyperlink ref="A172:F172" r:id="rId14" display="Worst of 10 iterations: 9068_sp_online_poll_18.0b54" xr:uid="{5AD88E7F-D97F-434B-B5C5-71CBF64A4151}"/>
    <hyperlink ref="G172:H172" r:id="rId15" display="CAR : 681734" xr:uid="{9119FA68-CAD5-4DC5-A552-BB61EA56A16E}"/>
    <hyperlink ref="A192:F192" r:id="rId16" display="Worst of 10 iterations: 9068_sp_online_poll_18.0b60" xr:uid="{FDA95687-36D4-4763-8182-A0B789B674EF}"/>
    <hyperlink ref="G192:H192" r:id="rId17" display="CAR : 681734" xr:uid="{2CDBDD72-0602-41B7-A298-CBA8E506D0F1}"/>
    <hyperlink ref="A212:F212" r:id="rId18" display="Worst of 10 iterations: 9068_sp_online_poll_18.0rc1" xr:uid="{1102CE70-E5CA-4869-95BC-2F238D3D68F4}"/>
    <hyperlink ref="G212:H212" r:id="rId19" display="CAR : 681734" xr:uid="{FFC3C755-521F-4734-A08E-B040955BB966}"/>
    <hyperlink ref="A232:F232" r:id="rId20" location="Test_cRIO-Benchmark.lvproj%5CRT%20Target%5CAI-AO%5CTest_cRIO_AI-AO_01_INT.vi" display="Worst of 10 iterations: 9068_sp_online_poll_18.0" xr:uid="{382293B1-5107-48FF-A7D6-34DDC9FB6E93}"/>
    <hyperlink ref="M232:N232" r:id="rId21" display="CAR : 681734" xr:uid="{FFEEA8A9-A0FB-4063-8B53-5CC211E97AC9}"/>
    <hyperlink ref="G232" r:id="rId22" location="Test_cRIO-Benchmark.lvproj%5CRT%20Target%5CAI-AO-FILE%5CTest_cRIO_AI-AO-FILE_01_INT.vi" xr:uid="{26F5D172-8BAC-4FCC-B730-F1B140CFE403}"/>
    <hyperlink ref="J232" r:id="rId23" location="Test_cRIO-Benchmark.lvproj%5CRT%20Target%5CAI-AO-TCP%5CTest_cRIO_AI-AO-TCP_01_INT.vi" xr:uid="{B78CFA12-3B2B-4BF9-861E-5AB5EAAFF26F}"/>
    <hyperlink ref="A254:F254" r:id="rId24" display="Worst of 10 iterations: 9068_sp_online_poll_18.0.1b3" xr:uid="{F8A6965E-1F4B-4106-9C0E-7318EAC10C11}"/>
    <hyperlink ref="M254:N254" r:id="rId25" display="CAR : 681734" xr:uid="{DF4FAFF1-465E-4E5E-9D46-830C043B8D86}"/>
    <hyperlink ref="J254" r:id="rId26" xr:uid="{F1B9A8CF-6431-4CB1-BDD4-6F20AE646D0F}"/>
    <hyperlink ref="G254" r:id="rId27" location="Test_cRIO-Benchmark.lvproj%5CRT%20Target%5CAI-AO-FILE%5CTest_cRIO_AI-AO-FILE_01_INT.vi" xr:uid="{DB6450F2-85CE-4743-8C44-DAED6DF0A580}"/>
    <hyperlink ref="G254:I254" r:id="rId28" display="T3 Cases were run again" xr:uid="{83F78032-F85A-404B-AE25-9E3D31512FD4}"/>
    <hyperlink ref="A276:F276" r:id="rId29" display="Worst of 10 iterations: 9068_sp_online_poll_18.0.1" xr:uid="{3FEF50CE-5D15-4389-A1E8-9CA790A46DCF}"/>
    <hyperlink ref="M276:N276" r:id="rId30" display="CAR : 681734" xr:uid="{80AABB14-A12A-4F89-A633-A6CB0F47166A}"/>
    <hyperlink ref="G276" r:id="rId31" location="Test_cRIO-Benchmark.lvproj%5CRT%20Target%5CAI-AO-FILE%5CTest_cRIO_AI-AO-FILE_01_INT.vi" display="T3 Cases were run again" xr:uid="{5DFD4BF3-7528-48EF-9287-CF1F804023AC}"/>
    <hyperlink ref="G276:I276" r:id="rId32" display="T3,T4 Cases were run again" xr:uid="{761DF0DE-8FC2-46DD-A7B2-EC2299BC4CF8}"/>
  </hyperlinks>
  <pageMargins left="0.7" right="0.7" top="0.75" bottom="0.75" header="0.3" footer="0.3"/>
  <pageSetup orientation="portrait" horizontalDpi="4294967295" verticalDpi="4294967295" r:id="rId3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3B601-FEB8-4CBF-8CD7-5EDD22E975B5}">
  <dimension ref="A1:Q416"/>
  <sheetViews>
    <sheetView tabSelected="1" topLeftCell="A383" zoomScaleNormal="100" workbookViewId="0">
      <selection activeCell="A388" sqref="A388:O416"/>
    </sheetView>
  </sheetViews>
  <sheetFormatPr defaultRowHeight="15" x14ac:dyDescent="0.25"/>
  <cols>
    <col min="2" max="2" width="19.5703125" bestFit="1" customWidth="1"/>
    <col min="3" max="5" width="9.85546875" bestFit="1" customWidth="1"/>
    <col min="8" max="8" width="11.7109375" customWidth="1"/>
    <col min="9" max="9" width="20" customWidth="1"/>
    <col min="10" max="10" width="9.140625" customWidth="1"/>
  </cols>
  <sheetData>
    <row r="1" spans="1:15" ht="18.75" x14ac:dyDescent="0.25">
      <c r="A1" s="162" t="s">
        <v>191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3"/>
    </row>
    <row r="2" spans="1:15" ht="15.75" x14ac:dyDescent="0.25">
      <c r="A2" s="165" t="s">
        <v>192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5"/>
    </row>
    <row r="3" spans="1:15" x14ac:dyDescent="0.25">
      <c r="A3" s="167" t="s">
        <v>2</v>
      </c>
      <c r="B3" s="168"/>
      <c r="C3" s="168"/>
      <c r="D3" s="106" t="s">
        <v>3</v>
      </c>
      <c r="E3" s="169"/>
      <c r="F3" s="169"/>
      <c r="G3" s="169"/>
      <c r="H3" s="169"/>
      <c r="I3" s="169"/>
      <c r="J3" s="169" t="s">
        <v>4</v>
      </c>
      <c r="K3" s="169"/>
      <c r="L3" s="169"/>
      <c r="M3" s="169"/>
      <c r="N3" s="169"/>
      <c r="O3" s="170"/>
    </row>
    <row r="4" spans="1:15" x14ac:dyDescent="0.25">
      <c r="A4" s="76" t="s">
        <v>5</v>
      </c>
      <c r="B4" s="77" t="s">
        <v>6</v>
      </c>
      <c r="C4" s="77" t="s">
        <v>7</v>
      </c>
      <c r="D4" s="78">
        <v>1</v>
      </c>
      <c r="E4" s="78">
        <v>4</v>
      </c>
      <c r="F4" s="78">
        <v>16</v>
      </c>
      <c r="G4" s="79">
        <v>32</v>
      </c>
      <c r="H4" s="79">
        <v>64</v>
      </c>
      <c r="I4" s="79">
        <v>80</v>
      </c>
      <c r="J4" s="79">
        <v>1</v>
      </c>
      <c r="K4" s="79">
        <v>4</v>
      </c>
      <c r="L4" s="79">
        <v>16</v>
      </c>
      <c r="M4" s="79">
        <v>32</v>
      </c>
      <c r="N4" s="79">
        <v>64</v>
      </c>
      <c r="O4" s="80">
        <v>80</v>
      </c>
    </row>
    <row r="5" spans="1:15" x14ac:dyDescent="0.25">
      <c r="A5" s="37" t="s">
        <v>8</v>
      </c>
      <c r="B5" s="82" t="s">
        <v>9</v>
      </c>
      <c r="C5" s="83" t="s">
        <v>10</v>
      </c>
      <c r="D5" s="99">
        <v>36679</v>
      </c>
      <c r="E5" s="99">
        <v>19253</v>
      </c>
      <c r="F5" s="99">
        <v>5843</v>
      </c>
      <c r="G5" s="85"/>
      <c r="H5" s="86"/>
      <c r="I5" s="86"/>
      <c r="J5" s="87">
        <f t="shared" ref="J5:O7" si="0">IF(D5="","",(1/D5)*1000000)</f>
        <v>27.263556803620602</v>
      </c>
      <c r="K5" s="87">
        <f t="shared" si="0"/>
        <v>51.939957409234928</v>
      </c>
      <c r="L5" s="87">
        <f t="shared" si="0"/>
        <v>171.14495978093444</v>
      </c>
      <c r="M5" s="87" t="str">
        <f t="shared" si="0"/>
        <v/>
      </c>
      <c r="N5" s="87" t="str">
        <f t="shared" si="0"/>
        <v/>
      </c>
      <c r="O5" s="88" t="str">
        <f t="shared" si="0"/>
        <v/>
      </c>
    </row>
    <row r="6" spans="1:15" x14ac:dyDescent="0.25">
      <c r="A6" s="81" t="s">
        <v>11</v>
      </c>
      <c r="B6" s="82" t="s">
        <v>9</v>
      </c>
      <c r="C6" s="83" t="s">
        <v>12</v>
      </c>
      <c r="D6" s="99">
        <v>15073</v>
      </c>
      <c r="E6" s="99">
        <v>10804</v>
      </c>
      <c r="F6" s="99">
        <v>4818</v>
      </c>
      <c r="G6" s="85"/>
      <c r="H6" s="86"/>
      <c r="I6" s="86"/>
      <c r="J6" s="87">
        <f t="shared" si="0"/>
        <v>66.343793538114497</v>
      </c>
      <c r="K6" s="87">
        <f t="shared" si="0"/>
        <v>92.558311736393932</v>
      </c>
      <c r="L6" s="87">
        <f t="shared" si="0"/>
        <v>207.55500207555002</v>
      </c>
      <c r="M6" s="87" t="str">
        <f t="shared" si="0"/>
        <v/>
      </c>
      <c r="N6" s="87" t="str">
        <f t="shared" si="0"/>
        <v/>
      </c>
      <c r="O6" s="88" t="str">
        <f t="shared" si="0"/>
        <v/>
      </c>
    </row>
    <row r="7" spans="1:15" x14ac:dyDescent="0.25">
      <c r="A7" s="81" t="s">
        <v>13</v>
      </c>
      <c r="B7" s="82" t="s">
        <v>14</v>
      </c>
      <c r="C7" s="83" t="s">
        <v>10</v>
      </c>
      <c r="D7" s="100">
        <v>36042</v>
      </c>
      <c r="E7" s="100">
        <v>17344</v>
      </c>
      <c r="F7" s="99">
        <v>5617</v>
      </c>
      <c r="G7" s="85"/>
      <c r="H7" s="86"/>
      <c r="I7" s="86"/>
      <c r="J7" s="87">
        <f t="shared" si="0"/>
        <v>27.745408134953667</v>
      </c>
      <c r="K7" s="87">
        <f t="shared" si="0"/>
        <v>57.656826568265679</v>
      </c>
      <c r="L7" s="87">
        <f t="shared" si="0"/>
        <v>178.03097739006589</v>
      </c>
      <c r="M7" s="87" t="str">
        <f t="shared" si="0"/>
        <v/>
      </c>
      <c r="N7" s="87" t="str">
        <f t="shared" si="0"/>
        <v/>
      </c>
      <c r="O7" s="88" t="str">
        <f t="shared" si="0"/>
        <v/>
      </c>
    </row>
    <row r="8" spans="1:15" x14ac:dyDescent="0.25">
      <c r="A8" s="81" t="s">
        <v>15</v>
      </c>
      <c r="B8" s="82" t="s">
        <v>14</v>
      </c>
      <c r="C8" s="83" t="s">
        <v>12</v>
      </c>
      <c r="D8" s="99">
        <v>15288</v>
      </c>
      <c r="E8" s="101">
        <v>10605</v>
      </c>
      <c r="F8" s="100">
        <v>4634</v>
      </c>
      <c r="G8" s="85"/>
      <c r="H8" s="86"/>
      <c r="I8" s="86"/>
      <c r="J8" s="87">
        <f>IF(D8="","",(1/D8)*1000000)</f>
        <v>65.410779696493989</v>
      </c>
      <c r="K8" s="87">
        <f>IF(D7="","",(1/D7)*1000000)</f>
        <v>27.745408134953667</v>
      </c>
      <c r="L8" s="87">
        <f t="shared" ref="L8:O10" si="1">IF(F8="","",(1/F8)*1000000)</f>
        <v>215.79628830384118</v>
      </c>
      <c r="M8" s="87" t="str">
        <f t="shared" si="1"/>
        <v/>
      </c>
      <c r="N8" s="87" t="str">
        <f t="shared" si="1"/>
        <v/>
      </c>
      <c r="O8" s="88" t="str">
        <f t="shared" si="1"/>
        <v/>
      </c>
    </row>
    <row r="9" spans="1:15" x14ac:dyDescent="0.25">
      <c r="A9" s="81" t="s">
        <v>16</v>
      </c>
      <c r="B9" s="82" t="s">
        <v>17</v>
      </c>
      <c r="C9" s="83" t="s">
        <v>12</v>
      </c>
      <c r="D9" s="100">
        <v>8200</v>
      </c>
      <c r="E9" s="100">
        <v>6539</v>
      </c>
      <c r="F9" s="100">
        <v>3710</v>
      </c>
      <c r="G9" s="85"/>
      <c r="H9" s="86"/>
      <c r="I9" s="86"/>
      <c r="J9" s="87">
        <f>IF(D9="","",(1/D9)*1000000)</f>
        <v>121.95121951219512</v>
      </c>
      <c r="K9" s="87">
        <f>IF(E9="","",(1/E9)*1000000)</f>
        <v>152.92858235204159</v>
      </c>
      <c r="L9" s="87">
        <f t="shared" si="1"/>
        <v>269.54177897574124</v>
      </c>
      <c r="M9" s="87" t="str">
        <f t="shared" si="1"/>
        <v/>
      </c>
      <c r="N9" s="87" t="str">
        <f t="shared" si="1"/>
        <v/>
      </c>
      <c r="O9" s="88" t="str">
        <f t="shared" si="1"/>
        <v/>
      </c>
    </row>
    <row r="10" spans="1:15" x14ac:dyDescent="0.25">
      <c r="A10" s="81" t="s">
        <v>18</v>
      </c>
      <c r="B10" s="82" t="s">
        <v>19</v>
      </c>
      <c r="C10" s="83" t="s">
        <v>12</v>
      </c>
      <c r="D10" s="99">
        <v>8378</v>
      </c>
      <c r="E10" s="99">
        <v>6065</v>
      </c>
      <c r="F10" s="99">
        <v>3555</v>
      </c>
      <c r="G10" s="85"/>
      <c r="H10" s="86"/>
      <c r="I10" s="86"/>
      <c r="J10" s="87">
        <f>IF(D10="","",(1/D10)*1000000)</f>
        <v>119.36022917164</v>
      </c>
      <c r="K10" s="87">
        <f>IF(E10="","",(1/E10)*1000000)</f>
        <v>164.88046166529267</v>
      </c>
      <c r="L10" s="87">
        <f t="shared" si="1"/>
        <v>281.29395218002816</v>
      </c>
      <c r="M10" s="87" t="str">
        <f t="shared" si="1"/>
        <v/>
      </c>
      <c r="N10" s="87" t="str">
        <f t="shared" si="1"/>
        <v/>
      </c>
      <c r="O10" s="88" t="str">
        <f t="shared" si="1"/>
        <v/>
      </c>
    </row>
    <row r="11" spans="1:15" x14ac:dyDescent="0.25">
      <c r="A11" s="176" t="s">
        <v>193</v>
      </c>
      <c r="B11" s="177"/>
      <c r="C11" s="177"/>
      <c r="D11" s="177"/>
      <c r="E11" s="177"/>
      <c r="F11" s="177"/>
      <c r="G11" s="157" t="s">
        <v>187</v>
      </c>
      <c r="H11" s="157"/>
      <c r="I11" s="157"/>
      <c r="J11" s="98" t="s">
        <v>194</v>
      </c>
      <c r="K11" s="75"/>
      <c r="L11" s="75"/>
      <c r="M11" s="157" t="s">
        <v>172</v>
      </c>
      <c r="N11" s="157"/>
      <c r="O11" s="90"/>
    </row>
    <row r="12" spans="1:15" ht="18.75" x14ac:dyDescent="0.3">
      <c r="A12" s="158" t="s">
        <v>186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9"/>
    </row>
    <row r="13" spans="1:15" x14ac:dyDescent="0.25">
      <c r="A13" s="167" t="s">
        <v>2</v>
      </c>
      <c r="B13" s="168"/>
      <c r="C13" s="168"/>
      <c r="D13" s="169" t="s">
        <v>20</v>
      </c>
      <c r="E13" s="169"/>
      <c r="F13" s="169"/>
      <c r="G13" s="169"/>
      <c r="H13" s="169"/>
      <c r="I13" s="169"/>
      <c r="J13" s="169" t="s">
        <v>23</v>
      </c>
      <c r="K13" s="169"/>
      <c r="L13" s="169"/>
      <c r="M13" s="169"/>
      <c r="N13" s="169"/>
      <c r="O13" s="170"/>
    </row>
    <row r="14" spans="1:15" x14ac:dyDescent="0.25">
      <c r="A14" s="76" t="s">
        <v>5</v>
      </c>
      <c r="B14" s="77" t="s">
        <v>6</v>
      </c>
      <c r="C14" s="77" t="s">
        <v>7</v>
      </c>
      <c r="D14" s="79">
        <v>1</v>
      </c>
      <c r="E14" s="79">
        <v>4</v>
      </c>
      <c r="F14" s="79">
        <v>16</v>
      </c>
      <c r="G14" s="79">
        <v>32</v>
      </c>
      <c r="H14" s="79">
        <v>64</v>
      </c>
      <c r="I14" s="79">
        <v>80</v>
      </c>
      <c r="J14" s="79">
        <v>1</v>
      </c>
      <c r="K14" s="79">
        <v>4</v>
      </c>
      <c r="L14" s="79">
        <v>16</v>
      </c>
      <c r="M14" s="79">
        <v>32</v>
      </c>
      <c r="N14" s="79">
        <v>64</v>
      </c>
      <c r="O14" s="80">
        <v>80</v>
      </c>
    </row>
    <row r="15" spans="1:15" x14ac:dyDescent="0.25">
      <c r="A15" s="81" t="s">
        <v>8</v>
      </c>
      <c r="B15" s="82" t="s">
        <v>9</v>
      </c>
      <c r="C15" s="82" t="s">
        <v>10</v>
      </c>
      <c r="D15" s="91">
        <f>IF(D5="","",(D5-'2018'!D226)/'2018'!D226)</f>
        <v>-0.13598888156035052</v>
      </c>
      <c r="E15" s="91">
        <f>IF(E5="","",(E5-'2018'!E226)/'2018'!E226)</f>
        <v>-4.1853289539165922E-2</v>
      </c>
      <c r="F15" s="91">
        <f>IF(F5="","",(F5-'2018'!F226)/'2018'!F226)</f>
        <v>-2.6653339996668333E-2</v>
      </c>
      <c r="G15" s="91" t="str">
        <f>IF(G5="","",(G5-'2014'!#REF!)/'2014'!#REF!)</f>
        <v/>
      </c>
      <c r="H15" s="91" t="str">
        <f>IF(H5="","",(H5-'2014'!#REF!)/'2014'!#REF!)</f>
        <v/>
      </c>
      <c r="I15" s="87" t="str">
        <f>IF(I5="","",(I5-'2014'!#REF!)/'2014'!#REF!)</f>
        <v/>
      </c>
      <c r="J15" s="87"/>
      <c r="K15" s="87"/>
      <c r="L15" s="87"/>
      <c r="M15" s="87" t="str">
        <f>IF(G15="","",M5-((1/'Proto 2013'!#REF!)*1000000))</f>
        <v/>
      </c>
      <c r="N15" s="87" t="str">
        <f>IF(H15="","",N5-((1/'Proto 2013'!#REF!)*1000000))</f>
        <v/>
      </c>
      <c r="O15" s="88" t="str">
        <f>IF(I15="","",O5-((1/'Proto 2013'!#REF!)*1000000))</f>
        <v/>
      </c>
    </row>
    <row r="16" spans="1:15" x14ac:dyDescent="0.25">
      <c r="A16" s="81" t="s">
        <v>11</v>
      </c>
      <c r="B16" s="82" t="s">
        <v>9</v>
      </c>
      <c r="C16" s="82" t="s">
        <v>12</v>
      </c>
      <c r="D16" s="91">
        <f>IF(D6="","",(D6-'2018'!D227)/'2018'!D227)</f>
        <v>0.47992145311732942</v>
      </c>
      <c r="E16" s="91">
        <f>IF(E6="","",(E6-'2018'!E227)/'2018'!E227)</f>
        <v>0.36932826362484156</v>
      </c>
      <c r="F16" s="91">
        <f>IF(F6="","",(F6-'2018'!F227)/'2018'!F227)</f>
        <v>0.14414628354310141</v>
      </c>
      <c r="G16" s="91" t="str">
        <f>IF(G6="","",(G6-'2014'!#REF!)/'2014'!#REF!)</f>
        <v/>
      </c>
      <c r="H16" s="91" t="str">
        <f>IF(H6="","",(H6-'2014'!#REF!)/'2014'!#REF!)</f>
        <v/>
      </c>
      <c r="I16" s="91" t="str">
        <f>IF(I6="","",(I6-'2014'!#REF!)/'2014'!#REF!)</f>
        <v/>
      </c>
      <c r="J16" s="87"/>
      <c r="K16" s="87"/>
      <c r="L16" s="87"/>
      <c r="M16" s="87" t="str">
        <f>IF(G16="","",M6-((1/'Proto 2013'!#REF!)*1000000))</f>
        <v/>
      </c>
      <c r="N16" s="87" t="str">
        <f>IF(H16="","",N6-((1/'Proto 2013'!#REF!)*1000000))</f>
        <v/>
      </c>
      <c r="O16" s="88" t="str">
        <f>IF(I16="","",O6-((1/'Proto 2013'!#REF!)*1000000))</f>
        <v/>
      </c>
    </row>
    <row r="17" spans="1:15" x14ac:dyDescent="0.25">
      <c r="A17" s="81" t="s">
        <v>13</v>
      </c>
      <c r="B17" s="82" t="s">
        <v>14</v>
      </c>
      <c r="C17" s="82" t="s">
        <v>10</v>
      </c>
      <c r="D17" s="91">
        <f>IF(D7="","",(D7-'2018'!D228)/'2018'!D228)</f>
        <v>-4.4587000318099881E-2</v>
      </c>
      <c r="E17" s="91">
        <f>IF(E7="","",(E7-'2018'!E228)/'2018'!E228)</f>
        <v>8.5560493208987926E-2</v>
      </c>
      <c r="F17" s="91">
        <f>IF(F7="","",(F7-'2018'!F228)/'2018'!F228)</f>
        <v>1.4998192988796531E-2</v>
      </c>
      <c r="G17" s="91" t="str">
        <f>IF(G7="","",(G7-'2014'!#REF!)/'2014'!#REF!)</f>
        <v/>
      </c>
      <c r="H17" s="91" t="str">
        <f>IF(H7="","",(H7-'2014'!#REF!)/'2014'!#REF!)</f>
        <v/>
      </c>
      <c r="I17" s="91" t="str">
        <f>IF(I7="","",(I7-'2014'!#REF!)/'2014'!#REF!)</f>
        <v/>
      </c>
      <c r="J17" s="87"/>
      <c r="K17" s="87"/>
      <c r="L17" s="87"/>
      <c r="M17" s="87" t="str">
        <f>IF(G17="","",M7-((1/'Proto 2013'!#REF!)*1000000))</f>
        <v/>
      </c>
      <c r="N17" s="87" t="str">
        <f>IF(H17="","",N7-((1/'Proto 2013'!#REF!)*1000000))</f>
        <v/>
      </c>
      <c r="O17" s="88" t="str">
        <f>IF(I17="","",O7-((1/'Proto 2013'!#REF!)*1000000))</f>
        <v/>
      </c>
    </row>
    <row r="18" spans="1:15" x14ac:dyDescent="0.25">
      <c r="A18" s="81" t="s">
        <v>15</v>
      </c>
      <c r="B18" s="82" t="s">
        <v>14</v>
      </c>
      <c r="C18" s="82" t="s">
        <v>12</v>
      </c>
      <c r="D18" s="91">
        <f>IF(D8="","",(D8-'2018'!D229)/'2018'!D229)</f>
        <v>0.60134073530952137</v>
      </c>
      <c r="E18" s="91">
        <f>IF(E8="","",(E8-'2018'!E229)/'2018'!E229)</f>
        <v>0.47804878048780486</v>
      </c>
      <c r="F18" s="91">
        <f>IF(F8="","",(F8-'2018'!F229)/'2018'!F229)</f>
        <v>0.24102838778789501</v>
      </c>
      <c r="G18" s="91" t="str">
        <f>IF(G8="","",(G8-'2014'!#REF!)/'2014'!#REF!)</f>
        <v/>
      </c>
      <c r="H18" s="91" t="str">
        <f>IF(H8="","",(H8-'2014'!#REF!)/'2014'!#REF!)</f>
        <v/>
      </c>
      <c r="I18" s="91" t="str">
        <f>IF(I8="","",(I8-'2014'!#REF!)/'2014'!#REF!)</f>
        <v/>
      </c>
      <c r="J18" s="87"/>
      <c r="K18" s="87"/>
      <c r="L18" s="87"/>
      <c r="M18" s="87" t="str">
        <f>IF(G18="","",M8-((1/'Proto 2013'!#REF!)*1000000))</f>
        <v/>
      </c>
      <c r="N18" s="87" t="str">
        <f>IF(H18="","",N8-((1/'Proto 2013'!#REF!)*1000000))</f>
        <v/>
      </c>
      <c r="O18" s="88" t="str">
        <f>IF(I18="","",O8-((1/'Proto 2013'!#REF!)*1000000))</f>
        <v/>
      </c>
    </row>
    <row r="19" spans="1:15" x14ac:dyDescent="0.25">
      <c r="A19" s="81" t="s">
        <v>16</v>
      </c>
      <c r="B19" s="82" t="s">
        <v>17</v>
      </c>
      <c r="C19" s="82" t="s">
        <v>12</v>
      </c>
      <c r="D19" s="91">
        <f>IF(D9="","",(D9-'2018'!D230)/'2018'!D230)</f>
        <v>-5.8120836204916149E-2</v>
      </c>
      <c r="E19" s="91">
        <f>IF(E9="","",(E9-'2018'!E230)/'2018'!E230)</f>
        <v>-4.1764361078546308E-2</v>
      </c>
      <c r="F19" s="91">
        <f>IF(F9="","",(F9-'2018'!F230)/'2018'!F230)</f>
        <v>-6.4548663640948065E-2</v>
      </c>
      <c r="G19" s="91" t="str">
        <f>IF(G9="","",(G9-'2014'!#REF!)/'2014'!#REF!)</f>
        <v/>
      </c>
      <c r="H19" s="91" t="str">
        <f>IF(H9="","",(H9-'2014'!#REF!)/'2014'!#REF!)</f>
        <v/>
      </c>
      <c r="I19" s="91" t="str">
        <f>IF(I9="","",(I9-'2014'!#REF!)/'2014'!#REF!)</f>
        <v/>
      </c>
      <c r="J19" s="87"/>
      <c r="K19" s="87"/>
      <c r="L19" s="87"/>
      <c r="M19" s="87" t="str">
        <f>IF(G19="","",M9-((1/'Proto 2013'!#REF!)*1000000))</f>
        <v/>
      </c>
      <c r="N19" s="87" t="str">
        <f>IF(H19="","",N9-((1/'Proto 2013'!#REF!)*1000000))</f>
        <v/>
      </c>
      <c r="O19" s="88" t="str">
        <f>IF(I19="","",O9-((1/'Proto 2013'!#REF!)*1000000))</f>
        <v/>
      </c>
    </row>
    <row r="20" spans="1:15" ht="15.75" thickBot="1" x14ac:dyDescent="0.3">
      <c r="A20" s="92" t="s">
        <v>18</v>
      </c>
      <c r="B20" s="93" t="s">
        <v>19</v>
      </c>
      <c r="C20" s="93" t="s">
        <v>12</v>
      </c>
      <c r="D20" s="91">
        <f>IF(D10="","",(D10-'2018'!D231)/'2018'!D231)</f>
        <v>-9.9267312692034974E-3</v>
      </c>
      <c r="E20" s="91">
        <f>IF(E10="","",(E10-'2018'!E231)/'2018'!E231)</f>
        <v>-7.8521184361197444E-3</v>
      </c>
      <c r="F20" s="91">
        <f>IF(F10="","",(F10-'2018'!F231)/'2018'!F231)</f>
        <v>-4.7937868237814679E-2</v>
      </c>
      <c r="G20" s="94" t="str">
        <f>IF(G10="","",(G10-'2014'!#REF!)/'2014'!#REF!)</f>
        <v/>
      </c>
      <c r="H20" s="94" t="str">
        <f>IF(H10="","",(H10-'2014'!#REF!)/'2014'!#REF!)</f>
        <v/>
      </c>
      <c r="I20" s="94" t="str">
        <f>IF(I10="","",(I10-'2014'!#REF!)/'2014'!#REF!)</f>
        <v/>
      </c>
      <c r="J20" s="95"/>
      <c r="K20" s="95"/>
      <c r="L20" s="95"/>
      <c r="M20" s="95" t="str">
        <f>IF(G20="","",M10-((1/'Proto 2013'!#REF!)*1000000))</f>
        <v/>
      </c>
      <c r="N20" s="95" t="str">
        <f>IF(H20="","",N10-((1/'Proto 2013'!#REF!)*1000000))</f>
        <v/>
      </c>
      <c r="O20" s="96" t="str">
        <f>IF(I20="","",O10-((1/'Proto 2013'!#REF!)*1000000))</f>
        <v/>
      </c>
    </row>
    <row r="21" spans="1:15" ht="15.75" thickBot="1" x14ac:dyDescent="0.3"/>
    <row r="22" spans="1:15" ht="18.75" x14ac:dyDescent="0.25">
      <c r="A22" s="162" t="s">
        <v>191</v>
      </c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3"/>
    </row>
    <row r="23" spans="1:15" ht="15.75" x14ac:dyDescent="0.25">
      <c r="A23" s="165" t="s">
        <v>195</v>
      </c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5"/>
    </row>
    <row r="24" spans="1:15" x14ac:dyDescent="0.25">
      <c r="A24" s="167" t="s">
        <v>2</v>
      </c>
      <c r="B24" s="168"/>
      <c r="C24" s="168"/>
      <c r="D24" s="106" t="s">
        <v>3</v>
      </c>
      <c r="E24" s="169"/>
      <c r="F24" s="169"/>
      <c r="G24" s="169"/>
      <c r="H24" s="169"/>
      <c r="I24" s="169"/>
      <c r="J24" s="169" t="s">
        <v>4</v>
      </c>
      <c r="K24" s="169"/>
      <c r="L24" s="169"/>
      <c r="M24" s="169"/>
      <c r="N24" s="169"/>
      <c r="O24" s="170"/>
    </row>
    <row r="25" spans="1:15" x14ac:dyDescent="0.25">
      <c r="A25" s="76" t="s">
        <v>5</v>
      </c>
      <c r="B25" s="77" t="s">
        <v>6</v>
      </c>
      <c r="C25" s="77" t="s">
        <v>7</v>
      </c>
      <c r="D25" s="78">
        <v>1</v>
      </c>
      <c r="E25" s="78">
        <v>4</v>
      </c>
      <c r="F25" s="78">
        <v>16</v>
      </c>
      <c r="G25" s="79">
        <v>32</v>
      </c>
      <c r="H25" s="79">
        <v>64</v>
      </c>
      <c r="I25" s="79">
        <v>80</v>
      </c>
      <c r="J25" s="79">
        <v>1</v>
      </c>
      <c r="K25" s="79">
        <v>4</v>
      </c>
      <c r="L25" s="79">
        <v>16</v>
      </c>
      <c r="M25" s="79">
        <v>32</v>
      </c>
      <c r="N25" s="79">
        <v>64</v>
      </c>
      <c r="O25" s="80">
        <v>80</v>
      </c>
    </row>
    <row r="26" spans="1:15" x14ac:dyDescent="0.25">
      <c r="A26" s="37" t="s">
        <v>8</v>
      </c>
      <c r="B26" s="82" t="s">
        <v>9</v>
      </c>
      <c r="C26" s="83" t="s">
        <v>10</v>
      </c>
      <c r="D26" s="99">
        <v>41129</v>
      </c>
      <c r="E26" s="99">
        <v>15648</v>
      </c>
      <c r="F26" s="99">
        <v>5715</v>
      </c>
      <c r="G26" s="85"/>
      <c r="H26" s="86"/>
      <c r="I26" s="86"/>
      <c r="J26" s="87">
        <f t="shared" ref="J26:J28" si="2">IF(D26="","",(1/D26)*1000000)</f>
        <v>24.313744559799655</v>
      </c>
      <c r="K26" s="87">
        <f t="shared" ref="K26:K28" si="3">IF(E26="","",(1/E26)*1000000)</f>
        <v>63.905930470347656</v>
      </c>
      <c r="L26" s="87">
        <f t="shared" ref="L26:L31" si="4">IF(F26="","",(1/F26)*1000000)</f>
        <v>174.97812773403322</v>
      </c>
      <c r="M26" s="87" t="str">
        <f t="shared" ref="M26:M31" si="5">IF(G26="","",(1/G26)*1000000)</f>
        <v/>
      </c>
      <c r="N26" s="87" t="str">
        <f t="shared" ref="N26:N31" si="6">IF(H26="","",(1/H26)*1000000)</f>
        <v/>
      </c>
      <c r="O26" s="88" t="str">
        <f t="shared" ref="O26:O31" si="7">IF(I26="","",(1/I26)*1000000)</f>
        <v/>
      </c>
    </row>
    <row r="27" spans="1:15" x14ac:dyDescent="0.25">
      <c r="A27" s="81" t="s">
        <v>11</v>
      </c>
      <c r="B27" s="82" t="s">
        <v>9</v>
      </c>
      <c r="C27" s="83" t="s">
        <v>12</v>
      </c>
      <c r="D27" s="99">
        <v>9017</v>
      </c>
      <c r="E27" s="99">
        <v>6675</v>
      </c>
      <c r="F27" s="99">
        <v>3986</v>
      </c>
      <c r="G27" s="85"/>
      <c r="H27" s="86"/>
      <c r="I27" s="86"/>
      <c r="J27" s="87">
        <f t="shared" si="2"/>
        <v>110.90163025396473</v>
      </c>
      <c r="K27" s="87">
        <f t="shared" si="3"/>
        <v>149.81273408239701</v>
      </c>
      <c r="L27" s="87">
        <f t="shared" si="4"/>
        <v>250.87807325639739</v>
      </c>
      <c r="M27" s="87" t="str">
        <f t="shared" si="5"/>
        <v/>
      </c>
      <c r="N27" s="87" t="str">
        <f t="shared" si="6"/>
        <v/>
      </c>
      <c r="O27" s="88" t="str">
        <f t="shared" si="7"/>
        <v/>
      </c>
    </row>
    <row r="28" spans="1:15" x14ac:dyDescent="0.25">
      <c r="A28" s="81" t="s">
        <v>13</v>
      </c>
      <c r="B28" s="82" t="s">
        <v>14</v>
      </c>
      <c r="C28" s="83" t="s">
        <v>10</v>
      </c>
      <c r="D28" s="100">
        <v>38694</v>
      </c>
      <c r="E28" s="100">
        <v>16057</v>
      </c>
      <c r="F28" s="99">
        <v>5544</v>
      </c>
      <c r="G28" s="85"/>
      <c r="H28" s="86"/>
      <c r="I28" s="86"/>
      <c r="J28" s="87">
        <f t="shared" si="2"/>
        <v>25.84380007236264</v>
      </c>
      <c r="K28" s="87">
        <f t="shared" si="3"/>
        <v>62.278134147100957</v>
      </c>
      <c r="L28" s="87">
        <f t="shared" si="4"/>
        <v>180.37518037518038</v>
      </c>
      <c r="M28" s="87" t="str">
        <f t="shared" si="5"/>
        <v/>
      </c>
      <c r="N28" s="87" t="str">
        <f t="shared" si="6"/>
        <v/>
      </c>
      <c r="O28" s="88" t="str">
        <f t="shared" si="7"/>
        <v/>
      </c>
    </row>
    <row r="29" spans="1:15" x14ac:dyDescent="0.25">
      <c r="A29" s="81" t="s">
        <v>15</v>
      </c>
      <c r="B29" s="82" t="s">
        <v>14</v>
      </c>
      <c r="C29" s="83" t="s">
        <v>12</v>
      </c>
      <c r="D29" s="99">
        <v>8010</v>
      </c>
      <c r="E29" s="101">
        <v>6625</v>
      </c>
      <c r="F29" s="100">
        <v>3555</v>
      </c>
      <c r="G29" s="85"/>
      <c r="H29" s="86"/>
      <c r="I29" s="86"/>
      <c r="J29" s="87">
        <f>IF(D29="","",(1/D29)*1000000)</f>
        <v>124.84394506866417</v>
      </c>
      <c r="K29" s="87">
        <f>IF(D28="","",(1/D28)*1000000)</f>
        <v>25.84380007236264</v>
      </c>
      <c r="L29" s="87">
        <f t="shared" si="4"/>
        <v>281.29395218002816</v>
      </c>
      <c r="M29" s="87" t="str">
        <f t="shared" si="5"/>
        <v/>
      </c>
      <c r="N29" s="87" t="str">
        <f t="shared" si="6"/>
        <v/>
      </c>
      <c r="O29" s="88" t="str">
        <f t="shared" si="7"/>
        <v/>
      </c>
    </row>
    <row r="30" spans="1:15" x14ac:dyDescent="0.25">
      <c r="A30" s="81" t="s">
        <v>16</v>
      </c>
      <c r="B30" s="82" t="s">
        <v>17</v>
      </c>
      <c r="C30" s="83" t="s">
        <v>12</v>
      </c>
      <c r="D30" s="100">
        <v>8010</v>
      </c>
      <c r="E30" s="100">
        <v>6553</v>
      </c>
      <c r="F30" s="100">
        <v>3697</v>
      </c>
      <c r="G30" s="85"/>
      <c r="H30" s="86"/>
      <c r="I30" s="86"/>
      <c r="J30" s="87">
        <f>IF(D30="","",(1/D30)*1000000)</f>
        <v>124.84394506866417</v>
      </c>
      <c r="K30" s="87">
        <f>IF(E30="","",(1/E30)*1000000)</f>
        <v>152.60186174271325</v>
      </c>
      <c r="L30" s="87">
        <f t="shared" si="4"/>
        <v>270.48958615093318</v>
      </c>
      <c r="M30" s="87" t="str">
        <f t="shared" si="5"/>
        <v/>
      </c>
      <c r="N30" s="87" t="str">
        <f t="shared" si="6"/>
        <v/>
      </c>
      <c r="O30" s="88" t="str">
        <f t="shared" si="7"/>
        <v/>
      </c>
    </row>
    <row r="31" spans="1:15" x14ac:dyDescent="0.25">
      <c r="A31" s="81" t="s">
        <v>18</v>
      </c>
      <c r="B31" s="82" t="s">
        <v>19</v>
      </c>
      <c r="C31" s="83" t="s">
        <v>12</v>
      </c>
      <c r="D31" s="99" t="s">
        <v>199</v>
      </c>
      <c r="E31" s="99">
        <v>6166</v>
      </c>
      <c r="F31" s="99">
        <v>3742</v>
      </c>
      <c r="G31" s="85"/>
      <c r="H31" s="86"/>
      <c r="I31" s="86"/>
      <c r="J31" s="87" t="e">
        <f>IF(D31="","",(1/D31)*1000000)</f>
        <v>#VALUE!</v>
      </c>
      <c r="K31" s="87">
        <f>IF(E31="","",(1/E31)*1000000)</f>
        <v>162.17969510217321</v>
      </c>
      <c r="L31" s="87">
        <f t="shared" si="4"/>
        <v>267.23677177979687</v>
      </c>
      <c r="M31" s="87" t="str">
        <f t="shared" si="5"/>
        <v/>
      </c>
      <c r="N31" s="87" t="str">
        <f t="shared" si="6"/>
        <v/>
      </c>
      <c r="O31" s="88" t="str">
        <f t="shared" si="7"/>
        <v/>
      </c>
    </row>
    <row r="32" spans="1:15" x14ac:dyDescent="0.25">
      <c r="A32" s="176" t="s">
        <v>196</v>
      </c>
      <c r="B32" s="177"/>
      <c r="C32" s="177"/>
      <c r="D32" s="177"/>
      <c r="E32" s="177"/>
      <c r="F32" s="177"/>
      <c r="G32" s="157" t="s">
        <v>197</v>
      </c>
      <c r="H32" s="157"/>
      <c r="I32" s="157"/>
      <c r="J32" s="98" t="s">
        <v>198</v>
      </c>
      <c r="K32" s="75"/>
      <c r="L32" s="75"/>
      <c r="M32" s="157" t="s">
        <v>172</v>
      </c>
      <c r="N32" s="157"/>
      <c r="O32" s="90"/>
    </row>
    <row r="33" spans="1:15" ht="18.75" x14ac:dyDescent="0.3">
      <c r="A33" s="158" t="s">
        <v>186</v>
      </c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59"/>
    </row>
    <row r="34" spans="1:15" x14ac:dyDescent="0.25">
      <c r="A34" s="167" t="s">
        <v>2</v>
      </c>
      <c r="B34" s="168"/>
      <c r="C34" s="168"/>
      <c r="D34" s="169" t="s">
        <v>20</v>
      </c>
      <c r="E34" s="169"/>
      <c r="F34" s="169"/>
      <c r="G34" s="169"/>
      <c r="H34" s="169"/>
      <c r="I34" s="169"/>
      <c r="J34" s="188" t="s">
        <v>23</v>
      </c>
      <c r="K34" s="189"/>
      <c r="L34" s="189"/>
      <c r="M34" s="189"/>
      <c r="N34" s="189"/>
      <c r="O34" s="191"/>
    </row>
    <row r="35" spans="1:15" x14ac:dyDescent="0.25">
      <c r="A35" s="76" t="s">
        <v>5</v>
      </c>
      <c r="B35" s="77" t="s">
        <v>6</v>
      </c>
      <c r="C35" s="77" t="s">
        <v>7</v>
      </c>
      <c r="D35" s="79">
        <v>1</v>
      </c>
      <c r="E35" s="79">
        <v>4</v>
      </c>
      <c r="F35" s="79">
        <v>16</v>
      </c>
      <c r="G35" s="79">
        <v>32</v>
      </c>
      <c r="H35" s="79">
        <v>64</v>
      </c>
      <c r="I35" s="79">
        <v>80</v>
      </c>
      <c r="J35" s="79">
        <v>1</v>
      </c>
      <c r="K35" s="79">
        <v>4</v>
      </c>
      <c r="L35" s="79">
        <v>16</v>
      </c>
      <c r="M35" s="79">
        <v>32</v>
      </c>
      <c r="N35" s="79">
        <v>64</v>
      </c>
      <c r="O35" s="80">
        <v>80</v>
      </c>
    </row>
    <row r="36" spans="1:15" x14ac:dyDescent="0.25">
      <c r="A36" s="81" t="s">
        <v>8</v>
      </c>
      <c r="B36" s="82" t="s">
        <v>9</v>
      </c>
      <c r="C36" s="82" t="s">
        <v>10</v>
      </c>
      <c r="D36" s="91">
        <f>IF(D26="","",(D26-'2018'!D226)/'2018'!D226)</f>
        <v>-3.1164609441251295E-2</v>
      </c>
      <c r="E36" s="91">
        <f>IF(E26="","",(E26-'2018'!E226)/'2018'!E226)</f>
        <v>-0.22126007763511496</v>
      </c>
      <c r="F36" s="91">
        <f>IF(F26="","",(F26-'2018'!F226)/'2018'!F226)</f>
        <v>-4.7976011994002997E-2</v>
      </c>
      <c r="G36" s="91" t="str">
        <f>IF(G26="","",(G26-'2014'!#REF!)/'2014'!#REF!)</f>
        <v/>
      </c>
      <c r="H36" s="91" t="str">
        <f>IF(H26="","",(H26-'2014'!#REF!)/'2014'!#REF!)</f>
        <v/>
      </c>
      <c r="I36" s="87" t="str">
        <f>IF(I26="","",(I26-'2014'!#REF!)/'2014'!#REF!)</f>
        <v/>
      </c>
      <c r="J36" s="87"/>
      <c r="K36" s="87"/>
      <c r="L36" s="87"/>
      <c r="M36" s="87" t="str">
        <f>IF(G36="","",M26-((1/'Proto 2013'!#REF!)*1000000))</f>
        <v/>
      </c>
      <c r="N36" s="87" t="str">
        <f>IF(H36="","",N26-((1/'Proto 2013'!#REF!)*1000000))</f>
        <v/>
      </c>
      <c r="O36" s="88" t="str">
        <f>IF(I36="","",O26-((1/'Proto 2013'!#REF!)*1000000))</f>
        <v/>
      </c>
    </row>
    <row r="37" spans="1:15" x14ac:dyDescent="0.25">
      <c r="A37" s="81" t="s">
        <v>11</v>
      </c>
      <c r="B37" s="82" t="s">
        <v>9</v>
      </c>
      <c r="C37" s="82" t="s">
        <v>12</v>
      </c>
      <c r="D37" s="91">
        <f>IF(D27="","",(D27-'2018'!D227)/'2018'!D227)</f>
        <v>-0.11467844869906725</v>
      </c>
      <c r="E37" s="91">
        <f>IF(E27="","",(E27-'2018'!E227)/'2018'!E227)</f>
        <v>-0.15399239543726237</v>
      </c>
      <c r="F37" s="91">
        <f>IF(F27="","",(F27-'2018'!F227)/'2018'!F227)</f>
        <v>-5.3431488957492279E-2</v>
      </c>
      <c r="G37" s="91" t="str">
        <f>IF(G27="","",(G27-'2014'!#REF!)/'2014'!#REF!)</f>
        <v/>
      </c>
      <c r="H37" s="91" t="str">
        <f>IF(H27="","",(H27-'2014'!#REF!)/'2014'!#REF!)</f>
        <v/>
      </c>
      <c r="I37" s="91" t="str">
        <f>IF(I27="","",(I27-'2014'!#REF!)/'2014'!#REF!)</f>
        <v/>
      </c>
      <c r="J37" s="87"/>
      <c r="K37" s="87"/>
      <c r="L37" s="87"/>
      <c r="M37" s="87" t="str">
        <f>IF(G37="","",M27-((1/'Proto 2013'!#REF!)*1000000))</f>
        <v/>
      </c>
      <c r="N37" s="87" t="str">
        <f>IF(H37="","",N27-((1/'Proto 2013'!#REF!)*1000000))</f>
        <v/>
      </c>
      <c r="O37" s="88" t="str">
        <f>IF(I37="","",O27-((1/'Proto 2013'!#REF!)*1000000))</f>
        <v/>
      </c>
    </row>
    <row r="38" spans="1:15" x14ac:dyDescent="0.25">
      <c r="A38" s="81" t="s">
        <v>13</v>
      </c>
      <c r="B38" s="82" t="s">
        <v>14</v>
      </c>
      <c r="C38" s="82" t="s">
        <v>10</v>
      </c>
      <c r="D38" s="91">
        <f>IF(D28="","",(D28-'2018'!D228)/'2018'!D228)</f>
        <v>2.5713073905206236E-2</v>
      </c>
      <c r="E38" s="91">
        <f>IF(E28="","",(E28-'2018'!E228)/'2018'!E228)</f>
        <v>5.0071978469049261E-3</v>
      </c>
      <c r="F38" s="91">
        <f>IF(F28="","",(F28-'2018'!F228)/'2018'!F228)</f>
        <v>1.8070112034694614E-3</v>
      </c>
      <c r="G38" s="91" t="str">
        <f>IF(G28="","",(G28-'2014'!#REF!)/'2014'!#REF!)</f>
        <v/>
      </c>
      <c r="H38" s="91" t="str">
        <f>IF(H28="","",(H28-'2014'!#REF!)/'2014'!#REF!)</f>
        <v/>
      </c>
      <c r="I38" s="91" t="str">
        <f>IF(I28="","",(I28-'2014'!#REF!)/'2014'!#REF!)</f>
        <v/>
      </c>
      <c r="J38" s="87"/>
      <c r="K38" s="87"/>
      <c r="L38" s="87"/>
      <c r="M38" s="87" t="str">
        <f>IF(G38="","",M28-((1/'Proto 2013'!#REF!)*1000000))</f>
        <v/>
      </c>
      <c r="N38" s="87" t="str">
        <f>IF(H38="","",N28-((1/'Proto 2013'!#REF!)*1000000))</f>
        <v/>
      </c>
      <c r="O38" s="88" t="str">
        <f>IF(I38="","",O28-((1/'Proto 2013'!#REF!)*1000000))</f>
        <v/>
      </c>
    </row>
    <row r="39" spans="1:15" x14ac:dyDescent="0.25">
      <c r="A39" s="81" t="s">
        <v>15</v>
      </c>
      <c r="B39" s="82" t="s">
        <v>14</v>
      </c>
      <c r="C39" s="82" t="s">
        <v>12</v>
      </c>
      <c r="D39" s="91">
        <f>IF(D29="","",(D29-'2018'!D229)/'2018'!D229)</f>
        <v>-0.16099298208861423</v>
      </c>
      <c r="E39" s="91">
        <f>IF(E29="","",(E29-'2018'!E229)/'2018'!E229)</f>
        <v>-7.6655052264808357E-2</v>
      </c>
      <c r="F39" s="91">
        <f>IF(F29="","",(F29-'2018'!F229)/'2018'!F229)</f>
        <v>-4.7937868237814679E-2</v>
      </c>
      <c r="G39" s="91" t="str">
        <f>IF(G29="","",(G29-'2014'!#REF!)/'2014'!#REF!)</f>
        <v/>
      </c>
      <c r="H39" s="91" t="str">
        <f>IF(H29="","",(H29-'2014'!#REF!)/'2014'!#REF!)</f>
        <v/>
      </c>
      <c r="I39" s="91" t="str">
        <f>IF(I29="","",(I29-'2014'!#REF!)/'2014'!#REF!)</f>
        <v/>
      </c>
      <c r="J39" s="87"/>
      <c r="K39" s="87"/>
      <c r="L39" s="87"/>
      <c r="M39" s="87" t="str">
        <f>IF(G39="","",M29-((1/'Proto 2013'!#REF!)*1000000))</f>
        <v/>
      </c>
      <c r="N39" s="87" t="str">
        <f>IF(H39="","",N29-((1/'Proto 2013'!#REF!)*1000000))</f>
        <v/>
      </c>
      <c r="O39" s="88" t="str">
        <f>IF(I39="","",O29-((1/'Proto 2013'!#REF!)*1000000))</f>
        <v/>
      </c>
    </row>
    <row r="40" spans="1:15" x14ac:dyDescent="0.25">
      <c r="A40" s="81" t="s">
        <v>16</v>
      </c>
      <c r="B40" s="82" t="s">
        <v>17</v>
      </c>
      <c r="C40" s="82" t="s">
        <v>12</v>
      </c>
      <c r="D40" s="91">
        <f>IF(D30="","",(D30-'2018'!D230)/'2018'!D230)</f>
        <v>-7.9944865609924184E-2</v>
      </c>
      <c r="E40" s="91">
        <f>IF(E30="","",(E30-'2018'!E230)/'2018'!E230)</f>
        <v>-3.9712778429073857E-2</v>
      </c>
      <c r="F40" s="91">
        <f>IF(F30="","",(F30-'2018'!F230)/'2018'!F230)</f>
        <v>-6.7826525466464949E-2</v>
      </c>
      <c r="G40" s="91" t="str">
        <f>IF(G30="","",(G30-'2014'!#REF!)/'2014'!#REF!)</f>
        <v/>
      </c>
      <c r="H40" s="91" t="str">
        <f>IF(H30="","",(H30-'2014'!#REF!)/'2014'!#REF!)</f>
        <v/>
      </c>
      <c r="I40" s="91" t="str">
        <f>IF(I30="","",(I30-'2014'!#REF!)/'2014'!#REF!)</f>
        <v/>
      </c>
      <c r="J40" s="87"/>
      <c r="K40" s="87"/>
      <c r="L40" s="87"/>
      <c r="M40" s="87" t="str">
        <f>IF(G40="","",M30-((1/'Proto 2013'!#REF!)*1000000))</f>
        <v/>
      </c>
      <c r="N40" s="87" t="str">
        <f>IF(H40="","",N30-((1/'Proto 2013'!#REF!)*1000000))</f>
        <v/>
      </c>
      <c r="O40" s="88" t="str">
        <f>IF(I40="","",O30-((1/'Proto 2013'!#REF!)*1000000))</f>
        <v/>
      </c>
    </row>
    <row r="41" spans="1:15" ht="15.75" thickBot="1" x14ac:dyDescent="0.3">
      <c r="A41" s="92" t="s">
        <v>18</v>
      </c>
      <c r="B41" s="93" t="s">
        <v>19</v>
      </c>
      <c r="C41" s="93" t="s">
        <v>12</v>
      </c>
      <c r="D41" s="91" t="e">
        <f>IF(D31="","",(D31-'2018'!D231)/'2018'!D231)</f>
        <v>#VALUE!</v>
      </c>
      <c r="E41" s="91">
        <f>IF(E31="","",(E31-'2018'!E231)/'2018'!E231)</f>
        <v>8.6700474398822176E-3</v>
      </c>
      <c r="F41" s="91">
        <f>IF(F31="","",(F31-'2018'!F231)/'2018'!F231)</f>
        <v>2.1424745581146223E-3</v>
      </c>
      <c r="G41" s="94" t="str">
        <f>IF(G31="","",(G31-'2014'!#REF!)/'2014'!#REF!)</f>
        <v/>
      </c>
      <c r="H41" s="94" t="str">
        <f>IF(H31="","",(H31-'2014'!#REF!)/'2014'!#REF!)</f>
        <v/>
      </c>
      <c r="I41" s="94" t="str">
        <f>IF(I31="","",(I31-'2014'!#REF!)/'2014'!#REF!)</f>
        <v/>
      </c>
      <c r="J41" s="95"/>
      <c r="K41" s="95"/>
      <c r="L41" s="95"/>
      <c r="M41" s="95" t="str">
        <f>IF(G41="","",M31-((1/'Proto 2013'!#REF!)*1000000))</f>
        <v/>
      </c>
      <c r="N41" s="95" t="str">
        <f>IF(H41="","",N31-((1/'Proto 2013'!#REF!)*1000000))</f>
        <v/>
      </c>
      <c r="O41" s="96" t="str">
        <f>IF(I41="","",O31-((1/'Proto 2013'!#REF!)*1000000))</f>
        <v/>
      </c>
    </row>
    <row r="43" spans="1:15" ht="15.75" thickBot="1" x14ac:dyDescent="0.3"/>
    <row r="44" spans="1:15" ht="18.75" x14ac:dyDescent="0.25">
      <c r="A44" s="162" t="s">
        <v>191</v>
      </c>
      <c r="B44" s="172"/>
      <c r="C44" s="172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3"/>
    </row>
    <row r="45" spans="1:15" ht="15.75" x14ac:dyDescent="0.25">
      <c r="A45" s="165" t="s">
        <v>200</v>
      </c>
      <c r="B45" s="174"/>
      <c r="C45" s="174"/>
      <c r="D45" s="174"/>
      <c r="E45" s="174"/>
      <c r="F45" s="174"/>
      <c r="G45" s="174"/>
      <c r="H45" s="174"/>
      <c r="I45" s="174"/>
      <c r="J45" s="174"/>
      <c r="K45" s="174"/>
      <c r="L45" s="174"/>
      <c r="M45" s="174"/>
      <c r="N45" s="174"/>
      <c r="O45" s="175"/>
    </row>
    <row r="46" spans="1:15" x14ac:dyDescent="0.25">
      <c r="A46" s="167" t="s">
        <v>2</v>
      </c>
      <c r="B46" s="168"/>
      <c r="C46" s="168"/>
      <c r="D46" s="106" t="s">
        <v>3</v>
      </c>
      <c r="E46" s="169"/>
      <c r="F46" s="169"/>
      <c r="G46" s="169"/>
      <c r="H46" s="169"/>
      <c r="I46" s="169"/>
      <c r="J46" s="169" t="s">
        <v>4</v>
      </c>
      <c r="K46" s="169"/>
      <c r="L46" s="169"/>
      <c r="M46" s="169"/>
      <c r="N46" s="169"/>
      <c r="O46" s="170"/>
    </row>
    <row r="47" spans="1:15" x14ac:dyDescent="0.25">
      <c r="A47" s="76" t="s">
        <v>5</v>
      </c>
      <c r="B47" s="77" t="s">
        <v>6</v>
      </c>
      <c r="C47" s="77" t="s">
        <v>7</v>
      </c>
      <c r="D47" s="78">
        <v>1</v>
      </c>
      <c r="E47" s="78">
        <v>4</v>
      </c>
      <c r="F47" s="78">
        <v>16</v>
      </c>
      <c r="G47" s="79">
        <v>32</v>
      </c>
      <c r="H47" s="79">
        <v>64</v>
      </c>
      <c r="I47" s="79">
        <v>80</v>
      </c>
      <c r="J47" s="79">
        <v>1</v>
      </c>
      <c r="K47" s="79">
        <v>4</v>
      </c>
      <c r="L47" s="79">
        <v>16</v>
      </c>
      <c r="M47" s="79">
        <v>32</v>
      </c>
      <c r="N47" s="79">
        <v>64</v>
      </c>
      <c r="O47" s="80">
        <v>80</v>
      </c>
    </row>
    <row r="48" spans="1:15" x14ac:dyDescent="0.25">
      <c r="A48" s="37" t="s">
        <v>8</v>
      </c>
      <c r="B48" s="82" t="s">
        <v>9</v>
      </c>
      <c r="C48" s="83" t="s">
        <v>10</v>
      </c>
      <c r="D48" s="99">
        <v>43959</v>
      </c>
      <c r="E48" s="99">
        <v>20232</v>
      </c>
      <c r="F48" s="99">
        <v>6324</v>
      </c>
      <c r="G48" s="85"/>
      <c r="H48" s="86"/>
      <c r="I48" s="86"/>
      <c r="J48" s="87">
        <f t="shared" ref="J48:J50" si="8">IF(D48="","",(1/D48)*1000000)</f>
        <v>22.748470165381381</v>
      </c>
      <c r="K48" s="87">
        <f t="shared" ref="K48:K50" si="9">IF(E48="","",(1/E48)*1000000)</f>
        <v>49.426650850138394</v>
      </c>
      <c r="L48" s="87">
        <f t="shared" ref="L48:L53" si="10">IF(F48="","",(1/F48)*1000000)</f>
        <v>158.12776723592663</v>
      </c>
      <c r="M48" s="87" t="str">
        <f t="shared" ref="M48:M53" si="11">IF(G48="","",(1/G48)*1000000)</f>
        <v/>
      </c>
      <c r="N48" s="87" t="str">
        <f t="shared" ref="N48:N53" si="12">IF(H48="","",(1/H48)*1000000)</f>
        <v/>
      </c>
      <c r="O48" s="88" t="str">
        <f t="shared" ref="O48:O53" si="13">IF(I48="","",(1/I48)*1000000)</f>
        <v/>
      </c>
    </row>
    <row r="49" spans="1:15" x14ac:dyDescent="0.25">
      <c r="A49" s="81" t="s">
        <v>11</v>
      </c>
      <c r="B49" s="82" t="s">
        <v>9</v>
      </c>
      <c r="C49" s="83" t="s">
        <v>12</v>
      </c>
      <c r="D49" s="99">
        <v>9310</v>
      </c>
      <c r="E49" s="99">
        <v>7373</v>
      </c>
      <c r="F49" s="99">
        <v>3863</v>
      </c>
      <c r="G49" s="85"/>
      <c r="H49" s="86"/>
      <c r="I49" s="86"/>
      <c r="J49" s="87">
        <f t="shared" si="8"/>
        <v>107.41138560687433</v>
      </c>
      <c r="K49" s="87">
        <f t="shared" si="9"/>
        <v>135.6300013563</v>
      </c>
      <c r="L49" s="87">
        <f t="shared" si="10"/>
        <v>258.86616619207871</v>
      </c>
      <c r="M49" s="87" t="str">
        <f t="shared" si="11"/>
        <v/>
      </c>
      <c r="N49" s="87" t="str">
        <f t="shared" si="12"/>
        <v/>
      </c>
      <c r="O49" s="88" t="str">
        <f t="shared" si="13"/>
        <v/>
      </c>
    </row>
    <row r="50" spans="1:15" x14ac:dyDescent="0.25">
      <c r="A50" s="81" t="s">
        <v>13</v>
      </c>
      <c r="B50" s="82" t="s">
        <v>14</v>
      </c>
      <c r="C50" s="83" t="s">
        <v>10</v>
      </c>
      <c r="D50" s="100">
        <v>26417</v>
      </c>
      <c r="E50" s="100">
        <v>16057</v>
      </c>
      <c r="F50" s="99">
        <v>5521</v>
      </c>
      <c r="G50" s="85"/>
      <c r="H50" s="86"/>
      <c r="I50" s="86"/>
      <c r="J50" s="87">
        <f t="shared" si="8"/>
        <v>37.854411931710636</v>
      </c>
      <c r="K50" s="87">
        <f t="shared" si="9"/>
        <v>62.278134147100957</v>
      </c>
      <c r="L50" s="87">
        <f t="shared" si="10"/>
        <v>181.12660749864156</v>
      </c>
      <c r="M50" s="87" t="str">
        <f t="shared" si="11"/>
        <v/>
      </c>
      <c r="N50" s="87" t="str">
        <f t="shared" si="12"/>
        <v/>
      </c>
      <c r="O50" s="88" t="str">
        <f t="shared" si="13"/>
        <v/>
      </c>
    </row>
    <row r="51" spans="1:15" x14ac:dyDescent="0.25">
      <c r="A51" s="81" t="s">
        <v>15</v>
      </c>
      <c r="B51" s="82" t="s">
        <v>14</v>
      </c>
      <c r="C51" s="83" t="s">
        <v>12</v>
      </c>
      <c r="D51" s="99">
        <v>8631</v>
      </c>
      <c r="E51" s="102">
        <v>6644</v>
      </c>
      <c r="F51" s="100">
        <v>3650</v>
      </c>
      <c r="G51" s="85"/>
      <c r="H51" s="86"/>
      <c r="I51" s="86"/>
      <c r="J51" s="87">
        <f>IF(D51="","",(1/D51)*1000000)</f>
        <v>115.86142973004287</v>
      </c>
      <c r="K51" s="87">
        <f>IF(D50="","",(1/D50)*1000000)</f>
        <v>37.854411931710636</v>
      </c>
      <c r="L51" s="87">
        <f t="shared" si="10"/>
        <v>273.97260273972603</v>
      </c>
      <c r="M51" s="87" t="str">
        <f t="shared" si="11"/>
        <v/>
      </c>
      <c r="N51" s="87" t="str">
        <f t="shared" si="12"/>
        <v/>
      </c>
      <c r="O51" s="88" t="str">
        <f t="shared" si="13"/>
        <v/>
      </c>
    </row>
    <row r="52" spans="1:15" x14ac:dyDescent="0.25">
      <c r="A52" s="81" t="s">
        <v>16</v>
      </c>
      <c r="B52" s="82" t="s">
        <v>17</v>
      </c>
      <c r="C52" s="83" t="s">
        <v>12</v>
      </c>
      <c r="D52" s="99">
        <v>8289</v>
      </c>
      <c r="E52" s="100">
        <v>6421</v>
      </c>
      <c r="F52" s="100">
        <v>3758</v>
      </c>
      <c r="G52" s="85"/>
      <c r="H52" s="86"/>
      <c r="I52" s="86"/>
      <c r="J52" s="87">
        <f>IF(D52="","",(1/D52)*1000000)</f>
        <v>120.64181445288936</v>
      </c>
      <c r="K52" s="87">
        <f>IF(E52="","",(1/E52)*1000000)</f>
        <v>155.73898146706119</v>
      </c>
      <c r="L52" s="87">
        <f t="shared" si="10"/>
        <v>266.09898882384243</v>
      </c>
      <c r="M52" s="87" t="str">
        <f t="shared" si="11"/>
        <v/>
      </c>
      <c r="N52" s="87" t="str">
        <f t="shared" si="12"/>
        <v/>
      </c>
      <c r="O52" s="88" t="str">
        <f t="shared" si="13"/>
        <v/>
      </c>
    </row>
    <row r="53" spans="1:15" x14ac:dyDescent="0.25">
      <c r="A53" s="81" t="s">
        <v>18</v>
      </c>
      <c r="B53" s="82" t="s">
        <v>19</v>
      </c>
      <c r="C53" s="83" t="s">
        <v>12</v>
      </c>
      <c r="D53" s="99" t="s">
        <v>202</v>
      </c>
      <c r="E53" s="99">
        <v>5534</v>
      </c>
      <c r="F53" s="99">
        <v>3734</v>
      </c>
      <c r="G53" s="85"/>
      <c r="H53" s="86"/>
      <c r="I53" s="86"/>
      <c r="J53" s="87" t="e">
        <f>IF(D53="","",(1/D53)*1000000)</f>
        <v>#VALUE!</v>
      </c>
      <c r="K53" s="87">
        <f>IF(E53="","",(1/E53)*1000000)</f>
        <v>180.70112034694617</v>
      </c>
      <c r="L53" s="87">
        <f t="shared" si="10"/>
        <v>267.80931976432777</v>
      </c>
      <c r="M53" s="87" t="str">
        <f t="shared" si="11"/>
        <v/>
      </c>
      <c r="N53" s="87" t="str">
        <f t="shared" si="12"/>
        <v/>
      </c>
      <c r="O53" s="88" t="str">
        <f t="shared" si="13"/>
        <v/>
      </c>
    </row>
    <row r="54" spans="1:15" x14ac:dyDescent="0.25">
      <c r="A54" s="176" t="s">
        <v>201</v>
      </c>
      <c r="B54" s="177"/>
      <c r="C54" s="177"/>
      <c r="D54" s="177"/>
      <c r="E54" s="177"/>
      <c r="F54" s="177"/>
      <c r="G54" s="196" t="s">
        <v>197</v>
      </c>
      <c r="H54" s="196"/>
      <c r="I54" s="196"/>
      <c r="J54" s="21" t="s">
        <v>203</v>
      </c>
      <c r="K54" s="21"/>
      <c r="L54" s="21"/>
      <c r="M54" s="157" t="s">
        <v>172</v>
      </c>
      <c r="N54" s="157"/>
      <c r="O54" s="90"/>
    </row>
    <row r="55" spans="1:15" ht="18.75" x14ac:dyDescent="0.3">
      <c r="A55" s="158" t="s">
        <v>186</v>
      </c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59"/>
    </row>
    <row r="56" spans="1:15" x14ac:dyDescent="0.25">
      <c r="A56" s="167" t="s">
        <v>2</v>
      </c>
      <c r="B56" s="168"/>
      <c r="C56" s="168"/>
      <c r="D56" s="169" t="s">
        <v>20</v>
      </c>
      <c r="E56" s="169"/>
      <c r="F56" s="169"/>
      <c r="G56" s="169"/>
      <c r="H56" s="169"/>
      <c r="I56" s="169"/>
      <c r="J56" s="188" t="s">
        <v>23</v>
      </c>
      <c r="K56" s="189"/>
      <c r="L56" s="189"/>
      <c r="M56" s="189"/>
      <c r="N56" s="189"/>
      <c r="O56" s="191"/>
    </row>
    <row r="57" spans="1:15" x14ac:dyDescent="0.25">
      <c r="A57" s="76" t="s">
        <v>5</v>
      </c>
      <c r="B57" s="77" t="s">
        <v>6</v>
      </c>
      <c r="C57" s="77" t="s">
        <v>7</v>
      </c>
      <c r="D57" s="79">
        <v>1</v>
      </c>
      <c r="E57" s="79">
        <v>4</v>
      </c>
      <c r="F57" s="79">
        <v>16</v>
      </c>
      <c r="G57" s="79">
        <v>32</v>
      </c>
      <c r="H57" s="79">
        <v>64</v>
      </c>
      <c r="I57" s="79">
        <v>80</v>
      </c>
      <c r="J57" s="79">
        <v>1</v>
      </c>
      <c r="K57" s="79">
        <v>4</v>
      </c>
      <c r="L57" s="79">
        <v>16</v>
      </c>
      <c r="M57" s="79">
        <v>32</v>
      </c>
      <c r="N57" s="79">
        <v>64</v>
      </c>
      <c r="O57" s="80">
        <v>80</v>
      </c>
    </row>
    <row r="58" spans="1:15" x14ac:dyDescent="0.25">
      <c r="A58" s="81" t="s">
        <v>8</v>
      </c>
      <c r="B58" s="82" t="s">
        <v>9</v>
      </c>
      <c r="C58" s="82" t="s">
        <v>10</v>
      </c>
      <c r="D58" s="91">
        <f>IF(D48="","",(D48-'2018'!D226)/'2018'!D226)</f>
        <v>3.5498916423254499E-2</v>
      </c>
      <c r="E58" s="91">
        <f>IF(E48="","",(E48-'2018'!E226)/'2018'!E226)</f>
        <v>6.8677217079725289E-3</v>
      </c>
      <c r="F58" s="91">
        <f>IF(F48="","",(F48-'2018'!F226)/'2018'!F226)</f>
        <v>5.3473263368315843E-2</v>
      </c>
      <c r="G58" s="91" t="str">
        <f>IF(G48="","",(G48-'2014'!#REF!)/'2014'!#REF!)</f>
        <v/>
      </c>
      <c r="H58" s="91" t="str">
        <f>IF(H48="","",(H48-'2014'!#REF!)/'2014'!#REF!)</f>
        <v/>
      </c>
      <c r="I58" s="87" t="str">
        <f>IF(I48="","",(I48-'2014'!#REF!)/'2014'!#REF!)</f>
        <v/>
      </c>
      <c r="J58" s="87"/>
      <c r="K58" s="87"/>
      <c r="L58" s="87"/>
      <c r="M58" s="87" t="str">
        <f>IF(G58="","",M48-((1/'Proto 2013'!#REF!)*1000000))</f>
        <v/>
      </c>
      <c r="N58" s="87" t="str">
        <f>IF(H58="","",N48-((1/'Proto 2013'!#REF!)*1000000))</f>
        <v/>
      </c>
      <c r="O58" s="88" t="str">
        <f>IF(I58="","",O48-((1/'Proto 2013'!#REF!)*1000000))</f>
        <v/>
      </c>
    </row>
    <row r="59" spans="1:15" x14ac:dyDescent="0.25">
      <c r="A59" s="81" t="s">
        <v>11</v>
      </c>
      <c r="B59" s="82" t="s">
        <v>9</v>
      </c>
      <c r="C59" s="82" t="s">
        <v>12</v>
      </c>
      <c r="D59" s="91">
        <f>IF(D49="","",(D49-'2018'!D227)/'2018'!D227)</f>
        <v>-8.5910652920962199E-2</v>
      </c>
      <c r="E59" s="91">
        <f>IF(E49="","",(E49-'2018'!E227)/'2018'!E227)</f>
        <v>-6.5525982256020285E-2</v>
      </c>
      <c r="F59" s="91">
        <f>IF(F49="","",(F49-'2018'!F227)/'2018'!F227)</f>
        <v>-8.2640702920921391E-2</v>
      </c>
      <c r="G59" s="91" t="str">
        <f>IF(G49="","",(G49-'2014'!#REF!)/'2014'!#REF!)</f>
        <v/>
      </c>
      <c r="H59" s="91" t="str">
        <f>IF(H49="","",(H49-'2014'!#REF!)/'2014'!#REF!)</f>
        <v/>
      </c>
      <c r="I59" s="91" t="str">
        <f>IF(I49="","",(I49-'2014'!#REF!)/'2014'!#REF!)</f>
        <v/>
      </c>
      <c r="J59" s="87"/>
      <c r="K59" s="87"/>
      <c r="L59" s="87"/>
      <c r="M59" s="87" t="str">
        <f>IF(G59="","",M49-((1/'Proto 2013'!#REF!)*1000000))</f>
        <v/>
      </c>
      <c r="N59" s="87" t="str">
        <f>IF(H59="","",N49-((1/'Proto 2013'!#REF!)*1000000))</f>
        <v/>
      </c>
      <c r="O59" s="88" t="str">
        <f>IF(I59="","",O49-((1/'Proto 2013'!#REF!)*1000000))</f>
        <v/>
      </c>
    </row>
    <row r="60" spans="1:15" x14ac:dyDescent="0.25">
      <c r="A60" s="81" t="s">
        <v>13</v>
      </c>
      <c r="B60" s="82" t="s">
        <v>14</v>
      </c>
      <c r="C60" s="82" t="s">
        <v>10</v>
      </c>
      <c r="D60" s="91">
        <f>IF(D50="","",(D50-'2018'!D228)/'2018'!D228)</f>
        <v>-0.29972961509914114</v>
      </c>
      <c r="E60" s="91">
        <f>IF(E50="","",(E50-'2018'!E228)/'2018'!E228)</f>
        <v>5.0071978469049261E-3</v>
      </c>
      <c r="F60" s="91">
        <f>IF(F50="","",(F50-'2018'!F228)/'2018'!F228)</f>
        <v>-2.3491145645102999E-3</v>
      </c>
      <c r="G60" s="91" t="str">
        <f>IF(G50="","",(G50-'2014'!#REF!)/'2014'!#REF!)</f>
        <v/>
      </c>
      <c r="H60" s="91" t="str">
        <f>IF(H50="","",(H50-'2014'!#REF!)/'2014'!#REF!)</f>
        <v/>
      </c>
      <c r="I60" s="91" t="str">
        <f>IF(I50="","",(I50-'2014'!#REF!)/'2014'!#REF!)</f>
        <v/>
      </c>
      <c r="J60" s="87"/>
      <c r="K60" s="87"/>
      <c r="L60" s="87"/>
      <c r="M60" s="87" t="str">
        <f>IF(G60="","",M50-((1/'Proto 2013'!#REF!)*1000000))</f>
        <v/>
      </c>
      <c r="N60" s="87" t="str">
        <f>IF(H60="","",N50-((1/'Proto 2013'!#REF!)*1000000))</f>
        <v/>
      </c>
      <c r="O60" s="88" t="str">
        <f>IF(I60="","",O50-((1/'Proto 2013'!#REF!)*1000000))</f>
        <v/>
      </c>
    </row>
    <row r="61" spans="1:15" x14ac:dyDescent="0.25">
      <c r="A61" s="81" t="s">
        <v>15</v>
      </c>
      <c r="B61" s="82" t="s">
        <v>14</v>
      </c>
      <c r="C61" s="82" t="s">
        <v>12</v>
      </c>
      <c r="D61" s="91">
        <f>IF(D51="","",(D51-'2018'!D229)/'2018'!D229)</f>
        <v>-9.5946370587619151E-2</v>
      </c>
      <c r="E61" s="91">
        <f>IF(E51="","",(E51-'2018'!E229)/'2018'!E229)</f>
        <v>-7.4006968641114987E-2</v>
      </c>
      <c r="F61" s="91">
        <f>IF(F51="","",(F51-'2018'!F229)/'2018'!F229)</f>
        <v>-2.2495982860203535E-2</v>
      </c>
      <c r="G61" s="91" t="str">
        <f>IF(G51="","",(G51-'2014'!#REF!)/'2014'!#REF!)</f>
        <v/>
      </c>
      <c r="H61" s="91" t="str">
        <f>IF(H51="","",(H51-'2014'!#REF!)/'2014'!#REF!)</f>
        <v/>
      </c>
      <c r="I61" s="91" t="str">
        <f>IF(I51="","",(I51-'2014'!#REF!)/'2014'!#REF!)</f>
        <v/>
      </c>
      <c r="J61" s="87"/>
      <c r="K61" s="87"/>
      <c r="L61" s="87"/>
      <c r="M61" s="87" t="str">
        <f>IF(G61="","",M51-((1/'Proto 2013'!#REF!)*1000000))</f>
        <v/>
      </c>
      <c r="N61" s="87" t="str">
        <f>IF(H61="","",N51-((1/'Proto 2013'!#REF!)*1000000))</f>
        <v/>
      </c>
      <c r="O61" s="88" t="str">
        <f>IF(I61="","",O51-((1/'Proto 2013'!#REF!)*1000000))</f>
        <v/>
      </c>
    </row>
    <row r="62" spans="1:15" x14ac:dyDescent="0.25">
      <c r="A62" s="81" t="s">
        <v>16</v>
      </c>
      <c r="B62" s="82" t="s">
        <v>17</v>
      </c>
      <c r="C62" s="82" t="s">
        <v>12</v>
      </c>
      <c r="D62" s="91">
        <f>IF(D52="","",(D52-'2018'!D230)/'2018'!D230)</f>
        <v>-4.7898001378359749E-2</v>
      </c>
      <c r="E62" s="91">
        <f>IF(E52="","",(E52-'2018'!E230)/'2018'!E230)</f>
        <v>-5.9056271981242671E-2</v>
      </c>
      <c r="F62" s="91">
        <f>IF(F52="","",(F52-'2018'!F230)/'2018'!F230)</f>
        <v>-5.2445789208270296E-2</v>
      </c>
      <c r="G62" s="91" t="str">
        <f>IF(G52="","",(G52-'2014'!#REF!)/'2014'!#REF!)</f>
        <v/>
      </c>
      <c r="H62" s="91" t="str">
        <f>IF(H52="","",(H52-'2014'!#REF!)/'2014'!#REF!)</f>
        <v/>
      </c>
      <c r="I62" s="91" t="str">
        <f>IF(I52="","",(I52-'2014'!#REF!)/'2014'!#REF!)</f>
        <v/>
      </c>
      <c r="J62" s="87"/>
      <c r="K62" s="87"/>
      <c r="L62" s="87"/>
      <c r="M62" s="87" t="str">
        <f>IF(G62="","",M52-((1/'Proto 2013'!#REF!)*1000000))</f>
        <v/>
      </c>
      <c r="N62" s="87" t="str">
        <f>IF(H62="","",N52-((1/'Proto 2013'!#REF!)*1000000))</f>
        <v/>
      </c>
      <c r="O62" s="88" t="str">
        <f>IF(I62="","",O52-((1/'Proto 2013'!#REF!)*1000000))</f>
        <v/>
      </c>
    </row>
    <row r="63" spans="1:15" ht="15.75" thickBot="1" x14ac:dyDescent="0.3">
      <c r="A63" s="92" t="s">
        <v>18</v>
      </c>
      <c r="B63" s="93" t="s">
        <v>19</v>
      </c>
      <c r="C63" s="93" t="s">
        <v>12</v>
      </c>
      <c r="D63" s="91" t="e">
        <f>IF(D53="","",(D53-'2018'!D231)/'2018'!D231)</f>
        <v>#VALUE!</v>
      </c>
      <c r="E63" s="91">
        <f>IF(E53="","",(E53-'2018'!E231)/'2018'!E231)</f>
        <v>-9.4716178635694426E-2</v>
      </c>
      <c r="F63" s="91">
        <f>IF(F53="","",(F53-'2018'!F231)/'2018'!F231)</f>
        <v>0</v>
      </c>
      <c r="G63" s="94" t="str">
        <f>IF(G53="","",(G53-'2014'!#REF!)/'2014'!#REF!)</f>
        <v/>
      </c>
      <c r="H63" s="94" t="str">
        <f>IF(H53="","",(H53-'2014'!#REF!)/'2014'!#REF!)</f>
        <v/>
      </c>
      <c r="I63" s="94" t="str">
        <f>IF(I53="","",(I53-'2014'!#REF!)/'2014'!#REF!)</f>
        <v/>
      </c>
      <c r="J63" s="95"/>
      <c r="K63" s="95"/>
      <c r="L63" s="95"/>
      <c r="M63" s="95" t="str">
        <f>IF(G63="","",M53-((1/'Proto 2013'!#REF!)*1000000))</f>
        <v/>
      </c>
      <c r="N63" s="95" t="str">
        <f>IF(H63="","",N53-((1/'Proto 2013'!#REF!)*1000000))</f>
        <v/>
      </c>
      <c r="O63" s="96" t="str">
        <f>IF(I63="","",O53-((1/'Proto 2013'!#REF!)*1000000))</f>
        <v/>
      </c>
    </row>
    <row r="65" spans="1:15" ht="15.75" thickBot="1" x14ac:dyDescent="0.3"/>
    <row r="66" spans="1:15" ht="18.75" x14ac:dyDescent="0.25">
      <c r="A66" s="162" t="s">
        <v>191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3"/>
    </row>
    <row r="67" spans="1:15" ht="15.75" x14ac:dyDescent="0.25">
      <c r="A67" s="165" t="s">
        <v>204</v>
      </c>
      <c r="B67" s="174"/>
      <c r="C67" s="174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75"/>
    </row>
    <row r="68" spans="1:15" x14ac:dyDescent="0.25">
      <c r="A68" s="167" t="s">
        <v>2</v>
      </c>
      <c r="B68" s="168"/>
      <c r="C68" s="168"/>
      <c r="D68" s="106" t="s">
        <v>3</v>
      </c>
      <c r="E68" s="169"/>
      <c r="F68" s="169"/>
      <c r="G68" s="169"/>
      <c r="H68" s="169"/>
      <c r="I68" s="169"/>
      <c r="J68" s="169" t="s">
        <v>4</v>
      </c>
      <c r="K68" s="169"/>
      <c r="L68" s="169"/>
      <c r="M68" s="169"/>
      <c r="N68" s="169"/>
      <c r="O68" s="170"/>
    </row>
    <row r="69" spans="1:15" x14ac:dyDescent="0.25">
      <c r="A69" s="76" t="s">
        <v>5</v>
      </c>
      <c r="B69" s="77" t="s">
        <v>6</v>
      </c>
      <c r="C69" s="77" t="s">
        <v>7</v>
      </c>
      <c r="D69" s="78">
        <v>1</v>
      </c>
      <c r="E69" s="78">
        <v>4</v>
      </c>
      <c r="F69" s="78">
        <v>16</v>
      </c>
      <c r="G69" s="79">
        <v>32</v>
      </c>
      <c r="H69" s="79">
        <v>64</v>
      </c>
      <c r="I69" s="79">
        <v>80</v>
      </c>
      <c r="J69" s="79">
        <v>1</v>
      </c>
      <c r="K69" s="79">
        <v>4</v>
      </c>
      <c r="L69" s="79">
        <v>16</v>
      </c>
      <c r="M69" s="79">
        <v>32</v>
      </c>
      <c r="N69" s="79">
        <v>64</v>
      </c>
      <c r="O69" s="80">
        <v>80</v>
      </c>
    </row>
    <row r="70" spans="1:15" x14ac:dyDescent="0.25">
      <c r="A70" s="37" t="s">
        <v>8</v>
      </c>
      <c r="B70" s="82" t="s">
        <v>9</v>
      </c>
      <c r="C70" s="83" t="s">
        <v>10</v>
      </c>
      <c r="D70" s="99">
        <v>31029</v>
      </c>
      <c r="E70" s="99">
        <v>20476</v>
      </c>
      <c r="F70" s="99">
        <v>6367</v>
      </c>
      <c r="G70" s="85"/>
      <c r="H70" s="86"/>
      <c r="I70" s="86"/>
      <c r="J70" s="87">
        <f t="shared" ref="J70:J75" si="14">IF(D70="","",(1/D70)*1000000)</f>
        <v>32.227915820683876</v>
      </c>
      <c r="K70" s="87">
        <f t="shared" ref="K70:K72" si="15">IF(E70="","",(1/E70)*1000000)</f>
        <v>48.837663606173081</v>
      </c>
      <c r="L70" s="87">
        <f t="shared" ref="L70:L75" si="16">IF(F70="","",(1/F70)*1000000)</f>
        <v>157.05983979896342</v>
      </c>
      <c r="M70" s="87" t="str">
        <f t="shared" ref="M70:M75" si="17">IF(G70="","",(1/G70)*1000000)</f>
        <v/>
      </c>
      <c r="N70" s="87" t="str">
        <f t="shared" ref="N70:N75" si="18">IF(H70="","",(1/H70)*1000000)</f>
        <v/>
      </c>
      <c r="O70" s="88" t="str">
        <f t="shared" ref="O70:O75" si="19">IF(I70="","",(1/I70)*1000000)</f>
        <v/>
      </c>
    </row>
    <row r="71" spans="1:15" x14ac:dyDescent="0.25">
      <c r="A71" s="81" t="s">
        <v>11</v>
      </c>
      <c r="B71" s="82" t="s">
        <v>9</v>
      </c>
      <c r="C71" s="83" t="s">
        <v>12</v>
      </c>
      <c r="D71" s="99">
        <v>9310</v>
      </c>
      <c r="E71" s="99">
        <v>7468</v>
      </c>
      <c r="F71" s="99">
        <v>4067</v>
      </c>
      <c r="G71" s="85"/>
      <c r="H71" s="86"/>
      <c r="I71" s="86"/>
      <c r="J71" s="87">
        <f t="shared" si="14"/>
        <v>107.41138560687433</v>
      </c>
      <c r="K71" s="87">
        <f t="shared" si="15"/>
        <v>133.90465988216388</v>
      </c>
      <c r="L71" s="87">
        <f t="shared" si="16"/>
        <v>245.88148512417015</v>
      </c>
      <c r="M71" s="87" t="str">
        <f t="shared" si="17"/>
        <v/>
      </c>
      <c r="N71" s="87" t="str">
        <f t="shared" si="18"/>
        <v/>
      </c>
      <c r="O71" s="88" t="str">
        <f t="shared" si="19"/>
        <v/>
      </c>
    </row>
    <row r="72" spans="1:15" x14ac:dyDescent="0.25">
      <c r="A72" s="81" t="s">
        <v>13</v>
      </c>
      <c r="B72" s="82" t="s">
        <v>14</v>
      </c>
      <c r="C72" s="83" t="s">
        <v>10</v>
      </c>
      <c r="D72" s="100">
        <v>31701</v>
      </c>
      <c r="E72" s="100">
        <v>17508</v>
      </c>
      <c r="F72" s="99">
        <v>5378</v>
      </c>
      <c r="G72" s="85"/>
      <c r="H72" s="86"/>
      <c r="I72" s="86"/>
      <c r="J72" s="87">
        <f t="shared" si="14"/>
        <v>31.544746222516643</v>
      </c>
      <c r="K72" s="87">
        <f t="shared" si="15"/>
        <v>57.116746630111948</v>
      </c>
      <c r="L72" s="87">
        <f t="shared" si="16"/>
        <v>185.94272963927111</v>
      </c>
      <c r="M72" s="87" t="str">
        <f t="shared" si="17"/>
        <v/>
      </c>
      <c r="N72" s="87" t="str">
        <f t="shared" si="18"/>
        <v/>
      </c>
      <c r="O72" s="88" t="str">
        <f t="shared" si="19"/>
        <v/>
      </c>
    </row>
    <row r="73" spans="1:15" x14ac:dyDescent="0.25">
      <c r="A73" s="81" t="s">
        <v>15</v>
      </c>
      <c r="B73" s="82" t="s">
        <v>14</v>
      </c>
      <c r="C73" s="83" t="s">
        <v>12</v>
      </c>
      <c r="D73" s="99">
        <v>8847</v>
      </c>
      <c r="E73" s="102">
        <v>6982</v>
      </c>
      <c r="F73" s="100">
        <v>3810</v>
      </c>
      <c r="G73" s="85"/>
      <c r="H73" s="86"/>
      <c r="I73" s="86"/>
      <c r="J73" s="87">
        <f t="shared" si="14"/>
        <v>113.03266644060133</v>
      </c>
      <c r="K73" s="87">
        <f>IF(D72="","",(1/D72)*1000000)</f>
        <v>31.544746222516643</v>
      </c>
      <c r="L73" s="87">
        <f t="shared" si="16"/>
        <v>262.46719160104988</v>
      </c>
      <c r="M73" s="87" t="str">
        <f t="shared" si="17"/>
        <v/>
      </c>
      <c r="N73" s="87" t="str">
        <f t="shared" si="18"/>
        <v/>
      </c>
      <c r="O73" s="88" t="str">
        <f t="shared" si="19"/>
        <v/>
      </c>
    </row>
    <row r="74" spans="1:15" x14ac:dyDescent="0.25">
      <c r="A74" s="81" t="s">
        <v>16</v>
      </c>
      <c r="B74" s="82" t="s">
        <v>17</v>
      </c>
      <c r="C74" s="83" t="s">
        <v>12</v>
      </c>
      <c r="D74" s="99">
        <v>8518</v>
      </c>
      <c r="E74" s="100">
        <v>6578</v>
      </c>
      <c r="F74" s="99">
        <v>3798</v>
      </c>
      <c r="G74" s="85"/>
      <c r="H74" s="86"/>
      <c r="I74" s="86"/>
      <c r="J74" s="87">
        <f t="shared" si="14"/>
        <v>117.39845034045551</v>
      </c>
      <c r="K74" s="87">
        <f>IF(E74="","",(1/E74)*1000000)</f>
        <v>152.02189115232594</v>
      </c>
      <c r="L74" s="87">
        <f t="shared" si="16"/>
        <v>263.29647182727751</v>
      </c>
      <c r="M74" s="87" t="str">
        <f t="shared" si="17"/>
        <v/>
      </c>
      <c r="N74" s="87" t="str">
        <f t="shared" si="18"/>
        <v/>
      </c>
      <c r="O74" s="88" t="str">
        <f t="shared" si="19"/>
        <v/>
      </c>
    </row>
    <row r="75" spans="1:15" x14ac:dyDescent="0.25">
      <c r="A75" s="81" t="s">
        <v>18</v>
      </c>
      <c r="B75" s="82" t="s">
        <v>19</v>
      </c>
      <c r="C75" s="83" t="s">
        <v>12</v>
      </c>
      <c r="D75" s="99">
        <v>8300</v>
      </c>
      <c r="E75" s="99">
        <v>6519</v>
      </c>
      <c r="F75" s="99">
        <v>3716</v>
      </c>
      <c r="G75" s="85"/>
      <c r="H75" s="86"/>
      <c r="I75" s="86"/>
      <c r="J75" s="87">
        <f t="shared" si="14"/>
        <v>120.48192771084337</v>
      </c>
      <c r="K75" s="87">
        <f>IF(E75="","",(1/E75)*1000000)</f>
        <v>153.39776039269827</v>
      </c>
      <c r="L75" s="87">
        <f t="shared" si="16"/>
        <v>269.10656620021524</v>
      </c>
      <c r="M75" s="87" t="str">
        <f t="shared" si="17"/>
        <v/>
      </c>
      <c r="N75" s="87" t="str">
        <f t="shared" si="18"/>
        <v/>
      </c>
      <c r="O75" s="88" t="str">
        <f t="shared" si="19"/>
        <v/>
      </c>
    </row>
    <row r="76" spans="1:15" x14ac:dyDescent="0.25">
      <c r="A76" s="176" t="s">
        <v>205</v>
      </c>
      <c r="B76" s="177"/>
      <c r="C76" s="177"/>
      <c r="D76" s="177"/>
      <c r="E76" s="177"/>
      <c r="F76" s="177"/>
      <c r="G76" s="196" t="s">
        <v>206</v>
      </c>
      <c r="H76" s="196"/>
      <c r="I76" s="196"/>
      <c r="J76" s="21"/>
      <c r="K76" s="21"/>
      <c r="L76" s="21"/>
      <c r="M76" s="157" t="s">
        <v>172</v>
      </c>
      <c r="N76" s="157"/>
      <c r="O76" s="90"/>
    </row>
    <row r="77" spans="1:15" ht="18.75" x14ac:dyDescent="0.3">
      <c r="A77" s="158" t="s">
        <v>186</v>
      </c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59"/>
    </row>
    <row r="78" spans="1:15" x14ac:dyDescent="0.25">
      <c r="A78" s="167" t="s">
        <v>2</v>
      </c>
      <c r="B78" s="168"/>
      <c r="C78" s="168"/>
      <c r="D78" s="169" t="s">
        <v>20</v>
      </c>
      <c r="E78" s="169"/>
      <c r="F78" s="169"/>
      <c r="G78" s="169"/>
      <c r="H78" s="169"/>
      <c r="I78" s="169"/>
      <c r="J78" s="188" t="s">
        <v>23</v>
      </c>
      <c r="K78" s="189"/>
      <c r="L78" s="189"/>
      <c r="M78" s="189"/>
      <c r="N78" s="189"/>
      <c r="O78" s="191"/>
    </row>
    <row r="79" spans="1:15" x14ac:dyDescent="0.25">
      <c r="A79" s="76" t="s">
        <v>5</v>
      </c>
      <c r="B79" s="77" t="s">
        <v>6</v>
      </c>
      <c r="C79" s="77" t="s">
        <v>7</v>
      </c>
      <c r="D79" s="79">
        <v>1</v>
      </c>
      <c r="E79" s="79">
        <v>4</v>
      </c>
      <c r="F79" s="79">
        <v>16</v>
      </c>
      <c r="G79" s="79">
        <v>32</v>
      </c>
      <c r="H79" s="79">
        <v>64</v>
      </c>
      <c r="I79" s="79">
        <v>80</v>
      </c>
      <c r="J79" s="79">
        <v>1</v>
      </c>
      <c r="K79" s="79">
        <v>4</v>
      </c>
      <c r="L79" s="79">
        <v>16</v>
      </c>
      <c r="M79" s="79">
        <v>32</v>
      </c>
      <c r="N79" s="79">
        <v>64</v>
      </c>
      <c r="O79" s="80">
        <v>80</v>
      </c>
    </row>
    <row r="80" spans="1:15" x14ac:dyDescent="0.25">
      <c r="A80" s="81" t="s">
        <v>8</v>
      </c>
      <c r="B80" s="82" t="s">
        <v>9</v>
      </c>
      <c r="C80" s="82" t="s">
        <v>10</v>
      </c>
      <c r="D80" s="91">
        <f>IF(D70="","",(D70-'2018'!D226)/'2018'!D226)</f>
        <v>-0.26908037312729671</v>
      </c>
      <c r="E80" s="91">
        <f>IF(E70="","",(E70-'2018'!E226)/'2018'!E226)</f>
        <v>1.901064994525729E-2</v>
      </c>
      <c r="F80" s="91">
        <f>IF(F70="","",(F70-'2018'!F226)/'2018'!F226)</f>
        <v>6.0636348492420458E-2</v>
      </c>
      <c r="G80" s="91" t="str">
        <f>IF(G70="","",(G70-'2014'!#REF!)/'2014'!#REF!)</f>
        <v/>
      </c>
      <c r="H80" s="91" t="str">
        <f>IF(H70="","",(H70-'2014'!#REF!)/'2014'!#REF!)</f>
        <v/>
      </c>
      <c r="I80" s="87" t="str">
        <f>IF(I70="","",(I70-'2014'!#REF!)/'2014'!#REF!)</f>
        <v/>
      </c>
      <c r="J80" s="87"/>
      <c r="K80" s="87"/>
      <c r="L80" s="87"/>
      <c r="M80" s="87" t="str">
        <f>IF(G80="","",M70-((1/'Proto 2013'!#REF!)*1000000))</f>
        <v/>
      </c>
      <c r="N80" s="87" t="str">
        <f>IF(H80="","",N70-((1/'Proto 2013'!#REF!)*1000000))</f>
        <v/>
      </c>
      <c r="O80" s="88" t="str">
        <f>IF(I80="","",O70-((1/'Proto 2013'!#REF!)*1000000))</f>
        <v/>
      </c>
    </row>
    <row r="81" spans="1:15" x14ac:dyDescent="0.25">
      <c r="A81" s="81" t="s">
        <v>11</v>
      </c>
      <c r="B81" s="82" t="s">
        <v>9</v>
      </c>
      <c r="C81" s="82" t="s">
        <v>12</v>
      </c>
      <c r="D81" s="91">
        <f>IF(D71="","",(D71-'2018'!D227)/'2018'!D227)</f>
        <v>-8.5910652920962199E-2</v>
      </c>
      <c r="E81" s="91">
        <f>IF(E71="","",(E71-'2018'!E227)/'2018'!E227)</f>
        <v>-5.3485424588086188E-2</v>
      </c>
      <c r="F81" s="91">
        <f>IF(F71="","",(F71-'2018'!F227)/'2018'!F227)</f>
        <v>-3.4196152932795064E-2</v>
      </c>
      <c r="G81" s="91" t="str">
        <f>IF(G71="","",(G71-'2014'!#REF!)/'2014'!#REF!)</f>
        <v/>
      </c>
      <c r="H81" s="91" t="str">
        <f>IF(H71="","",(H71-'2014'!#REF!)/'2014'!#REF!)</f>
        <v/>
      </c>
      <c r="I81" s="91" t="str">
        <f>IF(I71="","",(I71-'2014'!#REF!)/'2014'!#REF!)</f>
        <v/>
      </c>
      <c r="J81" s="87"/>
      <c r="K81" s="87"/>
      <c r="L81" s="87"/>
      <c r="M81" s="87" t="str">
        <f>IF(G81="","",M71-((1/'Proto 2013'!#REF!)*1000000))</f>
        <v/>
      </c>
      <c r="N81" s="87" t="str">
        <f>IF(H81="","",N71-((1/'Proto 2013'!#REF!)*1000000))</f>
        <v/>
      </c>
      <c r="O81" s="88" t="str">
        <f>IF(I81="","",O71-((1/'Proto 2013'!#REF!)*1000000))</f>
        <v/>
      </c>
    </row>
    <row r="82" spans="1:15" x14ac:dyDescent="0.25">
      <c r="A82" s="81" t="s">
        <v>13</v>
      </c>
      <c r="B82" s="82" t="s">
        <v>14</v>
      </c>
      <c r="C82" s="82" t="s">
        <v>10</v>
      </c>
      <c r="D82" s="91">
        <f>IF(D72="","",(D72-'2018'!D228)/'2018'!D228)</f>
        <v>-0.15965963312480119</v>
      </c>
      <c r="E82" s="91">
        <f>IF(E72="","",(E72-'2018'!E228)/'2018'!E228)</f>
        <v>9.5825248795143023E-2</v>
      </c>
      <c r="F82" s="91">
        <f>IF(F72="","",(F72-'2018'!F228)/'2018'!F228)</f>
        <v>-2.8189374774123598E-2</v>
      </c>
      <c r="G82" s="91" t="str">
        <f>IF(G72="","",(G72-'2014'!#REF!)/'2014'!#REF!)</f>
        <v/>
      </c>
      <c r="H82" s="91" t="str">
        <f>IF(H72="","",(H72-'2014'!#REF!)/'2014'!#REF!)</f>
        <v/>
      </c>
      <c r="I82" s="91" t="str">
        <f>IF(I72="","",(I72-'2014'!#REF!)/'2014'!#REF!)</f>
        <v/>
      </c>
      <c r="J82" s="87"/>
      <c r="K82" s="87"/>
      <c r="L82" s="87"/>
      <c r="M82" s="87" t="str">
        <f>IF(G82="","",M72-((1/'Proto 2013'!#REF!)*1000000))</f>
        <v/>
      </c>
      <c r="N82" s="87" t="str">
        <f>IF(H82="","",N72-((1/'Proto 2013'!#REF!)*1000000))</f>
        <v/>
      </c>
      <c r="O82" s="88" t="str">
        <f>IF(I82="","",O72-((1/'Proto 2013'!#REF!)*1000000))</f>
        <v/>
      </c>
    </row>
    <row r="83" spans="1:15" x14ac:dyDescent="0.25">
      <c r="A83" s="81" t="s">
        <v>15</v>
      </c>
      <c r="B83" s="82" t="s">
        <v>14</v>
      </c>
      <c r="C83" s="82" t="s">
        <v>12</v>
      </c>
      <c r="D83" s="91">
        <f>IF(D73="","",(D73-'2018'!D229)/'2018'!D229)</f>
        <v>-7.3321462239446952E-2</v>
      </c>
      <c r="E83" s="91">
        <f>IF(E73="","",(E73-'2018'!E229)/'2018'!E229)</f>
        <v>-2.6898954703832752E-2</v>
      </c>
      <c r="F83" s="91">
        <f>IF(F73="","",(F73-'2018'!F229)/'2018'!F229)</f>
        <v>2.0353508302088912E-2</v>
      </c>
      <c r="G83" s="91" t="str">
        <f>IF(G73="","",(G73-'2014'!#REF!)/'2014'!#REF!)</f>
        <v/>
      </c>
      <c r="H83" s="91" t="str">
        <f>IF(H73="","",(H73-'2014'!#REF!)/'2014'!#REF!)</f>
        <v/>
      </c>
      <c r="I83" s="91" t="str">
        <f>IF(I73="","",(I73-'2014'!#REF!)/'2014'!#REF!)</f>
        <v/>
      </c>
      <c r="J83" s="87"/>
      <c r="K83" s="87"/>
      <c r="L83" s="87"/>
      <c r="M83" s="87" t="str">
        <f>IF(G83="","",M73-((1/'Proto 2013'!#REF!)*1000000))</f>
        <v/>
      </c>
      <c r="N83" s="87" t="str">
        <f>IF(H83="","",N73-((1/'Proto 2013'!#REF!)*1000000))</f>
        <v/>
      </c>
      <c r="O83" s="88" t="str">
        <f>IF(I83="","",O73-((1/'Proto 2013'!#REF!)*1000000))</f>
        <v/>
      </c>
    </row>
    <row r="84" spans="1:15" x14ac:dyDescent="0.25">
      <c r="A84" s="81" t="s">
        <v>16</v>
      </c>
      <c r="B84" s="82" t="s">
        <v>17</v>
      </c>
      <c r="C84" s="82" t="s">
        <v>12</v>
      </c>
      <c r="D84" s="91">
        <f>IF(D74="","",(D74-'2018'!D230)/'2018'!D230)</f>
        <v>-2.1594302779692168E-2</v>
      </c>
      <c r="E84" s="91">
        <f>IF(E74="","",(E74-'2018'!E230)/'2018'!E230)</f>
        <v>-3.6049237983587341E-2</v>
      </c>
      <c r="F84" s="91">
        <f>IF(F74="","",(F74-'2018'!F230)/'2018'!F230)</f>
        <v>-4.2360060514372161E-2</v>
      </c>
      <c r="G84" s="91" t="str">
        <f>IF(G74="","",(G74-'2014'!#REF!)/'2014'!#REF!)</f>
        <v/>
      </c>
      <c r="H84" s="91" t="str">
        <f>IF(H74="","",(H74-'2014'!#REF!)/'2014'!#REF!)</f>
        <v/>
      </c>
      <c r="I84" s="91" t="str">
        <f>IF(I74="","",(I74-'2014'!#REF!)/'2014'!#REF!)</f>
        <v/>
      </c>
      <c r="J84" s="87"/>
      <c r="K84" s="87"/>
      <c r="L84" s="87"/>
      <c r="M84" s="87" t="str">
        <f>IF(G84="","",M74-((1/'Proto 2013'!#REF!)*1000000))</f>
        <v/>
      </c>
      <c r="N84" s="87" t="str">
        <f>IF(H84="","",N74-((1/'Proto 2013'!#REF!)*1000000))</f>
        <v/>
      </c>
      <c r="O84" s="88" t="str">
        <f>IF(I84="","",O74-((1/'Proto 2013'!#REF!)*1000000))</f>
        <v/>
      </c>
    </row>
    <row r="85" spans="1:15" ht="15.75" thickBot="1" x14ac:dyDescent="0.3">
      <c r="A85" s="92" t="s">
        <v>18</v>
      </c>
      <c r="B85" s="93" t="s">
        <v>19</v>
      </c>
      <c r="C85" s="93" t="s">
        <v>12</v>
      </c>
      <c r="D85" s="91">
        <f>IF(D75="","",(D75-'2018'!D231)/'2018'!D231)</f>
        <v>-1.9144410304892459E-2</v>
      </c>
      <c r="E85" s="91">
        <f>IF(E75="","",(E75-'2018'!E231)/'2018'!E231)</f>
        <v>6.6415835105512841E-2</v>
      </c>
      <c r="F85" s="91">
        <f>IF(F75="","",(F75-'2018'!F231)/'2018'!F231)</f>
        <v>-4.8205677557579003E-3</v>
      </c>
      <c r="G85" s="94" t="str">
        <f>IF(G75="","",(G75-'2014'!#REF!)/'2014'!#REF!)</f>
        <v/>
      </c>
      <c r="H85" s="94" t="str">
        <f>IF(H75="","",(H75-'2014'!#REF!)/'2014'!#REF!)</f>
        <v/>
      </c>
      <c r="I85" s="94" t="str">
        <f>IF(I75="","",(I75-'2014'!#REF!)/'2014'!#REF!)</f>
        <v/>
      </c>
      <c r="J85" s="95"/>
      <c r="K85" s="95"/>
      <c r="L85" s="95"/>
      <c r="M85" s="95" t="str">
        <f>IF(G85="","",M75-((1/'Proto 2013'!#REF!)*1000000))</f>
        <v/>
      </c>
      <c r="N85" s="95" t="str">
        <f>IF(H85="","",N75-((1/'Proto 2013'!#REF!)*1000000))</f>
        <v/>
      </c>
      <c r="O85" s="96" t="str">
        <f>IF(I85="","",O75-((1/'Proto 2013'!#REF!)*1000000))</f>
        <v/>
      </c>
    </row>
    <row r="86" spans="1:15" ht="15.75" thickBot="1" x14ac:dyDescent="0.3"/>
    <row r="87" spans="1:15" ht="18.75" x14ac:dyDescent="0.25">
      <c r="A87" s="162" t="s">
        <v>191</v>
      </c>
      <c r="B87" s="172"/>
      <c r="C87" s="172"/>
      <c r="D87" s="172"/>
      <c r="E87" s="172"/>
      <c r="F87" s="172"/>
      <c r="G87" s="172"/>
      <c r="H87" s="172"/>
      <c r="I87" s="172"/>
      <c r="J87" s="172"/>
      <c r="K87" s="172"/>
      <c r="L87" s="172"/>
      <c r="M87" s="172"/>
      <c r="N87" s="172"/>
      <c r="O87" s="173"/>
    </row>
    <row r="88" spans="1:15" ht="15.75" x14ac:dyDescent="0.25">
      <c r="A88" s="165" t="s">
        <v>207</v>
      </c>
      <c r="B88" s="174"/>
      <c r="C88" s="174"/>
      <c r="D88" s="174"/>
      <c r="E88" s="174"/>
      <c r="F88" s="174"/>
      <c r="G88" s="174"/>
      <c r="H88" s="174"/>
      <c r="I88" s="174"/>
      <c r="J88" s="174"/>
      <c r="K88" s="174"/>
      <c r="L88" s="174"/>
      <c r="M88" s="174"/>
      <c r="N88" s="174"/>
      <c r="O88" s="175"/>
    </row>
    <row r="89" spans="1:15" x14ac:dyDescent="0.25">
      <c r="A89" s="167" t="s">
        <v>2</v>
      </c>
      <c r="B89" s="168"/>
      <c r="C89" s="168"/>
      <c r="D89" s="106" t="s">
        <v>3</v>
      </c>
      <c r="E89" s="169"/>
      <c r="F89" s="169"/>
      <c r="G89" s="169"/>
      <c r="H89" s="169"/>
      <c r="I89" s="169"/>
      <c r="J89" s="169" t="s">
        <v>4</v>
      </c>
      <c r="K89" s="169"/>
      <c r="L89" s="169"/>
      <c r="M89" s="169"/>
      <c r="N89" s="169"/>
      <c r="O89" s="170"/>
    </row>
    <row r="90" spans="1:15" x14ac:dyDescent="0.25">
      <c r="A90" s="76" t="s">
        <v>5</v>
      </c>
      <c r="B90" s="77" t="s">
        <v>6</v>
      </c>
      <c r="C90" s="77" t="s">
        <v>7</v>
      </c>
      <c r="D90" s="78">
        <v>1</v>
      </c>
      <c r="E90" s="78">
        <v>4</v>
      </c>
      <c r="F90" s="78">
        <v>16</v>
      </c>
      <c r="G90" s="79">
        <v>32</v>
      </c>
      <c r="H90" s="79">
        <v>64</v>
      </c>
      <c r="I90" s="79">
        <v>80</v>
      </c>
      <c r="J90" s="79">
        <v>1</v>
      </c>
      <c r="K90" s="79">
        <v>4</v>
      </c>
      <c r="L90" s="79">
        <v>16</v>
      </c>
      <c r="M90" s="79">
        <v>32</v>
      </c>
      <c r="N90" s="79">
        <v>64</v>
      </c>
      <c r="O90" s="80">
        <v>80</v>
      </c>
    </row>
    <row r="91" spans="1:15" x14ac:dyDescent="0.25">
      <c r="A91" s="37" t="s">
        <v>8</v>
      </c>
      <c r="B91" s="82" t="s">
        <v>9</v>
      </c>
      <c r="C91" s="83" t="s">
        <v>10</v>
      </c>
      <c r="D91" s="99">
        <v>31029</v>
      </c>
      <c r="E91" s="99">
        <v>20094</v>
      </c>
      <c r="F91" s="99">
        <v>6003</v>
      </c>
      <c r="G91" s="85"/>
      <c r="H91" s="86"/>
      <c r="I91" s="86"/>
      <c r="J91" s="87">
        <f t="shared" ref="J91:J96" si="20">IF(D91="","",(1/D91)*1000000)</f>
        <v>32.227915820683876</v>
      </c>
      <c r="K91" s="87">
        <f t="shared" ref="K91:K93" si="21">IF(E91="","",(1/E91)*1000000)</f>
        <v>49.766099333134271</v>
      </c>
      <c r="L91" s="87">
        <f t="shared" ref="L91:L96" si="22">IF(F91="","",(1/F91)*1000000)</f>
        <v>166.58337497917708</v>
      </c>
      <c r="M91" s="87" t="str">
        <f t="shared" ref="M91:M96" si="23">IF(G91="","",(1/G91)*1000000)</f>
        <v/>
      </c>
      <c r="N91" s="87" t="str">
        <f t="shared" ref="N91:N96" si="24">IF(H91="","",(1/H91)*1000000)</f>
        <v/>
      </c>
      <c r="O91" s="88" t="str">
        <f t="shared" ref="O91:O96" si="25">IF(I91="","",(1/I91)*1000000)</f>
        <v/>
      </c>
    </row>
    <row r="92" spans="1:15" x14ac:dyDescent="0.25">
      <c r="A92" s="81" t="s">
        <v>11</v>
      </c>
      <c r="B92" s="82" t="s">
        <v>9</v>
      </c>
      <c r="C92" s="83" t="s">
        <v>12</v>
      </c>
      <c r="D92" s="99">
        <v>9210</v>
      </c>
      <c r="E92" s="99">
        <v>7638</v>
      </c>
      <c r="F92" s="99">
        <v>4055</v>
      </c>
      <c r="G92" s="85"/>
      <c r="H92" s="86"/>
      <c r="I92" s="86"/>
      <c r="J92" s="87">
        <f t="shared" si="20"/>
        <v>108.57763300760044</v>
      </c>
      <c r="K92" s="87">
        <f t="shared" si="21"/>
        <v>130.92432573972246</v>
      </c>
      <c r="L92" s="87">
        <f t="shared" si="22"/>
        <v>246.6091245376079</v>
      </c>
      <c r="M92" s="87" t="str">
        <f t="shared" si="23"/>
        <v/>
      </c>
      <c r="N92" s="87" t="str">
        <f t="shared" si="24"/>
        <v/>
      </c>
      <c r="O92" s="88" t="str">
        <f t="shared" si="25"/>
        <v/>
      </c>
    </row>
    <row r="93" spans="1:15" x14ac:dyDescent="0.25">
      <c r="A93" s="81" t="s">
        <v>13</v>
      </c>
      <c r="B93" s="82" t="s">
        <v>14</v>
      </c>
      <c r="C93" s="83" t="s">
        <v>10</v>
      </c>
      <c r="D93" s="100">
        <v>38767</v>
      </c>
      <c r="E93" s="99">
        <v>16057</v>
      </c>
      <c r="F93" s="99">
        <v>5712</v>
      </c>
      <c r="G93" s="85"/>
      <c r="H93" s="86"/>
      <c r="I93" s="86"/>
      <c r="J93" s="87">
        <f t="shared" si="20"/>
        <v>25.795135037531921</v>
      </c>
      <c r="K93" s="87">
        <f t="shared" si="21"/>
        <v>62.278134147100957</v>
      </c>
      <c r="L93" s="87">
        <f t="shared" si="22"/>
        <v>175.07002801120447</v>
      </c>
      <c r="M93" s="87" t="str">
        <f t="shared" si="23"/>
        <v/>
      </c>
      <c r="N93" s="87" t="str">
        <f t="shared" si="24"/>
        <v/>
      </c>
      <c r="O93" s="88" t="str">
        <f t="shared" si="25"/>
        <v/>
      </c>
    </row>
    <row r="94" spans="1:15" x14ac:dyDescent="0.25">
      <c r="A94" s="81" t="s">
        <v>15</v>
      </c>
      <c r="B94" s="82" t="s">
        <v>14</v>
      </c>
      <c r="C94" s="83" t="s">
        <v>12</v>
      </c>
      <c r="D94" s="99">
        <v>8834</v>
      </c>
      <c r="E94" s="102">
        <v>6901</v>
      </c>
      <c r="F94" s="99">
        <v>3555</v>
      </c>
      <c r="G94" s="85"/>
      <c r="H94" s="86"/>
      <c r="I94" s="86"/>
      <c r="J94" s="87">
        <f t="shared" si="20"/>
        <v>113.19900384876613</v>
      </c>
      <c r="K94" s="87">
        <f>IF(D93="","",(1/D93)*1000000)</f>
        <v>25.795135037531921</v>
      </c>
      <c r="L94" s="87">
        <f t="shared" si="22"/>
        <v>281.29395218002816</v>
      </c>
      <c r="M94" s="87" t="str">
        <f t="shared" si="23"/>
        <v/>
      </c>
      <c r="N94" s="87" t="str">
        <f t="shared" si="24"/>
        <v/>
      </c>
      <c r="O94" s="88" t="str">
        <f t="shared" si="25"/>
        <v/>
      </c>
    </row>
    <row r="95" spans="1:15" x14ac:dyDescent="0.25">
      <c r="A95" s="81" t="s">
        <v>16</v>
      </c>
      <c r="B95" s="82" t="s">
        <v>17</v>
      </c>
      <c r="C95" s="83" t="s">
        <v>12</v>
      </c>
      <c r="D95" s="99">
        <v>8706</v>
      </c>
      <c r="E95" s="99">
        <v>6389</v>
      </c>
      <c r="F95" s="99">
        <v>3817</v>
      </c>
      <c r="G95" s="85"/>
      <c r="H95" s="86"/>
      <c r="I95" s="86"/>
      <c r="J95" s="87">
        <f t="shared" si="20"/>
        <v>114.86331265793706</v>
      </c>
      <c r="K95" s="87">
        <f>IF(E95="","",(1/E95)*1000000)</f>
        <v>156.51901706057285</v>
      </c>
      <c r="L95" s="87">
        <f t="shared" si="22"/>
        <v>261.98585276395079</v>
      </c>
      <c r="M95" s="87" t="str">
        <f t="shared" si="23"/>
        <v/>
      </c>
      <c r="N95" s="87" t="str">
        <f t="shared" si="24"/>
        <v/>
      </c>
      <c r="O95" s="88" t="str">
        <f t="shared" si="25"/>
        <v/>
      </c>
    </row>
    <row r="96" spans="1:15" x14ac:dyDescent="0.25">
      <c r="A96" s="81" t="s">
        <v>18</v>
      </c>
      <c r="B96" s="82" t="s">
        <v>19</v>
      </c>
      <c r="C96" s="83" t="s">
        <v>12</v>
      </c>
      <c r="D96" s="99">
        <v>8587</v>
      </c>
      <c r="E96" s="99">
        <v>6113</v>
      </c>
      <c r="F96" s="99">
        <v>3697</v>
      </c>
      <c r="G96" s="85"/>
      <c r="H96" s="86"/>
      <c r="I96" s="86"/>
      <c r="J96" s="87">
        <f t="shared" si="20"/>
        <v>116.45510655642249</v>
      </c>
      <c r="K96" s="87">
        <f>IF(E96="","",(1/E96)*1000000)</f>
        <v>163.58580075249469</v>
      </c>
      <c r="L96" s="87">
        <f t="shared" si="22"/>
        <v>270.48958615093318</v>
      </c>
      <c r="M96" s="87" t="str">
        <f t="shared" si="23"/>
        <v/>
      </c>
      <c r="N96" s="87" t="str">
        <f t="shared" si="24"/>
        <v/>
      </c>
      <c r="O96" s="88" t="str">
        <f t="shared" si="25"/>
        <v/>
      </c>
    </row>
    <row r="97" spans="1:17" x14ac:dyDescent="0.25">
      <c r="A97" s="176" t="s">
        <v>208</v>
      </c>
      <c r="B97" s="177"/>
      <c r="C97" s="177"/>
      <c r="D97" s="177"/>
      <c r="E97" s="177"/>
      <c r="F97" s="177"/>
      <c r="G97" s="196" t="s">
        <v>206</v>
      </c>
      <c r="H97" s="196"/>
      <c r="I97" s="196"/>
      <c r="J97" s="21"/>
      <c r="K97" s="21"/>
      <c r="L97" s="21"/>
      <c r="M97" s="157" t="s">
        <v>172</v>
      </c>
      <c r="N97" s="157"/>
      <c r="O97" s="90"/>
    </row>
    <row r="98" spans="1:17" ht="18.75" x14ac:dyDescent="0.3">
      <c r="A98" s="158" t="s">
        <v>186</v>
      </c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59"/>
    </row>
    <row r="99" spans="1:17" x14ac:dyDescent="0.25">
      <c r="A99" s="167" t="s">
        <v>2</v>
      </c>
      <c r="B99" s="168"/>
      <c r="C99" s="168"/>
      <c r="D99" s="169" t="s">
        <v>20</v>
      </c>
      <c r="E99" s="169"/>
      <c r="F99" s="169"/>
      <c r="G99" s="169"/>
      <c r="H99" s="169"/>
      <c r="I99" s="169"/>
      <c r="J99" s="188" t="s">
        <v>23</v>
      </c>
      <c r="K99" s="189"/>
      <c r="L99" s="189"/>
      <c r="M99" s="189"/>
      <c r="N99" s="189"/>
      <c r="O99" s="191"/>
    </row>
    <row r="100" spans="1:17" x14ac:dyDescent="0.25">
      <c r="A100" s="76" t="s">
        <v>5</v>
      </c>
      <c r="B100" s="77" t="s">
        <v>6</v>
      </c>
      <c r="C100" s="77" t="s">
        <v>7</v>
      </c>
      <c r="D100" s="79">
        <v>1</v>
      </c>
      <c r="E100" s="79">
        <v>4</v>
      </c>
      <c r="F100" s="79">
        <v>16</v>
      </c>
      <c r="G100" s="79">
        <v>32</v>
      </c>
      <c r="H100" s="79">
        <v>64</v>
      </c>
      <c r="I100" s="79">
        <v>80</v>
      </c>
      <c r="J100" s="79">
        <v>1</v>
      </c>
      <c r="K100" s="79">
        <v>4</v>
      </c>
      <c r="L100" s="79">
        <v>16</v>
      </c>
      <c r="M100" s="79">
        <v>32</v>
      </c>
      <c r="N100" s="79">
        <v>64</v>
      </c>
      <c r="O100" s="80">
        <v>80</v>
      </c>
    </row>
    <row r="101" spans="1:17" x14ac:dyDescent="0.25">
      <c r="A101" s="81" t="s">
        <v>8</v>
      </c>
      <c r="B101" s="82" t="s">
        <v>9</v>
      </c>
      <c r="C101" s="82" t="s">
        <v>10</v>
      </c>
      <c r="D101" s="91">
        <f>IF(D91="","",(D91-'2018'!D226)/'2018'!D226)</f>
        <v>-0.26908037312729671</v>
      </c>
      <c r="E101" s="91">
        <f>IF(E91="","",(E91-'2018'!E226)/'2018'!E226)</f>
        <v>0</v>
      </c>
      <c r="F101" s="91">
        <f>IF(F91="","",(F91-'2018'!F226)/'2018'!F226)</f>
        <v>0</v>
      </c>
      <c r="G101" s="91" t="str">
        <f>IF(G91="","",(G91-'2014'!#REF!)/'2014'!#REF!)</f>
        <v/>
      </c>
      <c r="H101" s="91" t="str">
        <f>IF(H91="","",(H91-'2014'!#REF!)/'2014'!#REF!)</f>
        <v/>
      </c>
      <c r="I101" s="87" t="str">
        <f>IF(I91="","",(I91-'2014'!#REF!)/'2014'!#REF!)</f>
        <v/>
      </c>
      <c r="J101" s="87"/>
      <c r="K101" s="87"/>
      <c r="L101" s="87"/>
      <c r="M101" s="87" t="str">
        <f>IF(G101="","",M91-((1/'Proto 2013'!#REF!)*1000000))</f>
        <v/>
      </c>
      <c r="N101" s="87" t="str">
        <f>IF(H101="","",N91-((1/'Proto 2013'!#REF!)*1000000))</f>
        <v/>
      </c>
      <c r="O101" s="88" t="str">
        <f>IF(I101="","",O91-((1/'Proto 2013'!#REF!)*1000000))</f>
        <v/>
      </c>
    </row>
    <row r="102" spans="1:17" x14ac:dyDescent="0.25">
      <c r="A102" s="81" t="s">
        <v>11</v>
      </c>
      <c r="B102" s="82" t="s">
        <v>9</v>
      </c>
      <c r="C102" s="82" t="s">
        <v>12</v>
      </c>
      <c r="D102" s="91">
        <f>IF(D92="","",(D92-'2018'!D227)/'2018'!D227)</f>
        <v>-9.5729013254786458E-2</v>
      </c>
      <c r="E102" s="91">
        <f>IF(E92="","",(E92-'2018'!E227)/'2018'!E227)</f>
        <v>-3.193916349809886E-2</v>
      </c>
      <c r="F102" s="91">
        <f>IF(F92="","",(F92-'2018'!F227)/'2018'!F227)</f>
        <v>-3.7045832343861315E-2</v>
      </c>
      <c r="G102" s="91" t="str">
        <f>IF(G92="","",(G92-'2014'!#REF!)/'2014'!#REF!)</f>
        <v/>
      </c>
      <c r="H102" s="91" t="str">
        <f>IF(H92="","",(H92-'2014'!#REF!)/'2014'!#REF!)</f>
        <v/>
      </c>
      <c r="I102" s="91" t="str">
        <f>IF(I92="","",(I92-'2014'!#REF!)/'2014'!#REF!)</f>
        <v/>
      </c>
      <c r="J102" s="87"/>
      <c r="K102" s="87"/>
      <c r="L102" s="87"/>
      <c r="M102" s="87" t="str">
        <f>IF(G102="","",M92-((1/'Proto 2013'!#REF!)*1000000))</f>
        <v/>
      </c>
      <c r="N102" s="87" t="str">
        <f>IF(H102="","",N92-((1/'Proto 2013'!#REF!)*1000000))</f>
        <v/>
      </c>
      <c r="O102" s="88" t="str">
        <f>IF(I102="","",O92-((1/'Proto 2013'!#REF!)*1000000))</f>
        <v/>
      </c>
    </row>
    <row r="103" spans="1:17" x14ac:dyDescent="0.25">
      <c r="A103" s="81" t="s">
        <v>13</v>
      </c>
      <c r="B103" s="82" t="s">
        <v>14</v>
      </c>
      <c r="C103" s="82" t="s">
        <v>10</v>
      </c>
      <c r="D103" s="91">
        <f>IF(D93="","",(D93-'2018'!D228)/'2018'!D228)</f>
        <v>2.7648181529000105E-2</v>
      </c>
      <c r="E103" s="91">
        <f>IF(E93="","",(E93-'2018'!E228)/'2018'!E228)</f>
        <v>5.0071978469049261E-3</v>
      </c>
      <c r="F103" s="91">
        <f>IF(F93="","",(F93-'2018'!F228)/'2018'!F228)</f>
        <v>3.2164799421756415E-2</v>
      </c>
      <c r="G103" s="91" t="str">
        <f>IF(G93="","",(G93-'2014'!#REF!)/'2014'!#REF!)</f>
        <v/>
      </c>
      <c r="H103" s="91" t="str">
        <f>IF(H93="","",(H93-'2014'!#REF!)/'2014'!#REF!)</f>
        <v/>
      </c>
      <c r="I103" s="91" t="str">
        <f>IF(I93="","",(I93-'2014'!#REF!)/'2014'!#REF!)</f>
        <v/>
      </c>
      <c r="J103" s="87"/>
      <c r="K103" s="87"/>
      <c r="L103" s="87"/>
      <c r="M103" s="87" t="str">
        <f>IF(G103="","",M93-((1/'Proto 2013'!#REF!)*1000000))</f>
        <v/>
      </c>
      <c r="N103" s="87" t="str">
        <f>IF(H103="","",N93-((1/'Proto 2013'!#REF!)*1000000))</f>
        <v/>
      </c>
      <c r="O103" s="88" t="str">
        <f>IF(I103="","",O93-((1/'Proto 2013'!#REF!)*1000000))</f>
        <v/>
      </c>
    </row>
    <row r="104" spans="1:17" x14ac:dyDescent="0.25">
      <c r="A104" s="81" t="s">
        <v>15</v>
      </c>
      <c r="B104" s="82" t="s">
        <v>14</v>
      </c>
      <c r="C104" s="82" t="s">
        <v>12</v>
      </c>
      <c r="D104" s="91">
        <f>IF(D94="","",(D94-'2018'!D229)/'2018'!D229)</f>
        <v>-7.4683146538179535E-2</v>
      </c>
      <c r="E104" s="91">
        <f>IF(E94="","",(E94-'2018'!E229)/'2018'!E229)</f>
        <v>-3.8188153310104528E-2</v>
      </c>
      <c r="F104" s="91">
        <f>IF(F94="","",(F94-'2018'!F229)/'2018'!F229)</f>
        <v>-4.7937868237814679E-2</v>
      </c>
      <c r="G104" s="91" t="str">
        <f>IF(G94="","",(G94-'2014'!#REF!)/'2014'!#REF!)</f>
        <v/>
      </c>
      <c r="H104" s="91" t="str">
        <f>IF(H94="","",(H94-'2014'!#REF!)/'2014'!#REF!)</f>
        <v/>
      </c>
      <c r="I104" s="91" t="str">
        <f>IF(I94="","",(I94-'2014'!#REF!)/'2014'!#REF!)</f>
        <v/>
      </c>
      <c r="J104" s="87"/>
      <c r="K104" s="87"/>
      <c r="L104" s="87"/>
      <c r="M104" s="87" t="str">
        <f>IF(G104="","",M94-((1/'Proto 2013'!#REF!)*1000000))</f>
        <v/>
      </c>
      <c r="N104" s="87" t="str">
        <f>IF(H104="","",N94-((1/'Proto 2013'!#REF!)*1000000))</f>
        <v/>
      </c>
      <c r="O104" s="88" t="str">
        <f>IF(I104="","",O94-((1/'Proto 2013'!#REF!)*1000000))</f>
        <v/>
      </c>
    </row>
    <row r="105" spans="1:17" x14ac:dyDescent="0.25">
      <c r="A105" s="81" t="s">
        <v>16</v>
      </c>
      <c r="B105" s="82" t="s">
        <v>17</v>
      </c>
      <c r="C105" s="82" t="s">
        <v>12</v>
      </c>
      <c r="D105" s="91">
        <f>IF(D95="","",(D95-'2018'!D230)/'2018'!D230)</f>
        <v>0</v>
      </c>
      <c r="E105" s="91">
        <f>IF(E95="","",(E95-'2018'!E230)/'2018'!E230)</f>
        <v>-6.3745603751465416E-2</v>
      </c>
      <c r="F105" s="91">
        <f>IF(F95="","",(F95-'2018'!F230)/'2018'!F230)</f>
        <v>-3.7569339384770549E-2</v>
      </c>
      <c r="G105" s="91" t="str">
        <f>IF(G95="","",(G95-'2014'!#REF!)/'2014'!#REF!)</f>
        <v/>
      </c>
      <c r="H105" s="91" t="str">
        <f>IF(H95="","",(H95-'2014'!#REF!)/'2014'!#REF!)</f>
        <v/>
      </c>
      <c r="I105" s="91" t="str">
        <f>IF(I95="","",(I95-'2014'!#REF!)/'2014'!#REF!)</f>
        <v/>
      </c>
      <c r="J105" s="87"/>
      <c r="K105" s="87"/>
      <c r="L105" s="87"/>
      <c r="M105" s="87" t="str">
        <f>IF(G105="","",M95-((1/'Proto 2013'!#REF!)*1000000))</f>
        <v/>
      </c>
      <c r="N105" s="87" t="str">
        <f>IF(H105="","",N95-((1/'Proto 2013'!#REF!)*1000000))</f>
        <v/>
      </c>
      <c r="O105" s="88" t="str">
        <f>IF(I105="","",O95-((1/'Proto 2013'!#REF!)*1000000))</f>
        <v/>
      </c>
    </row>
    <row r="106" spans="1:17" ht="15.75" thickBot="1" x14ac:dyDescent="0.3">
      <c r="A106" s="92" t="s">
        <v>18</v>
      </c>
      <c r="B106" s="93" t="s">
        <v>19</v>
      </c>
      <c r="C106" s="93" t="s">
        <v>12</v>
      </c>
      <c r="D106" s="91">
        <f>IF(D96="","",(D96-'2018'!D231)/'2018'!D231)</f>
        <v>1.4771921531552825E-2</v>
      </c>
      <c r="E106" s="91">
        <f>IF(E96="","",(E96-'2018'!E231)/'2018'!E231)</f>
        <v>0</v>
      </c>
      <c r="F106" s="91">
        <f>IF(F96="","",(F96-'2018'!F231)/'2018'!F231)</f>
        <v>-9.9089448312801292E-3</v>
      </c>
      <c r="G106" s="94" t="str">
        <f>IF(G96="","",(G96-'2014'!#REF!)/'2014'!#REF!)</f>
        <v/>
      </c>
      <c r="H106" s="94" t="str">
        <f>IF(H96="","",(H96-'2014'!#REF!)/'2014'!#REF!)</f>
        <v/>
      </c>
      <c r="I106" s="94" t="str">
        <f>IF(I96="","",(I96-'2014'!#REF!)/'2014'!#REF!)</f>
        <v/>
      </c>
      <c r="J106" s="95"/>
      <c r="K106" s="95"/>
      <c r="L106" s="95"/>
      <c r="M106" s="95" t="str">
        <f>IF(G106="","",M96-((1/'Proto 2013'!#REF!)*1000000))</f>
        <v/>
      </c>
      <c r="N106" s="95" t="str">
        <f>IF(H106="","",N96-((1/'Proto 2013'!#REF!)*1000000))</f>
        <v/>
      </c>
      <c r="O106" s="96" t="str">
        <f>IF(I106="","",O96-((1/'Proto 2013'!#REF!)*1000000))</f>
        <v/>
      </c>
    </row>
    <row r="107" spans="1:17" ht="15.75" thickBot="1" x14ac:dyDescent="0.3"/>
    <row r="108" spans="1:17" ht="18.75" x14ac:dyDescent="0.25">
      <c r="A108" s="162" t="s">
        <v>191</v>
      </c>
      <c r="B108" s="172"/>
      <c r="C108" s="172"/>
      <c r="D108" s="172"/>
      <c r="E108" s="172"/>
      <c r="F108" s="172"/>
      <c r="G108" s="172"/>
      <c r="H108" s="172"/>
      <c r="I108" s="172"/>
      <c r="J108" s="172"/>
      <c r="K108" s="172"/>
      <c r="L108" s="172"/>
      <c r="M108" s="172"/>
      <c r="N108" s="172"/>
      <c r="O108" s="173"/>
      <c r="Q108" t="s">
        <v>213</v>
      </c>
    </row>
    <row r="109" spans="1:17" ht="15.75" x14ac:dyDescent="0.25">
      <c r="A109" s="165" t="s">
        <v>209</v>
      </c>
      <c r="B109" s="174"/>
      <c r="C109" s="174"/>
      <c r="D109" s="174"/>
      <c r="E109" s="174"/>
      <c r="F109" s="174"/>
      <c r="G109" s="174"/>
      <c r="H109" s="174"/>
      <c r="I109" s="174"/>
      <c r="J109" s="174"/>
      <c r="K109" s="174"/>
      <c r="L109" s="174"/>
      <c r="M109" s="174"/>
      <c r="N109" s="174"/>
      <c r="O109" s="175"/>
    </row>
    <row r="110" spans="1:17" x14ac:dyDescent="0.25">
      <c r="A110" s="167" t="s">
        <v>2</v>
      </c>
      <c r="B110" s="168"/>
      <c r="C110" s="168"/>
      <c r="D110" s="106" t="s">
        <v>3</v>
      </c>
      <c r="E110" s="169"/>
      <c r="F110" s="169"/>
      <c r="G110" s="169"/>
      <c r="H110" s="169"/>
      <c r="I110" s="169"/>
      <c r="J110" s="169" t="s">
        <v>4</v>
      </c>
      <c r="K110" s="169"/>
      <c r="L110" s="169"/>
      <c r="M110" s="169"/>
      <c r="N110" s="169"/>
      <c r="O110" s="170"/>
    </row>
    <row r="111" spans="1:17" x14ac:dyDescent="0.25">
      <c r="A111" s="76" t="s">
        <v>5</v>
      </c>
      <c r="B111" s="77" t="s">
        <v>6</v>
      </c>
      <c r="C111" s="77" t="s">
        <v>7</v>
      </c>
      <c r="D111" s="78">
        <v>1</v>
      </c>
      <c r="E111" s="78">
        <v>4</v>
      </c>
      <c r="F111" s="78">
        <v>16</v>
      </c>
      <c r="G111" s="79">
        <v>32</v>
      </c>
      <c r="H111" s="79">
        <v>64</v>
      </c>
      <c r="I111" s="79">
        <v>80</v>
      </c>
      <c r="J111" s="79">
        <v>1</v>
      </c>
      <c r="K111" s="79">
        <v>4</v>
      </c>
      <c r="L111" s="79">
        <v>16</v>
      </c>
      <c r="M111" s="79">
        <v>32</v>
      </c>
      <c r="N111" s="79">
        <v>64</v>
      </c>
      <c r="O111" s="80">
        <v>80</v>
      </c>
    </row>
    <row r="112" spans="1:17" x14ac:dyDescent="0.25">
      <c r="A112" s="37" t="s">
        <v>8</v>
      </c>
      <c r="B112" s="82" t="s">
        <v>9</v>
      </c>
      <c r="C112" s="83" t="s">
        <v>10</v>
      </c>
      <c r="D112" s="99">
        <v>41668</v>
      </c>
      <c r="E112" s="99">
        <v>20476</v>
      </c>
      <c r="F112" s="99">
        <v>6399</v>
      </c>
      <c r="G112" s="85"/>
      <c r="H112" s="86"/>
      <c r="I112" s="86"/>
      <c r="J112" s="87">
        <f t="shared" ref="J112:J117" si="26">IF(D112="","",(1/D112)*1000000)</f>
        <v>23.999232024575214</v>
      </c>
      <c r="K112" s="87">
        <f t="shared" ref="K112:K114" si="27">IF(E112="","",(1/E112)*1000000)</f>
        <v>48.837663606173081</v>
      </c>
      <c r="L112" s="87">
        <f t="shared" ref="L112:L117" si="28">IF(F112="","",(1/F112)*1000000)</f>
        <v>156.27441787779341</v>
      </c>
      <c r="M112" s="87" t="str">
        <f t="shared" ref="M112:M117" si="29">IF(G112="","",(1/G112)*1000000)</f>
        <v/>
      </c>
      <c r="N112" s="87" t="str">
        <f t="shared" ref="N112:N117" si="30">IF(H112="","",(1/H112)*1000000)</f>
        <v/>
      </c>
      <c r="O112" s="88" t="str">
        <f t="shared" ref="O112:O117" si="31">IF(I112="","",(1/I112)*1000000)</f>
        <v/>
      </c>
    </row>
    <row r="113" spans="1:15" x14ac:dyDescent="0.25">
      <c r="A113" s="81" t="s">
        <v>11</v>
      </c>
      <c r="B113" s="82" t="s">
        <v>9</v>
      </c>
      <c r="C113" s="83" t="s">
        <v>12</v>
      </c>
      <c r="D113" s="99">
        <v>9734</v>
      </c>
      <c r="E113" s="99">
        <v>7744</v>
      </c>
      <c r="F113" s="99">
        <v>4160</v>
      </c>
      <c r="G113" s="85"/>
      <c r="H113" s="86"/>
      <c r="I113" s="86"/>
      <c r="J113" s="87">
        <f t="shared" si="26"/>
        <v>102.73268954181221</v>
      </c>
      <c r="K113" s="87">
        <f t="shared" si="27"/>
        <v>129.13223140495867</v>
      </c>
      <c r="L113" s="87">
        <f t="shared" si="28"/>
        <v>240.38461538461539</v>
      </c>
      <c r="M113" s="87" t="str">
        <f t="shared" si="29"/>
        <v/>
      </c>
      <c r="N113" s="87" t="str">
        <f t="shared" si="30"/>
        <v/>
      </c>
      <c r="O113" s="88" t="str">
        <f t="shared" si="31"/>
        <v/>
      </c>
    </row>
    <row r="114" spans="1:15" x14ac:dyDescent="0.25">
      <c r="A114" s="81" t="s">
        <v>13</v>
      </c>
      <c r="B114" s="82" t="s">
        <v>14</v>
      </c>
      <c r="C114" s="83" t="s">
        <v>10</v>
      </c>
      <c r="D114" s="100">
        <v>40105</v>
      </c>
      <c r="E114" s="99">
        <v>15288</v>
      </c>
      <c r="F114" s="99">
        <v>5761</v>
      </c>
      <c r="G114" s="85"/>
      <c r="H114" s="86"/>
      <c r="I114" s="86"/>
      <c r="J114" s="87">
        <f t="shared" si="26"/>
        <v>24.934546814611647</v>
      </c>
      <c r="K114" s="87">
        <f t="shared" si="27"/>
        <v>65.410779696493989</v>
      </c>
      <c r="L114" s="87">
        <f t="shared" si="28"/>
        <v>173.58097552508247</v>
      </c>
      <c r="M114" s="87" t="str">
        <f t="shared" si="29"/>
        <v/>
      </c>
      <c r="N114" s="87" t="str">
        <f t="shared" si="30"/>
        <v/>
      </c>
      <c r="O114" s="88" t="str">
        <f t="shared" si="31"/>
        <v/>
      </c>
    </row>
    <row r="115" spans="1:15" x14ac:dyDescent="0.25">
      <c r="A115" s="81" t="s">
        <v>15</v>
      </c>
      <c r="B115" s="82" t="s">
        <v>14</v>
      </c>
      <c r="C115" s="83" t="s">
        <v>12</v>
      </c>
      <c r="D115" s="99">
        <v>8817</v>
      </c>
      <c r="E115" s="102">
        <v>7032</v>
      </c>
      <c r="F115" s="99">
        <v>3805</v>
      </c>
      <c r="G115" s="85"/>
      <c r="H115" s="86"/>
      <c r="I115" s="86"/>
      <c r="J115" s="87">
        <f t="shared" si="26"/>
        <v>113.41726210729273</v>
      </c>
      <c r="K115" s="87">
        <f>IF(D114="","",(1/D114)*1000000)</f>
        <v>24.934546814611647</v>
      </c>
      <c r="L115" s="87">
        <f t="shared" si="28"/>
        <v>262.81208935611039</v>
      </c>
      <c r="M115" s="87" t="str">
        <f t="shared" si="29"/>
        <v/>
      </c>
      <c r="N115" s="87" t="str">
        <f t="shared" si="30"/>
        <v/>
      </c>
      <c r="O115" s="88" t="str">
        <f t="shared" si="31"/>
        <v/>
      </c>
    </row>
    <row r="116" spans="1:15" x14ac:dyDescent="0.25">
      <c r="A116" s="81" t="s">
        <v>16</v>
      </c>
      <c r="B116" s="82" t="s">
        <v>17</v>
      </c>
      <c r="C116" s="83" t="s">
        <v>12</v>
      </c>
      <c r="D116" s="99">
        <v>8010</v>
      </c>
      <c r="E116" s="99">
        <v>6421</v>
      </c>
      <c r="F116" s="99">
        <v>3786</v>
      </c>
      <c r="G116" s="85"/>
      <c r="H116" s="86"/>
      <c r="I116" s="86"/>
      <c r="J116" s="87">
        <f t="shared" si="26"/>
        <v>124.84394506866417</v>
      </c>
      <c r="K116" s="87">
        <f>IF(E116="","",(1/E116)*1000000)</f>
        <v>155.73898146706119</v>
      </c>
      <c r="L116" s="87">
        <f t="shared" si="28"/>
        <v>264.13100898045434</v>
      </c>
      <c r="M116" s="87" t="str">
        <f t="shared" si="29"/>
        <v/>
      </c>
      <c r="N116" s="87" t="str">
        <f t="shared" si="30"/>
        <v/>
      </c>
      <c r="O116" s="88" t="str">
        <f t="shared" si="31"/>
        <v/>
      </c>
    </row>
    <row r="117" spans="1:15" x14ac:dyDescent="0.25">
      <c r="A117" s="81" t="s">
        <v>18</v>
      </c>
      <c r="B117" s="82" t="s">
        <v>19</v>
      </c>
      <c r="C117" s="83" t="s">
        <v>12</v>
      </c>
      <c r="D117" s="99">
        <v>8010</v>
      </c>
      <c r="E117" s="99">
        <v>6166</v>
      </c>
      <c r="F117" s="99">
        <v>3785</v>
      </c>
      <c r="G117" s="85"/>
      <c r="H117" s="86"/>
      <c r="I117" s="86"/>
      <c r="J117" s="87">
        <f t="shared" si="26"/>
        <v>124.84394506866417</v>
      </c>
      <c r="K117" s="87">
        <f>IF(E117="","",(1/E117)*1000000)</f>
        <v>162.17969510217321</v>
      </c>
      <c r="L117" s="87">
        <f t="shared" si="28"/>
        <v>264.20079260237782</v>
      </c>
      <c r="M117" s="87" t="str">
        <f t="shared" si="29"/>
        <v/>
      </c>
      <c r="N117" s="87" t="str">
        <f t="shared" si="30"/>
        <v/>
      </c>
      <c r="O117" s="88" t="str">
        <f t="shared" si="31"/>
        <v/>
      </c>
    </row>
    <row r="118" spans="1:15" x14ac:dyDescent="0.25">
      <c r="A118" s="176" t="s">
        <v>210</v>
      </c>
      <c r="B118" s="177"/>
      <c r="C118" s="177"/>
      <c r="D118" s="177"/>
      <c r="E118" s="177"/>
      <c r="F118" s="177"/>
      <c r="G118" s="196" t="s">
        <v>211</v>
      </c>
      <c r="H118" s="196"/>
      <c r="I118" s="196"/>
      <c r="J118" s="21" t="s">
        <v>212</v>
      </c>
      <c r="K118" s="21"/>
      <c r="L118" s="21"/>
      <c r="M118" s="157" t="s">
        <v>172</v>
      </c>
      <c r="N118" s="157"/>
      <c r="O118" s="90"/>
    </row>
    <row r="119" spans="1:15" ht="18.75" x14ac:dyDescent="0.3">
      <c r="A119" s="158" t="s">
        <v>186</v>
      </c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59"/>
    </row>
    <row r="120" spans="1:15" x14ac:dyDescent="0.25">
      <c r="A120" s="167" t="s">
        <v>2</v>
      </c>
      <c r="B120" s="168"/>
      <c r="C120" s="168"/>
      <c r="D120" s="169" t="s">
        <v>20</v>
      </c>
      <c r="E120" s="169"/>
      <c r="F120" s="169"/>
      <c r="G120" s="169"/>
      <c r="H120" s="169"/>
      <c r="I120" s="169"/>
      <c r="J120" s="188" t="s">
        <v>23</v>
      </c>
      <c r="K120" s="189"/>
      <c r="L120" s="189"/>
      <c r="M120" s="189"/>
      <c r="N120" s="189"/>
      <c r="O120" s="191"/>
    </row>
    <row r="121" spans="1:15" x14ac:dyDescent="0.25">
      <c r="A121" s="76" t="s">
        <v>5</v>
      </c>
      <c r="B121" s="77" t="s">
        <v>6</v>
      </c>
      <c r="C121" s="77" t="s">
        <v>7</v>
      </c>
      <c r="D121" s="79">
        <v>1</v>
      </c>
      <c r="E121" s="79">
        <v>4</v>
      </c>
      <c r="F121" s="79">
        <v>16</v>
      </c>
      <c r="G121" s="79">
        <v>32</v>
      </c>
      <c r="H121" s="79">
        <v>64</v>
      </c>
      <c r="I121" s="79">
        <v>80</v>
      </c>
      <c r="J121" s="79">
        <v>1</v>
      </c>
      <c r="K121" s="79">
        <v>4</v>
      </c>
      <c r="L121" s="79">
        <v>16</v>
      </c>
      <c r="M121" s="79">
        <v>32</v>
      </c>
      <c r="N121" s="79">
        <v>64</v>
      </c>
      <c r="O121" s="80">
        <v>80</v>
      </c>
    </row>
    <row r="122" spans="1:15" x14ac:dyDescent="0.25">
      <c r="A122" s="81" t="s">
        <v>8</v>
      </c>
      <c r="B122" s="82" t="s">
        <v>9</v>
      </c>
      <c r="C122" s="82" t="s">
        <v>10</v>
      </c>
      <c r="D122" s="91">
        <f>IF(D112="","",(D112-'2018'!D226)/'2018'!D226)</f>
        <v>-1.8467916705926693E-2</v>
      </c>
      <c r="E122" s="91">
        <f>IF(E112="","",(E112-'2018'!E226)/'2018'!E226)</f>
        <v>1.901064994525729E-2</v>
      </c>
      <c r="F122" s="91">
        <f>IF(F112="","",(F112-'2018'!F226)/'2018'!F226)</f>
        <v>6.5967016491754127E-2</v>
      </c>
      <c r="G122" s="91" t="str">
        <f>IF(G112="","",(G112-'2014'!#REF!)/'2014'!#REF!)</f>
        <v/>
      </c>
      <c r="H122" s="91" t="str">
        <f>IF(H112="","",(H112-'2014'!#REF!)/'2014'!#REF!)</f>
        <v/>
      </c>
      <c r="I122" s="87" t="str">
        <f>IF(I112="","",(I112-'2014'!#REF!)/'2014'!#REF!)</f>
        <v/>
      </c>
      <c r="J122" s="87"/>
      <c r="K122" s="87"/>
      <c r="L122" s="87"/>
      <c r="M122" s="87" t="str">
        <f>IF(G122="","",M112-((1/'Proto 2013'!#REF!)*1000000))</f>
        <v/>
      </c>
      <c r="N122" s="87" t="str">
        <f>IF(H122="","",N112-((1/'Proto 2013'!#REF!)*1000000))</f>
        <v/>
      </c>
      <c r="O122" s="88" t="str">
        <f>IF(I122="","",O112-((1/'Proto 2013'!#REF!)*1000000))</f>
        <v/>
      </c>
    </row>
    <row r="123" spans="1:15" x14ac:dyDescent="0.25">
      <c r="A123" s="81" t="s">
        <v>11</v>
      </c>
      <c r="B123" s="82" t="s">
        <v>9</v>
      </c>
      <c r="C123" s="82" t="s">
        <v>12</v>
      </c>
      <c r="D123" s="91">
        <f>IF(D113="","",(D113-'2018'!D227)/'2018'!D227)</f>
        <v>-4.4280805105547376E-2</v>
      </c>
      <c r="E123" s="91">
        <f>IF(E113="","",(E113-'2018'!E227)/'2018'!E227)</f>
        <v>-1.8504435994930291E-2</v>
      </c>
      <c r="F123" s="91">
        <f>IF(F113="","",(F113-'2018'!F227)/'2018'!F227)</f>
        <v>-1.2111137497031584E-2</v>
      </c>
      <c r="G123" s="91" t="str">
        <f>IF(G113="","",(G113-'2014'!#REF!)/'2014'!#REF!)</f>
        <v/>
      </c>
      <c r="H123" s="91" t="str">
        <f>IF(H113="","",(H113-'2014'!#REF!)/'2014'!#REF!)</f>
        <v/>
      </c>
      <c r="I123" s="91" t="str">
        <f>IF(I113="","",(I113-'2014'!#REF!)/'2014'!#REF!)</f>
        <v/>
      </c>
      <c r="J123" s="87"/>
      <c r="K123" s="87"/>
      <c r="L123" s="87"/>
      <c r="M123" s="87" t="str">
        <f>IF(G123="","",M113-((1/'Proto 2013'!#REF!)*1000000))</f>
        <v/>
      </c>
      <c r="N123" s="87" t="str">
        <f>IF(H123="","",N113-((1/'Proto 2013'!#REF!)*1000000))</f>
        <v/>
      </c>
      <c r="O123" s="88" t="str">
        <f>IF(I123="","",O113-((1/'Proto 2013'!#REF!)*1000000))</f>
        <v/>
      </c>
    </row>
    <row r="124" spans="1:15" x14ac:dyDescent="0.25">
      <c r="A124" s="81" t="s">
        <v>13</v>
      </c>
      <c r="B124" s="82" t="s">
        <v>14</v>
      </c>
      <c r="C124" s="82" t="s">
        <v>10</v>
      </c>
      <c r="D124" s="91">
        <f>IF(D114="","",(D114-'2018'!D228)/'2018'!D228)</f>
        <v>6.3116318524016543E-2</v>
      </c>
      <c r="E124" s="91">
        <f>IF(E114="","",(E114-'2018'!E228)/'2018'!E228)</f>
        <v>-4.3124491456468676E-2</v>
      </c>
      <c r="F124" s="91">
        <f>IF(F114="","",(F114-'2018'!F228)/'2018'!F228)</f>
        <v>4.1019154318756773E-2</v>
      </c>
      <c r="G124" s="91" t="str">
        <f>IF(G114="","",(G114-'2014'!#REF!)/'2014'!#REF!)</f>
        <v/>
      </c>
      <c r="H124" s="91" t="str">
        <f>IF(H114="","",(H114-'2014'!#REF!)/'2014'!#REF!)</f>
        <v/>
      </c>
      <c r="I124" s="91" t="str">
        <f>IF(I114="","",(I114-'2014'!#REF!)/'2014'!#REF!)</f>
        <v/>
      </c>
      <c r="J124" s="87"/>
      <c r="K124" s="87"/>
      <c r="L124" s="87"/>
      <c r="M124" s="87" t="str">
        <f>IF(G124="","",M114-((1/'Proto 2013'!#REF!)*1000000))</f>
        <v/>
      </c>
      <c r="N124" s="87" t="str">
        <f>IF(H124="","",N114-((1/'Proto 2013'!#REF!)*1000000))</f>
        <v/>
      </c>
      <c r="O124" s="88" t="str">
        <f>IF(I124="","",O114-((1/'Proto 2013'!#REF!)*1000000))</f>
        <v/>
      </c>
    </row>
    <row r="125" spans="1:15" x14ac:dyDescent="0.25">
      <c r="A125" s="81" t="s">
        <v>15</v>
      </c>
      <c r="B125" s="82" t="s">
        <v>14</v>
      </c>
      <c r="C125" s="82" t="s">
        <v>12</v>
      </c>
      <c r="D125" s="91">
        <f>IF(D115="","",(D115-'2018'!D229)/'2018'!D229)</f>
        <v>-7.6463810621137523E-2</v>
      </c>
      <c r="E125" s="91">
        <f>IF(E115="","",(E115-'2018'!E229)/'2018'!E229)</f>
        <v>-1.9930313588850175E-2</v>
      </c>
      <c r="F125" s="91">
        <f>IF(F115="","",(F115-'2018'!F229)/'2018'!F229)</f>
        <v>1.9014461703267274E-2</v>
      </c>
      <c r="G125" s="91" t="str">
        <f>IF(G115="","",(G115-'2014'!#REF!)/'2014'!#REF!)</f>
        <v/>
      </c>
      <c r="H125" s="91" t="str">
        <f>IF(H115="","",(H115-'2014'!#REF!)/'2014'!#REF!)</f>
        <v/>
      </c>
      <c r="I125" s="91" t="str">
        <f>IF(I115="","",(I115-'2014'!#REF!)/'2014'!#REF!)</f>
        <v/>
      </c>
      <c r="J125" s="87"/>
      <c r="K125" s="87"/>
      <c r="L125" s="87"/>
      <c r="M125" s="87" t="str">
        <f>IF(G125="","",M115-((1/'Proto 2013'!#REF!)*1000000))</f>
        <v/>
      </c>
      <c r="N125" s="87" t="str">
        <f>IF(H125="","",N115-((1/'Proto 2013'!#REF!)*1000000))</f>
        <v/>
      </c>
      <c r="O125" s="88" t="str">
        <f>IF(I125="","",O115-((1/'Proto 2013'!#REF!)*1000000))</f>
        <v/>
      </c>
    </row>
    <row r="126" spans="1:15" x14ac:dyDescent="0.25">
      <c r="A126" s="81" t="s">
        <v>16</v>
      </c>
      <c r="B126" s="82" t="s">
        <v>17</v>
      </c>
      <c r="C126" s="82" t="s">
        <v>12</v>
      </c>
      <c r="D126" s="91">
        <f>IF(D116="","",(D116-'2018'!D230)/'2018'!D230)</f>
        <v>-7.9944865609924184E-2</v>
      </c>
      <c r="E126" s="91">
        <f>IF(E116="","",(E116-'2018'!E230)/'2018'!E230)</f>
        <v>-5.9056271981242671E-2</v>
      </c>
      <c r="F126" s="91">
        <f>IF(F116="","",(F116-'2018'!F230)/'2018'!F230)</f>
        <v>-4.5385779122541603E-2</v>
      </c>
      <c r="G126" s="91" t="str">
        <f>IF(G116="","",(G116-'2014'!#REF!)/'2014'!#REF!)</f>
        <v/>
      </c>
      <c r="H126" s="91" t="str">
        <f>IF(H116="","",(H116-'2014'!#REF!)/'2014'!#REF!)</f>
        <v/>
      </c>
      <c r="I126" s="91" t="str">
        <f>IF(I116="","",(I116-'2014'!#REF!)/'2014'!#REF!)</f>
        <v/>
      </c>
      <c r="J126" s="87"/>
      <c r="K126" s="87"/>
      <c r="L126" s="87"/>
      <c r="M126" s="87" t="str">
        <f>IF(G126="","",M116-((1/'Proto 2013'!#REF!)*1000000))</f>
        <v/>
      </c>
      <c r="N126" s="87" t="str">
        <f>IF(H126="","",N116-((1/'Proto 2013'!#REF!)*1000000))</f>
        <v/>
      </c>
      <c r="O126" s="88" t="str">
        <f>IF(I126="","",O116-((1/'Proto 2013'!#REF!)*1000000))</f>
        <v/>
      </c>
    </row>
    <row r="127" spans="1:15" ht="15.75" thickBot="1" x14ac:dyDescent="0.3">
      <c r="A127" s="92" t="s">
        <v>18</v>
      </c>
      <c r="B127" s="93" t="s">
        <v>19</v>
      </c>
      <c r="C127" s="93" t="s">
        <v>12</v>
      </c>
      <c r="D127" s="91">
        <f>IF(D117="","",(D117-'2018'!D231)/'2018'!D231)</f>
        <v>-5.3415268258095012E-2</v>
      </c>
      <c r="E127" s="91">
        <f>IF(E117="","",(E117-'2018'!E231)/'2018'!E231)</f>
        <v>8.6700474398822176E-3</v>
      </c>
      <c r="F127" s="91">
        <f>IF(F117="","",(F117-'2018'!F231)/'2018'!F231)</f>
        <v>1.3658275307980718E-2</v>
      </c>
      <c r="G127" s="94" t="str">
        <f>IF(G117="","",(G117-'2014'!#REF!)/'2014'!#REF!)</f>
        <v/>
      </c>
      <c r="H127" s="94" t="str">
        <f>IF(H117="","",(H117-'2014'!#REF!)/'2014'!#REF!)</f>
        <v/>
      </c>
      <c r="I127" s="94" t="str">
        <f>IF(I117="","",(I117-'2014'!#REF!)/'2014'!#REF!)</f>
        <v/>
      </c>
      <c r="J127" s="95"/>
      <c r="K127" s="95"/>
      <c r="L127" s="95"/>
      <c r="M127" s="95" t="str">
        <f>IF(G127="","",M117-((1/'Proto 2013'!#REF!)*1000000))</f>
        <v/>
      </c>
      <c r="N127" s="95" t="str">
        <f>IF(H127="","",N117-((1/'Proto 2013'!#REF!)*1000000))</f>
        <v/>
      </c>
      <c r="O127" s="96" t="str">
        <f>IF(I127="","",O117-((1/'Proto 2013'!#REF!)*1000000))</f>
        <v/>
      </c>
    </row>
    <row r="128" spans="1:15" ht="15.75" thickBot="1" x14ac:dyDescent="0.3"/>
    <row r="129" spans="1:15" ht="18.75" x14ac:dyDescent="0.25">
      <c r="A129" s="162" t="s">
        <v>191</v>
      </c>
      <c r="B129" s="163"/>
      <c r="C129" s="163"/>
      <c r="D129" s="163"/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4"/>
    </row>
    <row r="130" spans="1:15" ht="15.75" x14ac:dyDescent="0.25">
      <c r="A130" s="165" t="s">
        <v>214</v>
      </c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66"/>
    </row>
    <row r="131" spans="1:15" x14ac:dyDescent="0.25">
      <c r="A131" s="185" t="s">
        <v>2</v>
      </c>
      <c r="B131" s="186"/>
      <c r="C131" s="187"/>
      <c r="D131" s="192" t="s">
        <v>3</v>
      </c>
      <c r="E131" s="193"/>
      <c r="F131" s="193"/>
      <c r="G131" s="193"/>
      <c r="H131" s="193"/>
      <c r="I131" s="194"/>
      <c r="J131" s="188" t="s">
        <v>4</v>
      </c>
      <c r="K131" s="189"/>
      <c r="L131" s="189"/>
      <c r="M131" s="189"/>
      <c r="N131" s="189"/>
      <c r="O131" s="191"/>
    </row>
    <row r="132" spans="1:15" x14ac:dyDescent="0.25">
      <c r="A132" s="76" t="s">
        <v>5</v>
      </c>
      <c r="B132" s="77" t="s">
        <v>6</v>
      </c>
      <c r="C132" s="77" t="s">
        <v>7</v>
      </c>
      <c r="D132" s="78">
        <v>1</v>
      </c>
      <c r="E132" s="78">
        <v>4</v>
      </c>
      <c r="F132" s="78">
        <v>16</v>
      </c>
      <c r="G132" s="79">
        <v>32</v>
      </c>
      <c r="H132" s="79">
        <v>64</v>
      </c>
      <c r="I132" s="79">
        <v>80</v>
      </c>
      <c r="J132" s="79">
        <v>1</v>
      </c>
      <c r="K132" s="79">
        <v>4</v>
      </c>
      <c r="L132" s="79">
        <v>16</v>
      </c>
      <c r="M132" s="79">
        <v>32</v>
      </c>
      <c r="N132" s="79">
        <v>64</v>
      </c>
      <c r="O132" s="80">
        <v>80</v>
      </c>
    </row>
    <row r="133" spans="1:15" x14ac:dyDescent="0.25">
      <c r="A133" s="37" t="s">
        <v>8</v>
      </c>
      <c r="B133" s="82" t="s">
        <v>9</v>
      </c>
      <c r="C133" s="83" t="s">
        <v>10</v>
      </c>
      <c r="D133" s="99">
        <v>25857</v>
      </c>
      <c r="E133" s="99">
        <v>20579</v>
      </c>
      <c r="F133" s="99">
        <v>6292</v>
      </c>
      <c r="G133" s="85"/>
      <c r="H133" s="86"/>
      <c r="I133" s="86"/>
      <c r="J133" s="87">
        <f t="shared" ref="J133:J138" si="32">IF(D133="","",(1/D133)*1000000)</f>
        <v>38.674246819043198</v>
      </c>
      <c r="K133" s="87">
        <f t="shared" ref="K133:K135" si="33">IF(E133="","",(1/E133)*1000000)</f>
        <v>48.593226104281065</v>
      </c>
      <c r="L133" s="87">
        <f t="shared" ref="L133:L138" si="34">IF(F133="","",(1/F133)*1000000)</f>
        <v>158.93197711379528</v>
      </c>
      <c r="M133" s="87" t="str">
        <f t="shared" ref="M133:M138" si="35">IF(G133="","",(1/G133)*1000000)</f>
        <v/>
      </c>
      <c r="N133" s="87" t="str">
        <f t="shared" ref="N133:N138" si="36">IF(H133="","",(1/H133)*1000000)</f>
        <v/>
      </c>
      <c r="O133" s="88" t="str">
        <f t="shared" ref="O133:O138" si="37">IF(I133="","",(1/I133)*1000000)</f>
        <v/>
      </c>
    </row>
    <row r="134" spans="1:15" x14ac:dyDescent="0.25">
      <c r="A134" s="81" t="s">
        <v>11</v>
      </c>
      <c r="B134" s="82" t="s">
        <v>9</v>
      </c>
      <c r="C134" s="83" t="s">
        <v>12</v>
      </c>
      <c r="D134" s="99">
        <v>9693</v>
      </c>
      <c r="E134" s="99">
        <v>7567</v>
      </c>
      <c r="F134" s="99">
        <v>4113</v>
      </c>
      <c r="G134" s="85"/>
      <c r="H134" s="86"/>
      <c r="I134" s="86"/>
      <c r="J134" s="87">
        <f t="shared" si="32"/>
        <v>103.16723408645414</v>
      </c>
      <c r="K134" s="87">
        <f t="shared" si="33"/>
        <v>132.15276860050218</v>
      </c>
      <c r="L134" s="87">
        <f t="shared" si="34"/>
        <v>243.13153415998053</v>
      </c>
      <c r="M134" s="87" t="str">
        <f t="shared" si="35"/>
        <v/>
      </c>
      <c r="N134" s="87" t="str">
        <f t="shared" si="36"/>
        <v/>
      </c>
      <c r="O134" s="88" t="str">
        <f t="shared" si="37"/>
        <v/>
      </c>
    </row>
    <row r="135" spans="1:15" x14ac:dyDescent="0.25">
      <c r="A135" s="81" t="s">
        <v>13</v>
      </c>
      <c r="B135" s="82" t="s">
        <v>14</v>
      </c>
      <c r="C135" s="83" t="s">
        <v>10</v>
      </c>
      <c r="D135" s="100">
        <v>38767</v>
      </c>
      <c r="E135" s="99">
        <v>16057</v>
      </c>
      <c r="F135" s="99">
        <v>5378</v>
      </c>
      <c r="G135" s="85"/>
      <c r="H135" s="86"/>
      <c r="I135" s="86"/>
      <c r="J135" s="87">
        <f t="shared" si="32"/>
        <v>25.795135037531921</v>
      </c>
      <c r="K135" s="87">
        <f t="shared" si="33"/>
        <v>62.278134147100957</v>
      </c>
      <c r="L135" s="87">
        <f t="shared" si="34"/>
        <v>185.94272963927111</v>
      </c>
      <c r="M135" s="87" t="str">
        <f t="shared" si="35"/>
        <v/>
      </c>
      <c r="N135" s="87" t="str">
        <f t="shared" si="36"/>
        <v/>
      </c>
      <c r="O135" s="88" t="str">
        <f t="shared" si="37"/>
        <v/>
      </c>
    </row>
    <row r="136" spans="1:15" x14ac:dyDescent="0.25">
      <c r="A136" s="81" t="s">
        <v>15</v>
      </c>
      <c r="B136" s="82" t="s">
        <v>14</v>
      </c>
      <c r="C136" s="83" t="s">
        <v>12</v>
      </c>
      <c r="D136" s="99">
        <v>9246</v>
      </c>
      <c r="E136" s="102">
        <v>6921</v>
      </c>
      <c r="F136" s="99">
        <v>3555</v>
      </c>
      <c r="G136" s="85"/>
      <c r="H136" s="86"/>
      <c r="I136" s="86"/>
      <c r="J136" s="87">
        <f t="shared" si="32"/>
        <v>108.15487778498812</v>
      </c>
      <c r="K136" s="87"/>
      <c r="L136" s="87">
        <f t="shared" si="34"/>
        <v>281.29395218002816</v>
      </c>
      <c r="M136" s="87" t="str">
        <f t="shared" si="35"/>
        <v/>
      </c>
      <c r="N136" s="87" t="str">
        <f t="shared" si="36"/>
        <v/>
      </c>
      <c r="O136" s="88" t="str">
        <f t="shared" si="37"/>
        <v/>
      </c>
    </row>
    <row r="137" spans="1:15" x14ac:dyDescent="0.25">
      <c r="A137" s="81" t="s">
        <v>16</v>
      </c>
      <c r="B137" s="82" t="s">
        <v>17</v>
      </c>
      <c r="C137" s="83" t="s">
        <v>12</v>
      </c>
      <c r="D137" s="99">
        <v>8254</v>
      </c>
      <c r="E137" s="99">
        <v>6144</v>
      </c>
      <c r="F137" s="99">
        <v>3829</v>
      </c>
      <c r="G137" s="85"/>
      <c r="H137" s="86"/>
      <c r="I137" s="86"/>
      <c r="J137" s="87">
        <f t="shared" si="32"/>
        <v>121.15338017930701</v>
      </c>
      <c r="K137" s="87">
        <f>IF(E137="","",(1/E137)*1000000)</f>
        <v>162.76041666666666</v>
      </c>
      <c r="L137" s="87">
        <f t="shared" si="34"/>
        <v>261.16479498563598</v>
      </c>
      <c r="M137" s="87" t="str">
        <f t="shared" si="35"/>
        <v/>
      </c>
      <c r="N137" s="87" t="str">
        <f t="shared" si="36"/>
        <v/>
      </c>
      <c r="O137" s="88" t="str">
        <f t="shared" si="37"/>
        <v/>
      </c>
    </row>
    <row r="138" spans="1:15" x14ac:dyDescent="0.25">
      <c r="A138" s="81" t="s">
        <v>18</v>
      </c>
      <c r="B138" s="82" t="s">
        <v>19</v>
      </c>
      <c r="C138" s="83" t="s">
        <v>12</v>
      </c>
      <c r="D138" s="99">
        <v>8281</v>
      </c>
      <c r="E138" s="99">
        <v>6447</v>
      </c>
      <c r="F138" s="99">
        <v>3782</v>
      </c>
      <c r="G138" s="85"/>
      <c r="H138" s="86"/>
      <c r="I138" s="86"/>
      <c r="J138" s="87">
        <f t="shared" si="32"/>
        <v>120.75836251660427</v>
      </c>
      <c r="K138" s="87">
        <f>IF(E138="","",(1/E138)*1000000)</f>
        <v>155.11090429657204</v>
      </c>
      <c r="L138" s="87">
        <f t="shared" si="34"/>
        <v>264.41036488630357</v>
      </c>
      <c r="M138" s="87" t="str">
        <f t="shared" si="35"/>
        <v/>
      </c>
      <c r="N138" s="87" t="str">
        <f t="shared" si="36"/>
        <v/>
      </c>
      <c r="O138" s="88" t="str">
        <f t="shared" si="37"/>
        <v/>
      </c>
    </row>
    <row r="139" spans="1:15" x14ac:dyDescent="0.25">
      <c r="A139" s="156" t="s">
        <v>216</v>
      </c>
      <c r="B139" s="157"/>
      <c r="C139" s="157"/>
      <c r="D139" s="157"/>
      <c r="E139" s="157"/>
      <c r="F139" s="157"/>
      <c r="G139" s="130" t="s">
        <v>215</v>
      </c>
      <c r="H139" s="130"/>
      <c r="I139" s="130"/>
      <c r="J139" s="21"/>
      <c r="K139" s="21"/>
      <c r="L139" s="21"/>
      <c r="M139" s="157" t="s">
        <v>172</v>
      </c>
      <c r="N139" s="157"/>
      <c r="O139" s="90"/>
    </row>
    <row r="140" spans="1:15" ht="18.75" x14ac:dyDescent="0.3">
      <c r="A140" s="158" t="s">
        <v>186</v>
      </c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59"/>
    </row>
    <row r="141" spans="1:15" x14ac:dyDescent="0.25">
      <c r="A141" s="185" t="s">
        <v>2</v>
      </c>
      <c r="B141" s="186"/>
      <c r="C141" s="187"/>
      <c r="D141" s="188" t="s">
        <v>20</v>
      </c>
      <c r="E141" s="189"/>
      <c r="F141" s="189"/>
      <c r="G141" s="189"/>
      <c r="H141" s="189"/>
      <c r="I141" s="190"/>
      <c r="J141" s="188" t="s">
        <v>23</v>
      </c>
      <c r="K141" s="189"/>
      <c r="L141" s="189"/>
      <c r="M141" s="189"/>
      <c r="N141" s="189"/>
      <c r="O141" s="191"/>
    </row>
    <row r="142" spans="1:15" x14ac:dyDescent="0.25">
      <c r="A142" s="76" t="s">
        <v>5</v>
      </c>
      <c r="B142" s="77" t="s">
        <v>6</v>
      </c>
      <c r="C142" s="77" t="s">
        <v>7</v>
      </c>
      <c r="D142" s="79">
        <v>1</v>
      </c>
      <c r="E142" s="79">
        <v>4</v>
      </c>
      <c r="F142" s="79">
        <v>16</v>
      </c>
      <c r="G142" s="79">
        <v>32</v>
      </c>
      <c r="H142" s="79">
        <v>64</v>
      </c>
      <c r="I142" s="79">
        <v>80</v>
      </c>
      <c r="J142" s="79">
        <v>1</v>
      </c>
      <c r="K142" s="79">
        <v>4</v>
      </c>
      <c r="L142" s="79">
        <v>16</v>
      </c>
      <c r="M142" s="79">
        <v>32</v>
      </c>
      <c r="N142" s="79">
        <v>64</v>
      </c>
      <c r="O142" s="80">
        <v>80</v>
      </c>
    </row>
    <row r="143" spans="1:15" x14ac:dyDescent="0.25">
      <c r="A143" s="81" t="s">
        <v>8</v>
      </c>
      <c r="B143" s="82" t="s">
        <v>9</v>
      </c>
      <c r="C143" s="82" t="s">
        <v>10</v>
      </c>
      <c r="D143" s="91">
        <f>IF(D133="","",(D133-'2018'!D226)/'2018'!D226)</f>
        <v>-0.39091208894751722</v>
      </c>
      <c r="E143" s="91">
        <f>IF(E133="","",(E133-'2018'!E226)/'2018'!E226)</f>
        <v>2.4136558176570122E-2</v>
      </c>
      <c r="F143" s="91">
        <f>IF(F133="","",(F133-'2018'!F226)/'2018'!F226)</f>
        <v>4.8142595368982175E-2</v>
      </c>
      <c r="G143" s="91" t="str">
        <f>IF(G133="","",(G133-'2014'!#REF!)/'2014'!#REF!)</f>
        <v/>
      </c>
      <c r="H143" s="91" t="str">
        <f>IF(H133="","",(H133-'2014'!#REF!)/'2014'!#REF!)</f>
        <v/>
      </c>
      <c r="I143" s="87" t="str">
        <f>IF(I133="","",(I133-'2014'!#REF!)/'2014'!#REF!)</f>
        <v/>
      </c>
      <c r="J143" s="87"/>
      <c r="K143" s="87"/>
      <c r="L143" s="87"/>
      <c r="M143" s="87" t="str">
        <f>IF(G143="","",M133-((1/'Proto 2013'!#REF!)*1000000))</f>
        <v/>
      </c>
      <c r="N143" s="87" t="str">
        <f>IF(H143="","",N133-((1/'Proto 2013'!#REF!)*1000000))</f>
        <v/>
      </c>
      <c r="O143" s="88" t="str">
        <f>IF(I143="","",O133-((1/'Proto 2013'!#REF!)*1000000))</f>
        <v/>
      </c>
    </row>
    <row r="144" spans="1:15" x14ac:dyDescent="0.25">
      <c r="A144" s="81" t="s">
        <v>11</v>
      </c>
      <c r="B144" s="82" t="s">
        <v>9</v>
      </c>
      <c r="C144" s="82" t="s">
        <v>12</v>
      </c>
      <c r="D144" s="91">
        <f>IF(D134="","",(D134-'2018'!D227)/'2018'!D227)</f>
        <v>-4.8306332842415318E-2</v>
      </c>
      <c r="E144" s="91">
        <f>IF(E134="","",(E134-'2018'!E227)/'2018'!E227)</f>
        <v>-4.0937896070975921E-2</v>
      </c>
      <c r="F144" s="91">
        <f>IF(F134="","",(F134-'2018'!F227)/'2018'!F227)</f>
        <v>-2.3272381857041082E-2</v>
      </c>
      <c r="G144" s="91" t="str">
        <f>IF(G134="","",(G134-'2014'!#REF!)/'2014'!#REF!)</f>
        <v/>
      </c>
      <c r="H144" s="91" t="str">
        <f>IF(H134="","",(H134-'2014'!#REF!)/'2014'!#REF!)</f>
        <v/>
      </c>
      <c r="I144" s="91" t="str">
        <f>IF(I134="","",(I134-'2014'!#REF!)/'2014'!#REF!)</f>
        <v/>
      </c>
      <c r="J144" s="87"/>
      <c r="K144" s="87"/>
      <c r="L144" s="87"/>
      <c r="M144" s="87" t="str">
        <f>IF(G144="","",M134-((1/'Proto 2013'!#REF!)*1000000))</f>
        <v/>
      </c>
      <c r="N144" s="87" t="str">
        <f>IF(H144="","",N134-((1/'Proto 2013'!#REF!)*1000000))</f>
        <v/>
      </c>
      <c r="O144" s="88" t="str">
        <f>IF(I144="","",O134-((1/'Proto 2013'!#REF!)*1000000))</f>
        <v/>
      </c>
    </row>
    <row r="145" spans="1:15" x14ac:dyDescent="0.25">
      <c r="A145" s="81" t="s">
        <v>13</v>
      </c>
      <c r="B145" s="82" t="s">
        <v>14</v>
      </c>
      <c r="C145" s="82" t="s">
        <v>10</v>
      </c>
      <c r="D145" s="91">
        <f>IF(D135="","",(D135-'2018'!D228)/'2018'!D228)</f>
        <v>2.7648181529000105E-2</v>
      </c>
      <c r="E145" s="91">
        <f>IF(E135="","",(E135-'2018'!E228)/'2018'!E228)</f>
        <v>5.0071978469049261E-3</v>
      </c>
      <c r="F145" s="91">
        <f>IF(F135="","",(F135-'2018'!F228)/'2018'!F228)</f>
        <v>-2.8189374774123598E-2</v>
      </c>
      <c r="G145" s="91" t="str">
        <f>IF(G135="","",(G135-'2014'!#REF!)/'2014'!#REF!)</f>
        <v/>
      </c>
      <c r="H145" s="91" t="str">
        <f>IF(H135="","",(H135-'2014'!#REF!)/'2014'!#REF!)</f>
        <v/>
      </c>
      <c r="I145" s="91" t="str">
        <f>IF(I135="","",(I135-'2014'!#REF!)/'2014'!#REF!)</f>
        <v/>
      </c>
      <c r="J145" s="87"/>
      <c r="K145" s="87"/>
      <c r="L145" s="87"/>
      <c r="M145" s="87" t="str">
        <f>IF(G145="","",M135-((1/'Proto 2013'!#REF!)*1000000))</f>
        <v/>
      </c>
      <c r="N145" s="87" t="str">
        <f>IF(H145="","",N135-((1/'Proto 2013'!#REF!)*1000000))</f>
        <v/>
      </c>
      <c r="O145" s="88" t="str">
        <f>IF(I145="","",O135-((1/'Proto 2013'!#REF!)*1000000))</f>
        <v/>
      </c>
    </row>
    <row r="146" spans="1:15" x14ac:dyDescent="0.25">
      <c r="A146" s="81" t="s">
        <v>15</v>
      </c>
      <c r="B146" s="82" t="s">
        <v>14</v>
      </c>
      <c r="C146" s="82" t="s">
        <v>12</v>
      </c>
      <c r="D146" s="91">
        <f>IF(D136="","",(D136-'2018'!D229)/'2018'!D229)</f>
        <v>-3.1528228762962185E-2</v>
      </c>
      <c r="E146" s="91">
        <f>IF(E136="","",(E136-'2018'!E229)/'2018'!E229)</f>
        <v>-3.54006968641115E-2</v>
      </c>
      <c r="F146" s="91">
        <f>IF(F136="","",(F136-'2018'!F229)/'2018'!F229)</f>
        <v>-4.7937868237814679E-2</v>
      </c>
      <c r="G146" s="91" t="str">
        <f>IF(G136="","",(G136-'2014'!#REF!)/'2014'!#REF!)</f>
        <v/>
      </c>
      <c r="H146" s="91" t="str">
        <f>IF(H136="","",(H136-'2014'!#REF!)/'2014'!#REF!)</f>
        <v/>
      </c>
      <c r="I146" s="91" t="str">
        <f>IF(I136="","",(I136-'2014'!#REF!)/'2014'!#REF!)</f>
        <v/>
      </c>
      <c r="J146" s="87"/>
      <c r="K146" s="87"/>
      <c r="L146" s="87"/>
      <c r="M146" s="87" t="str">
        <f>IF(G146="","",M136-((1/'Proto 2013'!#REF!)*1000000))</f>
        <v/>
      </c>
      <c r="N146" s="87" t="str">
        <f>IF(H146="","",N136-((1/'Proto 2013'!#REF!)*1000000))</f>
        <v/>
      </c>
      <c r="O146" s="88" t="str">
        <f>IF(I146="","",O136-((1/'Proto 2013'!#REF!)*1000000))</f>
        <v/>
      </c>
    </row>
    <row r="147" spans="1:15" x14ac:dyDescent="0.25">
      <c r="A147" s="81" t="s">
        <v>16</v>
      </c>
      <c r="B147" s="82" t="s">
        <v>17</v>
      </c>
      <c r="C147" s="82" t="s">
        <v>12</v>
      </c>
      <c r="D147" s="91">
        <f>IF(D137="","",(D137-'2018'!D230)/'2018'!D230)</f>
        <v>-5.1918217321387551E-2</v>
      </c>
      <c r="E147" s="91">
        <f>IF(E137="","",(E137-'2018'!E230)/'2018'!E230)</f>
        <v>-9.9648300117233288E-2</v>
      </c>
      <c r="F147" s="91">
        <f>IF(F137="","",(F137-'2018'!F230)/'2018'!F230)</f>
        <v>-3.4543620776601107E-2</v>
      </c>
      <c r="G147" s="91" t="str">
        <f>IF(G137="","",(G137-'2014'!#REF!)/'2014'!#REF!)</f>
        <v/>
      </c>
      <c r="H147" s="91" t="str">
        <f>IF(H137="","",(H137-'2014'!#REF!)/'2014'!#REF!)</f>
        <v/>
      </c>
      <c r="I147" s="91" t="str">
        <f>IF(I137="","",(I137-'2014'!#REF!)/'2014'!#REF!)</f>
        <v/>
      </c>
      <c r="J147" s="87"/>
      <c r="K147" s="87"/>
      <c r="L147" s="87"/>
      <c r="M147" s="87" t="str">
        <f>IF(G147="","",M137-((1/'Proto 2013'!#REF!)*1000000))</f>
        <v/>
      </c>
      <c r="N147" s="87" t="str">
        <f>IF(H147="","",N137-((1/'Proto 2013'!#REF!)*1000000))</f>
        <v/>
      </c>
      <c r="O147" s="88" t="str">
        <f>IF(I147="","",O137-((1/'Proto 2013'!#REF!)*1000000))</f>
        <v/>
      </c>
    </row>
    <row r="148" spans="1:15" ht="15.75" thickBot="1" x14ac:dyDescent="0.3">
      <c r="A148" s="92" t="s">
        <v>18</v>
      </c>
      <c r="B148" s="93" t="s">
        <v>19</v>
      </c>
      <c r="C148" s="93" t="s">
        <v>12</v>
      </c>
      <c r="D148" s="91">
        <f>IF(D138="","",(D138-'2018'!D231)/'2018'!D231)</f>
        <v>-2.1389742377688491E-2</v>
      </c>
      <c r="E148" s="91">
        <f>IF(E138="","",(E138-'2018'!E231)/'2018'!E231)</f>
        <v>5.4637657451333227E-2</v>
      </c>
      <c r="F148" s="91">
        <f>IF(F138="","",(F138-'2018'!F231)/'2018'!F231)</f>
        <v>1.2854847348687734E-2</v>
      </c>
      <c r="G148" s="94" t="str">
        <f>IF(G138="","",(G138-'2014'!#REF!)/'2014'!#REF!)</f>
        <v/>
      </c>
      <c r="H148" s="94" t="str">
        <f>IF(H138="","",(H138-'2014'!#REF!)/'2014'!#REF!)</f>
        <v/>
      </c>
      <c r="I148" s="94" t="str">
        <f>IF(I138="","",(I138-'2014'!#REF!)/'2014'!#REF!)</f>
        <v/>
      </c>
      <c r="J148" s="95"/>
      <c r="K148" s="95"/>
      <c r="L148" s="95"/>
      <c r="M148" s="95" t="str">
        <f>IF(G148="","",M138-((1/'Proto 2013'!#REF!)*1000000))</f>
        <v/>
      </c>
      <c r="N148" s="95" t="str">
        <f>IF(H148="","",N138-((1/'Proto 2013'!#REF!)*1000000))</f>
        <v/>
      </c>
      <c r="O148" s="96" t="str">
        <f>IF(I148="","",O138-((1/'Proto 2013'!#REF!)*1000000))</f>
        <v/>
      </c>
    </row>
    <row r="149" spans="1:15" ht="18.75" x14ac:dyDescent="0.25">
      <c r="A149" s="162" t="s">
        <v>191</v>
      </c>
      <c r="B149" s="163"/>
      <c r="C149" s="163"/>
      <c r="D149" s="163"/>
      <c r="E149" s="163"/>
      <c r="F149" s="163"/>
      <c r="G149" s="163"/>
      <c r="H149" s="163"/>
      <c r="I149" s="163"/>
      <c r="J149" s="163"/>
      <c r="K149" s="163"/>
      <c r="L149" s="163"/>
      <c r="M149" s="163"/>
      <c r="N149" s="163"/>
      <c r="O149" s="164"/>
    </row>
    <row r="150" spans="1:15" ht="15.75" x14ac:dyDescent="0.25">
      <c r="A150" s="165" t="s">
        <v>217</v>
      </c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66"/>
    </row>
    <row r="151" spans="1:15" x14ac:dyDescent="0.25">
      <c r="A151" s="185" t="s">
        <v>2</v>
      </c>
      <c r="B151" s="186"/>
      <c r="C151" s="187"/>
      <c r="D151" s="192" t="s">
        <v>3</v>
      </c>
      <c r="E151" s="193"/>
      <c r="F151" s="193"/>
      <c r="G151" s="193"/>
      <c r="H151" s="193"/>
      <c r="I151" s="194"/>
      <c r="J151" s="188" t="s">
        <v>4</v>
      </c>
      <c r="K151" s="189"/>
      <c r="L151" s="189"/>
      <c r="M151" s="189"/>
      <c r="N151" s="189"/>
      <c r="O151" s="191"/>
    </row>
    <row r="152" spans="1:15" x14ac:dyDescent="0.25">
      <c r="A152" s="76" t="s">
        <v>5</v>
      </c>
      <c r="B152" s="77" t="s">
        <v>6</v>
      </c>
      <c r="C152" s="77" t="s">
        <v>7</v>
      </c>
      <c r="D152" s="78">
        <v>1</v>
      </c>
      <c r="E152" s="78">
        <v>4</v>
      </c>
      <c r="F152" s="78">
        <v>16</v>
      </c>
      <c r="G152" s="79">
        <v>32</v>
      </c>
      <c r="H152" s="79">
        <v>64</v>
      </c>
      <c r="I152" s="79">
        <v>80</v>
      </c>
      <c r="J152" s="79">
        <v>1</v>
      </c>
      <c r="K152" s="79">
        <v>4</v>
      </c>
      <c r="L152" s="79">
        <v>16</v>
      </c>
      <c r="M152" s="79">
        <v>32</v>
      </c>
      <c r="N152" s="79">
        <v>64</v>
      </c>
      <c r="O152" s="80">
        <v>80</v>
      </c>
    </row>
    <row r="153" spans="1:15" x14ac:dyDescent="0.25">
      <c r="A153" s="37" t="s">
        <v>8</v>
      </c>
      <c r="B153" s="82" t="s">
        <v>9</v>
      </c>
      <c r="C153" s="83" t="s">
        <v>10</v>
      </c>
      <c r="D153" s="100">
        <v>42666</v>
      </c>
      <c r="E153" s="100">
        <v>20476</v>
      </c>
      <c r="F153" s="100">
        <v>6335</v>
      </c>
      <c r="G153" s="85"/>
      <c r="H153" s="86"/>
      <c r="I153" s="86"/>
      <c r="J153" s="87">
        <f t="shared" ref="J153:J158" si="38">IF(D153="","",(1/D153)*1000000)</f>
        <v>23.437866216659636</v>
      </c>
      <c r="K153" s="87">
        <f t="shared" ref="K153:K155" si="39">IF(E153="","",(1/E153)*1000000)</f>
        <v>48.837663606173081</v>
      </c>
      <c r="L153" s="87">
        <f t="shared" ref="L153:L158" si="40">IF(F153="","",(1/F153)*1000000)</f>
        <v>157.85319652722967</v>
      </c>
      <c r="M153" s="87" t="str">
        <f t="shared" ref="M153:M158" si="41">IF(G153="","",(1/G153)*1000000)</f>
        <v/>
      </c>
      <c r="N153" s="87" t="str">
        <f t="shared" ref="N153:N158" si="42">IF(H153="","",(1/H153)*1000000)</f>
        <v/>
      </c>
      <c r="O153" s="88" t="str">
        <f t="shared" ref="O153:O158" si="43">IF(I153="","",(1/I153)*1000000)</f>
        <v/>
      </c>
    </row>
    <row r="154" spans="1:15" x14ac:dyDescent="0.25">
      <c r="A154" s="81" t="s">
        <v>11</v>
      </c>
      <c r="B154" s="82" t="s">
        <v>9</v>
      </c>
      <c r="C154" s="83" t="s">
        <v>12</v>
      </c>
      <c r="D154" s="100">
        <v>9708</v>
      </c>
      <c r="E154" s="100">
        <v>7687</v>
      </c>
      <c r="F154" s="100">
        <v>4194</v>
      </c>
      <c r="G154" s="85"/>
      <c r="H154" s="86"/>
      <c r="I154" s="86"/>
      <c r="J154" s="87">
        <f t="shared" si="38"/>
        <v>103.00782859497322</v>
      </c>
      <c r="K154" s="87">
        <f t="shared" si="39"/>
        <v>130.08976193573565</v>
      </c>
      <c r="L154" s="87">
        <f t="shared" si="40"/>
        <v>238.43586075345732</v>
      </c>
      <c r="M154" s="87" t="str">
        <f t="shared" si="41"/>
        <v/>
      </c>
      <c r="N154" s="87" t="str">
        <f t="shared" si="42"/>
        <v/>
      </c>
      <c r="O154" s="88" t="str">
        <f t="shared" si="43"/>
        <v/>
      </c>
    </row>
    <row r="155" spans="1:15" x14ac:dyDescent="0.25">
      <c r="A155" s="81" t="s">
        <v>13</v>
      </c>
      <c r="B155" s="82" t="s">
        <v>14</v>
      </c>
      <c r="C155" s="83" t="s">
        <v>10</v>
      </c>
      <c r="D155" s="100">
        <v>34497</v>
      </c>
      <c r="E155" s="100">
        <v>17888</v>
      </c>
      <c r="F155" s="100">
        <v>5378</v>
      </c>
      <c r="G155" s="85"/>
      <c r="H155" s="86"/>
      <c r="I155" s="86"/>
      <c r="J155" s="87">
        <f t="shared" si="38"/>
        <v>28.988027944458938</v>
      </c>
      <c r="K155" s="87">
        <f t="shared" si="39"/>
        <v>55.903398926654738</v>
      </c>
      <c r="L155" s="87">
        <f t="shared" si="40"/>
        <v>185.94272963927111</v>
      </c>
      <c r="M155" s="87" t="str">
        <f t="shared" si="41"/>
        <v/>
      </c>
      <c r="N155" s="87" t="str">
        <f t="shared" si="42"/>
        <v/>
      </c>
      <c r="O155" s="88" t="str">
        <f t="shared" si="43"/>
        <v/>
      </c>
    </row>
    <row r="156" spans="1:15" x14ac:dyDescent="0.25">
      <c r="A156" s="81" t="s">
        <v>15</v>
      </c>
      <c r="B156" s="82" t="s">
        <v>14</v>
      </c>
      <c r="C156" s="83" t="s">
        <v>12</v>
      </c>
      <c r="D156" s="100">
        <v>9246</v>
      </c>
      <c r="E156" s="100">
        <v>7054</v>
      </c>
      <c r="F156" s="100">
        <v>3829</v>
      </c>
      <c r="G156" s="85"/>
      <c r="H156" s="86"/>
      <c r="I156" s="86"/>
      <c r="J156" s="87">
        <f t="shared" si="38"/>
        <v>108.15487778498812</v>
      </c>
      <c r="K156" s="87"/>
      <c r="L156" s="87">
        <f t="shared" si="40"/>
        <v>261.16479498563598</v>
      </c>
      <c r="M156" s="87" t="str">
        <f t="shared" si="41"/>
        <v/>
      </c>
      <c r="N156" s="87" t="str">
        <f t="shared" si="42"/>
        <v/>
      </c>
      <c r="O156" s="88" t="str">
        <f t="shared" si="43"/>
        <v/>
      </c>
    </row>
    <row r="157" spans="1:15" x14ac:dyDescent="0.25">
      <c r="A157" s="81" t="s">
        <v>16</v>
      </c>
      <c r="B157" s="82" t="s">
        <v>17</v>
      </c>
      <c r="C157" s="83" t="s">
        <v>12</v>
      </c>
      <c r="D157" s="100">
        <v>8309</v>
      </c>
      <c r="E157" s="100">
        <v>6546</v>
      </c>
      <c r="F157" s="100">
        <v>3779</v>
      </c>
      <c r="G157" s="85"/>
      <c r="H157" s="86"/>
      <c r="I157" s="86"/>
      <c r="J157" s="87">
        <f t="shared" si="38"/>
        <v>120.35142616440005</v>
      </c>
      <c r="K157" s="87">
        <f>IF(E157="","",(1/E157)*1000000)</f>
        <v>152.76504735716469</v>
      </c>
      <c r="L157" s="87">
        <f t="shared" si="40"/>
        <v>264.62026991267527</v>
      </c>
      <c r="M157" s="87" t="str">
        <f t="shared" si="41"/>
        <v/>
      </c>
      <c r="N157" s="87" t="str">
        <f t="shared" si="42"/>
        <v/>
      </c>
      <c r="O157" s="88" t="str">
        <f t="shared" si="43"/>
        <v/>
      </c>
    </row>
    <row r="158" spans="1:15" x14ac:dyDescent="0.25">
      <c r="A158" s="81" t="s">
        <v>18</v>
      </c>
      <c r="B158" s="82" t="s">
        <v>19</v>
      </c>
      <c r="C158" s="83" t="s">
        <v>12</v>
      </c>
      <c r="D158" s="100">
        <v>8258</v>
      </c>
      <c r="E158" s="100">
        <v>6343</v>
      </c>
      <c r="F158" s="100">
        <v>3798</v>
      </c>
      <c r="G158" s="85"/>
      <c r="H158" s="86"/>
      <c r="I158" s="86"/>
      <c r="J158" s="87">
        <f t="shared" si="38"/>
        <v>121.0946960523129</v>
      </c>
      <c r="K158" s="87">
        <f>IF(E158="","",(1/E158)*1000000)</f>
        <v>157.65410688948447</v>
      </c>
      <c r="L158" s="87">
        <f t="shared" si="40"/>
        <v>263.29647182727751</v>
      </c>
      <c r="M158" s="87" t="str">
        <f t="shared" si="41"/>
        <v/>
      </c>
      <c r="N158" s="87" t="str">
        <f t="shared" si="42"/>
        <v/>
      </c>
      <c r="O158" s="88" t="str">
        <f t="shared" si="43"/>
        <v/>
      </c>
    </row>
    <row r="159" spans="1:15" x14ac:dyDescent="0.25">
      <c r="A159" s="156" t="s">
        <v>219</v>
      </c>
      <c r="B159" s="157"/>
      <c r="C159" s="157"/>
      <c r="D159" s="157"/>
      <c r="E159" s="157"/>
      <c r="F159" s="157"/>
      <c r="G159" s="130" t="s">
        <v>215</v>
      </c>
      <c r="H159" s="130"/>
      <c r="I159" s="130"/>
      <c r="J159" s="21"/>
      <c r="K159" s="21"/>
      <c r="L159" s="21"/>
      <c r="M159" s="157" t="s">
        <v>172</v>
      </c>
      <c r="N159" s="157"/>
      <c r="O159" s="90"/>
    </row>
    <row r="160" spans="1:15" ht="18.75" x14ac:dyDescent="0.3">
      <c r="A160" s="158" t="s">
        <v>186</v>
      </c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59"/>
    </row>
    <row r="161" spans="1:15" x14ac:dyDescent="0.25">
      <c r="A161" s="185" t="s">
        <v>2</v>
      </c>
      <c r="B161" s="186"/>
      <c r="C161" s="187"/>
      <c r="D161" s="188" t="s">
        <v>20</v>
      </c>
      <c r="E161" s="189"/>
      <c r="F161" s="189"/>
      <c r="G161" s="189"/>
      <c r="H161" s="189"/>
      <c r="I161" s="190"/>
      <c r="J161" s="188" t="s">
        <v>23</v>
      </c>
      <c r="K161" s="189"/>
      <c r="L161" s="189"/>
      <c r="M161" s="189"/>
      <c r="N161" s="189"/>
      <c r="O161" s="191"/>
    </row>
    <row r="162" spans="1:15" x14ac:dyDescent="0.25">
      <c r="A162" s="76" t="s">
        <v>5</v>
      </c>
      <c r="B162" s="77" t="s">
        <v>6</v>
      </c>
      <c r="C162" s="77" t="s">
        <v>7</v>
      </c>
      <c r="D162" s="79">
        <v>1</v>
      </c>
      <c r="E162" s="79">
        <v>4</v>
      </c>
      <c r="F162" s="79">
        <v>16</v>
      </c>
      <c r="G162" s="79">
        <v>32</v>
      </c>
      <c r="H162" s="79">
        <v>64</v>
      </c>
      <c r="I162" s="79">
        <v>80</v>
      </c>
      <c r="J162" s="79">
        <v>1</v>
      </c>
      <c r="K162" s="79">
        <v>4</v>
      </c>
      <c r="L162" s="79">
        <v>16</v>
      </c>
      <c r="M162" s="79">
        <v>32</v>
      </c>
      <c r="N162" s="79">
        <v>64</v>
      </c>
      <c r="O162" s="80">
        <v>80</v>
      </c>
    </row>
    <row r="163" spans="1:15" x14ac:dyDescent="0.25">
      <c r="A163" s="81" t="s">
        <v>8</v>
      </c>
      <c r="B163" s="82" t="s">
        <v>9</v>
      </c>
      <c r="C163" s="82" t="s">
        <v>10</v>
      </c>
      <c r="D163" s="91">
        <f>IF(D153="","",(D153-'2018'!D226)/'2018'!D226)</f>
        <v>5.040987468199378E-3</v>
      </c>
      <c r="E163" s="91">
        <f>IF(E153="","",(E153-'2018'!E226)/'2018'!E226)</f>
        <v>1.901064994525729E-2</v>
      </c>
      <c r="F163" s="91">
        <f>IF(F153="","",(F153-'2018'!F226)/'2018'!F226)</f>
        <v>5.530568049308679E-2</v>
      </c>
      <c r="G163" s="91" t="str">
        <f>IF(G153="","",(G153-'2014'!#REF!)/'2014'!#REF!)</f>
        <v/>
      </c>
      <c r="H163" s="91" t="str">
        <f>IF(H153="","",(H153-'2014'!#REF!)/'2014'!#REF!)</f>
        <v/>
      </c>
      <c r="I163" s="87" t="str">
        <f>IF(I153="","",(I153-'2014'!#REF!)/'2014'!#REF!)</f>
        <v/>
      </c>
      <c r="J163" s="87"/>
      <c r="K163" s="87"/>
      <c r="L163" s="87"/>
      <c r="M163" s="87" t="str">
        <f>IF(G163="","",M153-((1/'Proto 2013'!#REF!)*1000000))</f>
        <v/>
      </c>
      <c r="N163" s="87" t="str">
        <f>IF(H163="","",N153-((1/'Proto 2013'!#REF!)*1000000))</f>
        <v/>
      </c>
      <c r="O163" s="88" t="str">
        <f>IF(I163="","",O153-((1/'Proto 2013'!#REF!)*1000000))</f>
        <v/>
      </c>
    </row>
    <row r="164" spans="1:15" x14ac:dyDescent="0.25">
      <c r="A164" s="81" t="s">
        <v>11</v>
      </c>
      <c r="B164" s="82" t="s">
        <v>9</v>
      </c>
      <c r="C164" s="82" t="s">
        <v>12</v>
      </c>
      <c r="D164" s="91">
        <f>IF(D154="","",(D154-'2018'!D227)/'2018'!D227)</f>
        <v>-4.6833578792341679E-2</v>
      </c>
      <c r="E164" s="91">
        <f>IF(E154="","",(E154-'2018'!E227)/'2018'!E227)</f>
        <v>-2.5728770595690748E-2</v>
      </c>
      <c r="F164" s="91">
        <f>IF(F154="","",(F154-'2018'!F227)/'2018'!F227)</f>
        <v>-4.0370458323438609E-3</v>
      </c>
      <c r="G164" s="91" t="str">
        <f>IF(G154="","",(G154-'2014'!#REF!)/'2014'!#REF!)</f>
        <v/>
      </c>
      <c r="H164" s="91" t="str">
        <f>IF(H154="","",(H154-'2014'!#REF!)/'2014'!#REF!)</f>
        <v/>
      </c>
      <c r="I164" s="91" t="str">
        <f>IF(I154="","",(I154-'2014'!#REF!)/'2014'!#REF!)</f>
        <v/>
      </c>
      <c r="J164" s="87"/>
      <c r="K164" s="87"/>
      <c r="L164" s="87"/>
      <c r="M164" s="87" t="str">
        <f>IF(G164="","",M154-((1/'Proto 2013'!#REF!)*1000000))</f>
        <v/>
      </c>
      <c r="N164" s="87" t="str">
        <f>IF(H164="","",N154-((1/'Proto 2013'!#REF!)*1000000))</f>
        <v/>
      </c>
      <c r="O164" s="88" t="str">
        <f>IF(I164="","",O154-((1/'Proto 2013'!#REF!)*1000000))</f>
        <v/>
      </c>
    </row>
    <row r="165" spans="1:15" x14ac:dyDescent="0.25">
      <c r="A165" s="81" t="s">
        <v>13</v>
      </c>
      <c r="B165" s="82" t="s">
        <v>14</v>
      </c>
      <c r="C165" s="82" t="s">
        <v>10</v>
      </c>
      <c r="D165" s="91">
        <f>IF(D155="","",(D155-'2018'!D228)/'2018'!D228)</f>
        <v>-8.554236030113456E-2</v>
      </c>
      <c r="E165" s="91">
        <f>IF(E155="","",(E155-'2018'!E228)/'2018'!E228)</f>
        <v>0.11960943856794141</v>
      </c>
      <c r="F165" s="91">
        <f>IF(F155="","",(F155-'2018'!F228)/'2018'!F228)</f>
        <v>-2.8189374774123598E-2</v>
      </c>
      <c r="G165" s="91" t="str">
        <f>IF(G155="","",(G155-'2014'!#REF!)/'2014'!#REF!)</f>
        <v/>
      </c>
      <c r="H165" s="91" t="str">
        <f>IF(H155="","",(H155-'2014'!#REF!)/'2014'!#REF!)</f>
        <v/>
      </c>
      <c r="I165" s="91" t="str">
        <f>IF(I155="","",(I155-'2014'!#REF!)/'2014'!#REF!)</f>
        <v/>
      </c>
      <c r="J165" s="87"/>
      <c r="K165" s="87"/>
      <c r="L165" s="87"/>
      <c r="M165" s="87" t="str">
        <f>IF(G165="","",M155-((1/'Proto 2013'!#REF!)*1000000))</f>
        <v/>
      </c>
      <c r="N165" s="87" t="str">
        <f>IF(H165="","",N155-((1/'Proto 2013'!#REF!)*1000000))</f>
        <v/>
      </c>
      <c r="O165" s="88" t="str">
        <f>IF(I165="","",O155-((1/'Proto 2013'!#REF!)*1000000))</f>
        <v/>
      </c>
    </row>
    <row r="166" spans="1:15" x14ac:dyDescent="0.25">
      <c r="A166" s="81" t="s">
        <v>15</v>
      </c>
      <c r="B166" s="82" t="s">
        <v>14</v>
      </c>
      <c r="C166" s="82" t="s">
        <v>12</v>
      </c>
      <c r="D166" s="91">
        <f>IF(D156="","",(D156-'2018'!D229)/'2018'!D229)</f>
        <v>-3.1528228762962185E-2</v>
      </c>
      <c r="E166" s="91">
        <f>IF(E156="","",(E156-'2018'!E229)/'2018'!E229)</f>
        <v>-1.6864111498257839E-2</v>
      </c>
      <c r="F166" s="91">
        <f>IF(F156="","",(F156-'2018'!F229)/'2018'!F229)</f>
        <v>2.5441885377611141E-2</v>
      </c>
      <c r="G166" s="91" t="str">
        <f>IF(G156="","",(G156-'2014'!#REF!)/'2014'!#REF!)</f>
        <v/>
      </c>
      <c r="H166" s="91" t="str">
        <f>IF(H156="","",(H156-'2014'!#REF!)/'2014'!#REF!)</f>
        <v/>
      </c>
      <c r="I166" s="91" t="str">
        <f>IF(I156="","",(I156-'2014'!#REF!)/'2014'!#REF!)</f>
        <v/>
      </c>
      <c r="J166" s="87"/>
      <c r="K166" s="87"/>
      <c r="L166" s="87"/>
      <c r="M166" s="87" t="str">
        <f>IF(G166="","",M156-((1/'Proto 2013'!#REF!)*1000000))</f>
        <v/>
      </c>
      <c r="N166" s="87" t="str">
        <f>IF(H166="","",N156-((1/'Proto 2013'!#REF!)*1000000))</f>
        <v/>
      </c>
      <c r="O166" s="88" t="str">
        <f>IF(I166="","",O156-((1/'Proto 2013'!#REF!)*1000000))</f>
        <v/>
      </c>
    </row>
    <row r="167" spans="1:15" x14ac:dyDescent="0.25">
      <c r="A167" s="81" t="s">
        <v>16</v>
      </c>
      <c r="B167" s="82" t="s">
        <v>17</v>
      </c>
      <c r="C167" s="82" t="s">
        <v>12</v>
      </c>
      <c r="D167" s="91">
        <f>IF(D157="","",(D157-'2018'!D230)/'2018'!D230)</f>
        <v>-4.5600735125201013E-2</v>
      </c>
      <c r="E167" s="91">
        <f>IF(E157="","",(E157-'2018'!E230)/'2018'!E230)</f>
        <v>-4.0738569753810079E-2</v>
      </c>
      <c r="F167" s="91">
        <f>IF(F157="","",(F157-'2018'!F230)/'2018'!F230)</f>
        <v>-4.715078164397378E-2</v>
      </c>
      <c r="G167" s="91" t="str">
        <f>IF(G157="","",(G157-'2014'!#REF!)/'2014'!#REF!)</f>
        <v/>
      </c>
      <c r="H167" s="91" t="str">
        <f>IF(H157="","",(H157-'2014'!#REF!)/'2014'!#REF!)</f>
        <v/>
      </c>
      <c r="I167" s="91" t="str">
        <f>IF(I157="","",(I157-'2014'!#REF!)/'2014'!#REF!)</f>
        <v/>
      </c>
      <c r="J167" s="87"/>
      <c r="K167" s="87"/>
      <c r="L167" s="87"/>
      <c r="M167" s="87" t="str">
        <f>IF(G167="","",M157-((1/'Proto 2013'!#REF!)*1000000))</f>
        <v/>
      </c>
      <c r="N167" s="87" t="str">
        <f>IF(H167="","",N157-((1/'Proto 2013'!#REF!)*1000000))</f>
        <v/>
      </c>
      <c r="O167" s="88" t="str">
        <f>IF(I167="","",O157-((1/'Proto 2013'!#REF!)*1000000))</f>
        <v/>
      </c>
    </row>
    <row r="168" spans="1:15" ht="15.75" thickBot="1" x14ac:dyDescent="0.3">
      <c r="A168" s="92" t="s">
        <v>18</v>
      </c>
      <c r="B168" s="93" t="s">
        <v>19</v>
      </c>
      <c r="C168" s="93" t="s">
        <v>12</v>
      </c>
      <c r="D168" s="91">
        <f>IF(D158="","",(D158-'2018'!D231)/'2018'!D231)</f>
        <v>-2.410777593949421E-2</v>
      </c>
      <c r="E168" s="91">
        <f>IF(E158="","",(E158-'2018'!E231)/'2018'!E231)</f>
        <v>3.7624734173073777E-2</v>
      </c>
      <c r="F168" s="91">
        <f>IF(F158="","",(F158-'2018'!F231)/'2018'!F231)</f>
        <v>1.7139796464916979E-2</v>
      </c>
      <c r="G168" s="94" t="str">
        <f>IF(G158="","",(G158-'2014'!#REF!)/'2014'!#REF!)</f>
        <v/>
      </c>
      <c r="H168" s="94" t="str">
        <f>IF(H158="","",(H158-'2014'!#REF!)/'2014'!#REF!)</f>
        <v/>
      </c>
      <c r="I168" s="94" t="str">
        <f>IF(I158="","",(I158-'2014'!#REF!)/'2014'!#REF!)</f>
        <v/>
      </c>
      <c r="J168" s="95"/>
      <c r="K168" s="95"/>
      <c r="L168" s="95"/>
      <c r="M168" s="95" t="str">
        <f>IF(G168="","",M158-((1/'Proto 2013'!#REF!)*1000000))</f>
        <v/>
      </c>
      <c r="N168" s="95" t="str">
        <f>IF(H168="","",N158-((1/'Proto 2013'!#REF!)*1000000))</f>
        <v/>
      </c>
      <c r="O168" s="96" t="str">
        <f>IF(I168="","",O158-((1/'Proto 2013'!#REF!)*1000000))</f>
        <v/>
      </c>
    </row>
    <row r="169" spans="1:15" ht="18.75" x14ac:dyDescent="0.3">
      <c r="A169" s="158" t="s">
        <v>218</v>
      </c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59"/>
    </row>
    <row r="170" spans="1:15" x14ac:dyDescent="0.25">
      <c r="A170" s="185" t="s">
        <v>2</v>
      </c>
      <c r="B170" s="186"/>
      <c r="C170" s="187"/>
      <c r="D170" s="188" t="s">
        <v>20</v>
      </c>
      <c r="E170" s="189"/>
      <c r="F170" s="189"/>
      <c r="G170" s="189"/>
      <c r="H170" s="189"/>
      <c r="I170" s="190"/>
      <c r="J170" s="188" t="s">
        <v>23</v>
      </c>
      <c r="K170" s="189"/>
      <c r="L170" s="189"/>
      <c r="M170" s="189"/>
      <c r="N170" s="189"/>
      <c r="O170" s="191"/>
    </row>
    <row r="171" spans="1:15" x14ac:dyDescent="0.25">
      <c r="A171" s="76" t="s">
        <v>5</v>
      </c>
      <c r="B171" s="77" t="s">
        <v>6</v>
      </c>
      <c r="C171" s="77" t="s">
        <v>7</v>
      </c>
      <c r="D171" s="79">
        <v>1</v>
      </c>
      <c r="E171" s="79">
        <v>4</v>
      </c>
      <c r="F171" s="79">
        <v>16</v>
      </c>
      <c r="G171" s="79">
        <v>32</v>
      </c>
      <c r="H171" s="79">
        <v>64</v>
      </c>
      <c r="I171" s="79">
        <v>80</v>
      </c>
      <c r="J171" s="79">
        <v>1</v>
      </c>
      <c r="K171" s="79">
        <v>4</v>
      </c>
      <c r="L171" s="79">
        <v>16</v>
      </c>
      <c r="M171" s="79">
        <v>32</v>
      </c>
      <c r="N171" s="79">
        <v>64</v>
      </c>
      <c r="O171" s="80">
        <v>80</v>
      </c>
    </row>
    <row r="172" spans="1:15" x14ac:dyDescent="0.25">
      <c r="A172" s="81" t="s">
        <v>8</v>
      </c>
      <c r="B172" s="82" t="s">
        <v>9</v>
      </c>
      <c r="C172" s="82" t="s">
        <v>10</v>
      </c>
      <c r="D172" s="91">
        <f>IF(D153="","",(D153-'2018'!D270)/'2018'!D270)</f>
        <v>7.8662036708950465E-3</v>
      </c>
      <c r="E172" s="91">
        <f>IF(E153="","",(E153-'2018'!E270)/'2018'!E270)</f>
        <v>0.30853783231083842</v>
      </c>
      <c r="F172" s="91">
        <f>IF(F153="","",(F153-'2018'!F270)/'2018'!F270)</f>
        <v>5.530568049308679E-2</v>
      </c>
      <c r="G172" s="91" t="str">
        <f>IF(G153="","",(G153-'2018'!G270)/'2018'!G270)</f>
        <v/>
      </c>
      <c r="H172" s="91" t="str">
        <f>IF(H153="","",(H153-'2018'!H270)/'2018'!H270)</f>
        <v/>
      </c>
      <c r="I172" s="87" t="e">
        <f>IF(I162="","",(I162-'2014'!#REF!)/'2014'!#REF!)</f>
        <v>#REF!</v>
      </c>
      <c r="J172" s="87"/>
      <c r="K172" s="87"/>
      <c r="L172" s="87"/>
      <c r="M172" s="87" t="str">
        <f>IF(G172="","",M162-((1/'Proto 2013'!#REF!)*1000000))</f>
        <v/>
      </c>
      <c r="N172" s="87" t="str">
        <f>IF(H172="","",N162-((1/'Proto 2013'!#REF!)*1000000))</f>
        <v/>
      </c>
      <c r="O172" s="88" t="e">
        <f>IF(I172="","",O162-((1/'Proto 2013'!#REF!)*1000000))</f>
        <v>#REF!</v>
      </c>
    </row>
    <row r="173" spans="1:15" x14ac:dyDescent="0.25">
      <c r="A173" s="81" t="s">
        <v>11</v>
      </c>
      <c r="B173" s="82" t="s">
        <v>9</v>
      </c>
      <c r="C173" s="82" t="s">
        <v>12</v>
      </c>
      <c r="D173" s="91">
        <f>IF(D154="","",(D154-'2018'!D271)/'2018'!D271)</f>
        <v>9.9875156054931337E-3</v>
      </c>
      <c r="E173" s="91">
        <f>IF(E154="","",(E154-'2018'!E271)/'2018'!E271)</f>
        <v>-3.0765351153700667E-2</v>
      </c>
      <c r="F173" s="91">
        <f>IF(F154="","",(F154-'2018'!F271)/'2018'!F271)</f>
        <v>-1.4104372355430184E-2</v>
      </c>
      <c r="G173" s="91" t="str">
        <f>IF(G163="","",(G163-'2014'!#REF!)/'2014'!#REF!)</f>
        <v/>
      </c>
      <c r="H173" s="91" t="str">
        <f>IF(H163="","",(H163-'2014'!#REF!)/'2014'!#REF!)</f>
        <v/>
      </c>
      <c r="I173" s="91" t="str">
        <f>IF(I163="","",(I163-'2014'!#REF!)/'2014'!#REF!)</f>
        <v/>
      </c>
      <c r="J173" s="87"/>
      <c r="K173" s="87"/>
      <c r="L173" s="87"/>
      <c r="M173" s="87" t="str">
        <f>IF(G173="","",M163-((1/'Proto 2013'!#REF!)*1000000))</f>
        <v/>
      </c>
      <c r="N173" s="87" t="str">
        <f>IF(H173="","",N163-((1/'Proto 2013'!#REF!)*1000000))</f>
        <v/>
      </c>
      <c r="O173" s="88" t="str">
        <f>IF(I173="","",O163-((1/'Proto 2013'!#REF!)*1000000))</f>
        <v/>
      </c>
    </row>
    <row r="174" spans="1:15" x14ac:dyDescent="0.25">
      <c r="A174" s="81" t="s">
        <v>13</v>
      </c>
      <c r="B174" s="82" t="s">
        <v>14</v>
      </c>
      <c r="C174" s="82" t="s">
        <v>10</v>
      </c>
      <c r="D174" s="91">
        <f>IF(D155="","",(D155-'2018'!D272)/'2018'!D272)</f>
        <v>0.305863648408222</v>
      </c>
      <c r="E174" s="91">
        <f>IF(E155="","",(E155-'2018'!E272)/'2018'!E272)</f>
        <v>5.0338385815761511E-4</v>
      </c>
      <c r="F174" s="91">
        <f>IF(F155="","",(F155-'2018'!F272)/'2018'!F272)</f>
        <v>0</v>
      </c>
      <c r="G174" s="91" t="str">
        <f>IF(G164="","",(G164-'2014'!#REF!)/'2014'!#REF!)</f>
        <v/>
      </c>
      <c r="H174" s="91" t="str">
        <f>IF(H164="","",(H164-'2014'!#REF!)/'2014'!#REF!)</f>
        <v/>
      </c>
      <c r="I174" s="91" t="str">
        <f>IF(I164="","",(I164-'2014'!#REF!)/'2014'!#REF!)</f>
        <v/>
      </c>
      <c r="J174" s="87"/>
      <c r="K174" s="87"/>
      <c r="L174" s="87"/>
      <c r="M174" s="87" t="str">
        <f>IF(G174="","",M164-((1/'Proto 2013'!#REF!)*1000000))</f>
        <v/>
      </c>
      <c r="N174" s="87" t="str">
        <f>IF(H174="","",N164-((1/'Proto 2013'!#REF!)*1000000))</f>
        <v/>
      </c>
      <c r="O174" s="88" t="str">
        <f>IF(I174="","",O164-((1/'Proto 2013'!#REF!)*1000000))</f>
        <v/>
      </c>
    </row>
    <row r="175" spans="1:15" x14ac:dyDescent="0.25">
      <c r="A175" s="81" t="s">
        <v>15</v>
      </c>
      <c r="B175" s="82" t="s">
        <v>14</v>
      </c>
      <c r="C175" s="82" t="s">
        <v>12</v>
      </c>
      <c r="D175" s="91">
        <f>IF(D156="","",(D156-'2018'!D273)/'2018'!D273)</f>
        <v>-3.8077403245942575E-2</v>
      </c>
      <c r="E175" s="91">
        <f>IF(E156="","",(E156-'2018'!E273)/'2018'!E273)</f>
        <v>-5.073341407616741E-2</v>
      </c>
      <c r="F175" s="91">
        <f>IF(F156="","",(F156-'2018'!F273)/'2018'!F273)</f>
        <v>-2.8419182948490232E-2</v>
      </c>
      <c r="G175" s="91" t="str">
        <f>IF(G165="","",(G165-'2014'!#REF!)/'2014'!#REF!)</f>
        <v/>
      </c>
      <c r="H175" s="91" t="str">
        <f>IF(H165="","",(H165-'2014'!#REF!)/'2014'!#REF!)</f>
        <v/>
      </c>
      <c r="I175" s="91" t="str">
        <f>IF(I165="","",(I165-'2014'!#REF!)/'2014'!#REF!)</f>
        <v/>
      </c>
      <c r="J175" s="87"/>
      <c r="K175" s="87"/>
      <c r="L175" s="87"/>
      <c r="M175" s="87" t="str">
        <f>IF(G175="","",M165-((1/'Proto 2013'!#REF!)*1000000))</f>
        <v/>
      </c>
      <c r="N175" s="87" t="str">
        <f>IF(H175="","",N165-((1/'Proto 2013'!#REF!)*1000000))</f>
        <v/>
      </c>
      <c r="O175" s="88" t="str">
        <f>IF(I175="","",O165-((1/'Proto 2013'!#REF!)*1000000))</f>
        <v/>
      </c>
    </row>
    <row r="176" spans="1:15" x14ac:dyDescent="0.25">
      <c r="A176" s="81" t="s">
        <v>16</v>
      </c>
      <c r="B176" s="82" t="s">
        <v>17</v>
      </c>
      <c r="C176" s="82" t="s">
        <v>12</v>
      </c>
      <c r="D176" s="91">
        <f>IF(D157="","",(D157-'2018'!D274)/'2018'!D274)</f>
        <v>-1.8428824571766096E-2</v>
      </c>
      <c r="E176" s="91">
        <f>IF(E157="","",(E157-'2018'!E274)/'2018'!E274)</f>
        <v>6.7671485696708701E-3</v>
      </c>
      <c r="F176" s="91">
        <f>IF(F157="","",(F157-'2018'!F274)/'2018'!F274)</f>
        <v>-1.9968879668049791E-2</v>
      </c>
      <c r="G176" s="91" t="str">
        <f>IF(G166="","",(G166-'2014'!#REF!)/'2014'!#REF!)</f>
        <v/>
      </c>
      <c r="H176" s="91" t="str">
        <f>IF(H166="","",(H166-'2014'!#REF!)/'2014'!#REF!)</f>
        <v/>
      </c>
      <c r="I176" s="91" t="str">
        <f>IF(I166="","",(I166-'2014'!#REF!)/'2014'!#REF!)</f>
        <v/>
      </c>
      <c r="J176" s="87"/>
      <c r="K176" s="87"/>
      <c r="L176" s="87"/>
      <c r="M176" s="87" t="str">
        <f>IF(G176="","",M166-((1/'Proto 2013'!#REF!)*1000000))</f>
        <v/>
      </c>
      <c r="N176" s="87" t="str">
        <f>IF(H176="","",N166-((1/'Proto 2013'!#REF!)*1000000))</f>
        <v/>
      </c>
      <c r="O176" s="88" t="str">
        <f>IF(I176="","",O166-((1/'Proto 2013'!#REF!)*1000000))</f>
        <v/>
      </c>
    </row>
    <row r="177" spans="1:15" ht="15.75" thickBot="1" x14ac:dyDescent="0.3">
      <c r="A177" s="92" t="s">
        <v>18</v>
      </c>
      <c r="B177" s="93" t="s">
        <v>19</v>
      </c>
      <c r="C177" s="93" t="s">
        <v>12</v>
      </c>
      <c r="D177" s="91">
        <f>IF(D158="","",(D158-'2018'!D275)/'2018'!D275)</f>
        <v>-3.7416948362279989E-2</v>
      </c>
      <c r="E177" s="91">
        <f>IF(E158="","",(E158-'2018'!E275)/'2018'!E275)</f>
        <v>-1.0606769614724692E-2</v>
      </c>
      <c r="F177" s="91">
        <f>IF(F158="","",(F158-'2018'!F275)/'2018'!F275)</f>
        <v>1.8464785017145871E-3</v>
      </c>
      <c r="G177" s="94" t="str">
        <f>IF(G167="","",(G167-'2014'!#REF!)/'2014'!#REF!)</f>
        <v/>
      </c>
      <c r="H177" s="94" t="str">
        <f>IF(H167="","",(H167-'2014'!#REF!)/'2014'!#REF!)</f>
        <v/>
      </c>
      <c r="I177" s="94" t="str">
        <f>IF(I167="","",(I167-'2014'!#REF!)/'2014'!#REF!)</f>
        <v/>
      </c>
      <c r="J177" s="95"/>
      <c r="K177" s="95"/>
      <c r="L177" s="95"/>
      <c r="M177" s="95" t="str">
        <f>IF(G177="","",M167-((1/'Proto 2013'!#REF!)*1000000))</f>
        <v/>
      </c>
      <c r="N177" s="95" t="str">
        <f>IF(H177="","",N167-((1/'Proto 2013'!#REF!)*1000000))</f>
        <v/>
      </c>
      <c r="O177" s="96" t="str">
        <f>IF(I177="","",O167-((1/'Proto 2013'!#REF!)*1000000))</f>
        <v/>
      </c>
    </row>
    <row r="178" spans="1:15" ht="15.75" thickBot="1" x14ac:dyDescent="0.3"/>
    <row r="179" spans="1:15" ht="18.75" x14ac:dyDescent="0.25">
      <c r="A179" s="162" t="s">
        <v>191</v>
      </c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163"/>
      <c r="M179" s="163"/>
      <c r="N179" s="163"/>
      <c r="O179" s="164"/>
    </row>
    <row r="180" spans="1:15" ht="15.75" x14ac:dyDescent="0.25">
      <c r="A180" s="165" t="s">
        <v>220</v>
      </c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66"/>
    </row>
    <row r="181" spans="1:15" x14ac:dyDescent="0.25">
      <c r="A181" s="185" t="s">
        <v>2</v>
      </c>
      <c r="B181" s="186"/>
      <c r="C181" s="187"/>
      <c r="D181" s="192" t="s">
        <v>3</v>
      </c>
      <c r="E181" s="193"/>
      <c r="F181" s="193"/>
      <c r="G181" s="193"/>
      <c r="H181" s="193"/>
      <c r="I181" s="194"/>
      <c r="J181" s="188" t="s">
        <v>4</v>
      </c>
      <c r="K181" s="189"/>
      <c r="L181" s="189"/>
      <c r="M181" s="189"/>
      <c r="N181" s="189"/>
      <c r="O181" s="191"/>
    </row>
    <row r="182" spans="1:15" x14ac:dyDescent="0.25">
      <c r="A182" s="76" t="s">
        <v>5</v>
      </c>
      <c r="B182" s="77" t="s">
        <v>6</v>
      </c>
      <c r="C182" s="77" t="s">
        <v>7</v>
      </c>
      <c r="D182" s="78">
        <v>1</v>
      </c>
      <c r="E182" s="78">
        <v>4</v>
      </c>
      <c r="F182" s="78">
        <v>16</v>
      </c>
      <c r="G182" s="79">
        <v>32</v>
      </c>
      <c r="H182" s="79">
        <v>64</v>
      </c>
      <c r="I182" s="79">
        <v>80</v>
      </c>
      <c r="J182" s="79">
        <v>1</v>
      </c>
      <c r="K182" s="79">
        <v>4</v>
      </c>
      <c r="L182" s="79">
        <v>16</v>
      </c>
      <c r="M182" s="79">
        <v>32</v>
      </c>
      <c r="N182" s="79">
        <v>64</v>
      </c>
      <c r="O182" s="80">
        <v>80</v>
      </c>
    </row>
    <row r="183" spans="1:15" x14ac:dyDescent="0.25">
      <c r="A183" s="37" t="s">
        <v>8</v>
      </c>
      <c r="B183" s="82" t="s">
        <v>9</v>
      </c>
      <c r="C183" s="83" t="s">
        <v>10</v>
      </c>
      <c r="D183" s="100">
        <v>42452</v>
      </c>
      <c r="E183" s="100">
        <v>20232</v>
      </c>
      <c r="F183" s="100">
        <v>6324</v>
      </c>
      <c r="G183" s="85"/>
      <c r="H183" s="86"/>
      <c r="I183" s="86"/>
      <c r="J183" s="87">
        <f t="shared" ref="J183:J188" si="44">IF(D183="","",(1/D183)*1000000)</f>
        <v>23.556016206539152</v>
      </c>
      <c r="K183" s="87">
        <f t="shared" ref="K183:K185" si="45">IF(E183="","",(1/E183)*1000000)</f>
        <v>49.426650850138394</v>
      </c>
      <c r="L183" s="87">
        <f t="shared" ref="L183:L188" si="46">IF(F183="","",(1/F183)*1000000)</f>
        <v>158.12776723592663</v>
      </c>
      <c r="M183" s="87" t="str">
        <f t="shared" ref="M183:M188" si="47">IF(G183="","",(1/G183)*1000000)</f>
        <v/>
      </c>
      <c r="N183" s="87" t="str">
        <f t="shared" ref="N183:N188" si="48">IF(H183="","",(1/H183)*1000000)</f>
        <v/>
      </c>
      <c r="O183" s="88" t="str">
        <f t="shared" ref="O183:O188" si="49">IF(I183="","",(1/I183)*1000000)</f>
        <v/>
      </c>
    </row>
    <row r="184" spans="1:15" x14ac:dyDescent="0.25">
      <c r="A184" s="81" t="s">
        <v>11</v>
      </c>
      <c r="B184" s="82" t="s">
        <v>9</v>
      </c>
      <c r="C184" s="83" t="s">
        <v>12</v>
      </c>
      <c r="D184" s="100">
        <v>9169</v>
      </c>
      <c r="E184" s="100">
        <v>7589</v>
      </c>
      <c r="F184" s="100">
        <v>4134</v>
      </c>
      <c r="G184" s="85"/>
      <c r="H184" s="86"/>
      <c r="I184" s="86"/>
      <c r="J184" s="87">
        <f t="shared" si="44"/>
        <v>109.06314756243864</v>
      </c>
      <c r="K184" s="87">
        <f t="shared" si="45"/>
        <v>131.76966662274344</v>
      </c>
      <c r="L184" s="87">
        <f t="shared" si="46"/>
        <v>241.89646831156264</v>
      </c>
      <c r="M184" s="87" t="str">
        <f t="shared" si="47"/>
        <v/>
      </c>
      <c r="N184" s="87" t="str">
        <f t="shared" si="48"/>
        <v/>
      </c>
      <c r="O184" s="88" t="str">
        <f t="shared" si="49"/>
        <v/>
      </c>
    </row>
    <row r="185" spans="1:15" x14ac:dyDescent="0.25">
      <c r="A185" s="81" t="s">
        <v>13</v>
      </c>
      <c r="B185" s="82" t="s">
        <v>14</v>
      </c>
      <c r="C185" s="83" t="s">
        <v>10</v>
      </c>
      <c r="D185" s="100">
        <v>28701</v>
      </c>
      <c r="E185" s="100">
        <v>17837</v>
      </c>
      <c r="F185" s="100">
        <v>5665</v>
      </c>
      <c r="G185" s="85"/>
      <c r="H185" s="86"/>
      <c r="I185" s="86"/>
      <c r="J185" s="87">
        <f t="shared" si="44"/>
        <v>34.841991568238043</v>
      </c>
      <c r="K185" s="87">
        <f t="shared" si="45"/>
        <v>56.063239333968717</v>
      </c>
      <c r="L185" s="87">
        <f t="shared" si="46"/>
        <v>176.522506619594</v>
      </c>
      <c r="M185" s="87" t="str">
        <f t="shared" si="47"/>
        <v/>
      </c>
      <c r="N185" s="87" t="str">
        <f t="shared" si="48"/>
        <v/>
      </c>
      <c r="O185" s="88" t="str">
        <f t="shared" si="49"/>
        <v/>
      </c>
    </row>
    <row r="186" spans="1:15" x14ac:dyDescent="0.25">
      <c r="A186" s="81" t="s">
        <v>15</v>
      </c>
      <c r="B186" s="82" t="s">
        <v>14</v>
      </c>
      <c r="C186" s="83" t="s">
        <v>12</v>
      </c>
      <c r="D186" s="100">
        <v>9293</v>
      </c>
      <c r="E186" s="100">
        <v>6985</v>
      </c>
      <c r="F186" s="100">
        <v>3734</v>
      </c>
      <c r="G186" s="85"/>
      <c r="H186" s="86"/>
      <c r="I186" s="86"/>
      <c r="J186" s="87">
        <f t="shared" si="44"/>
        <v>107.60787689658883</v>
      </c>
      <c r="K186" s="87"/>
      <c r="L186" s="87">
        <f t="shared" si="46"/>
        <v>267.80931976432777</v>
      </c>
      <c r="M186" s="87" t="str">
        <f t="shared" si="47"/>
        <v/>
      </c>
      <c r="N186" s="87" t="str">
        <f t="shared" si="48"/>
        <v/>
      </c>
      <c r="O186" s="88" t="str">
        <f t="shared" si="49"/>
        <v/>
      </c>
    </row>
    <row r="187" spans="1:15" x14ac:dyDescent="0.25">
      <c r="A187" s="81" t="s">
        <v>16</v>
      </c>
      <c r="B187" s="82" t="s">
        <v>17</v>
      </c>
      <c r="C187" s="83" t="s">
        <v>12</v>
      </c>
      <c r="D187" s="100">
        <v>8010</v>
      </c>
      <c r="E187" s="100">
        <v>6412</v>
      </c>
      <c r="F187" s="100">
        <v>3798</v>
      </c>
      <c r="G187" s="85"/>
      <c r="H187" s="86"/>
      <c r="I187" s="86"/>
      <c r="J187" s="87">
        <f t="shared" si="44"/>
        <v>124.84394506866417</v>
      </c>
      <c r="K187" s="87">
        <f>IF(E187="","",(1/E187)*1000000)</f>
        <v>155.95757953836556</v>
      </c>
      <c r="L187" s="87">
        <f t="shared" si="46"/>
        <v>263.29647182727751</v>
      </c>
      <c r="M187" s="87" t="str">
        <f t="shared" si="47"/>
        <v/>
      </c>
      <c r="N187" s="87" t="str">
        <f t="shared" si="48"/>
        <v/>
      </c>
      <c r="O187" s="88" t="str">
        <f t="shared" si="49"/>
        <v/>
      </c>
    </row>
    <row r="188" spans="1:15" x14ac:dyDescent="0.25">
      <c r="A188" s="81" t="s">
        <v>18</v>
      </c>
      <c r="B188" s="82" t="s">
        <v>19</v>
      </c>
      <c r="C188" s="83" t="s">
        <v>12</v>
      </c>
      <c r="D188" s="100">
        <v>8199</v>
      </c>
      <c r="E188" s="100">
        <v>6113</v>
      </c>
      <c r="F188" s="100">
        <v>3791</v>
      </c>
      <c r="G188" s="85"/>
      <c r="H188" s="86"/>
      <c r="I188" s="86"/>
      <c r="J188" s="87">
        <f t="shared" si="44"/>
        <v>121.96609342602757</v>
      </c>
      <c r="K188" s="87">
        <f>IF(E188="","",(1/E188)*1000000)</f>
        <v>163.58580075249469</v>
      </c>
      <c r="L188" s="87">
        <f t="shared" si="46"/>
        <v>263.78264310208391</v>
      </c>
      <c r="M188" s="87" t="str">
        <f t="shared" si="47"/>
        <v/>
      </c>
      <c r="N188" s="87" t="str">
        <f t="shared" si="48"/>
        <v/>
      </c>
      <c r="O188" s="88" t="str">
        <f t="shared" si="49"/>
        <v/>
      </c>
    </row>
    <row r="189" spans="1:15" x14ac:dyDescent="0.25">
      <c r="A189" s="156" t="s">
        <v>221</v>
      </c>
      <c r="B189" s="157"/>
      <c r="C189" s="157"/>
      <c r="D189" s="157"/>
      <c r="E189" s="157"/>
      <c r="F189" s="157"/>
      <c r="G189" s="130" t="s">
        <v>211</v>
      </c>
      <c r="H189" s="130"/>
      <c r="I189" s="130"/>
      <c r="J189" s="195" t="s">
        <v>184</v>
      </c>
      <c r="K189" s="195"/>
      <c r="L189" s="195"/>
      <c r="M189" s="157" t="s">
        <v>172</v>
      </c>
      <c r="N189" s="157"/>
      <c r="O189" s="90"/>
    </row>
    <row r="190" spans="1:15" ht="18.75" x14ac:dyDescent="0.3">
      <c r="A190" s="158" t="s">
        <v>186</v>
      </c>
      <c r="B190" s="10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59"/>
    </row>
    <row r="191" spans="1:15" x14ac:dyDescent="0.25">
      <c r="A191" s="185" t="s">
        <v>2</v>
      </c>
      <c r="B191" s="186"/>
      <c r="C191" s="187"/>
      <c r="D191" s="188" t="s">
        <v>20</v>
      </c>
      <c r="E191" s="189"/>
      <c r="F191" s="189"/>
      <c r="G191" s="189"/>
      <c r="H191" s="189"/>
      <c r="I191" s="190"/>
      <c r="J191" s="188" t="s">
        <v>23</v>
      </c>
      <c r="K191" s="189"/>
      <c r="L191" s="189"/>
      <c r="M191" s="189"/>
      <c r="N191" s="189"/>
      <c r="O191" s="191"/>
    </row>
    <row r="192" spans="1:15" x14ac:dyDescent="0.25">
      <c r="A192" s="76" t="s">
        <v>5</v>
      </c>
      <c r="B192" s="77" t="s">
        <v>6</v>
      </c>
      <c r="C192" s="77" t="s">
        <v>7</v>
      </c>
      <c r="D192" s="79">
        <v>1</v>
      </c>
      <c r="E192" s="79">
        <v>4</v>
      </c>
      <c r="F192" s="79">
        <v>16</v>
      </c>
      <c r="G192" s="79">
        <v>32</v>
      </c>
      <c r="H192" s="79">
        <v>64</v>
      </c>
      <c r="I192" s="79">
        <v>80</v>
      </c>
      <c r="J192" s="79">
        <v>1</v>
      </c>
      <c r="K192" s="79">
        <v>4</v>
      </c>
      <c r="L192" s="79">
        <v>16</v>
      </c>
      <c r="M192" s="79">
        <v>32</v>
      </c>
      <c r="N192" s="79">
        <v>64</v>
      </c>
      <c r="O192" s="80">
        <v>80</v>
      </c>
    </row>
    <row r="193" spans="1:15" x14ac:dyDescent="0.25">
      <c r="A193" s="81" t="s">
        <v>8</v>
      </c>
      <c r="B193" s="82" t="s">
        <v>9</v>
      </c>
      <c r="C193" s="82" t="s">
        <v>10</v>
      </c>
      <c r="D193" s="91">
        <f>IF(D183="","",(D183-'2018'!D226)/'2018'!D226)</f>
        <v>0</v>
      </c>
      <c r="E193" s="91">
        <f>IF(E183="","",(E183-'2018'!E226)/'2018'!E226)</f>
        <v>6.8677217079725289E-3</v>
      </c>
      <c r="F193" s="91">
        <f>IF(F183="","",(F183-'2018'!F226)/'2018'!F226)</f>
        <v>5.3473263368315843E-2</v>
      </c>
      <c r="G193" s="91" t="str">
        <f>IF(G183="","",(G183-'2014'!#REF!)/'2014'!#REF!)</f>
        <v/>
      </c>
      <c r="H193" s="91" t="str">
        <f>IF(H183="","",(H183-'2014'!#REF!)/'2014'!#REF!)</f>
        <v/>
      </c>
      <c r="I193" s="87" t="str">
        <f>IF(I183="","",(I183-'2014'!#REF!)/'2014'!#REF!)</f>
        <v/>
      </c>
      <c r="J193" s="87"/>
      <c r="K193" s="87"/>
      <c r="L193" s="87"/>
      <c r="M193" s="87" t="str">
        <f>IF(G193="","",M183-((1/'Proto 2013'!#REF!)*1000000))</f>
        <v/>
      </c>
      <c r="N193" s="87" t="str">
        <f>IF(H193="","",N183-((1/'Proto 2013'!#REF!)*1000000))</f>
        <v/>
      </c>
      <c r="O193" s="88" t="str">
        <f>IF(I193="","",O183-((1/'Proto 2013'!#REF!)*1000000))</f>
        <v/>
      </c>
    </row>
    <row r="194" spans="1:15" x14ac:dyDescent="0.25">
      <c r="A194" s="81" t="s">
        <v>11</v>
      </c>
      <c r="B194" s="82" t="s">
        <v>9</v>
      </c>
      <c r="C194" s="82" t="s">
        <v>12</v>
      </c>
      <c r="D194" s="91">
        <f>IF(D184="","",(D184-'2018'!D227)/'2018'!D227)</f>
        <v>-9.97545409916544E-2</v>
      </c>
      <c r="E194" s="91">
        <f>IF(E184="","",(E184-'2018'!E227)/'2018'!E227)</f>
        <v>-3.8149556400506969E-2</v>
      </c>
      <c r="F194" s="91">
        <f>IF(F184="","",(F184-'2018'!F227)/'2018'!F227)</f>
        <v>-1.8285442887675137E-2</v>
      </c>
      <c r="G194" s="91" t="str">
        <f>IF(G184="","",(G184-'2014'!#REF!)/'2014'!#REF!)</f>
        <v/>
      </c>
      <c r="H194" s="91" t="str">
        <f>IF(H184="","",(H184-'2014'!#REF!)/'2014'!#REF!)</f>
        <v/>
      </c>
      <c r="I194" s="91" t="str">
        <f>IF(I184="","",(I184-'2014'!#REF!)/'2014'!#REF!)</f>
        <v/>
      </c>
      <c r="J194" s="87"/>
      <c r="K194" s="87"/>
      <c r="L194" s="87"/>
      <c r="M194" s="87" t="str">
        <f>IF(G194="","",M184-((1/'Proto 2013'!#REF!)*1000000))</f>
        <v/>
      </c>
      <c r="N194" s="87" t="str">
        <f>IF(H194="","",N184-((1/'Proto 2013'!#REF!)*1000000))</f>
        <v/>
      </c>
      <c r="O194" s="88" t="str">
        <f>IF(I194="","",O184-((1/'Proto 2013'!#REF!)*1000000))</f>
        <v/>
      </c>
    </row>
    <row r="195" spans="1:15" x14ac:dyDescent="0.25">
      <c r="A195" s="81" t="s">
        <v>13</v>
      </c>
      <c r="B195" s="82" t="s">
        <v>14</v>
      </c>
      <c r="C195" s="82" t="s">
        <v>10</v>
      </c>
      <c r="D195" s="91">
        <f>IF(D185="","",(D185-'2018'!D228)/'2018'!D228)</f>
        <v>-0.23918460396564523</v>
      </c>
      <c r="E195" s="91">
        <f>IF(E185="","",(E185-'2018'!E228)/'2018'!E228)</f>
        <v>0.11641734994053952</v>
      </c>
      <c r="F195" s="91">
        <f>IF(F185="","",(F185-'2018'!F228)/'2018'!F228)</f>
        <v>2.3671846765449946E-2</v>
      </c>
      <c r="G195" s="91" t="str">
        <f>IF(G185="","",(G185-'2014'!#REF!)/'2014'!#REF!)</f>
        <v/>
      </c>
      <c r="H195" s="91" t="str">
        <f>IF(H185="","",(H185-'2014'!#REF!)/'2014'!#REF!)</f>
        <v/>
      </c>
      <c r="I195" s="91" t="str">
        <f>IF(I185="","",(I185-'2014'!#REF!)/'2014'!#REF!)</f>
        <v/>
      </c>
      <c r="J195" s="87"/>
      <c r="K195" s="87"/>
      <c r="L195" s="87"/>
      <c r="M195" s="87" t="str">
        <f>IF(G195="","",M185-((1/'Proto 2013'!#REF!)*1000000))</f>
        <v/>
      </c>
      <c r="N195" s="87" t="str">
        <f>IF(H195="","",N185-((1/'Proto 2013'!#REF!)*1000000))</f>
        <v/>
      </c>
      <c r="O195" s="88" t="str">
        <f>IF(I195="","",O185-((1/'Proto 2013'!#REF!)*1000000))</f>
        <v/>
      </c>
    </row>
    <row r="196" spans="1:15" x14ac:dyDescent="0.25">
      <c r="A196" s="81" t="s">
        <v>15</v>
      </c>
      <c r="B196" s="82" t="s">
        <v>14</v>
      </c>
      <c r="C196" s="82" t="s">
        <v>12</v>
      </c>
      <c r="D196" s="91">
        <f>IF(D186="","",(D186-'2018'!D229)/'2018'!D229)</f>
        <v>-2.6605216298313607E-2</v>
      </c>
      <c r="E196" s="91">
        <f>IF(E186="","",(E186-'2018'!E229)/'2018'!E229)</f>
        <v>-2.64808362369338E-2</v>
      </c>
      <c r="F196" s="91">
        <f>IF(F186="","",(F186-'2018'!F229)/'2018'!F229)</f>
        <v>0</v>
      </c>
      <c r="G196" s="91" t="str">
        <f>IF(G186="","",(G186-'2014'!#REF!)/'2014'!#REF!)</f>
        <v/>
      </c>
      <c r="H196" s="91" t="str">
        <f>IF(H186="","",(H186-'2014'!#REF!)/'2014'!#REF!)</f>
        <v/>
      </c>
      <c r="I196" s="91" t="str">
        <f>IF(I186="","",(I186-'2014'!#REF!)/'2014'!#REF!)</f>
        <v/>
      </c>
      <c r="J196" s="87"/>
      <c r="K196" s="87"/>
      <c r="L196" s="87"/>
      <c r="M196" s="87" t="str">
        <f>IF(G196="","",M186-((1/'Proto 2013'!#REF!)*1000000))</f>
        <v/>
      </c>
      <c r="N196" s="87" t="str">
        <f>IF(H196="","",N186-((1/'Proto 2013'!#REF!)*1000000))</f>
        <v/>
      </c>
      <c r="O196" s="88" t="str">
        <f>IF(I196="","",O186-((1/'Proto 2013'!#REF!)*1000000))</f>
        <v/>
      </c>
    </row>
    <row r="197" spans="1:15" x14ac:dyDescent="0.25">
      <c r="A197" s="81" t="s">
        <v>16</v>
      </c>
      <c r="B197" s="82" t="s">
        <v>17</v>
      </c>
      <c r="C197" s="82" t="s">
        <v>12</v>
      </c>
      <c r="D197" s="91">
        <f>IF(D187="","",(D187-'2018'!D230)/'2018'!D230)</f>
        <v>-7.9944865609924184E-2</v>
      </c>
      <c r="E197" s="91">
        <f>IF(E187="","",(E187-'2018'!E230)/'2018'!E230)</f>
        <v>-6.0375146541617818E-2</v>
      </c>
      <c r="F197" s="91">
        <f>IF(F187="","",(F187-'2018'!F230)/'2018'!F230)</f>
        <v>-4.2360060514372161E-2</v>
      </c>
      <c r="G197" s="91" t="str">
        <f>IF(G187="","",(G187-'2014'!#REF!)/'2014'!#REF!)</f>
        <v/>
      </c>
      <c r="H197" s="91" t="str">
        <f>IF(H187="","",(H187-'2014'!#REF!)/'2014'!#REF!)</f>
        <v/>
      </c>
      <c r="I197" s="91" t="str">
        <f>IF(I187="","",(I187-'2014'!#REF!)/'2014'!#REF!)</f>
        <v/>
      </c>
      <c r="J197" s="87"/>
      <c r="K197" s="87"/>
      <c r="L197" s="87"/>
      <c r="M197" s="87" t="str">
        <f>IF(G197="","",M187-((1/'Proto 2013'!#REF!)*1000000))</f>
        <v/>
      </c>
      <c r="N197" s="87" t="str">
        <f>IF(H197="","",N187-((1/'Proto 2013'!#REF!)*1000000))</f>
        <v/>
      </c>
      <c r="O197" s="88" t="str">
        <f>IF(I197="","",O187-((1/'Proto 2013'!#REF!)*1000000))</f>
        <v/>
      </c>
    </row>
    <row r="198" spans="1:15" ht="15.75" thickBot="1" x14ac:dyDescent="0.3">
      <c r="A198" s="92" t="s">
        <v>18</v>
      </c>
      <c r="B198" s="93" t="s">
        <v>19</v>
      </c>
      <c r="C198" s="93" t="s">
        <v>12</v>
      </c>
      <c r="D198" s="91">
        <f>IF(D188="","",(D188-'2018'!D231)/'2018'!D231)</f>
        <v>-3.1080122902387142E-2</v>
      </c>
      <c r="E198" s="91">
        <f>IF(E188="","",(E188-'2018'!E231)/'2018'!E231)</f>
        <v>0</v>
      </c>
      <c r="F198" s="91">
        <f>IF(F188="","",(F188-'2018'!F231)/'2018'!F231)</f>
        <v>1.5265131226566685E-2</v>
      </c>
      <c r="G198" s="94" t="str">
        <f>IF(G188="","",(G188-'2014'!#REF!)/'2014'!#REF!)</f>
        <v/>
      </c>
      <c r="H198" s="94" t="str">
        <f>IF(H188="","",(H188-'2014'!#REF!)/'2014'!#REF!)</f>
        <v/>
      </c>
      <c r="I198" s="94" t="str">
        <f>IF(I188="","",(I188-'2014'!#REF!)/'2014'!#REF!)</f>
        <v/>
      </c>
      <c r="J198" s="95"/>
      <c r="K198" s="95"/>
      <c r="L198" s="95"/>
      <c r="M198" s="95" t="str">
        <f>IF(G198="","",M188-((1/'Proto 2013'!#REF!)*1000000))</f>
        <v/>
      </c>
      <c r="N198" s="95" t="str">
        <f>IF(H198="","",N188-((1/'Proto 2013'!#REF!)*1000000))</f>
        <v/>
      </c>
      <c r="O198" s="96" t="str">
        <f>IF(I198="","",O188-((1/'Proto 2013'!#REF!)*1000000))</f>
        <v/>
      </c>
    </row>
    <row r="199" spans="1:15" ht="18.75" x14ac:dyDescent="0.3">
      <c r="A199" s="158" t="s">
        <v>218</v>
      </c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59"/>
    </row>
    <row r="200" spans="1:15" x14ac:dyDescent="0.25">
      <c r="A200" s="185" t="s">
        <v>2</v>
      </c>
      <c r="B200" s="186"/>
      <c r="C200" s="187"/>
      <c r="D200" s="188" t="s">
        <v>20</v>
      </c>
      <c r="E200" s="189"/>
      <c r="F200" s="189"/>
      <c r="G200" s="189"/>
      <c r="H200" s="189"/>
      <c r="I200" s="190"/>
      <c r="J200" s="188" t="s">
        <v>23</v>
      </c>
      <c r="K200" s="189"/>
      <c r="L200" s="189"/>
      <c r="M200" s="189"/>
      <c r="N200" s="189"/>
      <c r="O200" s="191"/>
    </row>
    <row r="201" spans="1:15" x14ac:dyDescent="0.25">
      <c r="A201" s="76" t="s">
        <v>5</v>
      </c>
      <c r="B201" s="77" t="s">
        <v>6</v>
      </c>
      <c r="C201" s="77" t="s">
        <v>7</v>
      </c>
      <c r="D201" s="79">
        <v>1</v>
      </c>
      <c r="E201" s="79">
        <v>4</v>
      </c>
      <c r="F201" s="79">
        <v>16</v>
      </c>
      <c r="G201" s="79">
        <v>32</v>
      </c>
      <c r="H201" s="79">
        <v>64</v>
      </c>
      <c r="I201" s="79">
        <v>80</v>
      </c>
      <c r="J201" s="79">
        <v>1</v>
      </c>
      <c r="K201" s="79">
        <v>4</v>
      </c>
      <c r="L201" s="79">
        <v>16</v>
      </c>
      <c r="M201" s="79">
        <v>32</v>
      </c>
      <c r="N201" s="79">
        <v>64</v>
      </c>
      <c r="O201" s="80">
        <v>80</v>
      </c>
    </row>
    <row r="202" spans="1:15" x14ac:dyDescent="0.25">
      <c r="A202" s="81" t="s">
        <v>8</v>
      </c>
      <c r="B202" s="82" t="s">
        <v>9</v>
      </c>
      <c r="C202" s="82" t="s">
        <v>10</v>
      </c>
      <c r="D202" s="91">
        <f>IF(D183="","",(D183-'2018'!D270)/'2018'!D270)</f>
        <v>2.8110457562657972E-3</v>
      </c>
      <c r="E202" s="91">
        <f>IF(E183="","",(E183-'2018'!E270)/'2018'!E270)</f>
        <v>0.29294478527607359</v>
      </c>
      <c r="F202" s="91">
        <f>IF(F183="","",(F183-'2018'!F270)/'2018'!F270)</f>
        <v>5.3473263368315843E-2</v>
      </c>
      <c r="G202" s="91" t="str">
        <f>IF(G183="","",(G183-'2018'!G300)/'2018'!G300)</f>
        <v/>
      </c>
      <c r="H202" s="91" t="str">
        <f>IF(H183="","",(H183-'2018'!H300)/'2018'!H300)</f>
        <v/>
      </c>
      <c r="I202" s="87" t="e">
        <f>IF(I192="","",(I192-'2014'!#REF!)/'2014'!#REF!)</f>
        <v>#REF!</v>
      </c>
      <c r="J202" s="87"/>
      <c r="K202" s="87"/>
      <c r="L202" s="87"/>
      <c r="M202" s="87" t="str">
        <f>IF(G202="","",M192-((1/'Proto 2013'!#REF!)*1000000))</f>
        <v/>
      </c>
      <c r="N202" s="87" t="str">
        <f>IF(H202="","",N192-((1/'Proto 2013'!#REF!)*1000000))</f>
        <v/>
      </c>
      <c r="O202" s="88" t="e">
        <f>IF(I202="","",O192-((1/'Proto 2013'!#REF!)*1000000))</f>
        <v>#REF!</v>
      </c>
    </row>
    <row r="203" spans="1:15" x14ac:dyDescent="0.25">
      <c r="A203" s="81" t="s">
        <v>11</v>
      </c>
      <c r="B203" s="82" t="s">
        <v>9</v>
      </c>
      <c r="C203" s="82" t="s">
        <v>12</v>
      </c>
      <c r="D203" s="91">
        <f>IF(D184="","",(D184-'2018'!D271)/'2018'!D271)</f>
        <v>-4.6088223054515189E-2</v>
      </c>
      <c r="E203" s="91">
        <f>IF(E184="","",(E184-'2018'!E271)/'2018'!E271)</f>
        <v>-4.3121926617072245E-2</v>
      </c>
      <c r="F203" s="91">
        <f>IF(F184="","",(F184-'2018'!F271)/'2018'!F271)</f>
        <v>-2.8208744710860368E-2</v>
      </c>
      <c r="G203" s="91" t="str">
        <f>IF(G193="","",(G193-'2014'!#REF!)/'2014'!#REF!)</f>
        <v/>
      </c>
      <c r="H203" s="91" t="str">
        <f>IF(H193="","",(H193-'2014'!#REF!)/'2014'!#REF!)</f>
        <v/>
      </c>
      <c r="I203" s="91" t="str">
        <f>IF(I193="","",(I193-'2014'!#REF!)/'2014'!#REF!)</f>
        <v/>
      </c>
      <c r="J203" s="87"/>
      <c r="K203" s="87"/>
      <c r="L203" s="87"/>
      <c r="M203" s="87" t="str">
        <f>IF(G203="","",M193-((1/'Proto 2013'!#REF!)*1000000))</f>
        <v/>
      </c>
      <c r="N203" s="87" t="str">
        <f>IF(H203="","",N193-((1/'Proto 2013'!#REF!)*1000000))</f>
        <v/>
      </c>
      <c r="O203" s="88" t="str">
        <f>IF(I203="","",O193-((1/'Proto 2013'!#REF!)*1000000))</f>
        <v/>
      </c>
    </row>
    <row r="204" spans="1:15" x14ac:dyDescent="0.25">
      <c r="A204" s="81" t="s">
        <v>13</v>
      </c>
      <c r="B204" s="82" t="s">
        <v>14</v>
      </c>
      <c r="C204" s="82" t="s">
        <v>10</v>
      </c>
      <c r="D204" s="91">
        <f>IF(D185="","",(D185-'2018'!D272)/'2018'!D272)</f>
        <v>8.6459476852027109E-2</v>
      </c>
      <c r="E204" s="91">
        <f>IF(E185="","",(E185-'2018'!E272)/'2018'!E272)</f>
        <v>-2.3491246714022035E-3</v>
      </c>
      <c r="F204" s="91">
        <f>IF(F185="","",(F185-'2018'!F272)/'2018'!F272)</f>
        <v>5.3365563406470806E-2</v>
      </c>
      <c r="G204" s="91" t="str">
        <f>IF(G194="","",(G194-'2014'!#REF!)/'2014'!#REF!)</f>
        <v/>
      </c>
      <c r="H204" s="91" t="str">
        <f>IF(H194="","",(H194-'2014'!#REF!)/'2014'!#REF!)</f>
        <v/>
      </c>
      <c r="I204" s="91" t="str">
        <f>IF(I194="","",(I194-'2014'!#REF!)/'2014'!#REF!)</f>
        <v/>
      </c>
      <c r="J204" s="87"/>
      <c r="K204" s="87"/>
      <c r="L204" s="87"/>
      <c r="M204" s="87" t="str">
        <f>IF(G204="","",M194-((1/'Proto 2013'!#REF!)*1000000))</f>
        <v/>
      </c>
      <c r="N204" s="87" t="str">
        <f>IF(H204="","",N194-((1/'Proto 2013'!#REF!)*1000000))</f>
        <v/>
      </c>
      <c r="O204" s="88" t="str">
        <f>IF(I204="","",O194-((1/'Proto 2013'!#REF!)*1000000))</f>
        <v/>
      </c>
    </row>
    <row r="205" spans="1:15" x14ac:dyDescent="0.25">
      <c r="A205" s="81" t="s">
        <v>15</v>
      </c>
      <c r="B205" s="82" t="s">
        <v>14</v>
      </c>
      <c r="C205" s="82" t="s">
        <v>12</v>
      </c>
      <c r="D205" s="91">
        <f>IF(D186="","",(D186-'2018'!D273)/'2018'!D273)</f>
        <v>-3.3187682064086559E-2</v>
      </c>
      <c r="E205" s="91">
        <f>IF(E186="","",(E186-'2018'!E273)/'2018'!E273)</f>
        <v>-6.0018839994617143E-2</v>
      </c>
      <c r="F205" s="91">
        <f>IF(F186="","",(F186-'2018'!F273)/'2018'!F273)</f>
        <v>-5.2524739913727483E-2</v>
      </c>
      <c r="G205" s="91" t="str">
        <f>IF(G195="","",(G195-'2014'!#REF!)/'2014'!#REF!)</f>
        <v/>
      </c>
      <c r="H205" s="91" t="str">
        <f>IF(H195="","",(H195-'2014'!#REF!)/'2014'!#REF!)</f>
        <v/>
      </c>
      <c r="I205" s="91" t="str">
        <f>IF(I195="","",(I195-'2014'!#REF!)/'2014'!#REF!)</f>
        <v/>
      </c>
      <c r="J205" s="87"/>
      <c r="K205" s="87"/>
      <c r="L205" s="87"/>
      <c r="M205" s="87" t="str">
        <f>IF(G205="","",M195-((1/'Proto 2013'!#REF!)*1000000))</f>
        <v/>
      </c>
      <c r="N205" s="87" t="str">
        <f>IF(H205="","",N195-((1/'Proto 2013'!#REF!)*1000000))</f>
        <v/>
      </c>
      <c r="O205" s="88" t="str">
        <f>IF(I205="","",O195-((1/'Proto 2013'!#REF!)*1000000))</f>
        <v/>
      </c>
    </row>
    <row r="206" spans="1:15" x14ac:dyDescent="0.25">
      <c r="A206" s="81" t="s">
        <v>16</v>
      </c>
      <c r="B206" s="82" t="s">
        <v>17</v>
      </c>
      <c r="C206" s="82" t="s">
        <v>12</v>
      </c>
      <c r="D206" s="91">
        <f>IF(D187="","",(D187-'2018'!D274)/'2018'!D274)</f>
        <v>-5.3750738334317781E-2</v>
      </c>
      <c r="E206" s="91">
        <f>IF(E187="","",(E187-'2018'!E274)/'2018'!E274)</f>
        <v>-1.3841894801599508E-2</v>
      </c>
      <c r="F206" s="91">
        <f>IF(F187="","",(F187-'2018'!F274)/'2018'!F274)</f>
        <v>-1.504149377593361E-2</v>
      </c>
      <c r="G206" s="91" t="str">
        <f>IF(G196="","",(G196-'2014'!#REF!)/'2014'!#REF!)</f>
        <v/>
      </c>
      <c r="H206" s="91" t="str">
        <f>IF(H196="","",(H196-'2014'!#REF!)/'2014'!#REF!)</f>
        <v/>
      </c>
      <c r="I206" s="91" t="str">
        <f>IF(I196="","",(I196-'2014'!#REF!)/'2014'!#REF!)</f>
        <v/>
      </c>
      <c r="J206" s="87"/>
      <c r="K206" s="87"/>
      <c r="L206" s="87"/>
      <c r="M206" s="87" t="str">
        <f>IF(G206="","",M196-((1/'Proto 2013'!#REF!)*1000000))</f>
        <v/>
      </c>
      <c r="N206" s="87" t="str">
        <f>IF(H206="","",N196-((1/'Proto 2013'!#REF!)*1000000))</f>
        <v/>
      </c>
      <c r="O206" s="88" t="str">
        <f>IF(I206="","",O196-((1/'Proto 2013'!#REF!)*1000000))</f>
        <v/>
      </c>
    </row>
    <row r="207" spans="1:15" ht="15.75" thickBot="1" x14ac:dyDescent="0.3">
      <c r="A207" s="92" t="s">
        <v>18</v>
      </c>
      <c r="B207" s="93" t="s">
        <v>19</v>
      </c>
      <c r="C207" s="93" t="s">
        <v>12</v>
      </c>
      <c r="D207" s="91">
        <f>IF(D188="","",(D188-'2018'!D275)/'2018'!D275)</f>
        <v>-4.4294206784007459E-2</v>
      </c>
      <c r="E207" s="91">
        <f>IF(E188="","",(E188-'2018'!E275)/'2018'!E275)</f>
        <v>-4.6482608017469972E-2</v>
      </c>
      <c r="F207" s="91">
        <f>IF(F188="","",(F188-'2018'!F275)/'2018'!F275)</f>
        <v>0</v>
      </c>
      <c r="G207" s="94" t="str">
        <f>IF(G197="","",(G197-'2014'!#REF!)/'2014'!#REF!)</f>
        <v/>
      </c>
      <c r="H207" s="94" t="str">
        <f>IF(H197="","",(H197-'2014'!#REF!)/'2014'!#REF!)</f>
        <v/>
      </c>
      <c r="I207" s="94" t="str">
        <f>IF(I197="","",(I197-'2014'!#REF!)/'2014'!#REF!)</f>
        <v/>
      </c>
      <c r="J207" s="95"/>
      <c r="K207" s="95"/>
      <c r="L207" s="95"/>
      <c r="M207" s="95" t="str">
        <f>IF(G207="","",M197-((1/'Proto 2013'!#REF!)*1000000))</f>
        <v/>
      </c>
      <c r="N207" s="95" t="str">
        <f>IF(H207="","",N197-((1/'Proto 2013'!#REF!)*1000000))</f>
        <v/>
      </c>
      <c r="O207" s="96" t="str">
        <f>IF(I207="","",O197-((1/'Proto 2013'!#REF!)*1000000))</f>
        <v/>
      </c>
    </row>
    <row r="208" spans="1:15" ht="15.75" thickBot="1" x14ac:dyDescent="0.3"/>
    <row r="209" spans="1:15" ht="18.75" x14ac:dyDescent="0.25">
      <c r="A209" s="162" t="s">
        <v>191</v>
      </c>
      <c r="B209" s="163"/>
      <c r="C209" s="163"/>
      <c r="D209" s="163"/>
      <c r="E209" s="163"/>
      <c r="F209" s="163"/>
      <c r="G209" s="163"/>
      <c r="H209" s="163"/>
      <c r="I209" s="163"/>
      <c r="J209" s="163"/>
      <c r="K209" s="163"/>
      <c r="L209" s="163"/>
      <c r="M209" s="163"/>
      <c r="N209" s="163"/>
      <c r="O209" s="164"/>
    </row>
    <row r="210" spans="1:15" ht="15.75" x14ac:dyDescent="0.25">
      <c r="A210" s="165" t="s">
        <v>222</v>
      </c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66"/>
    </row>
    <row r="211" spans="1:15" x14ac:dyDescent="0.25">
      <c r="A211" s="185" t="s">
        <v>2</v>
      </c>
      <c r="B211" s="186"/>
      <c r="C211" s="187"/>
      <c r="D211" s="192" t="s">
        <v>3</v>
      </c>
      <c r="E211" s="193"/>
      <c r="F211" s="193"/>
      <c r="G211" s="193"/>
      <c r="H211" s="193"/>
      <c r="I211" s="194"/>
      <c r="J211" s="188" t="s">
        <v>4</v>
      </c>
      <c r="K211" s="189"/>
      <c r="L211" s="189"/>
      <c r="M211" s="189"/>
      <c r="N211" s="189"/>
      <c r="O211" s="191"/>
    </row>
    <row r="212" spans="1:15" x14ac:dyDescent="0.25">
      <c r="A212" s="76" t="s">
        <v>5</v>
      </c>
      <c r="B212" s="77" t="s">
        <v>6</v>
      </c>
      <c r="C212" s="77" t="s">
        <v>7</v>
      </c>
      <c r="D212" s="78">
        <v>1</v>
      </c>
      <c r="E212" s="78">
        <v>4</v>
      </c>
      <c r="F212" s="78">
        <v>16</v>
      </c>
      <c r="G212" s="79">
        <v>32</v>
      </c>
      <c r="H212" s="79">
        <v>64</v>
      </c>
      <c r="I212" s="79">
        <v>80</v>
      </c>
      <c r="J212" s="79">
        <v>1</v>
      </c>
      <c r="K212" s="79">
        <v>4</v>
      </c>
      <c r="L212" s="79">
        <v>16</v>
      </c>
      <c r="M212" s="79">
        <v>32</v>
      </c>
      <c r="N212" s="79">
        <v>64</v>
      </c>
      <c r="O212" s="80">
        <v>80</v>
      </c>
    </row>
    <row r="213" spans="1:15" x14ac:dyDescent="0.25">
      <c r="A213" s="37" t="s">
        <v>8</v>
      </c>
      <c r="B213" s="82" t="s">
        <v>9</v>
      </c>
      <c r="C213" s="83" t="s">
        <v>10</v>
      </c>
      <c r="D213" s="100">
        <v>42666</v>
      </c>
      <c r="E213" s="100">
        <v>20094</v>
      </c>
      <c r="F213" s="100">
        <v>6003</v>
      </c>
      <c r="G213" s="85"/>
      <c r="H213" s="86"/>
      <c r="I213" s="86"/>
      <c r="J213" s="87">
        <f t="shared" ref="J213:J218" si="50">IF(D213="","",(1/D213)*1000000)</f>
        <v>23.437866216659636</v>
      </c>
      <c r="K213" s="87">
        <f t="shared" ref="K213:K215" si="51">IF(E213="","",(1/E213)*1000000)</f>
        <v>49.766099333134271</v>
      </c>
      <c r="L213" s="87">
        <f t="shared" ref="L213:L218" si="52">IF(F213="","",(1/F213)*1000000)</f>
        <v>166.58337497917708</v>
      </c>
      <c r="M213" s="87" t="str">
        <f t="shared" ref="M213:M218" si="53">IF(G213="","",(1/G213)*1000000)</f>
        <v/>
      </c>
      <c r="N213" s="87" t="str">
        <f t="shared" ref="N213:N218" si="54">IF(H213="","",(1/H213)*1000000)</f>
        <v/>
      </c>
      <c r="O213" s="88" t="str">
        <f t="shared" ref="O213:O218" si="55">IF(I213="","",(1/I213)*1000000)</f>
        <v/>
      </c>
    </row>
    <row r="214" spans="1:15" x14ac:dyDescent="0.25">
      <c r="A214" s="81" t="s">
        <v>11</v>
      </c>
      <c r="B214" s="82" t="s">
        <v>9</v>
      </c>
      <c r="C214" s="83" t="s">
        <v>12</v>
      </c>
      <c r="D214" s="100">
        <v>9210</v>
      </c>
      <c r="E214" s="100">
        <v>7265</v>
      </c>
      <c r="F214" s="100">
        <v>4057</v>
      </c>
      <c r="G214" s="85"/>
      <c r="H214" s="86"/>
      <c r="I214" s="86"/>
      <c r="J214" s="87">
        <f t="shared" si="50"/>
        <v>108.57763300760044</v>
      </c>
      <c r="K214" s="87">
        <f t="shared" si="51"/>
        <v>137.64624913971096</v>
      </c>
      <c r="L214" s="87">
        <f t="shared" si="52"/>
        <v>246.48755237860487</v>
      </c>
      <c r="M214" s="87" t="str">
        <f t="shared" si="53"/>
        <v/>
      </c>
      <c r="N214" s="87" t="str">
        <f t="shared" si="54"/>
        <v/>
      </c>
      <c r="O214" s="88" t="str">
        <f t="shared" si="55"/>
        <v/>
      </c>
    </row>
    <row r="215" spans="1:15" x14ac:dyDescent="0.25">
      <c r="A215" s="81" t="s">
        <v>13</v>
      </c>
      <c r="B215" s="82" t="s">
        <v>14</v>
      </c>
      <c r="C215" s="83" t="s">
        <v>10</v>
      </c>
      <c r="D215" s="100">
        <v>36924</v>
      </c>
      <c r="E215" s="100">
        <v>17378</v>
      </c>
      <c r="F215" s="100">
        <v>5580</v>
      </c>
      <c r="G215" s="85"/>
      <c r="H215" s="86"/>
      <c r="I215" s="86"/>
      <c r="J215" s="87">
        <f t="shared" si="50"/>
        <v>27.082656266926659</v>
      </c>
      <c r="K215" s="87">
        <f t="shared" si="51"/>
        <v>57.544021176199792</v>
      </c>
      <c r="L215" s="87">
        <f t="shared" si="52"/>
        <v>179.21146953405017</v>
      </c>
      <c r="M215" s="87" t="str">
        <f t="shared" si="53"/>
        <v/>
      </c>
      <c r="N215" s="87" t="str">
        <f t="shared" si="54"/>
        <v/>
      </c>
      <c r="O215" s="88" t="str">
        <f t="shared" si="55"/>
        <v/>
      </c>
    </row>
    <row r="216" spans="1:15" x14ac:dyDescent="0.25">
      <c r="A216" s="81" t="s">
        <v>15</v>
      </c>
      <c r="B216" s="82" t="s">
        <v>14</v>
      </c>
      <c r="C216" s="83" t="s">
        <v>12</v>
      </c>
      <c r="D216" s="100">
        <v>9238</v>
      </c>
      <c r="E216" s="100">
        <v>7026</v>
      </c>
      <c r="F216" s="100">
        <v>3734</v>
      </c>
      <c r="G216" s="85"/>
      <c r="H216" s="86"/>
      <c r="I216" s="86"/>
      <c r="J216" s="87">
        <f t="shared" si="50"/>
        <v>108.2485386447283</v>
      </c>
      <c r="K216" s="87"/>
      <c r="L216" s="87">
        <f t="shared" si="52"/>
        <v>267.80931976432777</v>
      </c>
      <c r="M216" s="87" t="str">
        <f t="shared" si="53"/>
        <v/>
      </c>
      <c r="N216" s="87" t="str">
        <f t="shared" si="54"/>
        <v/>
      </c>
      <c r="O216" s="88" t="str">
        <f t="shared" si="55"/>
        <v/>
      </c>
    </row>
    <row r="217" spans="1:15" x14ac:dyDescent="0.25">
      <c r="A217" s="81" t="s">
        <v>16</v>
      </c>
      <c r="B217" s="82" t="s">
        <v>17</v>
      </c>
      <c r="C217" s="83" t="s">
        <v>12</v>
      </c>
      <c r="D217" s="100">
        <v>8465</v>
      </c>
      <c r="E217" s="100">
        <v>6532</v>
      </c>
      <c r="F217" s="100">
        <v>3779</v>
      </c>
      <c r="G217" s="85"/>
      <c r="H217" s="86"/>
      <c r="I217" s="86"/>
      <c r="J217" s="87">
        <f t="shared" si="50"/>
        <v>118.13349084465446</v>
      </c>
      <c r="K217" s="87">
        <f>IF(E217="","",(1/E217)*1000000)</f>
        <v>153.09246785058176</v>
      </c>
      <c r="L217" s="87">
        <f t="shared" si="52"/>
        <v>264.62026991267527</v>
      </c>
      <c r="M217" s="87" t="str">
        <f t="shared" si="53"/>
        <v/>
      </c>
      <c r="N217" s="87" t="str">
        <f t="shared" si="54"/>
        <v/>
      </c>
      <c r="O217" s="88" t="str">
        <f t="shared" si="55"/>
        <v/>
      </c>
    </row>
    <row r="218" spans="1:15" x14ac:dyDescent="0.25">
      <c r="A218" s="81" t="s">
        <v>18</v>
      </c>
      <c r="B218" s="82" t="s">
        <v>19</v>
      </c>
      <c r="C218" s="83" t="s">
        <v>12</v>
      </c>
      <c r="D218" s="100">
        <v>8248</v>
      </c>
      <c r="E218" s="100">
        <v>6374</v>
      </c>
      <c r="F218" s="100">
        <v>3734</v>
      </c>
      <c r="G218" s="85"/>
      <c r="H218" s="86"/>
      <c r="I218" s="86"/>
      <c r="J218" s="87">
        <f t="shared" si="50"/>
        <v>121.24151309408342</v>
      </c>
      <c r="K218" s="87">
        <f>IF(E218="","",(1/E218)*1000000)</f>
        <v>156.88735487919672</v>
      </c>
      <c r="L218" s="87">
        <f t="shared" si="52"/>
        <v>267.80931976432777</v>
      </c>
      <c r="M218" s="87" t="str">
        <f t="shared" si="53"/>
        <v/>
      </c>
      <c r="N218" s="87" t="str">
        <f t="shared" si="54"/>
        <v/>
      </c>
      <c r="O218" s="88" t="str">
        <f t="shared" si="55"/>
        <v/>
      </c>
    </row>
    <row r="219" spans="1:15" x14ac:dyDescent="0.25">
      <c r="A219" s="156" t="s">
        <v>223</v>
      </c>
      <c r="B219" s="157"/>
      <c r="C219" s="157"/>
      <c r="D219" s="157"/>
      <c r="E219" s="157"/>
      <c r="F219" s="157"/>
      <c r="G219" s="130" t="s">
        <v>224</v>
      </c>
      <c r="H219" s="130"/>
      <c r="I219" s="130"/>
      <c r="J219" s="195"/>
      <c r="K219" s="195"/>
      <c r="L219" s="195"/>
      <c r="M219" s="157" t="s">
        <v>172</v>
      </c>
      <c r="N219" s="157"/>
      <c r="O219" s="90"/>
    </row>
    <row r="220" spans="1:15" ht="18.75" x14ac:dyDescent="0.3">
      <c r="A220" s="158" t="s">
        <v>186</v>
      </c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59"/>
    </row>
    <row r="221" spans="1:15" x14ac:dyDescent="0.25">
      <c r="A221" s="185" t="s">
        <v>2</v>
      </c>
      <c r="B221" s="186"/>
      <c r="C221" s="187"/>
      <c r="D221" s="188" t="s">
        <v>20</v>
      </c>
      <c r="E221" s="189"/>
      <c r="F221" s="189"/>
      <c r="G221" s="189"/>
      <c r="H221" s="189"/>
      <c r="I221" s="190"/>
      <c r="J221" s="188" t="s">
        <v>23</v>
      </c>
      <c r="K221" s="189"/>
      <c r="L221" s="189"/>
      <c r="M221" s="189"/>
      <c r="N221" s="189"/>
      <c r="O221" s="191"/>
    </row>
    <row r="222" spans="1:15" x14ac:dyDescent="0.25">
      <c r="A222" s="76" t="s">
        <v>5</v>
      </c>
      <c r="B222" s="77" t="s">
        <v>6</v>
      </c>
      <c r="C222" s="77" t="s">
        <v>7</v>
      </c>
      <c r="D222" s="79">
        <v>1</v>
      </c>
      <c r="E222" s="79">
        <v>4</v>
      </c>
      <c r="F222" s="79">
        <v>16</v>
      </c>
      <c r="G222" s="79">
        <v>32</v>
      </c>
      <c r="H222" s="79">
        <v>64</v>
      </c>
      <c r="I222" s="79">
        <v>80</v>
      </c>
      <c r="J222" s="79">
        <v>1</v>
      </c>
      <c r="K222" s="79">
        <v>4</v>
      </c>
      <c r="L222" s="79">
        <v>16</v>
      </c>
      <c r="M222" s="79">
        <v>32</v>
      </c>
      <c r="N222" s="79">
        <v>64</v>
      </c>
      <c r="O222" s="80">
        <v>80</v>
      </c>
    </row>
    <row r="223" spans="1:15" x14ac:dyDescent="0.25">
      <c r="A223" s="81" t="s">
        <v>8</v>
      </c>
      <c r="B223" s="82" t="s">
        <v>9</v>
      </c>
      <c r="C223" s="82" t="s">
        <v>10</v>
      </c>
      <c r="D223" s="91">
        <f>IF(D213="","",(D213-'2018'!D226)/'2018'!D226)</f>
        <v>5.040987468199378E-3</v>
      </c>
      <c r="E223" s="91">
        <f>IF(E213="","",(E213-'2018'!E226)/'2018'!E226)</f>
        <v>0</v>
      </c>
      <c r="F223" s="91">
        <f>IF(F213="","",(F213-'2018'!F226)/'2018'!F226)</f>
        <v>0</v>
      </c>
      <c r="G223" s="91" t="str">
        <f>IF(G213="","",(G213-'2014'!#REF!)/'2014'!#REF!)</f>
        <v/>
      </c>
      <c r="H223" s="91" t="str">
        <f>IF(H213="","",(H213-'2014'!#REF!)/'2014'!#REF!)</f>
        <v/>
      </c>
      <c r="I223" s="87" t="str">
        <f>IF(I213="","",(I213-'2014'!#REF!)/'2014'!#REF!)</f>
        <v/>
      </c>
      <c r="J223" s="87"/>
      <c r="K223" s="87"/>
      <c r="L223" s="87"/>
      <c r="M223" s="87" t="str">
        <f>IF(G223="","",M213-((1/'Proto 2013'!#REF!)*1000000))</f>
        <v/>
      </c>
      <c r="N223" s="87" t="str">
        <f>IF(H223="","",N213-((1/'Proto 2013'!#REF!)*1000000))</f>
        <v/>
      </c>
      <c r="O223" s="88" t="str">
        <f>IF(I223="","",O213-((1/'Proto 2013'!#REF!)*1000000))</f>
        <v/>
      </c>
    </row>
    <row r="224" spans="1:15" x14ac:dyDescent="0.25">
      <c r="A224" s="81" t="s">
        <v>11</v>
      </c>
      <c r="B224" s="82" t="s">
        <v>9</v>
      </c>
      <c r="C224" s="82" t="s">
        <v>12</v>
      </c>
      <c r="D224" s="91">
        <f>IF(D214="","",(D214-'2018'!D227)/'2018'!D227)</f>
        <v>-9.5729013254786458E-2</v>
      </c>
      <c r="E224" s="91">
        <f>IF(E214="","",(E214-'2018'!E227)/'2018'!E227)</f>
        <v>-7.9214195183776939E-2</v>
      </c>
      <c r="F224" s="91">
        <f>IF(F214="","",(F214-'2018'!F227)/'2018'!F227)</f>
        <v>-3.6570885775350274E-2</v>
      </c>
      <c r="G224" s="91" t="str">
        <f>IF(G214="","",(G214-'2014'!#REF!)/'2014'!#REF!)</f>
        <v/>
      </c>
      <c r="H224" s="91" t="str">
        <f>IF(H214="","",(H214-'2014'!#REF!)/'2014'!#REF!)</f>
        <v/>
      </c>
      <c r="I224" s="91" t="str">
        <f>IF(I214="","",(I214-'2014'!#REF!)/'2014'!#REF!)</f>
        <v/>
      </c>
      <c r="J224" s="87"/>
      <c r="K224" s="87"/>
      <c r="L224" s="87"/>
      <c r="M224" s="87" t="str">
        <f>IF(G224="","",M214-((1/'Proto 2013'!#REF!)*1000000))</f>
        <v/>
      </c>
      <c r="N224" s="87" t="str">
        <f>IF(H224="","",N214-((1/'Proto 2013'!#REF!)*1000000))</f>
        <v/>
      </c>
      <c r="O224" s="88" t="str">
        <f>IF(I224="","",O214-((1/'Proto 2013'!#REF!)*1000000))</f>
        <v/>
      </c>
    </row>
    <row r="225" spans="1:15" x14ac:dyDescent="0.25">
      <c r="A225" s="81" t="s">
        <v>13</v>
      </c>
      <c r="B225" s="82" t="s">
        <v>14</v>
      </c>
      <c r="C225" s="82" t="s">
        <v>10</v>
      </c>
      <c r="D225" s="91">
        <f>IF(D215="","",(D215-'2018'!D228)/'2018'!D228)</f>
        <v>-2.1206658890891739E-2</v>
      </c>
      <c r="E225" s="91">
        <f>IF(E215="","",(E215-'2018'!E228)/'2018'!E228)</f>
        <v>8.7688552293922514E-2</v>
      </c>
      <c r="F225" s="91">
        <f>IF(F215="","",(F215-'2018'!F228)/'2018'!F228)</f>
        <v>8.312251535959523E-3</v>
      </c>
      <c r="G225" s="91" t="str">
        <f>IF(G215="","",(G215-'2014'!#REF!)/'2014'!#REF!)</f>
        <v/>
      </c>
      <c r="H225" s="91" t="str">
        <f>IF(H215="","",(H215-'2014'!#REF!)/'2014'!#REF!)</f>
        <v/>
      </c>
      <c r="I225" s="91" t="str">
        <f>IF(I215="","",(I215-'2014'!#REF!)/'2014'!#REF!)</f>
        <v/>
      </c>
      <c r="J225" s="87"/>
      <c r="K225" s="87"/>
      <c r="L225" s="87"/>
      <c r="M225" s="87" t="str">
        <f>IF(G225="","",M215-((1/'Proto 2013'!#REF!)*1000000))</f>
        <v/>
      </c>
      <c r="N225" s="87" t="str">
        <f>IF(H225="","",N215-((1/'Proto 2013'!#REF!)*1000000))</f>
        <v/>
      </c>
      <c r="O225" s="88" t="str">
        <f>IF(I225="","",O215-((1/'Proto 2013'!#REF!)*1000000))</f>
        <v/>
      </c>
    </row>
    <row r="226" spans="1:15" x14ac:dyDescent="0.25">
      <c r="A226" s="81" t="s">
        <v>15</v>
      </c>
      <c r="B226" s="82" t="s">
        <v>14</v>
      </c>
      <c r="C226" s="82" t="s">
        <v>12</v>
      </c>
      <c r="D226" s="91">
        <f>IF(D216="","",(D216-'2018'!D229)/'2018'!D229)</f>
        <v>-3.2366188331413012E-2</v>
      </c>
      <c r="E226" s="91">
        <f>IF(E216="","",(E216-'2018'!E229)/'2018'!E229)</f>
        <v>-2.0766550522648083E-2</v>
      </c>
      <c r="F226" s="91">
        <f>IF(F216="","",(F216-'2018'!F229)/'2018'!F229)</f>
        <v>0</v>
      </c>
      <c r="G226" s="91" t="str">
        <f>IF(G216="","",(G216-'2014'!#REF!)/'2014'!#REF!)</f>
        <v/>
      </c>
      <c r="H226" s="91" t="str">
        <f>IF(H216="","",(H216-'2014'!#REF!)/'2014'!#REF!)</f>
        <v/>
      </c>
      <c r="I226" s="91" t="str">
        <f>IF(I216="","",(I216-'2014'!#REF!)/'2014'!#REF!)</f>
        <v/>
      </c>
      <c r="J226" s="87"/>
      <c r="K226" s="87"/>
      <c r="L226" s="87"/>
      <c r="M226" s="87" t="str">
        <f>IF(G226="","",M216-((1/'Proto 2013'!#REF!)*1000000))</f>
        <v/>
      </c>
      <c r="N226" s="87" t="str">
        <f>IF(H226="","",N216-((1/'Proto 2013'!#REF!)*1000000))</f>
        <v/>
      </c>
      <c r="O226" s="88" t="str">
        <f>IF(I226="","",O216-((1/'Proto 2013'!#REF!)*1000000))</f>
        <v/>
      </c>
    </row>
    <row r="227" spans="1:15" x14ac:dyDescent="0.25">
      <c r="A227" s="81" t="s">
        <v>16</v>
      </c>
      <c r="B227" s="82" t="s">
        <v>17</v>
      </c>
      <c r="C227" s="82" t="s">
        <v>12</v>
      </c>
      <c r="D227" s="91">
        <f>IF(D217="","",(D217-'2018'!D230)/'2018'!D230)</f>
        <v>-2.7682058350562831E-2</v>
      </c>
      <c r="E227" s="91">
        <f>IF(E217="","",(E217-'2018'!E230)/'2018'!E230)</f>
        <v>-4.279015240328253E-2</v>
      </c>
      <c r="F227" s="91">
        <f>IF(F217="","",(F217-'2018'!F230)/'2018'!F230)</f>
        <v>-4.715078164397378E-2</v>
      </c>
      <c r="G227" s="91" t="str">
        <f>IF(G217="","",(G217-'2014'!#REF!)/'2014'!#REF!)</f>
        <v/>
      </c>
      <c r="H227" s="91" t="str">
        <f>IF(H217="","",(H217-'2014'!#REF!)/'2014'!#REF!)</f>
        <v/>
      </c>
      <c r="I227" s="91" t="str">
        <f>IF(I217="","",(I217-'2014'!#REF!)/'2014'!#REF!)</f>
        <v/>
      </c>
      <c r="J227" s="87"/>
      <c r="K227" s="87"/>
      <c r="L227" s="87"/>
      <c r="M227" s="87" t="str">
        <f>IF(G227="","",M217-((1/'Proto 2013'!#REF!)*1000000))</f>
        <v/>
      </c>
      <c r="N227" s="87" t="str">
        <f>IF(H227="","",N217-((1/'Proto 2013'!#REF!)*1000000))</f>
        <v/>
      </c>
      <c r="O227" s="88" t="str">
        <f>IF(I227="","",O217-((1/'Proto 2013'!#REF!)*1000000))</f>
        <v/>
      </c>
    </row>
    <row r="228" spans="1:15" ht="15.75" thickBot="1" x14ac:dyDescent="0.3">
      <c r="A228" s="92" t="s">
        <v>18</v>
      </c>
      <c r="B228" s="93" t="s">
        <v>19</v>
      </c>
      <c r="C228" s="93" t="s">
        <v>12</v>
      </c>
      <c r="D228" s="91">
        <f>IF(D218="","",(D218-'2018'!D231)/'2018'!D231)</f>
        <v>-2.5289529662018435E-2</v>
      </c>
      <c r="E228" s="91">
        <f>IF(E218="","",(E218-'2018'!E231)/'2018'!E231)</f>
        <v>4.2695893996401113E-2</v>
      </c>
      <c r="F228" s="91">
        <f>IF(F218="","",(F218-'2018'!F231)/'2018'!F231)</f>
        <v>0</v>
      </c>
      <c r="G228" s="94" t="str">
        <f>IF(G218="","",(G218-'2014'!#REF!)/'2014'!#REF!)</f>
        <v/>
      </c>
      <c r="H228" s="94" t="str">
        <f>IF(H218="","",(H218-'2014'!#REF!)/'2014'!#REF!)</f>
        <v/>
      </c>
      <c r="I228" s="94" t="str">
        <f>IF(I218="","",(I218-'2014'!#REF!)/'2014'!#REF!)</f>
        <v/>
      </c>
      <c r="J228" s="95"/>
      <c r="K228" s="95"/>
      <c r="L228" s="95"/>
      <c r="M228" s="95" t="str">
        <f>IF(G228="","",M218-((1/'Proto 2013'!#REF!)*1000000))</f>
        <v/>
      </c>
      <c r="N228" s="95" t="str">
        <f>IF(H228="","",N218-((1/'Proto 2013'!#REF!)*1000000))</f>
        <v/>
      </c>
      <c r="O228" s="96" t="str">
        <f>IF(I228="","",O218-((1/'Proto 2013'!#REF!)*1000000))</f>
        <v/>
      </c>
    </row>
    <row r="229" spans="1:15" ht="18.75" x14ac:dyDescent="0.3">
      <c r="A229" s="158" t="s">
        <v>218</v>
      </c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59"/>
    </row>
    <row r="230" spans="1:15" x14ac:dyDescent="0.25">
      <c r="A230" s="185" t="s">
        <v>2</v>
      </c>
      <c r="B230" s="186"/>
      <c r="C230" s="187"/>
      <c r="D230" s="188" t="s">
        <v>20</v>
      </c>
      <c r="E230" s="189"/>
      <c r="F230" s="189"/>
      <c r="G230" s="189"/>
      <c r="H230" s="189"/>
      <c r="I230" s="190"/>
      <c r="J230" s="188" t="s">
        <v>23</v>
      </c>
      <c r="K230" s="189"/>
      <c r="L230" s="189"/>
      <c r="M230" s="189"/>
      <c r="N230" s="189"/>
      <c r="O230" s="191"/>
    </row>
    <row r="231" spans="1:15" x14ac:dyDescent="0.25">
      <c r="A231" s="76" t="s">
        <v>5</v>
      </c>
      <c r="B231" s="77" t="s">
        <v>6</v>
      </c>
      <c r="C231" s="77" t="s">
        <v>7</v>
      </c>
      <c r="D231" s="79">
        <v>1</v>
      </c>
      <c r="E231" s="79">
        <v>4</v>
      </c>
      <c r="F231" s="79">
        <v>16</v>
      </c>
      <c r="G231" s="79">
        <v>32</v>
      </c>
      <c r="H231" s="79">
        <v>64</v>
      </c>
      <c r="I231" s="79">
        <v>80</v>
      </c>
      <c r="J231" s="79">
        <v>1</v>
      </c>
      <c r="K231" s="79">
        <v>4</v>
      </c>
      <c r="L231" s="79">
        <v>16</v>
      </c>
      <c r="M231" s="79">
        <v>32</v>
      </c>
      <c r="N231" s="79">
        <v>64</v>
      </c>
      <c r="O231" s="80">
        <v>80</v>
      </c>
    </row>
    <row r="232" spans="1:15" x14ac:dyDescent="0.25">
      <c r="A232" s="81" t="s">
        <v>8</v>
      </c>
      <c r="B232" s="82" t="s">
        <v>9</v>
      </c>
      <c r="C232" s="82" t="s">
        <v>10</v>
      </c>
      <c r="D232" s="91">
        <f>IF(D213="","",(D213-'2018'!D270)/'2018'!D270)</f>
        <v>7.8662036708950465E-3</v>
      </c>
      <c r="E232" s="91">
        <f>IF(E213="","",(E213-'2018'!E270)/'2018'!E270)</f>
        <v>0.28412576687116564</v>
      </c>
      <c r="F232" s="91">
        <f>IF(F213="","",(F213-'2018'!F270)/'2018'!F270)</f>
        <v>0</v>
      </c>
      <c r="G232" s="91" t="str">
        <f>IF(G213="","",(G213-'2018'!G330)/'2018'!G330)</f>
        <v/>
      </c>
      <c r="H232" s="91" t="str">
        <f>IF(H213="","",(H213-'2018'!H330)/'2018'!H330)</f>
        <v/>
      </c>
      <c r="I232" s="87" t="e">
        <f>IF(I222="","",(I222-'2014'!#REF!)/'2014'!#REF!)</f>
        <v>#REF!</v>
      </c>
      <c r="J232" s="87"/>
      <c r="K232" s="87"/>
      <c r="L232" s="87"/>
      <c r="M232" s="87" t="str">
        <f>IF(G232="","",M222-((1/'Proto 2013'!#REF!)*1000000))</f>
        <v/>
      </c>
      <c r="N232" s="87" t="str">
        <f>IF(H232="","",N222-((1/'Proto 2013'!#REF!)*1000000))</f>
        <v/>
      </c>
      <c r="O232" s="88" t="e">
        <f>IF(I232="","",O222-((1/'Proto 2013'!#REF!)*1000000))</f>
        <v>#REF!</v>
      </c>
    </row>
    <row r="233" spans="1:15" x14ac:dyDescent="0.25">
      <c r="A233" s="81" t="s">
        <v>11</v>
      </c>
      <c r="B233" s="82" t="s">
        <v>9</v>
      </c>
      <c r="C233" s="82" t="s">
        <v>12</v>
      </c>
      <c r="D233" s="91">
        <f>IF(D214="","",(D214-'2018'!D271)/'2018'!D271)</f>
        <v>-4.1822721598002495E-2</v>
      </c>
      <c r="E233" s="91">
        <f>IF(E214="","",(E214-'2018'!E271)/'2018'!E271)</f>
        <v>-8.3974278149035436E-2</v>
      </c>
      <c r="F233" s="91">
        <f>IF(F214="","",(F214-'2018'!F271)/'2018'!F271)</f>
        <v>-4.6309355900329099E-2</v>
      </c>
      <c r="G233" s="91" t="str">
        <f>IF(G223="","",(G223-'2014'!#REF!)/'2014'!#REF!)</f>
        <v/>
      </c>
      <c r="H233" s="91" t="str">
        <f>IF(H223="","",(H223-'2014'!#REF!)/'2014'!#REF!)</f>
        <v/>
      </c>
      <c r="I233" s="91" t="str">
        <f>IF(I223="","",(I223-'2014'!#REF!)/'2014'!#REF!)</f>
        <v/>
      </c>
      <c r="J233" s="87"/>
      <c r="K233" s="87"/>
      <c r="L233" s="87"/>
      <c r="M233" s="87" t="str">
        <f>IF(G233="","",M223-((1/'Proto 2013'!#REF!)*1000000))</f>
        <v/>
      </c>
      <c r="N233" s="87" t="str">
        <f>IF(H233="","",N223-((1/'Proto 2013'!#REF!)*1000000))</f>
        <v/>
      </c>
      <c r="O233" s="88" t="str">
        <f>IF(I233="","",O223-((1/'Proto 2013'!#REF!)*1000000))</f>
        <v/>
      </c>
    </row>
    <row r="234" spans="1:15" x14ac:dyDescent="0.25">
      <c r="A234" s="81" t="s">
        <v>13</v>
      </c>
      <c r="B234" s="82" t="s">
        <v>14</v>
      </c>
      <c r="C234" s="82" t="s">
        <v>10</v>
      </c>
      <c r="D234" s="91">
        <f>IF(D215="","",(D215-'2018'!D272)/'2018'!D272)</f>
        <v>0.3977363061664837</v>
      </c>
      <c r="E234" s="91">
        <f>IF(E215="","",(E215-'2018'!E272)/'2018'!E272)</f>
        <v>-2.8021701437440573E-2</v>
      </c>
      <c r="F234" s="91">
        <f>IF(F215="","",(F215-'2018'!F272)/'2018'!F272)</f>
        <v>3.7560431387132762E-2</v>
      </c>
      <c r="G234" s="91" t="str">
        <f>IF(G224="","",(G224-'2014'!#REF!)/'2014'!#REF!)</f>
        <v/>
      </c>
      <c r="H234" s="91" t="str">
        <f>IF(H224="","",(H224-'2014'!#REF!)/'2014'!#REF!)</f>
        <v/>
      </c>
      <c r="I234" s="91" t="str">
        <f>IF(I224="","",(I224-'2014'!#REF!)/'2014'!#REF!)</f>
        <v/>
      </c>
      <c r="J234" s="87"/>
      <c r="K234" s="87"/>
      <c r="L234" s="87"/>
      <c r="M234" s="87" t="str">
        <f>IF(G234="","",M224-((1/'Proto 2013'!#REF!)*1000000))</f>
        <v/>
      </c>
      <c r="N234" s="87" t="str">
        <f>IF(H234="","",N224-((1/'Proto 2013'!#REF!)*1000000))</f>
        <v/>
      </c>
      <c r="O234" s="88" t="str">
        <f>IF(I234="","",O224-((1/'Proto 2013'!#REF!)*1000000))</f>
        <v/>
      </c>
    </row>
    <row r="235" spans="1:15" x14ac:dyDescent="0.25">
      <c r="A235" s="81" t="s">
        <v>15</v>
      </c>
      <c r="B235" s="82" t="s">
        <v>14</v>
      </c>
      <c r="C235" s="82" t="s">
        <v>12</v>
      </c>
      <c r="D235" s="91">
        <f>IF(D216="","",(D216-'2018'!D273)/'2018'!D273)</f>
        <v>-3.8909696213067002E-2</v>
      </c>
      <c r="E235" s="91">
        <f>IF(E216="","",(E216-'2018'!E273)/'2018'!E273)</f>
        <v>-5.4501412999596287E-2</v>
      </c>
      <c r="F235" s="91">
        <f>IF(F216="","",(F216-'2018'!F273)/'2018'!F273)</f>
        <v>-5.2524739913727483E-2</v>
      </c>
      <c r="G235" s="91" t="str">
        <f>IF(G225="","",(G225-'2014'!#REF!)/'2014'!#REF!)</f>
        <v/>
      </c>
      <c r="H235" s="91" t="str">
        <f>IF(H225="","",(H225-'2014'!#REF!)/'2014'!#REF!)</f>
        <v/>
      </c>
      <c r="I235" s="91" t="str">
        <f>IF(I225="","",(I225-'2014'!#REF!)/'2014'!#REF!)</f>
        <v/>
      </c>
      <c r="J235" s="87"/>
      <c r="K235" s="87"/>
      <c r="L235" s="87"/>
      <c r="M235" s="87" t="str">
        <f>IF(G235="","",M225-((1/'Proto 2013'!#REF!)*1000000))</f>
        <v/>
      </c>
      <c r="N235" s="87" t="str">
        <f>IF(H235="","",N225-((1/'Proto 2013'!#REF!)*1000000))</f>
        <v/>
      </c>
      <c r="O235" s="88" t="str">
        <f>IF(I235="","",O225-((1/'Proto 2013'!#REF!)*1000000))</f>
        <v/>
      </c>
    </row>
    <row r="236" spans="1:15" x14ac:dyDescent="0.25">
      <c r="A236" s="81" t="s">
        <v>16</v>
      </c>
      <c r="B236" s="82" t="s">
        <v>17</v>
      </c>
      <c r="C236" s="82" t="s">
        <v>12</v>
      </c>
      <c r="D236" s="91">
        <f>IF(D217="","",(D217-'2018'!D274)/'2018'!D274)</f>
        <v>0</v>
      </c>
      <c r="E236" s="91">
        <f>IF(E217="","",(E217-'2018'!E274)/'2018'!E274)</f>
        <v>4.6139649338665023E-3</v>
      </c>
      <c r="F236" s="91">
        <f>IF(F217="","",(F217-'2018'!F274)/'2018'!F274)</f>
        <v>-1.9968879668049791E-2</v>
      </c>
      <c r="G236" s="91" t="str">
        <f>IF(G226="","",(G226-'2014'!#REF!)/'2014'!#REF!)</f>
        <v/>
      </c>
      <c r="H236" s="91" t="str">
        <f>IF(H226="","",(H226-'2014'!#REF!)/'2014'!#REF!)</f>
        <v/>
      </c>
      <c r="I236" s="91" t="str">
        <f>IF(I226="","",(I226-'2014'!#REF!)/'2014'!#REF!)</f>
        <v/>
      </c>
      <c r="J236" s="87"/>
      <c r="K236" s="87"/>
      <c r="L236" s="87"/>
      <c r="M236" s="87" t="str">
        <f>IF(G236="","",M226-((1/'Proto 2013'!#REF!)*1000000))</f>
        <v/>
      </c>
      <c r="N236" s="87" t="str">
        <f>IF(H236="","",N226-((1/'Proto 2013'!#REF!)*1000000))</f>
        <v/>
      </c>
      <c r="O236" s="88" t="str">
        <f>IF(I236="","",O226-((1/'Proto 2013'!#REF!)*1000000))</f>
        <v/>
      </c>
    </row>
    <row r="237" spans="1:15" ht="15.75" thickBot="1" x14ac:dyDescent="0.3">
      <c r="A237" s="92" t="s">
        <v>18</v>
      </c>
      <c r="B237" s="93" t="s">
        <v>19</v>
      </c>
      <c r="C237" s="93" t="s">
        <v>12</v>
      </c>
      <c r="D237" s="91">
        <f>IF(D218="","",(D218-'2018'!D275)/'2018'!D275)</f>
        <v>-3.858258538291176E-2</v>
      </c>
      <c r="E237" s="91">
        <f>IF(E218="","",(E218-'2018'!E275)/'2018'!E275)</f>
        <v>-5.771330525659024E-3</v>
      </c>
      <c r="F237" s="91">
        <f>IF(F218="","",(F218-'2018'!F275)/'2018'!F275)</f>
        <v>-1.5035610656818781E-2</v>
      </c>
      <c r="G237" s="94" t="str">
        <f>IF(G227="","",(G227-'2014'!#REF!)/'2014'!#REF!)</f>
        <v/>
      </c>
      <c r="H237" s="94" t="str">
        <f>IF(H227="","",(H227-'2014'!#REF!)/'2014'!#REF!)</f>
        <v/>
      </c>
      <c r="I237" s="94" t="str">
        <f>IF(I227="","",(I227-'2014'!#REF!)/'2014'!#REF!)</f>
        <v/>
      </c>
      <c r="J237" s="95"/>
      <c r="K237" s="95"/>
      <c r="L237" s="95"/>
      <c r="M237" s="95" t="str">
        <f>IF(G237="","",M227-((1/'Proto 2013'!#REF!)*1000000))</f>
        <v/>
      </c>
      <c r="N237" s="95" t="str">
        <f>IF(H237="","",N227-((1/'Proto 2013'!#REF!)*1000000))</f>
        <v/>
      </c>
      <c r="O237" s="96" t="str">
        <f>IF(I237="","",O227-((1/'Proto 2013'!#REF!)*1000000))</f>
        <v/>
      </c>
    </row>
    <row r="238" spans="1:15" ht="15.75" thickBot="1" x14ac:dyDescent="0.3"/>
    <row r="239" spans="1:15" ht="18.75" x14ac:dyDescent="0.25">
      <c r="A239" s="162" t="s">
        <v>191</v>
      </c>
      <c r="B239" s="163"/>
      <c r="C239" s="163"/>
      <c r="D239" s="163"/>
      <c r="E239" s="163"/>
      <c r="F239" s="163"/>
      <c r="G239" s="163"/>
      <c r="H239" s="163"/>
      <c r="I239" s="163"/>
      <c r="J239" s="163"/>
      <c r="K239" s="163"/>
      <c r="L239" s="163"/>
      <c r="M239" s="163"/>
      <c r="N239" s="163"/>
      <c r="O239" s="164"/>
    </row>
    <row r="240" spans="1:15" ht="15.75" x14ac:dyDescent="0.25">
      <c r="A240" s="165" t="s">
        <v>225</v>
      </c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66"/>
    </row>
    <row r="241" spans="1:15" x14ac:dyDescent="0.25">
      <c r="A241" s="185" t="s">
        <v>2</v>
      </c>
      <c r="B241" s="186"/>
      <c r="C241" s="187"/>
      <c r="D241" s="192" t="s">
        <v>3</v>
      </c>
      <c r="E241" s="193"/>
      <c r="F241" s="193"/>
      <c r="G241" s="193"/>
      <c r="H241" s="193"/>
      <c r="I241" s="194"/>
      <c r="J241" s="188" t="s">
        <v>4</v>
      </c>
      <c r="K241" s="189"/>
      <c r="L241" s="189"/>
      <c r="M241" s="189"/>
      <c r="N241" s="189"/>
      <c r="O241" s="191"/>
    </row>
    <row r="242" spans="1:15" x14ac:dyDescent="0.25">
      <c r="A242" s="76" t="s">
        <v>5</v>
      </c>
      <c r="B242" s="77" t="s">
        <v>6</v>
      </c>
      <c r="C242" s="77" t="s">
        <v>7</v>
      </c>
      <c r="D242" s="78">
        <v>1</v>
      </c>
      <c r="E242" s="78">
        <v>4</v>
      </c>
      <c r="F242" s="78">
        <v>16</v>
      </c>
      <c r="G242" s="79">
        <v>32</v>
      </c>
      <c r="H242" s="79">
        <v>64</v>
      </c>
      <c r="I242" s="79">
        <v>80</v>
      </c>
      <c r="J242" s="79">
        <v>1</v>
      </c>
      <c r="K242" s="79">
        <v>4</v>
      </c>
      <c r="L242" s="79">
        <v>16</v>
      </c>
      <c r="M242" s="79">
        <v>32</v>
      </c>
      <c r="N242" s="79">
        <v>64</v>
      </c>
      <c r="O242" s="80">
        <v>80</v>
      </c>
    </row>
    <row r="243" spans="1:15" x14ac:dyDescent="0.25">
      <c r="A243" s="37" t="s">
        <v>8</v>
      </c>
      <c r="B243" s="82" t="s">
        <v>9</v>
      </c>
      <c r="C243" s="83" t="s">
        <v>10</v>
      </c>
      <c r="D243" s="100">
        <v>38628</v>
      </c>
      <c r="E243" s="100">
        <v>21482</v>
      </c>
      <c r="F243" s="100">
        <v>6344</v>
      </c>
      <c r="G243" s="85"/>
      <c r="H243" s="86"/>
      <c r="I243" s="86"/>
      <c r="J243" s="87">
        <f t="shared" ref="J243:J248" si="56">IF(D243="","",(1/D243)*1000000)</f>
        <v>25.887956922439681</v>
      </c>
      <c r="K243" s="87">
        <f t="shared" ref="K243:K245" si="57">IF(E243="","",(1/E243)*1000000)</f>
        <v>46.550600502746484</v>
      </c>
      <c r="L243" s="87">
        <f t="shared" ref="L243:L248" si="58">IF(F243="","",(1/F243)*1000000)</f>
        <v>157.62925598991174</v>
      </c>
      <c r="M243" s="87" t="str">
        <f t="shared" ref="M243:M248" si="59">IF(G243="","",(1/G243)*1000000)</f>
        <v/>
      </c>
      <c r="N243" s="87" t="str">
        <f t="shared" ref="N243:N248" si="60">IF(H243="","",(1/H243)*1000000)</f>
        <v/>
      </c>
      <c r="O243" s="88" t="str">
        <f t="shared" ref="O243:O248" si="61">IF(I243="","",(1/I243)*1000000)</f>
        <v/>
      </c>
    </row>
    <row r="244" spans="1:15" x14ac:dyDescent="0.25">
      <c r="A244" s="81" t="s">
        <v>11</v>
      </c>
      <c r="B244" s="82" t="s">
        <v>9</v>
      </c>
      <c r="C244" s="83" t="s">
        <v>12</v>
      </c>
      <c r="D244" s="100">
        <v>9293</v>
      </c>
      <c r="E244" s="100">
        <v>7754</v>
      </c>
      <c r="F244" s="100">
        <v>4082</v>
      </c>
      <c r="G244" s="85"/>
      <c r="H244" s="86"/>
      <c r="I244" s="86"/>
      <c r="J244" s="87">
        <f t="shared" si="56"/>
        <v>107.60787689658883</v>
      </c>
      <c r="K244" s="87">
        <f t="shared" si="57"/>
        <v>128.96569512509674</v>
      </c>
      <c r="L244" s="87">
        <f t="shared" si="58"/>
        <v>244.97795198432141</v>
      </c>
      <c r="M244" s="87" t="str">
        <f t="shared" si="59"/>
        <v/>
      </c>
      <c r="N244" s="87" t="str">
        <f t="shared" si="60"/>
        <v/>
      </c>
      <c r="O244" s="88" t="str">
        <f t="shared" si="61"/>
        <v/>
      </c>
    </row>
    <row r="245" spans="1:15" x14ac:dyDescent="0.25">
      <c r="A245" s="81" t="s">
        <v>13</v>
      </c>
      <c r="B245" s="82" t="s">
        <v>14</v>
      </c>
      <c r="C245" s="83" t="s">
        <v>10</v>
      </c>
      <c r="D245" s="100">
        <v>39956</v>
      </c>
      <c r="E245" s="100">
        <v>17541</v>
      </c>
      <c r="F245" s="100">
        <v>5378</v>
      </c>
      <c r="G245" s="85"/>
      <c r="H245" s="86"/>
      <c r="I245" s="86"/>
      <c r="J245" s="87">
        <f t="shared" si="56"/>
        <v>25.027530283311641</v>
      </c>
      <c r="K245" s="87">
        <f t="shared" si="57"/>
        <v>57.009292514679892</v>
      </c>
      <c r="L245" s="87">
        <f t="shared" si="58"/>
        <v>185.94272963927111</v>
      </c>
      <c r="M245" s="87" t="str">
        <f t="shared" si="59"/>
        <v/>
      </c>
      <c r="N245" s="87" t="str">
        <f t="shared" si="60"/>
        <v/>
      </c>
      <c r="O245" s="88" t="str">
        <f t="shared" si="61"/>
        <v/>
      </c>
    </row>
    <row r="246" spans="1:15" x14ac:dyDescent="0.25">
      <c r="A246" s="81" t="s">
        <v>15</v>
      </c>
      <c r="B246" s="82" t="s">
        <v>14</v>
      </c>
      <c r="C246" s="83" t="s">
        <v>12</v>
      </c>
      <c r="D246" s="100">
        <v>9338</v>
      </c>
      <c r="E246" s="100">
        <v>6913</v>
      </c>
      <c r="F246" s="100">
        <v>3824</v>
      </c>
      <c r="G246" s="85"/>
      <c r="H246" s="86"/>
      <c r="I246" s="86"/>
      <c r="J246" s="87">
        <f t="shared" si="56"/>
        <v>107.08931248661384</v>
      </c>
      <c r="K246" s="87"/>
      <c r="L246" s="87">
        <f t="shared" si="58"/>
        <v>261.50627615062757</v>
      </c>
      <c r="M246" s="87" t="str">
        <f t="shared" si="59"/>
        <v/>
      </c>
      <c r="N246" s="87" t="str">
        <f t="shared" si="60"/>
        <v/>
      </c>
      <c r="O246" s="88" t="str">
        <f t="shared" si="61"/>
        <v/>
      </c>
    </row>
    <row r="247" spans="1:15" x14ac:dyDescent="0.25">
      <c r="A247" s="81" t="s">
        <v>16</v>
      </c>
      <c r="B247" s="82" t="s">
        <v>17</v>
      </c>
      <c r="C247" s="83" t="s">
        <v>12</v>
      </c>
      <c r="D247" s="100">
        <v>8593</v>
      </c>
      <c r="E247" s="100">
        <v>6480</v>
      </c>
      <c r="F247" s="100">
        <v>3848</v>
      </c>
      <c r="G247" s="85"/>
      <c r="H247" s="86"/>
      <c r="I247" s="86"/>
      <c r="J247" s="87">
        <f t="shared" si="56"/>
        <v>116.37379262190154</v>
      </c>
      <c r="K247" s="87">
        <f>IF(E247="","",(1/E247)*1000000)</f>
        <v>154.32098765432099</v>
      </c>
      <c r="L247" s="87">
        <f t="shared" si="58"/>
        <v>259.87525987525987</v>
      </c>
      <c r="M247" s="87" t="str">
        <f t="shared" si="59"/>
        <v/>
      </c>
      <c r="N247" s="87" t="str">
        <f t="shared" si="60"/>
        <v/>
      </c>
      <c r="O247" s="88" t="str">
        <f t="shared" si="61"/>
        <v/>
      </c>
    </row>
    <row r="248" spans="1:15" x14ac:dyDescent="0.25">
      <c r="A248" s="81" t="s">
        <v>18</v>
      </c>
      <c r="B248" s="82" t="s">
        <v>19</v>
      </c>
      <c r="C248" s="83" t="s">
        <v>12</v>
      </c>
      <c r="D248" s="100">
        <v>8465</v>
      </c>
      <c r="E248" s="100">
        <v>6294</v>
      </c>
      <c r="F248" s="100">
        <v>3742</v>
      </c>
      <c r="G248" s="85"/>
      <c r="H248" s="86"/>
      <c r="I248" s="86"/>
      <c r="J248" s="87">
        <f t="shared" si="56"/>
        <v>118.13349084465446</v>
      </c>
      <c r="K248" s="87">
        <f>IF(E248="","",(1/E248)*1000000)</f>
        <v>158.88147442008264</v>
      </c>
      <c r="L248" s="87">
        <f t="shared" si="58"/>
        <v>267.23677177979687</v>
      </c>
      <c r="M248" s="87" t="str">
        <f t="shared" si="59"/>
        <v/>
      </c>
      <c r="N248" s="87" t="str">
        <f t="shared" si="60"/>
        <v/>
      </c>
      <c r="O248" s="88" t="str">
        <f t="shared" si="61"/>
        <v/>
      </c>
    </row>
    <row r="249" spans="1:15" x14ac:dyDescent="0.25">
      <c r="A249" s="156" t="s">
        <v>226</v>
      </c>
      <c r="B249" s="157"/>
      <c r="C249" s="157"/>
      <c r="D249" s="157"/>
      <c r="E249" s="157"/>
      <c r="F249" s="157"/>
      <c r="G249" s="130" t="s">
        <v>224</v>
      </c>
      <c r="H249" s="130"/>
      <c r="I249" s="130"/>
      <c r="J249" s="195"/>
      <c r="K249" s="195"/>
      <c r="L249" s="195"/>
      <c r="M249" s="157" t="s">
        <v>172</v>
      </c>
      <c r="N249" s="157"/>
      <c r="O249" s="90"/>
    </row>
    <row r="250" spans="1:15" ht="18.75" x14ac:dyDescent="0.3">
      <c r="A250" s="158" t="s">
        <v>186</v>
      </c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59"/>
    </row>
    <row r="251" spans="1:15" x14ac:dyDescent="0.25">
      <c r="A251" s="185" t="s">
        <v>2</v>
      </c>
      <c r="B251" s="186"/>
      <c r="C251" s="187"/>
      <c r="D251" s="188" t="s">
        <v>20</v>
      </c>
      <c r="E251" s="189"/>
      <c r="F251" s="189"/>
      <c r="G251" s="189"/>
      <c r="H251" s="189"/>
      <c r="I251" s="190"/>
      <c r="J251" s="188" t="s">
        <v>23</v>
      </c>
      <c r="K251" s="189"/>
      <c r="L251" s="189"/>
      <c r="M251" s="189"/>
      <c r="N251" s="189"/>
      <c r="O251" s="191"/>
    </row>
    <row r="252" spans="1:15" x14ac:dyDescent="0.25">
      <c r="A252" s="76" t="s">
        <v>5</v>
      </c>
      <c r="B252" s="77" t="s">
        <v>6</v>
      </c>
      <c r="C252" s="77" t="s">
        <v>7</v>
      </c>
      <c r="D252" s="79">
        <v>1</v>
      </c>
      <c r="E252" s="79">
        <v>4</v>
      </c>
      <c r="F252" s="79">
        <v>16</v>
      </c>
      <c r="G252" s="79">
        <v>32</v>
      </c>
      <c r="H252" s="79">
        <v>64</v>
      </c>
      <c r="I252" s="79">
        <v>80</v>
      </c>
      <c r="J252" s="79">
        <v>1</v>
      </c>
      <c r="K252" s="79">
        <v>4</v>
      </c>
      <c r="L252" s="79">
        <v>16</v>
      </c>
      <c r="M252" s="79">
        <v>32</v>
      </c>
      <c r="N252" s="79">
        <v>64</v>
      </c>
      <c r="O252" s="80">
        <v>80</v>
      </c>
    </row>
    <row r="253" spans="1:15" x14ac:dyDescent="0.25">
      <c r="A253" s="81" t="s">
        <v>8</v>
      </c>
      <c r="B253" s="82" t="s">
        <v>9</v>
      </c>
      <c r="C253" s="82" t="s">
        <v>10</v>
      </c>
      <c r="D253" s="91">
        <f>IF(D243="","",(D243-'2018'!D226)/'2018'!D226)</f>
        <v>-9.0078205973805711E-2</v>
      </c>
      <c r="E253" s="91">
        <f>IF(E243="","",(E243-'2018'!E226)/'2018'!E226)</f>
        <v>6.9075345874390362E-2</v>
      </c>
      <c r="F253" s="91">
        <f>IF(F243="","",(F243-'2018'!F226)/'2018'!F226)</f>
        <v>5.6804930867899381E-2</v>
      </c>
      <c r="G253" s="91" t="str">
        <f>IF(G243="","",(G243-'2014'!#REF!)/'2014'!#REF!)</f>
        <v/>
      </c>
      <c r="H253" s="91" t="str">
        <f>IF(H243="","",(H243-'2014'!#REF!)/'2014'!#REF!)</f>
        <v/>
      </c>
      <c r="I253" s="87" t="str">
        <f>IF(I243="","",(I243-'2014'!#REF!)/'2014'!#REF!)</f>
        <v/>
      </c>
      <c r="J253" s="87"/>
      <c r="K253" s="87"/>
      <c r="L253" s="87"/>
      <c r="M253" s="87" t="str">
        <f>IF(G253="","",M243-((1/'Proto 2013'!#REF!)*1000000))</f>
        <v/>
      </c>
      <c r="N253" s="87" t="str">
        <f>IF(H253="","",N243-((1/'Proto 2013'!#REF!)*1000000))</f>
        <v/>
      </c>
      <c r="O253" s="88" t="str">
        <f>IF(I253="","",O243-((1/'Proto 2013'!#REF!)*1000000))</f>
        <v/>
      </c>
    </row>
    <row r="254" spans="1:15" x14ac:dyDescent="0.25">
      <c r="A254" s="81" t="s">
        <v>11</v>
      </c>
      <c r="B254" s="82" t="s">
        <v>9</v>
      </c>
      <c r="C254" s="82" t="s">
        <v>12</v>
      </c>
      <c r="D254" s="91">
        <f>IF(D244="","",(D244-'2018'!D227)/'2018'!D227)</f>
        <v>-8.7579774177712316E-2</v>
      </c>
      <c r="E254" s="91">
        <f>IF(E244="","",(E244-'2018'!E227)/'2018'!E227)</f>
        <v>-1.723700887198986E-2</v>
      </c>
      <c r="F254" s="91">
        <f>IF(F244="","",(F244-'2018'!F227)/'2018'!F227)</f>
        <v>-3.0634053668962241E-2</v>
      </c>
      <c r="G254" s="91" t="str">
        <f>IF(G244="","",(G244-'2014'!#REF!)/'2014'!#REF!)</f>
        <v/>
      </c>
      <c r="H254" s="91" t="str">
        <f>IF(H244="","",(H244-'2014'!#REF!)/'2014'!#REF!)</f>
        <v/>
      </c>
      <c r="I254" s="91" t="str">
        <f>IF(I244="","",(I244-'2014'!#REF!)/'2014'!#REF!)</f>
        <v/>
      </c>
      <c r="J254" s="87"/>
      <c r="K254" s="87"/>
      <c r="L254" s="87"/>
      <c r="M254" s="87" t="str">
        <f>IF(G254="","",M244-((1/'Proto 2013'!#REF!)*1000000))</f>
        <v/>
      </c>
      <c r="N254" s="87" t="str">
        <f>IF(H254="","",N244-((1/'Proto 2013'!#REF!)*1000000))</f>
        <v/>
      </c>
      <c r="O254" s="88" t="str">
        <f>IF(I254="","",O244-((1/'Proto 2013'!#REF!)*1000000))</f>
        <v/>
      </c>
    </row>
    <row r="255" spans="1:15" x14ac:dyDescent="0.25">
      <c r="A255" s="81" t="s">
        <v>13</v>
      </c>
      <c r="B255" s="82" t="s">
        <v>14</v>
      </c>
      <c r="C255" s="82" t="s">
        <v>10</v>
      </c>
      <c r="D255" s="91">
        <f>IF(D245="","",(D245-'2018'!D228)/'2018'!D228)</f>
        <v>5.9166578305587955E-2</v>
      </c>
      <c r="E255" s="91">
        <f>IF(E245="","",(E245-'2018'!E228)/'2018'!E228)</f>
        <v>9.7890717906991304E-2</v>
      </c>
      <c r="F255" s="91">
        <f>IF(F245="","",(F245-'2018'!F228)/'2018'!F228)</f>
        <v>-2.8189374774123598E-2</v>
      </c>
      <c r="G255" s="91" t="str">
        <f>IF(G245="","",(G245-'2014'!#REF!)/'2014'!#REF!)</f>
        <v/>
      </c>
      <c r="H255" s="91" t="str">
        <f>IF(H245="","",(H245-'2014'!#REF!)/'2014'!#REF!)</f>
        <v/>
      </c>
      <c r="I255" s="91" t="str">
        <f>IF(I245="","",(I245-'2014'!#REF!)/'2014'!#REF!)</f>
        <v/>
      </c>
      <c r="J255" s="87"/>
      <c r="K255" s="87"/>
      <c r="L255" s="87"/>
      <c r="M255" s="87" t="str">
        <f>IF(G255="","",M245-((1/'Proto 2013'!#REF!)*1000000))</f>
        <v/>
      </c>
      <c r="N255" s="87" t="str">
        <f>IF(H255="","",N245-((1/'Proto 2013'!#REF!)*1000000))</f>
        <v/>
      </c>
      <c r="O255" s="88" t="str">
        <f>IF(I255="","",O245-((1/'Proto 2013'!#REF!)*1000000))</f>
        <v/>
      </c>
    </row>
    <row r="256" spans="1:15" x14ac:dyDescent="0.25">
      <c r="A256" s="81" t="s">
        <v>15</v>
      </c>
      <c r="B256" s="82" t="s">
        <v>14</v>
      </c>
      <c r="C256" s="82" t="s">
        <v>12</v>
      </c>
      <c r="D256" s="91">
        <f>IF(D246="","",(D246-'2018'!D229)/'2018'!D229)</f>
        <v>-2.189169372577773E-2</v>
      </c>
      <c r="E256" s="91">
        <f>IF(E246="","",(E246-'2018'!E229)/'2018'!E229)</f>
        <v>-3.6515679442508713E-2</v>
      </c>
      <c r="F256" s="91">
        <f>IF(F246="","",(F246-'2018'!F229)/'2018'!F229)</f>
        <v>2.4102838778789503E-2</v>
      </c>
      <c r="G256" s="91" t="str">
        <f>IF(G246="","",(G246-'2014'!#REF!)/'2014'!#REF!)</f>
        <v/>
      </c>
      <c r="H256" s="91" t="str">
        <f>IF(H246="","",(H246-'2014'!#REF!)/'2014'!#REF!)</f>
        <v/>
      </c>
      <c r="I256" s="91" t="str">
        <f>IF(I246="","",(I246-'2014'!#REF!)/'2014'!#REF!)</f>
        <v/>
      </c>
      <c r="J256" s="87"/>
      <c r="K256" s="87"/>
      <c r="L256" s="87"/>
      <c r="M256" s="87" t="str">
        <f>IF(G256="","",M246-((1/'Proto 2013'!#REF!)*1000000))</f>
        <v/>
      </c>
      <c r="N256" s="87" t="str">
        <f>IF(H256="","",N246-((1/'Proto 2013'!#REF!)*1000000))</f>
        <v/>
      </c>
      <c r="O256" s="88" t="str">
        <f>IF(I256="","",O246-((1/'Proto 2013'!#REF!)*1000000))</f>
        <v/>
      </c>
    </row>
    <row r="257" spans="1:15" x14ac:dyDescent="0.25">
      <c r="A257" s="81" t="s">
        <v>16</v>
      </c>
      <c r="B257" s="82" t="s">
        <v>17</v>
      </c>
      <c r="C257" s="82" t="s">
        <v>12</v>
      </c>
      <c r="D257" s="91">
        <f>IF(D247="","",(D247-'2018'!D230)/'2018'!D230)</f>
        <v>-1.2979554330346888E-2</v>
      </c>
      <c r="E257" s="91">
        <f>IF(E247="","",(E247-'2018'!E230)/'2018'!E230)</f>
        <v>-5.0410316529894493E-2</v>
      </c>
      <c r="F257" s="91">
        <f>IF(F247="","",(F247-'2018'!F230)/'2018'!F230)</f>
        <v>-2.9752899646999495E-2</v>
      </c>
      <c r="G257" s="91" t="str">
        <f>IF(G247="","",(G247-'2014'!#REF!)/'2014'!#REF!)</f>
        <v/>
      </c>
      <c r="H257" s="91" t="str">
        <f>IF(H247="","",(H247-'2014'!#REF!)/'2014'!#REF!)</f>
        <v/>
      </c>
      <c r="I257" s="91" t="str">
        <f>IF(I247="","",(I247-'2014'!#REF!)/'2014'!#REF!)</f>
        <v/>
      </c>
      <c r="J257" s="87"/>
      <c r="K257" s="87"/>
      <c r="L257" s="87"/>
      <c r="M257" s="87" t="str">
        <f>IF(G257="","",M247-((1/'Proto 2013'!#REF!)*1000000))</f>
        <v/>
      </c>
      <c r="N257" s="87" t="str">
        <f>IF(H257="","",N247-((1/'Proto 2013'!#REF!)*1000000))</f>
        <v/>
      </c>
      <c r="O257" s="88" t="str">
        <f>IF(I257="","",O247-((1/'Proto 2013'!#REF!)*1000000))</f>
        <v/>
      </c>
    </row>
    <row r="258" spans="1:15" ht="15.75" thickBot="1" x14ac:dyDescent="0.3">
      <c r="A258" s="92" t="s">
        <v>18</v>
      </c>
      <c r="B258" s="93" t="s">
        <v>19</v>
      </c>
      <c r="C258" s="93" t="s">
        <v>12</v>
      </c>
      <c r="D258" s="91">
        <f>IF(D248="","",(D248-'2018'!D231)/'2018'!D231)</f>
        <v>3.5452611675726778E-4</v>
      </c>
      <c r="E258" s="91">
        <f>IF(E248="","",(E248-'2018'!E231)/'2018'!E231)</f>
        <v>2.9609029936201538E-2</v>
      </c>
      <c r="F258" s="91">
        <f>IF(F248="","",(F248-'2018'!F231)/'2018'!F231)</f>
        <v>2.1424745581146223E-3</v>
      </c>
      <c r="G258" s="94" t="str">
        <f>IF(G248="","",(G248-'2014'!#REF!)/'2014'!#REF!)</f>
        <v/>
      </c>
      <c r="H258" s="94" t="str">
        <f>IF(H248="","",(H248-'2014'!#REF!)/'2014'!#REF!)</f>
        <v/>
      </c>
      <c r="I258" s="94" t="str">
        <f>IF(I248="","",(I248-'2014'!#REF!)/'2014'!#REF!)</f>
        <v/>
      </c>
      <c r="J258" s="95"/>
      <c r="K258" s="95"/>
      <c r="L258" s="95"/>
      <c r="M258" s="95" t="str">
        <f>IF(G258="","",M248-((1/'Proto 2013'!#REF!)*1000000))</f>
        <v/>
      </c>
      <c r="N258" s="95" t="str">
        <f>IF(H258="","",N248-((1/'Proto 2013'!#REF!)*1000000))</f>
        <v/>
      </c>
      <c r="O258" s="96" t="str">
        <f>IF(I258="","",O248-((1/'Proto 2013'!#REF!)*1000000))</f>
        <v/>
      </c>
    </row>
    <row r="259" spans="1:15" ht="18.75" x14ac:dyDescent="0.3">
      <c r="A259" s="158" t="s">
        <v>218</v>
      </c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59"/>
    </row>
    <row r="260" spans="1:15" x14ac:dyDescent="0.25">
      <c r="A260" s="185" t="s">
        <v>2</v>
      </c>
      <c r="B260" s="186"/>
      <c r="C260" s="187"/>
      <c r="D260" s="188" t="s">
        <v>20</v>
      </c>
      <c r="E260" s="189"/>
      <c r="F260" s="189"/>
      <c r="G260" s="189"/>
      <c r="H260" s="189"/>
      <c r="I260" s="190"/>
      <c r="J260" s="188" t="s">
        <v>23</v>
      </c>
      <c r="K260" s="189"/>
      <c r="L260" s="189"/>
      <c r="M260" s="189"/>
      <c r="N260" s="189"/>
      <c r="O260" s="191"/>
    </row>
    <row r="261" spans="1:15" x14ac:dyDescent="0.25">
      <c r="A261" s="76" t="s">
        <v>5</v>
      </c>
      <c r="B261" s="77" t="s">
        <v>6</v>
      </c>
      <c r="C261" s="77" t="s">
        <v>7</v>
      </c>
      <c r="D261" s="79">
        <v>1</v>
      </c>
      <c r="E261" s="79">
        <v>4</v>
      </c>
      <c r="F261" s="79">
        <v>16</v>
      </c>
      <c r="G261" s="79">
        <v>32</v>
      </c>
      <c r="H261" s="79">
        <v>64</v>
      </c>
      <c r="I261" s="79">
        <v>80</v>
      </c>
      <c r="J261" s="79">
        <v>1</v>
      </c>
      <c r="K261" s="79">
        <v>4</v>
      </c>
      <c r="L261" s="79">
        <v>16</v>
      </c>
      <c r="M261" s="79">
        <v>32</v>
      </c>
      <c r="N261" s="79">
        <v>64</v>
      </c>
      <c r="O261" s="80">
        <v>80</v>
      </c>
    </row>
    <row r="262" spans="1:15" x14ac:dyDescent="0.25">
      <c r="A262" s="81" t="s">
        <v>8</v>
      </c>
      <c r="B262" s="82" t="s">
        <v>9</v>
      </c>
      <c r="C262" s="82" t="s">
        <v>10</v>
      </c>
      <c r="D262" s="91">
        <f>IF(D243="","",(D243-'2018'!D270)/'2018'!D270)</f>
        <v>-8.7520374176174615E-2</v>
      </c>
      <c r="E262" s="91">
        <f>IF(E243="","",(E243-'2018'!E270)/'2018'!E270)</f>
        <v>0.37282719836400818</v>
      </c>
      <c r="F262" s="91">
        <f>IF(F243="","",(F243-'2018'!F270)/'2018'!F270)</f>
        <v>5.6804930867899381E-2</v>
      </c>
      <c r="G262" s="91" t="str">
        <f>IF(G243="","",(G243-'2018'!G360)/'2018'!G360)</f>
        <v/>
      </c>
      <c r="H262" s="91" t="str">
        <f>IF(H243="","",(H243-'2018'!H360)/'2018'!H360)</f>
        <v/>
      </c>
      <c r="I262" s="87" t="e">
        <f>IF(I252="","",(I252-'2014'!#REF!)/'2014'!#REF!)</f>
        <v>#REF!</v>
      </c>
      <c r="J262" s="87"/>
      <c r="K262" s="87"/>
      <c r="L262" s="87"/>
      <c r="M262" s="87" t="str">
        <f>IF(G262="","",M252-((1/'Proto 2013'!#REF!)*1000000))</f>
        <v/>
      </c>
      <c r="N262" s="87" t="str">
        <f>IF(H262="","",N252-((1/'Proto 2013'!#REF!)*1000000))</f>
        <v/>
      </c>
      <c r="O262" s="88" t="e">
        <f>IF(I262="","",O252-((1/'Proto 2013'!#REF!)*1000000))</f>
        <v>#REF!</v>
      </c>
    </row>
    <row r="263" spans="1:15" x14ac:dyDescent="0.25">
      <c r="A263" s="81" t="s">
        <v>11</v>
      </c>
      <c r="B263" s="82" t="s">
        <v>9</v>
      </c>
      <c r="C263" s="82" t="s">
        <v>12</v>
      </c>
      <c r="D263" s="91">
        <f>IF(D244="","",(D244-'2018'!D271)/'2018'!D271)</f>
        <v>-3.3187682064086559E-2</v>
      </c>
      <c r="E263" s="91">
        <f>IF(E244="","",(E244-'2018'!E271)/'2018'!E271)</f>
        <v>-2.2317488336905812E-2</v>
      </c>
      <c r="F263" s="91">
        <f>IF(F244="","",(F244-'2018'!F271)/'2018'!F271)</f>
        <v>-4.0432534085566525E-2</v>
      </c>
      <c r="G263" s="91" t="str">
        <f>IF(G253="","",(G253-'2014'!#REF!)/'2014'!#REF!)</f>
        <v/>
      </c>
      <c r="H263" s="91" t="str">
        <f>IF(H253="","",(H253-'2014'!#REF!)/'2014'!#REF!)</f>
        <v/>
      </c>
      <c r="I263" s="91" t="str">
        <f>IF(I253="","",(I253-'2014'!#REF!)/'2014'!#REF!)</f>
        <v/>
      </c>
      <c r="J263" s="87"/>
      <c r="K263" s="87"/>
      <c r="L263" s="87"/>
      <c r="M263" s="87" t="str">
        <f>IF(G263="","",M253-((1/'Proto 2013'!#REF!)*1000000))</f>
        <v/>
      </c>
      <c r="N263" s="87" t="str">
        <f>IF(H263="","",N253-((1/'Proto 2013'!#REF!)*1000000))</f>
        <v/>
      </c>
      <c r="O263" s="88" t="str">
        <f>IF(I263="","",O253-((1/'Proto 2013'!#REF!)*1000000))</f>
        <v/>
      </c>
    </row>
    <row r="264" spans="1:15" x14ac:dyDescent="0.25">
      <c r="A264" s="81" t="s">
        <v>13</v>
      </c>
      <c r="B264" s="82" t="s">
        <v>14</v>
      </c>
      <c r="C264" s="82" t="s">
        <v>10</v>
      </c>
      <c r="D264" s="91">
        <f>IF(D245="","",(D245-'2018'!D272)/'2018'!D272)</f>
        <v>0.51251088314343041</v>
      </c>
      <c r="E264" s="91">
        <f>IF(E245="","",(E245-'2018'!E272)/'2018'!E272)</f>
        <v>-1.8904860450808209E-2</v>
      </c>
      <c r="F264" s="91">
        <f>IF(F245="","",(F245-'2018'!F272)/'2018'!F272)</f>
        <v>0</v>
      </c>
      <c r="G264" s="91" t="str">
        <f>IF(G254="","",(G254-'2014'!#REF!)/'2014'!#REF!)</f>
        <v/>
      </c>
      <c r="H264" s="91" t="str">
        <f>IF(H254="","",(H254-'2014'!#REF!)/'2014'!#REF!)</f>
        <v/>
      </c>
      <c r="I264" s="91" t="str">
        <f>IF(I254="","",(I254-'2014'!#REF!)/'2014'!#REF!)</f>
        <v/>
      </c>
      <c r="J264" s="87"/>
      <c r="K264" s="87"/>
      <c r="L264" s="87"/>
      <c r="M264" s="87" t="str">
        <f>IF(G264="","",M254-((1/'Proto 2013'!#REF!)*1000000))</f>
        <v/>
      </c>
      <c r="N264" s="87" t="str">
        <f>IF(H264="","",N254-((1/'Proto 2013'!#REF!)*1000000))</f>
        <v/>
      </c>
      <c r="O264" s="88" t="str">
        <f>IF(I264="","",O254-((1/'Proto 2013'!#REF!)*1000000))</f>
        <v/>
      </c>
    </row>
    <row r="265" spans="1:15" x14ac:dyDescent="0.25">
      <c r="A265" s="81" t="s">
        <v>15</v>
      </c>
      <c r="B265" s="82" t="s">
        <v>14</v>
      </c>
      <c r="C265" s="82" t="s">
        <v>12</v>
      </c>
      <c r="D265" s="91">
        <f>IF(D246="","",(D246-'2018'!D273)/'2018'!D273)</f>
        <v>-2.8506034124011651E-2</v>
      </c>
      <c r="E265" s="91">
        <f>IF(E246="","",(E246-'2018'!E273)/'2018'!E273)</f>
        <v>-6.9707980083434262E-2</v>
      </c>
      <c r="F265" s="91">
        <f>IF(F246="","",(F246-'2018'!F273)/'2018'!F273)</f>
        <v>-2.9687896472976403E-2</v>
      </c>
      <c r="G265" s="91" t="str">
        <f>IF(G255="","",(G255-'2014'!#REF!)/'2014'!#REF!)</f>
        <v/>
      </c>
      <c r="H265" s="91" t="str">
        <f>IF(H255="","",(H255-'2014'!#REF!)/'2014'!#REF!)</f>
        <v/>
      </c>
      <c r="I265" s="91" t="str">
        <f>IF(I255="","",(I255-'2014'!#REF!)/'2014'!#REF!)</f>
        <v/>
      </c>
      <c r="J265" s="87"/>
      <c r="K265" s="87"/>
      <c r="L265" s="87"/>
      <c r="M265" s="87" t="str">
        <f>IF(G265="","",M255-((1/'Proto 2013'!#REF!)*1000000))</f>
        <v/>
      </c>
      <c r="N265" s="87" t="str">
        <f>IF(H265="","",N255-((1/'Proto 2013'!#REF!)*1000000))</f>
        <v/>
      </c>
      <c r="O265" s="88" t="str">
        <f>IF(I265="","",O255-((1/'Proto 2013'!#REF!)*1000000))</f>
        <v/>
      </c>
    </row>
    <row r="266" spans="1:15" x14ac:dyDescent="0.25">
      <c r="A266" s="81" t="s">
        <v>16</v>
      </c>
      <c r="B266" s="82" t="s">
        <v>17</v>
      </c>
      <c r="C266" s="82" t="s">
        <v>12</v>
      </c>
      <c r="D266" s="91">
        <f>IF(D247="","",(D247-'2018'!D274)/'2018'!D274)</f>
        <v>1.5121086828115771E-2</v>
      </c>
      <c r="E266" s="91">
        <f>IF(E247="","",(E247-'2018'!E274)/'2018'!E274)</f>
        <v>-3.3835742848354351E-3</v>
      </c>
      <c r="F266" s="91">
        <f>IF(F247="","",(F247-'2018'!F274)/'2018'!F274)</f>
        <v>-2.0746887966804979E-3</v>
      </c>
      <c r="G266" s="91" t="str">
        <f>IF(G256="","",(G256-'2014'!#REF!)/'2014'!#REF!)</f>
        <v/>
      </c>
      <c r="H266" s="91" t="str">
        <f>IF(H256="","",(H256-'2014'!#REF!)/'2014'!#REF!)</f>
        <v/>
      </c>
      <c r="I266" s="91" t="str">
        <f>IF(I256="","",(I256-'2014'!#REF!)/'2014'!#REF!)</f>
        <v/>
      </c>
      <c r="J266" s="87"/>
      <c r="K266" s="87"/>
      <c r="L266" s="87"/>
      <c r="M266" s="87" t="str">
        <f>IF(G266="","",M256-((1/'Proto 2013'!#REF!)*1000000))</f>
        <v/>
      </c>
      <c r="N266" s="87" t="str">
        <f>IF(H266="","",N256-((1/'Proto 2013'!#REF!)*1000000))</f>
        <v/>
      </c>
      <c r="O266" s="88" t="str">
        <f>IF(I266="","",O256-((1/'Proto 2013'!#REF!)*1000000))</f>
        <v/>
      </c>
    </row>
    <row r="267" spans="1:15" ht="15.75" thickBot="1" x14ac:dyDescent="0.3">
      <c r="A267" s="92" t="s">
        <v>18</v>
      </c>
      <c r="B267" s="93" t="s">
        <v>19</v>
      </c>
      <c r="C267" s="93" t="s">
        <v>12</v>
      </c>
      <c r="D267" s="91">
        <f>IF(D248="","",(D248-'2018'!D275)/'2018'!D275)</f>
        <v>-1.3288262035202237E-2</v>
      </c>
      <c r="E267" s="91">
        <f>IF(E248="","",(E248-'2018'!E275)/'2018'!E275)</f>
        <v>-1.8249883013570427E-2</v>
      </c>
      <c r="F267" s="91">
        <f>IF(F248="","",(F248-'2018'!F275)/'2018'!F275)</f>
        <v>-1.292534951200211E-2</v>
      </c>
      <c r="G267" s="94" t="str">
        <f>IF(G257="","",(G257-'2014'!#REF!)/'2014'!#REF!)</f>
        <v/>
      </c>
      <c r="H267" s="94" t="str">
        <f>IF(H257="","",(H257-'2014'!#REF!)/'2014'!#REF!)</f>
        <v/>
      </c>
      <c r="I267" s="94" t="str">
        <f>IF(I257="","",(I257-'2014'!#REF!)/'2014'!#REF!)</f>
        <v/>
      </c>
      <c r="J267" s="95"/>
      <c r="K267" s="95"/>
      <c r="L267" s="95"/>
      <c r="M267" s="95" t="str">
        <f>IF(G267="","",M257-((1/'Proto 2013'!#REF!)*1000000))</f>
        <v/>
      </c>
      <c r="N267" s="95" t="str">
        <f>IF(H267="","",N257-((1/'Proto 2013'!#REF!)*1000000))</f>
        <v/>
      </c>
      <c r="O267" s="96" t="str">
        <f>IF(I267="","",O257-((1/'Proto 2013'!#REF!)*1000000))</f>
        <v/>
      </c>
    </row>
    <row r="268" spans="1:15" ht="18.75" x14ac:dyDescent="0.25">
      <c r="A268" s="162" t="s">
        <v>191</v>
      </c>
      <c r="B268" s="163"/>
      <c r="C268" s="163"/>
      <c r="D268" s="163"/>
      <c r="E268" s="163"/>
      <c r="F268" s="163"/>
      <c r="G268" s="163"/>
      <c r="H268" s="163"/>
      <c r="I268" s="163"/>
      <c r="J268" s="163"/>
      <c r="K268" s="163"/>
      <c r="L268" s="163"/>
      <c r="M268" s="163"/>
      <c r="N268" s="163"/>
      <c r="O268" s="164"/>
    </row>
    <row r="269" spans="1:15" ht="15.75" x14ac:dyDescent="0.25">
      <c r="A269" s="165" t="s">
        <v>227</v>
      </c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66"/>
    </row>
    <row r="270" spans="1:15" x14ac:dyDescent="0.25">
      <c r="A270" s="185" t="s">
        <v>2</v>
      </c>
      <c r="B270" s="186"/>
      <c r="C270" s="187"/>
      <c r="D270" s="192" t="s">
        <v>3</v>
      </c>
      <c r="E270" s="193"/>
      <c r="F270" s="193"/>
      <c r="G270" s="193"/>
      <c r="H270" s="193"/>
      <c r="I270" s="194"/>
      <c r="J270" s="188" t="s">
        <v>4</v>
      </c>
      <c r="K270" s="189"/>
      <c r="L270" s="189"/>
      <c r="M270" s="189"/>
      <c r="N270" s="189"/>
      <c r="O270" s="191"/>
    </row>
    <row r="271" spans="1:15" x14ac:dyDescent="0.25">
      <c r="A271" s="76" t="s">
        <v>5</v>
      </c>
      <c r="B271" s="77" t="s">
        <v>6</v>
      </c>
      <c r="C271" s="77" t="s">
        <v>7</v>
      </c>
      <c r="D271" s="78">
        <v>1</v>
      </c>
      <c r="E271" s="78">
        <v>4</v>
      </c>
      <c r="F271" s="78">
        <v>16</v>
      </c>
      <c r="G271" s="79">
        <v>32</v>
      </c>
      <c r="H271" s="79">
        <v>64</v>
      </c>
      <c r="I271" s="79">
        <v>80</v>
      </c>
      <c r="J271" s="79">
        <v>1</v>
      </c>
      <c r="K271" s="79">
        <v>4</v>
      </c>
      <c r="L271" s="79">
        <v>16</v>
      </c>
      <c r="M271" s="79">
        <v>32</v>
      </c>
      <c r="N271" s="79">
        <v>64</v>
      </c>
      <c r="O271" s="80">
        <v>80</v>
      </c>
    </row>
    <row r="272" spans="1:15" x14ac:dyDescent="0.25">
      <c r="A272" s="37" t="s">
        <v>8</v>
      </c>
      <c r="B272" s="82" t="s">
        <v>9</v>
      </c>
      <c r="C272" s="83" t="s">
        <v>10</v>
      </c>
      <c r="D272" s="100">
        <v>38691</v>
      </c>
      <c r="E272" s="100">
        <v>14403</v>
      </c>
      <c r="F272" s="100">
        <v>6335</v>
      </c>
      <c r="G272" s="85"/>
      <c r="H272" s="86"/>
      <c r="I272" s="86"/>
      <c r="J272" s="87">
        <f t="shared" ref="J272:J277" si="62">IF(D272="","",(1/D272)*1000000)</f>
        <v>25.845803933731357</v>
      </c>
      <c r="K272" s="87">
        <f t="shared" ref="K272:K274" si="63">IF(E272="","",(1/E272)*1000000)</f>
        <v>69.429979865305839</v>
      </c>
      <c r="L272" s="87">
        <f t="shared" ref="L272:L277" si="64">IF(F272="","",(1/F272)*1000000)</f>
        <v>157.85319652722967</v>
      </c>
      <c r="M272" s="87" t="str">
        <f t="shared" ref="M272:M277" si="65">IF(G272="","",(1/G272)*1000000)</f>
        <v/>
      </c>
      <c r="N272" s="87" t="str">
        <f t="shared" ref="N272:N277" si="66">IF(H272="","",(1/H272)*1000000)</f>
        <v/>
      </c>
      <c r="O272" s="88" t="str">
        <f t="shared" ref="O272:O277" si="67">IF(I272="","",(1/I272)*1000000)</f>
        <v/>
      </c>
    </row>
    <row r="273" spans="1:15" x14ac:dyDescent="0.25">
      <c r="A273" s="81" t="s">
        <v>11</v>
      </c>
      <c r="B273" s="82" t="s">
        <v>9</v>
      </c>
      <c r="C273" s="83" t="s">
        <v>12</v>
      </c>
      <c r="D273" s="100">
        <v>9564</v>
      </c>
      <c r="E273" s="100">
        <v>7860</v>
      </c>
      <c r="F273" s="100">
        <v>4090</v>
      </c>
      <c r="G273" s="85"/>
      <c r="H273" s="86"/>
      <c r="I273" s="86"/>
      <c r="J273" s="87">
        <f t="shared" si="62"/>
        <v>104.55876202425763</v>
      </c>
      <c r="K273" s="87">
        <f t="shared" si="63"/>
        <v>127.2264631043257</v>
      </c>
      <c r="L273" s="87">
        <f t="shared" si="64"/>
        <v>244.49877750611245</v>
      </c>
      <c r="M273" s="87" t="str">
        <f t="shared" si="65"/>
        <v/>
      </c>
      <c r="N273" s="87" t="str">
        <f t="shared" si="66"/>
        <v/>
      </c>
      <c r="O273" s="88" t="str">
        <f t="shared" si="67"/>
        <v/>
      </c>
    </row>
    <row r="274" spans="1:15" x14ac:dyDescent="0.25">
      <c r="A274" s="81" t="s">
        <v>13</v>
      </c>
      <c r="B274" s="82" t="s">
        <v>14</v>
      </c>
      <c r="C274" s="83" t="s">
        <v>10</v>
      </c>
      <c r="D274" s="100">
        <v>26417</v>
      </c>
      <c r="E274" s="100">
        <v>17201</v>
      </c>
      <c r="F274" s="100">
        <v>5378</v>
      </c>
      <c r="G274" s="85"/>
      <c r="H274" s="86"/>
      <c r="I274" s="86"/>
      <c r="J274" s="87">
        <f t="shared" si="62"/>
        <v>37.854411931710636</v>
      </c>
      <c r="K274" s="87">
        <f t="shared" si="63"/>
        <v>58.136154874716588</v>
      </c>
      <c r="L274" s="87">
        <f t="shared" si="64"/>
        <v>185.94272963927111</v>
      </c>
      <c r="M274" s="87" t="str">
        <f t="shared" si="65"/>
        <v/>
      </c>
      <c r="N274" s="87" t="str">
        <f t="shared" si="66"/>
        <v/>
      </c>
      <c r="O274" s="88" t="str">
        <f t="shared" si="67"/>
        <v/>
      </c>
    </row>
    <row r="275" spans="1:15" x14ac:dyDescent="0.25">
      <c r="A275" s="81" t="s">
        <v>15</v>
      </c>
      <c r="B275" s="82" t="s">
        <v>14</v>
      </c>
      <c r="C275" s="83" t="s">
        <v>12</v>
      </c>
      <c r="D275" s="100">
        <v>9413</v>
      </c>
      <c r="E275" s="100">
        <v>7037</v>
      </c>
      <c r="F275" s="100">
        <v>3734</v>
      </c>
      <c r="G275" s="85"/>
      <c r="H275" s="86"/>
      <c r="I275" s="86"/>
      <c r="J275" s="87">
        <f t="shared" si="62"/>
        <v>106.23605651758207</v>
      </c>
      <c r="K275" s="87"/>
      <c r="L275" s="87">
        <f t="shared" si="64"/>
        <v>267.80931976432777</v>
      </c>
      <c r="M275" s="87" t="str">
        <f t="shared" si="65"/>
        <v/>
      </c>
      <c r="N275" s="87" t="str">
        <f t="shared" si="66"/>
        <v/>
      </c>
      <c r="O275" s="88" t="str">
        <f t="shared" si="67"/>
        <v/>
      </c>
    </row>
    <row r="276" spans="1:15" x14ac:dyDescent="0.25">
      <c r="A276" s="81" t="s">
        <v>16</v>
      </c>
      <c r="B276" s="82" t="s">
        <v>17</v>
      </c>
      <c r="C276" s="83" t="s">
        <v>12</v>
      </c>
      <c r="D276" s="100">
        <v>8423</v>
      </c>
      <c r="E276" s="100">
        <v>6447</v>
      </c>
      <c r="F276" s="100">
        <v>3716</v>
      </c>
      <c r="G276" s="85"/>
      <c r="H276" s="86"/>
      <c r="I276" s="86"/>
      <c r="J276" s="87">
        <f t="shared" si="62"/>
        <v>118.72254541137362</v>
      </c>
      <c r="K276" s="87">
        <f>IF(E276="","",(1/E276)*1000000)</f>
        <v>155.11090429657204</v>
      </c>
      <c r="L276" s="87">
        <f t="shared" si="64"/>
        <v>269.10656620021524</v>
      </c>
      <c r="M276" s="87" t="str">
        <f t="shared" si="65"/>
        <v/>
      </c>
      <c r="N276" s="87" t="str">
        <f t="shared" si="66"/>
        <v/>
      </c>
      <c r="O276" s="88" t="str">
        <f t="shared" si="67"/>
        <v/>
      </c>
    </row>
    <row r="277" spans="1:15" x14ac:dyDescent="0.25">
      <c r="A277" s="81" t="s">
        <v>18</v>
      </c>
      <c r="B277" s="82" t="s">
        <v>19</v>
      </c>
      <c r="C277" s="83" t="s">
        <v>12</v>
      </c>
      <c r="D277" s="100">
        <v>8363</v>
      </c>
      <c r="E277" s="100">
        <v>6144</v>
      </c>
      <c r="F277" s="100">
        <v>3817</v>
      </c>
      <c r="G277" s="85"/>
      <c r="H277" s="86"/>
      <c r="I277" s="86"/>
      <c r="J277" s="87">
        <f t="shared" si="62"/>
        <v>119.57431543704412</v>
      </c>
      <c r="K277" s="87">
        <f>IF(E277="","",(1/E277)*1000000)</f>
        <v>162.76041666666666</v>
      </c>
      <c r="L277" s="87">
        <f t="shared" si="64"/>
        <v>261.98585276395079</v>
      </c>
      <c r="M277" s="87" t="str">
        <f t="shared" si="65"/>
        <v/>
      </c>
      <c r="N277" s="87" t="str">
        <f t="shared" si="66"/>
        <v/>
      </c>
      <c r="O277" s="88" t="str">
        <f t="shared" si="67"/>
        <v/>
      </c>
    </row>
    <row r="278" spans="1:15" x14ac:dyDescent="0.25">
      <c r="A278" s="156" t="s">
        <v>228</v>
      </c>
      <c r="B278" s="157"/>
      <c r="C278" s="157"/>
      <c r="D278" s="157"/>
      <c r="E278" s="157"/>
      <c r="F278" s="157"/>
      <c r="G278" s="130" t="s">
        <v>224</v>
      </c>
      <c r="H278" s="130"/>
      <c r="I278" s="130"/>
      <c r="J278" s="195"/>
      <c r="K278" s="195"/>
      <c r="L278" s="195"/>
      <c r="M278" s="157" t="s">
        <v>172</v>
      </c>
      <c r="N278" s="157"/>
      <c r="O278" s="90"/>
    </row>
    <row r="279" spans="1:15" ht="18.75" x14ac:dyDescent="0.3">
      <c r="A279" s="158" t="s">
        <v>186</v>
      </c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59"/>
    </row>
    <row r="280" spans="1:15" x14ac:dyDescent="0.25">
      <c r="A280" s="185" t="s">
        <v>2</v>
      </c>
      <c r="B280" s="186"/>
      <c r="C280" s="187"/>
      <c r="D280" s="188" t="s">
        <v>20</v>
      </c>
      <c r="E280" s="189"/>
      <c r="F280" s="189"/>
      <c r="G280" s="189"/>
      <c r="H280" s="189"/>
      <c r="I280" s="190"/>
      <c r="J280" s="188" t="s">
        <v>23</v>
      </c>
      <c r="K280" s="189"/>
      <c r="L280" s="189"/>
      <c r="M280" s="189"/>
      <c r="N280" s="189"/>
      <c r="O280" s="191"/>
    </row>
    <row r="281" spans="1:15" x14ac:dyDescent="0.25">
      <c r="A281" s="76" t="s">
        <v>5</v>
      </c>
      <c r="B281" s="77" t="s">
        <v>6</v>
      </c>
      <c r="C281" s="77" t="s">
        <v>7</v>
      </c>
      <c r="D281" s="79">
        <v>1</v>
      </c>
      <c r="E281" s="79">
        <v>4</v>
      </c>
      <c r="F281" s="79">
        <v>16</v>
      </c>
      <c r="G281" s="79">
        <v>32</v>
      </c>
      <c r="H281" s="79">
        <v>64</v>
      </c>
      <c r="I281" s="79">
        <v>80</v>
      </c>
      <c r="J281" s="79">
        <v>1</v>
      </c>
      <c r="K281" s="79">
        <v>4</v>
      </c>
      <c r="L281" s="79">
        <v>16</v>
      </c>
      <c r="M281" s="79">
        <v>32</v>
      </c>
      <c r="N281" s="79">
        <v>64</v>
      </c>
      <c r="O281" s="80">
        <v>80</v>
      </c>
    </row>
    <row r="282" spans="1:15" x14ac:dyDescent="0.25">
      <c r="A282" s="81" t="s">
        <v>8</v>
      </c>
      <c r="B282" s="82" t="s">
        <v>9</v>
      </c>
      <c r="C282" s="82" t="s">
        <v>10</v>
      </c>
      <c r="D282" s="91">
        <f>IF(D272="","",(D272-'2018'!D226)/'2018'!D226)</f>
        <v>-8.8594176952793743E-2</v>
      </c>
      <c r="E282" s="91">
        <f>IF(E272="","",(E272-'2018'!E226)/'2018'!E226)</f>
        <v>-0.28321887130486711</v>
      </c>
      <c r="F282" s="91">
        <f>IF(F272="","",(F272-'2018'!F226)/'2018'!F226)</f>
        <v>5.530568049308679E-2</v>
      </c>
      <c r="G282" s="91" t="str">
        <f>IF(G272="","",(G272-'2014'!#REF!)/'2014'!#REF!)</f>
        <v/>
      </c>
      <c r="H282" s="91" t="str">
        <f>IF(H272="","",(H272-'2014'!#REF!)/'2014'!#REF!)</f>
        <v/>
      </c>
      <c r="I282" s="87" t="str">
        <f>IF(I272="","",(I272-'2014'!#REF!)/'2014'!#REF!)</f>
        <v/>
      </c>
      <c r="J282" s="87"/>
      <c r="K282" s="87"/>
      <c r="L282" s="87"/>
      <c r="M282" s="87" t="str">
        <f>IF(G282="","",M272-((1/'Proto 2013'!#REF!)*1000000))</f>
        <v/>
      </c>
      <c r="N282" s="87" t="str">
        <f>IF(H282="","",N272-((1/'Proto 2013'!#REF!)*1000000))</f>
        <v/>
      </c>
      <c r="O282" s="88" t="str">
        <f>IF(I282="","",O272-((1/'Proto 2013'!#REF!)*1000000))</f>
        <v/>
      </c>
    </row>
    <row r="283" spans="1:15" x14ac:dyDescent="0.25">
      <c r="A283" s="81" t="s">
        <v>11</v>
      </c>
      <c r="B283" s="82" t="s">
        <v>9</v>
      </c>
      <c r="C283" s="82" t="s">
        <v>12</v>
      </c>
      <c r="D283" s="91">
        <f>IF(D273="","",(D273-'2018'!D227)/'2018'!D227)</f>
        <v>-6.0972017673048599E-2</v>
      </c>
      <c r="E283" s="91">
        <f>IF(E273="","",(E273-'2018'!E227)/'2018'!E227)</f>
        <v>-3.8022813688212928E-3</v>
      </c>
      <c r="F283" s="91">
        <f>IF(F273="","",(F273-'2018'!F227)/'2018'!F227)</f>
        <v>-2.8734267394918071E-2</v>
      </c>
      <c r="G283" s="91" t="str">
        <f>IF(G273="","",(G273-'2014'!#REF!)/'2014'!#REF!)</f>
        <v/>
      </c>
      <c r="H283" s="91" t="str">
        <f>IF(H273="","",(H273-'2014'!#REF!)/'2014'!#REF!)</f>
        <v/>
      </c>
      <c r="I283" s="91" t="str">
        <f>IF(I273="","",(I273-'2014'!#REF!)/'2014'!#REF!)</f>
        <v/>
      </c>
      <c r="J283" s="87"/>
      <c r="K283" s="87"/>
      <c r="L283" s="87"/>
      <c r="M283" s="87" t="str">
        <f>IF(G283="","",M273-((1/'Proto 2013'!#REF!)*1000000))</f>
        <v/>
      </c>
      <c r="N283" s="87" t="str">
        <f>IF(H283="","",N273-((1/'Proto 2013'!#REF!)*1000000))</f>
        <v/>
      </c>
      <c r="O283" s="88" t="str">
        <f>IF(I283="","",O273-((1/'Proto 2013'!#REF!)*1000000))</f>
        <v/>
      </c>
    </row>
    <row r="284" spans="1:15" x14ac:dyDescent="0.25">
      <c r="A284" s="81" t="s">
        <v>13</v>
      </c>
      <c r="B284" s="82" t="s">
        <v>14</v>
      </c>
      <c r="C284" s="82" t="s">
        <v>10</v>
      </c>
      <c r="D284" s="91">
        <f>IF(D274="","",(D274-'2018'!D228)/'2018'!D228)</f>
        <v>-0.29972961509914114</v>
      </c>
      <c r="E284" s="91">
        <f>IF(E274="","",(E274-'2018'!E228)/'2018'!E228)</f>
        <v>7.6610127057645361E-2</v>
      </c>
      <c r="F284" s="91">
        <f>IF(F274="","",(F274-'2018'!F228)/'2018'!F228)</f>
        <v>-2.8189374774123598E-2</v>
      </c>
      <c r="G284" s="91" t="str">
        <f>IF(G274="","",(G274-'2014'!#REF!)/'2014'!#REF!)</f>
        <v/>
      </c>
      <c r="H284" s="91" t="str">
        <f>IF(H274="","",(H274-'2014'!#REF!)/'2014'!#REF!)</f>
        <v/>
      </c>
      <c r="I284" s="91" t="str">
        <f>IF(I274="","",(I274-'2014'!#REF!)/'2014'!#REF!)</f>
        <v/>
      </c>
      <c r="J284" s="87"/>
      <c r="K284" s="87"/>
      <c r="L284" s="87"/>
      <c r="M284" s="87" t="str">
        <f>IF(G284="","",M274-((1/'Proto 2013'!#REF!)*1000000))</f>
        <v/>
      </c>
      <c r="N284" s="87" t="str">
        <f>IF(H284="","",N274-((1/'Proto 2013'!#REF!)*1000000))</f>
        <v/>
      </c>
      <c r="O284" s="88" t="str">
        <f>IF(I284="","",O274-((1/'Proto 2013'!#REF!)*1000000))</f>
        <v/>
      </c>
    </row>
    <row r="285" spans="1:15" x14ac:dyDescent="0.25">
      <c r="A285" s="81" t="s">
        <v>15</v>
      </c>
      <c r="B285" s="82" t="s">
        <v>14</v>
      </c>
      <c r="C285" s="82" t="s">
        <v>12</v>
      </c>
      <c r="D285" s="91">
        <f>IF(D275="","",(D275-'2018'!D229)/'2018'!D229)</f>
        <v>-1.4035822771551272E-2</v>
      </c>
      <c r="E285" s="91">
        <f>IF(E275="","",(E275-'2018'!E229)/'2018'!E229)</f>
        <v>-1.9233449477351918E-2</v>
      </c>
      <c r="F285" s="91">
        <f>IF(F275="","",(F275-'2018'!F229)/'2018'!F229)</f>
        <v>0</v>
      </c>
      <c r="G285" s="91" t="str">
        <f>IF(G275="","",(G275-'2014'!#REF!)/'2014'!#REF!)</f>
        <v/>
      </c>
      <c r="H285" s="91" t="str">
        <f>IF(H275="","",(H275-'2014'!#REF!)/'2014'!#REF!)</f>
        <v/>
      </c>
      <c r="I285" s="91" t="str">
        <f>IF(I275="","",(I275-'2014'!#REF!)/'2014'!#REF!)</f>
        <v/>
      </c>
      <c r="J285" s="87"/>
      <c r="K285" s="87"/>
      <c r="L285" s="87"/>
      <c r="M285" s="87" t="str">
        <f>IF(G285="","",M275-((1/'Proto 2013'!#REF!)*1000000))</f>
        <v/>
      </c>
      <c r="N285" s="87" t="str">
        <f>IF(H285="","",N275-((1/'Proto 2013'!#REF!)*1000000))</f>
        <v/>
      </c>
      <c r="O285" s="88" t="str">
        <f>IF(I285="","",O275-((1/'Proto 2013'!#REF!)*1000000))</f>
        <v/>
      </c>
    </row>
    <row r="286" spans="1:15" x14ac:dyDescent="0.25">
      <c r="A286" s="81" t="s">
        <v>16</v>
      </c>
      <c r="B286" s="82" t="s">
        <v>17</v>
      </c>
      <c r="C286" s="82" t="s">
        <v>12</v>
      </c>
      <c r="D286" s="91">
        <f>IF(D276="","",(D276-'2018'!D230)/'2018'!D230)</f>
        <v>-3.2506317482196186E-2</v>
      </c>
      <c r="E286" s="91">
        <f>IF(E276="","",(E276-'2018'!E230)/'2018'!E230)</f>
        <v>-5.5246189917936693E-2</v>
      </c>
      <c r="F286" s="91">
        <f>IF(F276="","",(F276-'2018'!F230)/'2018'!F230)</f>
        <v>-6.3035804336863344E-2</v>
      </c>
      <c r="G286" s="91" t="str">
        <f>IF(G276="","",(G276-'2014'!#REF!)/'2014'!#REF!)</f>
        <v/>
      </c>
      <c r="H286" s="91" t="str">
        <f>IF(H276="","",(H276-'2014'!#REF!)/'2014'!#REF!)</f>
        <v/>
      </c>
      <c r="I286" s="91" t="str">
        <f>IF(I276="","",(I276-'2014'!#REF!)/'2014'!#REF!)</f>
        <v/>
      </c>
      <c r="J286" s="87"/>
      <c r="K286" s="87"/>
      <c r="L286" s="87"/>
      <c r="M286" s="87" t="str">
        <f>IF(G286="","",M276-((1/'Proto 2013'!#REF!)*1000000))</f>
        <v/>
      </c>
      <c r="N286" s="87" t="str">
        <f>IF(H286="","",N276-((1/'Proto 2013'!#REF!)*1000000))</f>
        <v/>
      </c>
      <c r="O286" s="88" t="str">
        <f>IF(I286="","",O276-((1/'Proto 2013'!#REF!)*1000000))</f>
        <v/>
      </c>
    </row>
    <row r="287" spans="1:15" ht="15.75" thickBot="1" x14ac:dyDescent="0.3">
      <c r="A287" s="92" t="s">
        <v>18</v>
      </c>
      <c r="B287" s="93" t="s">
        <v>19</v>
      </c>
      <c r="C287" s="93" t="s">
        <v>12</v>
      </c>
      <c r="D287" s="91">
        <f>IF(D277="","",(D277-'2018'!D231)/'2018'!D231)</f>
        <v>-1.1699361852989837E-2</v>
      </c>
      <c r="E287" s="91">
        <f>IF(E277="","",(E277-'2018'!E231)/'2018'!E231)</f>
        <v>5.0711598233273356E-3</v>
      </c>
      <c r="F287" s="91">
        <f>IF(F277="","",(F277-'2018'!F231)/'2018'!F231)</f>
        <v>2.2228173540439208E-2</v>
      </c>
      <c r="G287" s="94" t="str">
        <f>IF(G277="","",(G277-'2014'!#REF!)/'2014'!#REF!)</f>
        <v/>
      </c>
      <c r="H287" s="94" t="str">
        <f>IF(H277="","",(H277-'2014'!#REF!)/'2014'!#REF!)</f>
        <v/>
      </c>
      <c r="I287" s="94" t="str">
        <f>IF(I277="","",(I277-'2014'!#REF!)/'2014'!#REF!)</f>
        <v/>
      </c>
      <c r="J287" s="95"/>
      <c r="K287" s="95"/>
      <c r="L287" s="95"/>
      <c r="M287" s="95" t="str">
        <f>IF(G287="","",M277-((1/'Proto 2013'!#REF!)*1000000))</f>
        <v/>
      </c>
      <c r="N287" s="95" t="str">
        <f>IF(H287="","",N277-((1/'Proto 2013'!#REF!)*1000000))</f>
        <v/>
      </c>
      <c r="O287" s="96" t="str">
        <f>IF(I287="","",O277-((1/'Proto 2013'!#REF!)*1000000))</f>
        <v/>
      </c>
    </row>
    <row r="288" spans="1:15" ht="18.75" x14ac:dyDescent="0.3">
      <c r="A288" s="158" t="s">
        <v>218</v>
      </c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59"/>
    </row>
    <row r="289" spans="1:15" x14ac:dyDescent="0.25">
      <c r="A289" s="185" t="s">
        <v>2</v>
      </c>
      <c r="B289" s="186"/>
      <c r="C289" s="187"/>
      <c r="D289" s="188" t="s">
        <v>20</v>
      </c>
      <c r="E289" s="189"/>
      <c r="F289" s="189"/>
      <c r="G289" s="189"/>
      <c r="H289" s="189"/>
      <c r="I289" s="190"/>
      <c r="J289" s="188" t="s">
        <v>23</v>
      </c>
      <c r="K289" s="189"/>
      <c r="L289" s="189"/>
      <c r="M289" s="189"/>
      <c r="N289" s="189"/>
      <c r="O289" s="191"/>
    </row>
    <row r="290" spans="1:15" x14ac:dyDescent="0.25">
      <c r="A290" s="76" t="s">
        <v>5</v>
      </c>
      <c r="B290" s="77" t="s">
        <v>6</v>
      </c>
      <c r="C290" s="77" t="s">
        <v>7</v>
      </c>
      <c r="D290" s="79">
        <v>1</v>
      </c>
      <c r="E290" s="79">
        <v>4</v>
      </c>
      <c r="F290" s="79">
        <v>16</v>
      </c>
      <c r="G290" s="79">
        <v>32</v>
      </c>
      <c r="H290" s="79">
        <v>64</v>
      </c>
      <c r="I290" s="79">
        <v>80</v>
      </c>
      <c r="J290" s="79">
        <v>1</v>
      </c>
      <c r="K290" s="79">
        <v>4</v>
      </c>
      <c r="L290" s="79">
        <v>16</v>
      </c>
      <c r="M290" s="79">
        <v>32</v>
      </c>
      <c r="N290" s="79">
        <v>64</v>
      </c>
      <c r="O290" s="80">
        <v>80</v>
      </c>
    </row>
    <row r="291" spans="1:15" x14ac:dyDescent="0.25">
      <c r="A291" s="81" t="s">
        <v>8</v>
      </c>
      <c r="B291" s="82" t="s">
        <v>9</v>
      </c>
      <c r="C291" s="82" t="s">
        <v>10</v>
      </c>
      <c r="D291" s="91">
        <f>IF(D272="","",(D272-'2018'!D270)/'2018'!D270)</f>
        <v>-8.6032173481680962E-2</v>
      </c>
      <c r="E291" s="91">
        <f>IF(E272="","",(E272-'2018'!E270)/'2018'!E270)</f>
        <v>-7.9562883435582821E-2</v>
      </c>
      <c r="F291" s="91">
        <f>IF(F272="","",(F272-'2018'!F270)/'2018'!F270)</f>
        <v>5.530568049308679E-2</v>
      </c>
      <c r="G291" s="91" t="str">
        <f>IF(G272="","",(G272-'2018'!G389)/'2018'!G389)</f>
        <v/>
      </c>
      <c r="H291" s="91" t="str">
        <f>IF(H272="","",(H272-'2018'!H389)/'2018'!H389)</f>
        <v/>
      </c>
      <c r="I291" s="87" t="e">
        <f>IF(I281="","",(I281-'2014'!#REF!)/'2014'!#REF!)</f>
        <v>#REF!</v>
      </c>
      <c r="J291" s="87"/>
      <c r="K291" s="87"/>
      <c r="L291" s="87"/>
      <c r="M291" s="87" t="str">
        <f>IF(G291="","",M281-((1/'Proto 2013'!#REF!)*1000000))</f>
        <v/>
      </c>
      <c r="N291" s="87" t="str">
        <f>IF(H291="","",N281-((1/'Proto 2013'!#REF!)*1000000))</f>
        <v/>
      </c>
      <c r="O291" s="88" t="e">
        <f>IF(I291="","",O281-((1/'Proto 2013'!#REF!)*1000000))</f>
        <v>#REF!</v>
      </c>
    </row>
    <row r="292" spans="1:15" x14ac:dyDescent="0.25">
      <c r="A292" s="81" t="s">
        <v>11</v>
      </c>
      <c r="B292" s="82" t="s">
        <v>9</v>
      </c>
      <c r="C292" s="82" t="s">
        <v>12</v>
      </c>
      <c r="D292" s="91">
        <f>IF(D273="","",(D273-'2018'!D271)/'2018'!D271)</f>
        <v>-4.9937578027465668E-3</v>
      </c>
      <c r="E292" s="91">
        <f>IF(E273="","",(E273-'2018'!E271)/'2018'!E271)</f>
        <v>-8.9522128357079813E-3</v>
      </c>
      <c r="F292" s="91">
        <f>IF(F273="","",(F273-'2018'!F271)/'2018'!F271)</f>
        <v>-3.8551951104842504E-2</v>
      </c>
      <c r="G292" s="91" t="str">
        <f>IF(G282="","",(G282-'2014'!#REF!)/'2014'!#REF!)</f>
        <v/>
      </c>
      <c r="H292" s="91" t="str">
        <f>IF(H282="","",(H282-'2014'!#REF!)/'2014'!#REF!)</f>
        <v/>
      </c>
      <c r="I292" s="91" t="str">
        <f>IF(I282="","",(I282-'2014'!#REF!)/'2014'!#REF!)</f>
        <v/>
      </c>
      <c r="J292" s="87"/>
      <c r="K292" s="87"/>
      <c r="L292" s="87"/>
      <c r="M292" s="87" t="str">
        <f>IF(G292="","",M282-((1/'Proto 2013'!#REF!)*1000000))</f>
        <v/>
      </c>
      <c r="N292" s="87" t="str">
        <f>IF(H292="","",N282-((1/'Proto 2013'!#REF!)*1000000))</f>
        <v/>
      </c>
      <c r="O292" s="88" t="str">
        <f>IF(I292="","",O282-((1/'Proto 2013'!#REF!)*1000000))</f>
        <v/>
      </c>
    </row>
    <row r="293" spans="1:15" x14ac:dyDescent="0.25">
      <c r="A293" s="81" t="s">
        <v>13</v>
      </c>
      <c r="B293" s="82" t="s">
        <v>14</v>
      </c>
      <c r="C293" s="82" t="s">
        <v>10</v>
      </c>
      <c r="D293" s="91">
        <f>IF(D274="","",(D274-'2018'!D272)/'2018'!D272)</f>
        <v>0</v>
      </c>
      <c r="E293" s="91">
        <f>IF(E274="","",(E274-'2018'!E272)/'2018'!E272)</f>
        <v>-3.7921583981206999E-2</v>
      </c>
      <c r="F293" s="91">
        <f>IF(F274="","",(F274-'2018'!F272)/'2018'!F272)</f>
        <v>0</v>
      </c>
      <c r="G293" s="91" t="str">
        <f>IF(G283="","",(G283-'2014'!#REF!)/'2014'!#REF!)</f>
        <v/>
      </c>
      <c r="H293" s="91" t="str">
        <f>IF(H283="","",(H283-'2014'!#REF!)/'2014'!#REF!)</f>
        <v/>
      </c>
      <c r="I293" s="91" t="str">
        <f>IF(I283="","",(I283-'2014'!#REF!)/'2014'!#REF!)</f>
        <v/>
      </c>
      <c r="J293" s="87"/>
      <c r="K293" s="87"/>
      <c r="L293" s="87"/>
      <c r="M293" s="87" t="str">
        <f>IF(G293="","",M283-((1/'Proto 2013'!#REF!)*1000000))</f>
        <v/>
      </c>
      <c r="N293" s="87" t="str">
        <f>IF(H293="","",N283-((1/'Proto 2013'!#REF!)*1000000))</f>
        <v/>
      </c>
      <c r="O293" s="88" t="str">
        <f>IF(I293="","",O283-((1/'Proto 2013'!#REF!)*1000000))</f>
        <v/>
      </c>
    </row>
    <row r="294" spans="1:15" x14ac:dyDescent="0.25">
      <c r="A294" s="81" t="s">
        <v>15</v>
      </c>
      <c r="B294" s="82" t="s">
        <v>14</v>
      </c>
      <c r="C294" s="82" t="s">
        <v>12</v>
      </c>
      <c r="D294" s="91">
        <f>IF(D275="","",(D275-'2018'!D273)/'2018'!D273)</f>
        <v>-2.0703287557220142E-2</v>
      </c>
      <c r="E294" s="91">
        <f>IF(E275="","",(E275-'2018'!E273)/'2018'!E273)</f>
        <v>-5.3021127708249224E-2</v>
      </c>
      <c r="F294" s="91">
        <f>IF(F275="","",(F275-'2018'!F273)/'2018'!F273)</f>
        <v>-5.2524739913727483E-2</v>
      </c>
      <c r="G294" s="91" t="str">
        <f>IF(G284="","",(G284-'2014'!#REF!)/'2014'!#REF!)</f>
        <v/>
      </c>
      <c r="H294" s="91" t="str">
        <f>IF(H284="","",(H284-'2014'!#REF!)/'2014'!#REF!)</f>
        <v/>
      </c>
      <c r="I294" s="91" t="str">
        <f>IF(I284="","",(I284-'2014'!#REF!)/'2014'!#REF!)</f>
        <v/>
      </c>
      <c r="J294" s="87"/>
      <c r="K294" s="87"/>
      <c r="L294" s="87"/>
      <c r="M294" s="87" t="str">
        <f>IF(G294="","",M284-((1/'Proto 2013'!#REF!)*1000000))</f>
        <v/>
      </c>
      <c r="N294" s="87" t="str">
        <f>IF(H294="","",N284-((1/'Proto 2013'!#REF!)*1000000))</f>
        <v/>
      </c>
      <c r="O294" s="88" t="str">
        <f>IF(I294="","",O284-((1/'Proto 2013'!#REF!)*1000000))</f>
        <v/>
      </c>
    </row>
    <row r="295" spans="1:15" x14ac:dyDescent="0.25">
      <c r="A295" s="81" t="s">
        <v>16</v>
      </c>
      <c r="B295" s="82" t="s">
        <v>17</v>
      </c>
      <c r="C295" s="82" t="s">
        <v>12</v>
      </c>
      <c r="D295" s="91">
        <f>IF(D276="","",(D276-'2018'!D274)/'2018'!D274)</f>
        <v>-4.9616066154754869E-3</v>
      </c>
      <c r="E295" s="91">
        <f>IF(E276="","",(E276-'2018'!E274)/'2018'!E274)</f>
        <v>-8.4589357120885885E-3</v>
      </c>
      <c r="F295" s="91">
        <f>IF(F276="","",(F276-'2018'!F274)/'2018'!F274)</f>
        <v>-3.6307053941908717E-2</v>
      </c>
      <c r="G295" s="91" t="str">
        <f>IF(G285="","",(G285-'2014'!#REF!)/'2014'!#REF!)</f>
        <v/>
      </c>
      <c r="H295" s="91" t="str">
        <f>IF(H285="","",(H285-'2014'!#REF!)/'2014'!#REF!)</f>
        <v/>
      </c>
      <c r="I295" s="91" t="str">
        <f>IF(I285="","",(I285-'2014'!#REF!)/'2014'!#REF!)</f>
        <v/>
      </c>
      <c r="J295" s="87"/>
      <c r="K295" s="87"/>
      <c r="L295" s="87"/>
      <c r="M295" s="87" t="str">
        <f>IF(G295="","",M285-((1/'Proto 2013'!#REF!)*1000000))</f>
        <v/>
      </c>
      <c r="N295" s="87" t="str">
        <f>IF(H295="","",N285-((1/'Proto 2013'!#REF!)*1000000))</f>
        <v/>
      </c>
      <c r="O295" s="88" t="str">
        <f>IF(I295="","",O285-((1/'Proto 2013'!#REF!)*1000000))</f>
        <v/>
      </c>
    </row>
    <row r="296" spans="1:15" ht="15.75" thickBot="1" x14ac:dyDescent="0.3">
      <c r="A296" s="92" t="s">
        <v>18</v>
      </c>
      <c r="B296" s="93" t="s">
        <v>19</v>
      </c>
      <c r="C296" s="93" t="s">
        <v>12</v>
      </c>
      <c r="D296" s="91">
        <f>IF(D277="","",(D277-'2018'!D275)/'2018'!D275)</f>
        <v>-2.5177759645646346E-2</v>
      </c>
      <c r="E296" s="91">
        <f>IF(E277="","",(E277-'2018'!E275)/'2018'!E275)</f>
        <v>-4.1647168928404303E-2</v>
      </c>
      <c r="F296" s="91">
        <f>IF(F277="","",(F277-'2018'!F275)/'2018'!F275)</f>
        <v>6.8583487206541806E-3</v>
      </c>
      <c r="G296" s="94" t="str">
        <f>IF(G286="","",(G286-'2014'!#REF!)/'2014'!#REF!)</f>
        <v/>
      </c>
      <c r="H296" s="94" t="str">
        <f>IF(H286="","",(H286-'2014'!#REF!)/'2014'!#REF!)</f>
        <v/>
      </c>
      <c r="I296" s="94" t="str">
        <f>IF(I286="","",(I286-'2014'!#REF!)/'2014'!#REF!)</f>
        <v/>
      </c>
      <c r="J296" s="95"/>
      <c r="K296" s="95"/>
      <c r="L296" s="95"/>
      <c r="M296" s="95" t="str">
        <f>IF(G296="","",M286-((1/'Proto 2013'!#REF!)*1000000))</f>
        <v/>
      </c>
      <c r="N296" s="95" t="str">
        <f>IF(H296="","",N286-((1/'Proto 2013'!#REF!)*1000000))</f>
        <v/>
      </c>
      <c r="O296" s="96" t="str">
        <f>IF(I296="","",O286-((1/'Proto 2013'!#REF!)*1000000))</f>
        <v/>
      </c>
    </row>
    <row r="297" spans="1:15" ht="18.75" x14ac:dyDescent="0.25">
      <c r="A297" s="162" t="s">
        <v>191</v>
      </c>
      <c r="B297" s="163"/>
      <c r="C297" s="163"/>
      <c r="D297" s="163"/>
      <c r="E297" s="163"/>
      <c r="F297" s="163"/>
      <c r="G297" s="163"/>
      <c r="H297" s="163"/>
      <c r="I297" s="163"/>
      <c r="J297" s="163"/>
      <c r="K297" s="163"/>
      <c r="L297" s="163"/>
      <c r="M297" s="163"/>
      <c r="N297" s="163"/>
      <c r="O297" s="164"/>
    </row>
    <row r="298" spans="1:15" ht="15.75" x14ac:dyDescent="0.25">
      <c r="A298" s="165" t="s">
        <v>229</v>
      </c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66"/>
    </row>
    <row r="299" spans="1:15" x14ac:dyDescent="0.25">
      <c r="A299" s="185" t="s">
        <v>2</v>
      </c>
      <c r="B299" s="186"/>
      <c r="C299" s="187"/>
      <c r="D299" s="192" t="s">
        <v>3</v>
      </c>
      <c r="E299" s="193"/>
      <c r="F299" s="193"/>
      <c r="G299" s="193"/>
      <c r="H299" s="193"/>
      <c r="I299" s="194"/>
      <c r="J299" s="188" t="s">
        <v>4</v>
      </c>
      <c r="K299" s="189"/>
      <c r="L299" s="189"/>
      <c r="M299" s="189"/>
      <c r="N299" s="189"/>
      <c r="O299" s="191"/>
    </row>
    <row r="300" spans="1:15" x14ac:dyDescent="0.25">
      <c r="A300" s="76" t="s">
        <v>5</v>
      </c>
      <c r="B300" s="77" t="s">
        <v>6</v>
      </c>
      <c r="C300" s="77" t="s">
        <v>7</v>
      </c>
      <c r="D300" s="78">
        <v>1</v>
      </c>
      <c r="E300" s="78">
        <v>4</v>
      </c>
      <c r="F300" s="78">
        <v>16</v>
      </c>
      <c r="G300" s="79">
        <v>32</v>
      </c>
      <c r="H300" s="79">
        <v>64</v>
      </c>
      <c r="I300" s="79">
        <v>80</v>
      </c>
      <c r="J300" s="79">
        <v>1</v>
      </c>
      <c r="K300" s="79">
        <v>4</v>
      </c>
      <c r="L300" s="79">
        <v>16</v>
      </c>
      <c r="M300" s="79">
        <v>32</v>
      </c>
      <c r="N300" s="79">
        <v>64</v>
      </c>
      <c r="O300" s="80">
        <v>80</v>
      </c>
    </row>
    <row r="301" spans="1:15" x14ac:dyDescent="0.25">
      <c r="A301" s="37" t="s">
        <v>8</v>
      </c>
      <c r="B301" s="82" t="s">
        <v>9</v>
      </c>
      <c r="C301" s="83" t="s">
        <v>10</v>
      </c>
      <c r="D301" s="100">
        <v>43719</v>
      </c>
      <c r="E301" s="100">
        <v>18777</v>
      </c>
      <c r="F301" s="100">
        <v>6292</v>
      </c>
      <c r="G301" s="85"/>
      <c r="H301" s="86"/>
      <c r="I301" s="86"/>
      <c r="J301" s="87">
        <f t="shared" ref="J301:J306" si="68">IF(D301="","",(1/D301)*1000000)</f>
        <v>22.873350259612526</v>
      </c>
      <c r="K301" s="87">
        <f t="shared" ref="K301:K303" si="69">IF(E301="","",(1/E301)*1000000)</f>
        <v>53.256643766309843</v>
      </c>
      <c r="L301" s="87">
        <f t="shared" ref="L301:L306" si="70">IF(F301="","",(1/F301)*1000000)</f>
        <v>158.93197711379528</v>
      </c>
      <c r="M301" s="87" t="str">
        <f t="shared" ref="M301:M306" si="71">IF(G301="","",(1/G301)*1000000)</f>
        <v/>
      </c>
      <c r="N301" s="87" t="str">
        <f t="shared" ref="N301:N306" si="72">IF(H301="","",(1/H301)*1000000)</f>
        <v/>
      </c>
      <c r="O301" s="88" t="str">
        <f t="shared" ref="O301:O306" si="73">IF(I301="","",(1/I301)*1000000)</f>
        <v/>
      </c>
    </row>
    <row r="302" spans="1:15" x14ac:dyDescent="0.25">
      <c r="A302" s="81" t="s">
        <v>11</v>
      </c>
      <c r="B302" s="82" t="s">
        <v>9</v>
      </c>
      <c r="C302" s="83" t="s">
        <v>12</v>
      </c>
      <c r="D302" s="100">
        <v>9609</v>
      </c>
      <c r="E302" s="100">
        <v>7605</v>
      </c>
      <c r="F302" s="100">
        <v>4001</v>
      </c>
      <c r="G302" s="85"/>
      <c r="H302" s="86"/>
      <c r="I302" s="86"/>
      <c r="J302" s="87">
        <f t="shared" si="68"/>
        <v>104.06910188365075</v>
      </c>
      <c r="K302" s="87">
        <f t="shared" si="69"/>
        <v>131.49243918474687</v>
      </c>
      <c r="L302" s="87">
        <f t="shared" si="70"/>
        <v>249.93751562109475</v>
      </c>
      <c r="M302" s="87" t="str">
        <f t="shared" si="71"/>
        <v/>
      </c>
      <c r="N302" s="87" t="str">
        <f t="shared" si="72"/>
        <v/>
      </c>
      <c r="O302" s="88" t="str">
        <f t="shared" si="73"/>
        <v/>
      </c>
    </row>
    <row r="303" spans="1:15" x14ac:dyDescent="0.25">
      <c r="A303" s="81" t="s">
        <v>13</v>
      </c>
      <c r="B303" s="82" t="s">
        <v>14</v>
      </c>
      <c r="C303" s="83" t="s">
        <v>10</v>
      </c>
      <c r="D303" s="100">
        <v>34441</v>
      </c>
      <c r="E303" s="100">
        <v>17210</v>
      </c>
      <c r="F303" s="100">
        <v>5732</v>
      </c>
      <c r="G303" s="85"/>
      <c r="H303" s="86"/>
      <c r="I303" s="86"/>
      <c r="J303" s="87">
        <f t="shared" si="68"/>
        <v>29.035161580674195</v>
      </c>
      <c r="K303" s="87">
        <f t="shared" si="69"/>
        <v>58.105752469494483</v>
      </c>
      <c r="L303" s="87">
        <f t="shared" si="70"/>
        <v>174.45917655268667</v>
      </c>
      <c r="M303" s="87" t="str">
        <f t="shared" si="71"/>
        <v/>
      </c>
      <c r="N303" s="87" t="str">
        <f t="shared" si="72"/>
        <v/>
      </c>
      <c r="O303" s="88" t="str">
        <f t="shared" si="73"/>
        <v/>
      </c>
    </row>
    <row r="304" spans="1:15" x14ac:dyDescent="0.25">
      <c r="A304" s="81" t="s">
        <v>15</v>
      </c>
      <c r="B304" s="82" t="s">
        <v>14</v>
      </c>
      <c r="C304" s="83" t="s">
        <v>12</v>
      </c>
      <c r="D304" s="100">
        <v>8010</v>
      </c>
      <c r="E304" s="100">
        <v>6675</v>
      </c>
      <c r="F304" s="100">
        <v>3779</v>
      </c>
      <c r="G304" s="85"/>
      <c r="H304" s="86"/>
      <c r="I304" s="86"/>
      <c r="J304" s="87">
        <f t="shared" si="68"/>
        <v>124.84394506866417</v>
      </c>
      <c r="K304" s="87"/>
      <c r="L304" s="87">
        <f t="shared" si="70"/>
        <v>264.62026991267527</v>
      </c>
      <c r="M304" s="87" t="str">
        <f t="shared" si="71"/>
        <v/>
      </c>
      <c r="N304" s="87" t="str">
        <f t="shared" si="72"/>
        <v/>
      </c>
      <c r="O304" s="88" t="str">
        <f t="shared" si="73"/>
        <v/>
      </c>
    </row>
    <row r="305" spans="1:15" x14ac:dyDescent="0.25">
      <c r="A305" s="81" t="s">
        <v>16</v>
      </c>
      <c r="B305" s="82" t="s">
        <v>17</v>
      </c>
      <c r="C305" s="83" t="s">
        <v>12</v>
      </c>
      <c r="D305" s="100">
        <v>8378</v>
      </c>
      <c r="E305" s="100">
        <v>6545</v>
      </c>
      <c r="F305" s="100">
        <v>3810</v>
      </c>
      <c r="G305" s="85"/>
      <c r="H305" s="86"/>
      <c r="I305" s="86"/>
      <c r="J305" s="87">
        <f t="shared" si="68"/>
        <v>119.36022917164</v>
      </c>
      <c r="K305" s="87">
        <f>IF(E305="","",(1/E305)*1000000)</f>
        <v>152.78838808250572</v>
      </c>
      <c r="L305" s="87">
        <f t="shared" si="70"/>
        <v>262.46719160104988</v>
      </c>
      <c r="M305" s="87" t="str">
        <f t="shared" si="71"/>
        <v/>
      </c>
      <c r="N305" s="87" t="str">
        <f t="shared" si="72"/>
        <v/>
      </c>
      <c r="O305" s="88" t="str">
        <f t="shared" si="73"/>
        <v/>
      </c>
    </row>
    <row r="306" spans="1:15" x14ac:dyDescent="0.25">
      <c r="A306" s="81" t="s">
        <v>18</v>
      </c>
      <c r="B306" s="82" t="s">
        <v>19</v>
      </c>
      <c r="C306" s="83" t="s">
        <v>12</v>
      </c>
      <c r="D306" s="100">
        <v>8375</v>
      </c>
      <c r="E306" s="100">
        <v>6255</v>
      </c>
      <c r="F306" s="100">
        <v>3803</v>
      </c>
      <c r="G306" s="85"/>
      <c r="H306" s="86"/>
      <c r="I306" s="86"/>
      <c r="J306" s="87">
        <f t="shared" si="68"/>
        <v>119.40298507462687</v>
      </c>
      <c r="K306" s="87">
        <f>IF(E306="","",(1/E306)*1000000)</f>
        <v>159.87210231814549</v>
      </c>
      <c r="L306" s="87">
        <f t="shared" si="70"/>
        <v>262.95030239284779</v>
      </c>
      <c r="M306" s="87" t="str">
        <f t="shared" si="71"/>
        <v/>
      </c>
      <c r="N306" s="87" t="str">
        <f t="shared" si="72"/>
        <v/>
      </c>
      <c r="O306" s="88" t="str">
        <f t="shared" si="73"/>
        <v/>
      </c>
    </row>
    <row r="307" spans="1:15" x14ac:dyDescent="0.25">
      <c r="A307" s="156" t="s">
        <v>230</v>
      </c>
      <c r="B307" s="157"/>
      <c r="C307" s="157"/>
      <c r="D307" s="157"/>
      <c r="E307" s="157"/>
      <c r="F307" s="157"/>
      <c r="G307" s="130" t="s">
        <v>224</v>
      </c>
      <c r="H307" s="130"/>
      <c r="I307" s="130"/>
      <c r="J307" s="195"/>
      <c r="K307" s="195"/>
      <c r="L307" s="195"/>
      <c r="M307" s="157" t="s">
        <v>172</v>
      </c>
      <c r="N307" s="157"/>
      <c r="O307" s="90"/>
    </row>
    <row r="308" spans="1:15" ht="18.75" x14ac:dyDescent="0.3">
      <c r="A308" s="158" t="s">
        <v>186</v>
      </c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59"/>
    </row>
    <row r="309" spans="1:15" x14ac:dyDescent="0.25">
      <c r="A309" s="185" t="s">
        <v>2</v>
      </c>
      <c r="B309" s="186"/>
      <c r="C309" s="187"/>
      <c r="D309" s="188" t="s">
        <v>20</v>
      </c>
      <c r="E309" s="189"/>
      <c r="F309" s="189"/>
      <c r="G309" s="189"/>
      <c r="H309" s="189"/>
      <c r="I309" s="190"/>
      <c r="J309" s="188" t="s">
        <v>23</v>
      </c>
      <c r="K309" s="189"/>
      <c r="L309" s="189"/>
      <c r="M309" s="189"/>
      <c r="N309" s="189"/>
      <c r="O309" s="191"/>
    </row>
    <row r="310" spans="1:15" x14ac:dyDescent="0.25">
      <c r="A310" s="76" t="s">
        <v>5</v>
      </c>
      <c r="B310" s="77" t="s">
        <v>6</v>
      </c>
      <c r="C310" s="77" t="s">
        <v>7</v>
      </c>
      <c r="D310" s="79">
        <v>1</v>
      </c>
      <c r="E310" s="79">
        <v>4</v>
      </c>
      <c r="F310" s="79">
        <v>16</v>
      </c>
      <c r="G310" s="79">
        <v>32</v>
      </c>
      <c r="H310" s="79">
        <v>64</v>
      </c>
      <c r="I310" s="79">
        <v>80</v>
      </c>
      <c r="J310" s="79">
        <v>1</v>
      </c>
      <c r="K310" s="79">
        <v>4</v>
      </c>
      <c r="L310" s="79">
        <v>16</v>
      </c>
      <c r="M310" s="79">
        <v>32</v>
      </c>
      <c r="N310" s="79">
        <v>64</v>
      </c>
      <c r="O310" s="80">
        <v>80</v>
      </c>
    </row>
    <row r="311" spans="1:15" x14ac:dyDescent="0.25">
      <c r="A311" s="81" t="s">
        <v>8</v>
      </c>
      <c r="B311" s="82" t="s">
        <v>9</v>
      </c>
      <c r="C311" s="82" t="s">
        <v>10</v>
      </c>
      <c r="D311" s="91">
        <f>IF(D301="","",(D301-'2018'!D226)/'2018'!D226)</f>
        <v>2.9845472533685104E-2</v>
      </c>
      <c r="E311" s="91">
        <f>IF(E301="","",(E301-'2018'!E226)/'2018'!E226)</f>
        <v>-6.5541952821737831E-2</v>
      </c>
      <c r="F311" s="91">
        <f>IF(F301="","",(F301-'2018'!F226)/'2018'!F226)</f>
        <v>4.8142595368982175E-2</v>
      </c>
      <c r="G311" s="91" t="str">
        <f>IF(G301="","",(G301-'2014'!#REF!)/'2014'!#REF!)</f>
        <v/>
      </c>
      <c r="H311" s="91" t="str">
        <f>IF(H301="","",(H301-'2014'!#REF!)/'2014'!#REF!)</f>
        <v/>
      </c>
      <c r="I311" s="87" t="str">
        <f>IF(I301="","",(I301-'2014'!#REF!)/'2014'!#REF!)</f>
        <v/>
      </c>
      <c r="J311" s="87"/>
      <c r="K311" s="87"/>
      <c r="L311" s="87"/>
      <c r="M311" s="87" t="str">
        <f>IF(G311="","",M301-((1/'Proto 2013'!#REF!)*1000000))</f>
        <v/>
      </c>
      <c r="N311" s="87" t="str">
        <f>IF(H311="","",N301-((1/'Proto 2013'!#REF!)*1000000))</f>
        <v/>
      </c>
      <c r="O311" s="88" t="str">
        <f>IF(I311="","",O301-((1/'Proto 2013'!#REF!)*1000000))</f>
        <v/>
      </c>
    </row>
    <row r="312" spans="1:15" x14ac:dyDescent="0.25">
      <c r="A312" s="81" t="s">
        <v>11</v>
      </c>
      <c r="B312" s="82" t="s">
        <v>9</v>
      </c>
      <c r="C312" s="82" t="s">
        <v>12</v>
      </c>
      <c r="D312" s="91">
        <f>IF(D302="","",(D302-'2018'!D227)/'2018'!D227)</f>
        <v>-5.6553755522827688E-2</v>
      </c>
      <c r="E312" s="91">
        <f>IF(E302="","",(E302-'2018'!E227)/'2018'!E227)</f>
        <v>-3.6121673003802278E-2</v>
      </c>
      <c r="F312" s="91">
        <f>IF(F302="","",(F302-'2018'!F227)/'2018'!F227)</f>
        <v>-4.9869389693659463E-2</v>
      </c>
      <c r="G312" s="91" t="str">
        <f>IF(G302="","",(G302-'2014'!#REF!)/'2014'!#REF!)</f>
        <v/>
      </c>
      <c r="H312" s="91" t="str">
        <f>IF(H302="","",(H302-'2014'!#REF!)/'2014'!#REF!)</f>
        <v/>
      </c>
      <c r="I312" s="91" t="str">
        <f>IF(I302="","",(I302-'2014'!#REF!)/'2014'!#REF!)</f>
        <v/>
      </c>
      <c r="J312" s="87"/>
      <c r="K312" s="87"/>
      <c r="L312" s="87"/>
      <c r="M312" s="87" t="str">
        <f>IF(G312="","",M302-((1/'Proto 2013'!#REF!)*1000000))</f>
        <v/>
      </c>
      <c r="N312" s="87" t="str">
        <f>IF(H312="","",N302-((1/'Proto 2013'!#REF!)*1000000))</f>
        <v/>
      </c>
      <c r="O312" s="88" t="str">
        <f>IF(I312="","",O302-((1/'Proto 2013'!#REF!)*1000000))</f>
        <v/>
      </c>
    </row>
    <row r="313" spans="1:15" x14ac:dyDescent="0.25">
      <c r="A313" s="81" t="s">
        <v>13</v>
      </c>
      <c r="B313" s="82" t="s">
        <v>14</v>
      </c>
      <c r="C313" s="82" t="s">
        <v>10</v>
      </c>
      <c r="D313" s="91">
        <f>IF(D303="","",(D303-'2018'!D228)/'2018'!D228)</f>
        <v>-8.7026826423496975E-2</v>
      </c>
      <c r="E313" s="91">
        <f>IF(E303="","",(E303-'2018'!E228)/'2018'!E228)</f>
        <v>7.7173436815422172E-2</v>
      </c>
      <c r="F313" s="91">
        <f>IF(F303="","",(F303-'2018'!F228)/'2018'!F228)</f>
        <v>3.5778821828695337E-2</v>
      </c>
      <c r="G313" s="91" t="str">
        <f>IF(G303="","",(G303-'2014'!#REF!)/'2014'!#REF!)</f>
        <v/>
      </c>
      <c r="H313" s="91" t="str">
        <f>IF(H303="","",(H303-'2014'!#REF!)/'2014'!#REF!)</f>
        <v/>
      </c>
      <c r="I313" s="91" t="str">
        <f>IF(I303="","",(I303-'2014'!#REF!)/'2014'!#REF!)</f>
        <v/>
      </c>
      <c r="J313" s="87"/>
      <c r="K313" s="87"/>
      <c r="L313" s="87"/>
      <c r="M313" s="87" t="str">
        <f>IF(G313="","",M303-((1/'Proto 2013'!#REF!)*1000000))</f>
        <v/>
      </c>
      <c r="N313" s="87" t="str">
        <f>IF(H313="","",N303-((1/'Proto 2013'!#REF!)*1000000))</f>
        <v/>
      </c>
      <c r="O313" s="88" t="str">
        <f>IF(I313="","",O303-((1/'Proto 2013'!#REF!)*1000000))</f>
        <v/>
      </c>
    </row>
    <row r="314" spans="1:15" x14ac:dyDescent="0.25">
      <c r="A314" s="81" t="s">
        <v>15</v>
      </c>
      <c r="B314" s="82" t="s">
        <v>14</v>
      </c>
      <c r="C314" s="82" t="s">
        <v>12</v>
      </c>
      <c r="D314" s="91">
        <f>IF(D304="","",(D304-'2018'!D229)/'2018'!D229)</f>
        <v>-0.16099298208861423</v>
      </c>
      <c r="E314" s="91">
        <f>IF(E304="","",(E304-'2018'!E229)/'2018'!E229)</f>
        <v>-6.968641114982578E-2</v>
      </c>
      <c r="F314" s="91">
        <f>IF(F304="","",(F304-'2018'!F229)/'2018'!F229)</f>
        <v>1.2051419389394752E-2</v>
      </c>
      <c r="G314" s="91" t="str">
        <f>IF(G304="","",(G304-'2014'!#REF!)/'2014'!#REF!)</f>
        <v/>
      </c>
      <c r="H314" s="91" t="str">
        <f>IF(H304="","",(H304-'2014'!#REF!)/'2014'!#REF!)</f>
        <v/>
      </c>
      <c r="I314" s="91" t="str">
        <f>IF(I304="","",(I304-'2014'!#REF!)/'2014'!#REF!)</f>
        <v/>
      </c>
      <c r="J314" s="87"/>
      <c r="K314" s="87"/>
      <c r="L314" s="87"/>
      <c r="M314" s="87" t="str">
        <f>IF(G314="","",M304-((1/'Proto 2013'!#REF!)*1000000))</f>
        <v/>
      </c>
      <c r="N314" s="87" t="str">
        <f>IF(H314="","",N304-((1/'Proto 2013'!#REF!)*1000000))</f>
        <v/>
      </c>
      <c r="O314" s="88" t="str">
        <f>IF(I314="","",O304-((1/'Proto 2013'!#REF!)*1000000))</f>
        <v/>
      </c>
    </row>
    <row r="315" spans="1:15" x14ac:dyDescent="0.25">
      <c r="A315" s="81" t="s">
        <v>16</v>
      </c>
      <c r="B315" s="82" t="s">
        <v>17</v>
      </c>
      <c r="C315" s="82" t="s">
        <v>12</v>
      </c>
      <c r="D315" s="91">
        <f>IF(D305="","",(D305-'2018'!D230)/'2018'!D230)</f>
        <v>-3.7675166551803356E-2</v>
      </c>
      <c r="E315" s="91">
        <f>IF(E305="","",(E305-'2018'!E230)/'2018'!E230)</f>
        <v>-4.0885111371629541E-2</v>
      </c>
      <c r="F315" s="91">
        <f>IF(F305="","",(F305-'2018'!F230)/'2018'!F230)</f>
        <v>-3.9334341906202726E-2</v>
      </c>
      <c r="G315" s="91" t="str">
        <f>IF(G305="","",(G305-'2014'!#REF!)/'2014'!#REF!)</f>
        <v/>
      </c>
      <c r="H315" s="91" t="str">
        <f>IF(H305="","",(H305-'2014'!#REF!)/'2014'!#REF!)</f>
        <v/>
      </c>
      <c r="I315" s="91" t="str">
        <f>IF(I305="","",(I305-'2014'!#REF!)/'2014'!#REF!)</f>
        <v/>
      </c>
      <c r="J315" s="87"/>
      <c r="K315" s="87"/>
      <c r="L315" s="87"/>
      <c r="M315" s="87" t="str">
        <f>IF(G315="","",M305-((1/'Proto 2013'!#REF!)*1000000))</f>
        <v/>
      </c>
      <c r="N315" s="87" t="str">
        <f>IF(H315="","",N305-((1/'Proto 2013'!#REF!)*1000000))</f>
        <v/>
      </c>
      <c r="O315" s="88" t="str">
        <f>IF(I315="","",O305-((1/'Proto 2013'!#REF!)*1000000))</f>
        <v/>
      </c>
    </row>
    <row r="316" spans="1:15" ht="15.75" thickBot="1" x14ac:dyDescent="0.3">
      <c r="A316" s="92" t="s">
        <v>18</v>
      </c>
      <c r="B316" s="93" t="s">
        <v>19</v>
      </c>
      <c r="C316" s="93" t="s">
        <v>12</v>
      </c>
      <c r="D316" s="91">
        <f>IF(D306="","",(D306-'2018'!D231)/'2018'!D231)</f>
        <v>-1.0281257385960765E-2</v>
      </c>
      <c r="E316" s="91">
        <f>IF(E306="","",(E306-'2018'!E231)/'2018'!E231)</f>
        <v>2.3229183706854246E-2</v>
      </c>
      <c r="F316" s="91">
        <f>IF(F306="","",(F306-'2018'!F231)/'2018'!F231)</f>
        <v>1.8478843063738617E-2</v>
      </c>
      <c r="G316" s="94" t="str">
        <f>IF(G306="","",(G306-'2014'!#REF!)/'2014'!#REF!)</f>
        <v/>
      </c>
      <c r="H316" s="94" t="str">
        <f>IF(H306="","",(H306-'2014'!#REF!)/'2014'!#REF!)</f>
        <v/>
      </c>
      <c r="I316" s="94" t="str">
        <f>IF(I306="","",(I306-'2014'!#REF!)/'2014'!#REF!)</f>
        <v/>
      </c>
      <c r="J316" s="95"/>
      <c r="K316" s="95"/>
      <c r="L316" s="95"/>
      <c r="M316" s="95" t="str">
        <f>IF(G316="","",M306-((1/'Proto 2013'!#REF!)*1000000))</f>
        <v/>
      </c>
      <c r="N316" s="95" t="str">
        <f>IF(H316="","",N306-((1/'Proto 2013'!#REF!)*1000000))</f>
        <v/>
      </c>
      <c r="O316" s="96" t="str">
        <f>IF(I316="","",O306-((1/'Proto 2013'!#REF!)*1000000))</f>
        <v/>
      </c>
    </row>
    <row r="317" spans="1:15" ht="18.75" x14ac:dyDescent="0.3">
      <c r="A317" s="158" t="s">
        <v>218</v>
      </c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59"/>
    </row>
    <row r="318" spans="1:15" x14ac:dyDescent="0.25">
      <c r="A318" s="185" t="s">
        <v>2</v>
      </c>
      <c r="B318" s="186"/>
      <c r="C318" s="187"/>
      <c r="D318" s="188" t="s">
        <v>20</v>
      </c>
      <c r="E318" s="189"/>
      <c r="F318" s="189"/>
      <c r="G318" s="189"/>
      <c r="H318" s="189"/>
      <c r="I318" s="190"/>
      <c r="J318" s="188" t="s">
        <v>23</v>
      </c>
      <c r="K318" s="189"/>
      <c r="L318" s="189"/>
      <c r="M318" s="189"/>
      <c r="N318" s="189"/>
      <c r="O318" s="191"/>
    </row>
    <row r="319" spans="1:15" x14ac:dyDescent="0.25">
      <c r="A319" s="76" t="s">
        <v>5</v>
      </c>
      <c r="B319" s="77" t="s">
        <v>6</v>
      </c>
      <c r="C319" s="77" t="s">
        <v>7</v>
      </c>
      <c r="D319" s="79">
        <v>1</v>
      </c>
      <c r="E319" s="79">
        <v>4</v>
      </c>
      <c r="F319" s="79">
        <v>16</v>
      </c>
      <c r="G319" s="79">
        <v>32</v>
      </c>
      <c r="H319" s="79">
        <v>64</v>
      </c>
      <c r="I319" s="79">
        <v>80</v>
      </c>
      <c r="J319" s="79">
        <v>1</v>
      </c>
      <c r="K319" s="79">
        <v>4</v>
      </c>
      <c r="L319" s="79">
        <v>16</v>
      </c>
      <c r="M319" s="79">
        <v>32</v>
      </c>
      <c r="N319" s="79">
        <v>64</v>
      </c>
      <c r="O319" s="80">
        <v>80</v>
      </c>
    </row>
    <row r="320" spans="1:15" x14ac:dyDescent="0.25">
      <c r="A320" s="81" t="s">
        <v>8</v>
      </c>
      <c r="B320" s="82" t="s">
        <v>9</v>
      </c>
      <c r="C320" s="82" t="s">
        <v>10</v>
      </c>
      <c r="D320" s="91">
        <f>IF(D301="","",(D301-'2018'!D270)/'2018'!D270)</f>
        <v>3.2740415278860464E-2</v>
      </c>
      <c r="E320" s="91">
        <f>IF(E301="","",(E301-'2018'!E270)/'2018'!E270)</f>
        <v>0.19996165644171779</v>
      </c>
      <c r="F320" s="91">
        <f>IF(F301="","",(F301-'2018'!F270)/'2018'!F270)</f>
        <v>4.8142595368982175E-2</v>
      </c>
      <c r="G320" s="91" t="str">
        <f>IF(G301="","",(G301-'2018'!G418)/'2018'!G418)</f>
        <v/>
      </c>
      <c r="H320" s="91" t="str">
        <f>IF(H301="","",(H301-'2018'!H418)/'2018'!H418)</f>
        <v/>
      </c>
      <c r="I320" s="87" t="e">
        <f>IF(I310="","",(I310-'2014'!#REF!)/'2014'!#REF!)</f>
        <v>#REF!</v>
      </c>
      <c r="J320" s="87"/>
      <c r="K320" s="87"/>
      <c r="L320" s="87"/>
      <c r="M320" s="87" t="str">
        <f>IF(G320="","",M310-((1/'Proto 2013'!#REF!)*1000000))</f>
        <v/>
      </c>
      <c r="N320" s="87" t="str">
        <f>IF(H320="","",N310-((1/'Proto 2013'!#REF!)*1000000))</f>
        <v/>
      </c>
      <c r="O320" s="88" t="e">
        <f>IF(I320="","",O310-((1/'Proto 2013'!#REF!)*1000000))</f>
        <v>#REF!</v>
      </c>
    </row>
    <row r="321" spans="1:15" x14ac:dyDescent="0.25">
      <c r="A321" s="81" t="s">
        <v>11</v>
      </c>
      <c r="B321" s="82" t="s">
        <v>9</v>
      </c>
      <c r="C321" s="82" t="s">
        <v>12</v>
      </c>
      <c r="D321" s="91">
        <f>IF(D302="","",(D302-'2018'!D271)/'2018'!D271)</f>
        <v>-3.1210986267166043E-4</v>
      </c>
      <c r="E321" s="91">
        <f>IF(E302="","",(E302-'2018'!E271)/'2018'!E271)</f>
        <v>-4.1104526541419745E-2</v>
      </c>
      <c r="F321" s="91">
        <f>IF(F302="","",(F302-'2018'!F271)/'2018'!F271)</f>
        <v>-5.9473436765397271E-2</v>
      </c>
      <c r="G321" s="91" t="str">
        <f>IF(G311="","",(G311-'2014'!#REF!)/'2014'!#REF!)</f>
        <v/>
      </c>
      <c r="H321" s="91" t="str">
        <f>IF(H311="","",(H311-'2014'!#REF!)/'2014'!#REF!)</f>
        <v/>
      </c>
      <c r="I321" s="91" t="str">
        <f>IF(I311="","",(I311-'2014'!#REF!)/'2014'!#REF!)</f>
        <v/>
      </c>
      <c r="J321" s="87"/>
      <c r="K321" s="87"/>
      <c r="L321" s="87"/>
      <c r="M321" s="87" t="str">
        <f>IF(G321="","",M311-((1/'Proto 2013'!#REF!)*1000000))</f>
        <v/>
      </c>
      <c r="N321" s="87" t="str">
        <f>IF(H321="","",N311-((1/'Proto 2013'!#REF!)*1000000))</f>
        <v/>
      </c>
      <c r="O321" s="88" t="str">
        <f>IF(I321="","",O311-((1/'Proto 2013'!#REF!)*1000000))</f>
        <v/>
      </c>
    </row>
    <row r="322" spans="1:15" x14ac:dyDescent="0.25">
      <c r="A322" s="81" t="s">
        <v>13</v>
      </c>
      <c r="B322" s="82" t="s">
        <v>14</v>
      </c>
      <c r="C322" s="82" t="s">
        <v>10</v>
      </c>
      <c r="D322" s="91">
        <f>IF(D303="","",(D303-'2018'!D272)/'2018'!D272)</f>
        <v>0.30374380134004619</v>
      </c>
      <c r="E322" s="91">
        <f>IF(E303="","",(E303-'2018'!E272)/'2018'!E272)</f>
        <v>-3.7418200123049389E-2</v>
      </c>
      <c r="F322" s="91">
        <f>IF(F303="","",(F303-'2018'!F272)/'2018'!F272)</f>
        <v>6.5823726292301973E-2</v>
      </c>
      <c r="G322" s="91" t="str">
        <f>IF(G312="","",(G312-'2014'!#REF!)/'2014'!#REF!)</f>
        <v/>
      </c>
      <c r="H322" s="91" t="str">
        <f>IF(H312="","",(H312-'2014'!#REF!)/'2014'!#REF!)</f>
        <v/>
      </c>
      <c r="I322" s="91" t="str">
        <f>IF(I312="","",(I312-'2014'!#REF!)/'2014'!#REF!)</f>
        <v/>
      </c>
      <c r="J322" s="87"/>
      <c r="K322" s="87"/>
      <c r="L322" s="87"/>
      <c r="M322" s="87" t="str">
        <f>IF(G322="","",M312-((1/'Proto 2013'!#REF!)*1000000))</f>
        <v/>
      </c>
      <c r="N322" s="87" t="str">
        <f>IF(H322="","",N312-((1/'Proto 2013'!#REF!)*1000000))</f>
        <v/>
      </c>
      <c r="O322" s="88" t="str">
        <f>IF(I322="","",O312-((1/'Proto 2013'!#REF!)*1000000))</f>
        <v/>
      </c>
    </row>
    <row r="323" spans="1:15" x14ac:dyDescent="0.25">
      <c r="A323" s="81" t="s">
        <v>15</v>
      </c>
      <c r="B323" s="82" t="s">
        <v>14</v>
      </c>
      <c r="C323" s="82" t="s">
        <v>12</v>
      </c>
      <c r="D323" s="91">
        <f>IF(D304="","",(D304-'2018'!D273)/'2018'!D273)</f>
        <v>-0.16666666666666666</v>
      </c>
      <c r="E323" s="91">
        <f>IF(E304="","",(E304-'2018'!E273)/'2018'!E273)</f>
        <v>-0.10173597093257973</v>
      </c>
      <c r="F323" s="91">
        <f>IF(F304="","",(F304-'2018'!F273)/'2018'!F273)</f>
        <v>-4.1106318193351941E-2</v>
      </c>
      <c r="G323" s="91" t="str">
        <f>IF(G313="","",(G313-'2014'!#REF!)/'2014'!#REF!)</f>
        <v/>
      </c>
      <c r="H323" s="91" t="str">
        <f>IF(H313="","",(H313-'2014'!#REF!)/'2014'!#REF!)</f>
        <v/>
      </c>
      <c r="I323" s="91" t="str">
        <f>IF(I313="","",(I313-'2014'!#REF!)/'2014'!#REF!)</f>
        <v/>
      </c>
      <c r="J323" s="87"/>
      <c r="K323" s="87"/>
      <c r="L323" s="87"/>
      <c r="M323" s="87" t="str">
        <f>IF(G323="","",M313-((1/'Proto 2013'!#REF!)*1000000))</f>
        <v/>
      </c>
      <c r="N323" s="87" t="str">
        <f>IF(H323="","",N313-((1/'Proto 2013'!#REF!)*1000000))</f>
        <v/>
      </c>
      <c r="O323" s="88" t="str">
        <f>IF(I323="","",O313-((1/'Proto 2013'!#REF!)*1000000))</f>
        <v/>
      </c>
    </row>
    <row r="324" spans="1:15" x14ac:dyDescent="0.25">
      <c r="A324" s="81" t="s">
        <v>16</v>
      </c>
      <c r="B324" s="82" t="s">
        <v>17</v>
      </c>
      <c r="C324" s="82" t="s">
        <v>12</v>
      </c>
      <c r="D324" s="91">
        <f>IF(D305="","",(D305-'2018'!D274)/'2018'!D274)</f>
        <v>-1.0277613703484938E-2</v>
      </c>
      <c r="E324" s="91">
        <f>IF(E305="","",(E305-'2018'!E274)/'2018'!E274)</f>
        <v>6.6133497385419873E-3</v>
      </c>
      <c r="F324" s="91">
        <f>IF(F305="","",(F305-'2018'!F274)/'2018'!F274)</f>
        <v>-1.1929460580912862E-2</v>
      </c>
      <c r="G324" s="91" t="str">
        <f>IF(G314="","",(G314-'2014'!#REF!)/'2014'!#REF!)</f>
        <v/>
      </c>
      <c r="H324" s="91" t="str">
        <f>IF(H314="","",(H314-'2014'!#REF!)/'2014'!#REF!)</f>
        <v/>
      </c>
      <c r="I324" s="91" t="str">
        <f>IF(I314="","",(I314-'2014'!#REF!)/'2014'!#REF!)</f>
        <v/>
      </c>
      <c r="J324" s="87"/>
      <c r="K324" s="87"/>
      <c r="L324" s="87"/>
      <c r="M324" s="87" t="str">
        <f>IF(G324="","",M314-((1/'Proto 2013'!#REF!)*1000000))</f>
        <v/>
      </c>
      <c r="N324" s="87" t="str">
        <f>IF(H324="","",N314-((1/'Proto 2013'!#REF!)*1000000))</f>
        <v/>
      </c>
      <c r="O324" s="88" t="str">
        <f>IF(I324="","",O314-((1/'Proto 2013'!#REF!)*1000000))</f>
        <v/>
      </c>
    </row>
    <row r="325" spans="1:15" ht="15.75" thickBot="1" x14ac:dyDescent="0.3">
      <c r="A325" s="92" t="s">
        <v>18</v>
      </c>
      <c r="B325" s="93" t="s">
        <v>19</v>
      </c>
      <c r="C325" s="93" t="s">
        <v>12</v>
      </c>
      <c r="D325" s="91">
        <f>IF(D306="","",(D306-'2018'!D275)/'2018'!D275)</f>
        <v>-2.3778995220888215E-2</v>
      </c>
      <c r="E325" s="91">
        <f>IF(E306="","",(E306-'2018'!E275)/'2018'!E275)</f>
        <v>-2.4333177351427236E-2</v>
      </c>
      <c r="F325" s="91">
        <f>IF(F306="","",(F306-'2018'!F275)/'2018'!F275)</f>
        <v>3.1653917172250064E-3</v>
      </c>
      <c r="G325" s="94" t="str">
        <f>IF(G315="","",(G315-'2014'!#REF!)/'2014'!#REF!)</f>
        <v/>
      </c>
      <c r="H325" s="94" t="str">
        <f>IF(H315="","",(H315-'2014'!#REF!)/'2014'!#REF!)</f>
        <v/>
      </c>
      <c r="I325" s="94" t="str">
        <f>IF(I315="","",(I315-'2014'!#REF!)/'2014'!#REF!)</f>
        <v/>
      </c>
      <c r="J325" s="95"/>
      <c r="K325" s="95"/>
      <c r="L325" s="95"/>
      <c r="M325" s="95" t="str">
        <f>IF(G325="","",M315-((1/'Proto 2013'!#REF!)*1000000))</f>
        <v/>
      </c>
      <c r="N325" s="95" t="str">
        <f>IF(H325="","",N315-((1/'Proto 2013'!#REF!)*1000000))</f>
        <v/>
      </c>
      <c r="O325" s="96" t="str">
        <f>IF(I325="","",O315-((1/'Proto 2013'!#REF!)*1000000))</f>
        <v/>
      </c>
    </row>
    <row r="326" spans="1:15" ht="15.75" thickBot="1" x14ac:dyDescent="0.3"/>
    <row r="327" spans="1:15" ht="18.75" x14ac:dyDescent="0.25">
      <c r="A327" s="162" t="s">
        <v>191</v>
      </c>
      <c r="B327" s="163"/>
      <c r="C327" s="163"/>
      <c r="D327" s="163"/>
      <c r="E327" s="163"/>
      <c r="F327" s="163"/>
      <c r="G327" s="163"/>
      <c r="H327" s="163"/>
      <c r="I327" s="163"/>
      <c r="J327" s="163"/>
      <c r="K327" s="163"/>
      <c r="L327" s="163"/>
      <c r="M327" s="163"/>
      <c r="N327" s="163"/>
      <c r="O327" s="164"/>
    </row>
    <row r="328" spans="1:15" ht="15.75" x14ac:dyDescent="0.25">
      <c r="A328" s="165" t="s">
        <v>232</v>
      </c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66"/>
    </row>
    <row r="329" spans="1:15" x14ac:dyDescent="0.25">
      <c r="A329" s="185" t="s">
        <v>2</v>
      </c>
      <c r="B329" s="186"/>
      <c r="C329" s="187"/>
      <c r="D329" s="192" t="s">
        <v>3</v>
      </c>
      <c r="E329" s="193"/>
      <c r="F329" s="193"/>
      <c r="G329" s="193"/>
      <c r="H329" s="193"/>
      <c r="I329" s="194"/>
      <c r="J329" s="188" t="s">
        <v>4</v>
      </c>
      <c r="K329" s="189"/>
      <c r="L329" s="189"/>
      <c r="M329" s="189"/>
      <c r="N329" s="189"/>
      <c r="O329" s="191"/>
    </row>
    <row r="330" spans="1:15" x14ac:dyDescent="0.25">
      <c r="A330" s="76" t="s">
        <v>5</v>
      </c>
      <c r="B330" s="77" t="s">
        <v>6</v>
      </c>
      <c r="C330" s="77" t="s">
        <v>7</v>
      </c>
      <c r="D330" s="78">
        <v>1</v>
      </c>
      <c r="E330" s="78">
        <v>4</v>
      </c>
      <c r="F330" s="78">
        <v>16</v>
      </c>
      <c r="G330" s="79">
        <v>32</v>
      </c>
      <c r="H330" s="79">
        <v>64</v>
      </c>
      <c r="I330" s="79">
        <v>80</v>
      </c>
      <c r="J330" s="79">
        <v>1</v>
      </c>
      <c r="K330" s="79">
        <v>4</v>
      </c>
      <c r="L330" s="79">
        <v>16</v>
      </c>
      <c r="M330" s="79">
        <v>32</v>
      </c>
      <c r="N330" s="79">
        <v>64</v>
      </c>
      <c r="O330" s="80">
        <v>80</v>
      </c>
    </row>
    <row r="331" spans="1:15" x14ac:dyDescent="0.25">
      <c r="A331" s="37" t="s">
        <v>8</v>
      </c>
      <c r="B331" s="82" t="s">
        <v>9</v>
      </c>
      <c r="C331" s="83" t="s">
        <v>10</v>
      </c>
      <c r="D331" s="100">
        <v>42666</v>
      </c>
      <c r="E331" s="100">
        <v>20417</v>
      </c>
      <c r="F331" s="100">
        <v>6217</v>
      </c>
      <c r="G331" s="85"/>
      <c r="H331" s="86"/>
      <c r="I331" s="86"/>
      <c r="J331" s="87">
        <f t="shared" ref="J331:J336" si="74">IF(D331="","",(1/D331)*1000000)</f>
        <v>23.437866216659636</v>
      </c>
      <c r="K331" s="87">
        <f t="shared" ref="K331:K333" si="75">IF(E331="","",(1/E331)*1000000)</f>
        <v>48.978792182984769</v>
      </c>
      <c r="L331" s="87">
        <f t="shared" ref="L331:L336" si="76">IF(F331="","",(1/F331)*1000000)</f>
        <v>160.84928422068523</v>
      </c>
      <c r="M331" s="87" t="str">
        <f t="shared" ref="M331:M336" si="77">IF(G331="","",(1/G331)*1000000)</f>
        <v/>
      </c>
      <c r="N331" s="87" t="str">
        <f t="shared" ref="N331:N336" si="78">IF(H331="","",(1/H331)*1000000)</f>
        <v/>
      </c>
      <c r="O331" s="88" t="str">
        <f t="shared" ref="O331:O336" si="79">IF(I331="","",(1/I331)*1000000)</f>
        <v/>
      </c>
    </row>
    <row r="332" spans="1:15" x14ac:dyDescent="0.25">
      <c r="A332" s="81" t="s">
        <v>11</v>
      </c>
      <c r="B332" s="82" t="s">
        <v>9</v>
      </c>
      <c r="C332" s="83" t="s">
        <v>12</v>
      </c>
      <c r="D332" s="100">
        <v>8962</v>
      </c>
      <c r="E332" s="100">
        <v>7373</v>
      </c>
      <c r="F332" s="100">
        <v>4116</v>
      </c>
      <c r="G332" s="85"/>
      <c r="H332" s="86"/>
      <c r="I332" s="86"/>
      <c r="J332" s="87">
        <f t="shared" si="74"/>
        <v>111.5822361080116</v>
      </c>
      <c r="K332" s="87">
        <f t="shared" si="75"/>
        <v>135.6300013563</v>
      </c>
      <c r="L332" s="87">
        <f t="shared" si="76"/>
        <v>242.95432458697763</v>
      </c>
      <c r="M332" s="87" t="str">
        <f t="shared" si="77"/>
        <v/>
      </c>
      <c r="N332" s="87" t="str">
        <f t="shared" si="78"/>
        <v/>
      </c>
      <c r="O332" s="88" t="str">
        <f t="shared" si="79"/>
        <v/>
      </c>
    </row>
    <row r="333" spans="1:15" x14ac:dyDescent="0.25">
      <c r="A333" s="81" t="s">
        <v>13</v>
      </c>
      <c r="B333" s="82" t="s">
        <v>14</v>
      </c>
      <c r="C333" s="83" t="s">
        <v>10</v>
      </c>
      <c r="D333" s="100">
        <v>39956</v>
      </c>
      <c r="E333" s="100">
        <v>16546</v>
      </c>
      <c r="F333" s="100">
        <v>5378</v>
      </c>
      <c r="G333" s="85"/>
      <c r="H333" s="86"/>
      <c r="I333" s="86"/>
      <c r="J333" s="87">
        <f t="shared" si="74"/>
        <v>25.027530283311641</v>
      </c>
      <c r="K333" s="87">
        <f t="shared" si="75"/>
        <v>60.437567992263993</v>
      </c>
      <c r="L333" s="87">
        <f t="shared" si="76"/>
        <v>185.94272963927111</v>
      </c>
      <c r="M333" s="87" t="str">
        <f t="shared" si="77"/>
        <v/>
      </c>
      <c r="N333" s="87" t="str">
        <f t="shared" si="78"/>
        <v/>
      </c>
      <c r="O333" s="88" t="str">
        <f t="shared" si="79"/>
        <v/>
      </c>
    </row>
    <row r="334" spans="1:15" x14ac:dyDescent="0.25">
      <c r="A334" s="81" t="s">
        <v>15</v>
      </c>
      <c r="B334" s="82" t="s">
        <v>14</v>
      </c>
      <c r="C334" s="83" t="s">
        <v>12</v>
      </c>
      <c r="D334" s="100">
        <v>9157</v>
      </c>
      <c r="E334" s="100">
        <v>7007</v>
      </c>
      <c r="F334" s="100">
        <v>3766</v>
      </c>
      <c r="G334" s="85"/>
      <c r="H334" s="86"/>
      <c r="I334" s="86"/>
      <c r="J334" s="87">
        <f t="shared" si="74"/>
        <v>109.20607185759529</v>
      </c>
      <c r="K334" s="87"/>
      <c r="L334" s="87">
        <f t="shared" si="76"/>
        <v>265.5337227827934</v>
      </c>
      <c r="M334" s="87" t="str">
        <f t="shared" si="77"/>
        <v/>
      </c>
      <c r="N334" s="87" t="str">
        <f t="shared" si="78"/>
        <v/>
      </c>
      <c r="O334" s="88" t="str">
        <f t="shared" si="79"/>
        <v/>
      </c>
    </row>
    <row r="335" spans="1:15" x14ac:dyDescent="0.25">
      <c r="A335" s="81" t="s">
        <v>16</v>
      </c>
      <c r="B335" s="82" t="s">
        <v>17</v>
      </c>
      <c r="C335" s="83" t="s">
        <v>12</v>
      </c>
      <c r="D335" s="100">
        <v>8847</v>
      </c>
      <c r="E335" s="100">
        <v>6617</v>
      </c>
      <c r="F335" s="100">
        <v>3822</v>
      </c>
      <c r="G335" s="85"/>
      <c r="H335" s="86"/>
      <c r="I335" s="86"/>
      <c r="J335" s="87">
        <f t="shared" si="74"/>
        <v>113.03266644060133</v>
      </c>
      <c r="K335" s="87">
        <f>IF(E335="","",(1/E335)*1000000)</f>
        <v>151.12588786459119</v>
      </c>
      <c r="L335" s="87">
        <f t="shared" si="76"/>
        <v>261.64311878597596</v>
      </c>
      <c r="M335" s="87" t="str">
        <f t="shared" si="77"/>
        <v/>
      </c>
      <c r="N335" s="87" t="str">
        <f t="shared" si="78"/>
        <v/>
      </c>
      <c r="O335" s="88" t="str">
        <f t="shared" si="79"/>
        <v/>
      </c>
    </row>
    <row r="336" spans="1:15" x14ac:dyDescent="0.25">
      <c r="A336" s="81" t="s">
        <v>18</v>
      </c>
      <c r="B336" s="82" t="s">
        <v>19</v>
      </c>
      <c r="C336" s="83" t="s">
        <v>12</v>
      </c>
      <c r="D336" s="100">
        <v>8571</v>
      </c>
      <c r="E336" s="100">
        <v>6546</v>
      </c>
      <c r="F336" s="100">
        <v>3849</v>
      </c>
      <c r="G336" s="85"/>
      <c r="H336" s="86"/>
      <c r="I336" s="86"/>
      <c r="J336" s="87">
        <f t="shared" si="74"/>
        <v>116.67250029168125</v>
      </c>
      <c r="K336" s="87">
        <f>IF(E336="","",(1/E336)*1000000)</f>
        <v>152.76504735716469</v>
      </c>
      <c r="L336" s="87">
        <f t="shared" si="76"/>
        <v>259.8077422707197</v>
      </c>
      <c r="M336" s="87" t="str">
        <f t="shared" si="77"/>
        <v/>
      </c>
      <c r="N336" s="87" t="str">
        <f t="shared" si="78"/>
        <v/>
      </c>
      <c r="O336" s="88" t="str">
        <f t="shared" si="79"/>
        <v/>
      </c>
    </row>
    <row r="337" spans="1:15" x14ac:dyDescent="0.25">
      <c r="A337" s="156" t="s">
        <v>231</v>
      </c>
      <c r="B337" s="157"/>
      <c r="C337" s="157"/>
      <c r="D337" s="157"/>
      <c r="E337" s="157"/>
      <c r="F337" s="157"/>
      <c r="G337" s="130" t="s">
        <v>224</v>
      </c>
      <c r="H337" s="130"/>
      <c r="I337" s="130"/>
      <c r="J337" s="195"/>
      <c r="K337" s="195"/>
      <c r="L337" s="195"/>
      <c r="M337" s="157" t="s">
        <v>172</v>
      </c>
      <c r="N337" s="157"/>
      <c r="O337" s="90"/>
    </row>
    <row r="338" spans="1:15" ht="18.75" x14ac:dyDescent="0.3">
      <c r="A338" s="158" t="s">
        <v>186</v>
      </c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59"/>
    </row>
    <row r="339" spans="1:15" x14ac:dyDescent="0.25">
      <c r="A339" s="185" t="s">
        <v>2</v>
      </c>
      <c r="B339" s="186"/>
      <c r="C339" s="187"/>
      <c r="D339" s="188" t="s">
        <v>20</v>
      </c>
      <c r="E339" s="189"/>
      <c r="F339" s="189"/>
      <c r="G339" s="189"/>
      <c r="H339" s="189"/>
      <c r="I339" s="190"/>
      <c r="J339" s="188" t="s">
        <v>23</v>
      </c>
      <c r="K339" s="189"/>
      <c r="L339" s="189"/>
      <c r="M339" s="189"/>
      <c r="N339" s="189"/>
      <c r="O339" s="191"/>
    </row>
    <row r="340" spans="1:15" x14ac:dyDescent="0.25">
      <c r="A340" s="76" t="s">
        <v>5</v>
      </c>
      <c r="B340" s="77" t="s">
        <v>6</v>
      </c>
      <c r="C340" s="77" t="s">
        <v>7</v>
      </c>
      <c r="D340" s="79">
        <v>1</v>
      </c>
      <c r="E340" s="79">
        <v>4</v>
      </c>
      <c r="F340" s="79">
        <v>16</v>
      </c>
      <c r="G340" s="79">
        <v>32</v>
      </c>
      <c r="H340" s="79">
        <v>64</v>
      </c>
      <c r="I340" s="79">
        <v>80</v>
      </c>
      <c r="J340" s="79">
        <v>1</v>
      </c>
      <c r="K340" s="79">
        <v>4</v>
      </c>
      <c r="L340" s="79">
        <v>16</v>
      </c>
      <c r="M340" s="79">
        <v>32</v>
      </c>
      <c r="N340" s="79">
        <v>64</v>
      </c>
      <c r="O340" s="80">
        <v>80</v>
      </c>
    </row>
    <row r="341" spans="1:15" x14ac:dyDescent="0.25">
      <c r="A341" s="81" t="s">
        <v>8</v>
      </c>
      <c r="B341" s="82" t="s">
        <v>9</v>
      </c>
      <c r="C341" s="82" t="s">
        <v>10</v>
      </c>
      <c r="D341" s="91">
        <f>IF(D331="","",(D331-'2018'!D226)/'2018'!D226)</f>
        <v>5.040987468199378E-3</v>
      </c>
      <c r="E341" s="91">
        <f>IF(E331="","",(E331-'2018'!E226)/'2018'!E226)</f>
        <v>1.6074450084602367E-2</v>
      </c>
      <c r="F341" s="91">
        <f>IF(F331="","",(F331-'2018'!F226)/'2018'!F226)</f>
        <v>3.5648842245543898E-2</v>
      </c>
      <c r="G341" s="91" t="str">
        <f>IF(G331="","",(G331-'2014'!#REF!)/'2014'!#REF!)</f>
        <v/>
      </c>
      <c r="H341" s="91" t="str">
        <f>IF(H331="","",(H331-'2014'!#REF!)/'2014'!#REF!)</f>
        <v/>
      </c>
      <c r="I341" s="87" t="str">
        <f>IF(I331="","",(I331-'2014'!#REF!)/'2014'!#REF!)</f>
        <v/>
      </c>
      <c r="J341" s="87"/>
      <c r="K341" s="87"/>
      <c r="L341" s="87"/>
      <c r="M341" s="87" t="str">
        <f>IF(G341="","",M331-((1/'Proto 2013'!#REF!)*1000000))</f>
        <v/>
      </c>
      <c r="N341" s="87" t="str">
        <f>IF(H341="","",N331-((1/'Proto 2013'!#REF!)*1000000))</f>
        <v/>
      </c>
      <c r="O341" s="88" t="str">
        <f>IF(I341="","",O331-((1/'Proto 2013'!#REF!)*1000000))</f>
        <v/>
      </c>
    </row>
    <row r="342" spans="1:15" x14ac:dyDescent="0.25">
      <c r="A342" s="81" t="s">
        <v>11</v>
      </c>
      <c r="B342" s="82" t="s">
        <v>9</v>
      </c>
      <c r="C342" s="82" t="s">
        <v>12</v>
      </c>
      <c r="D342" s="91">
        <f>IF(D332="","",(D332-'2018'!D227)/'2018'!D227)</f>
        <v>-0.1200785468826706</v>
      </c>
      <c r="E342" s="91">
        <f>IF(E332="","",(E332-'2018'!E227)/'2018'!E227)</f>
        <v>-6.5525982256020285E-2</v>
      </c>
      <c r="F342" s="91">
        <f>IF(F332="","",(F332-'2018'!F227)/'2018'!F227)</f>
        <v>-2.2559962004274518E-2</v>
      </c>
      <c r="G342" s="91" t="str">
        <f>IF(G332="","",(G332-'2014'!#REF!)/'2014'!#REF!)</f>
        <v/>
      </c>
      <c r="H342" s="91" t="str">
        <f>IF(H332="","",(H332-'2014'!#REF!)/'2014'!#REF!)</f>
        <v/>
      </c>
      <c r="I342" s="91" t="str">
        <f>IF(I332="","",(I332-'2014'!#REF!)/'2014'!#REF!)</f>
        <v/>
      </c>
      <c r="J342" s="87"/>
      <c r="K342" s="87"/>
      <c r="L342" s="87"/>
      <c r="M342" s="87" t="str">
        <f>IF(G342="","",M332-((1/'Proto 2013'!#REF!)*1000000))</f>
        <v/>
      </c>
      <c r="N342" s="87" t="str">
        <f>IF(H342="","",N332-((1/'Proto 2013'!#REF!)*1000000))</f>
        <v/>
      </c>
      <c r="O342" s="88" t="str">
        <f>IF(I342="","",O332-((1/'Proto 2013'!#REF!)*1000000))</f>
        <v/>
      </c>
    </row>
    <row r="343" spans="1:15" x14ac:dyDescent="0.25">
      <c r="A343" s="81" t="s">
        <v>13</v>
      </c>
      <c r="B343" s="82" t="s">
        <v>14</v>
      </c>
      <c r="C343" s="82" t="s">
        <v>10</v>
      </c>
      <c r="D343" s="91">
        <f>IF(D333="","",(D333-'2018'!D228)/'2018'!D228)</f>
        <v>5.9166578305587955E-2</v>
      </c>
      <c r="E343" s="91">
        <f>IF(E333="","",(E333-'2018'!E228)/'2018'!E228)</f>
        <v>3.5613694686111287E-2</v>
      </c>
      <c r="F343" s="91">
        <f>IF(F333="","",(F333-'2018'!F228)/'2018'!F228)</f>
        <v>-2.8189374774123598E-2</v>
      </c>
      <c r="G343" s="91" t="str">
        <f>IF(G333="","",(G333-'2014'!#REF!)/'2014'!#REF!)</f>
        <v/>
      </c>
      <c r="H343" s="91" t="str">
        <f>IF(H333="","",(H333-'2014'!#REF!)/'2014'!#REF!)</f>
        <v/>
      </c>
      <c r="I343" s="91" t="str">
        <f>IF(I333="","",(I333-'2014'!#REF!)/'2014'!#REF!)</f>
        <v/>
      </c>
      <c r="J343" s="87"/>
      <c r="K343" s="87"/>
      <c r="L343" s="87"/>
      <c r="M343" s="87" t="str">
        <f>IF(G343="","",M333-((1/'Proto 2013'!#REF!)*1000000))</f>
        <v/>
      </c>
      <c r="N343" s="87" t="str">
        <f>IF(H343="","",N333-((1/'Proto 2013'!#REF!)*1000000))</f>
        <v/>
      </c>
      <c r="O343" s="88" t="str">
        <f>IF(I343="","",O333-((1/'Proto 2013'!#REF!)*1000000))</f>
        <v/>
      </c>
    </row>
    <row r="344" spans="1:15" x14ac:dyDescent="0.25">
      <c r="A344" s="81" t="s">
        <v>15</v>
      </c>
      <c r="B344" s="82" t="s">
        <v>14</v>
      </c>
      <c r="C344" s="82" t="s">
        <v>12</v>
      </c>
      <c r="D344" s="91">
        <f>IF(D334="","",(D334-'2018'!D229)/'2018'!D229)</f>
        <v>-4.0850528961977585E-2</v>
      </c>
      <c r="E344" s="91">
        <f>IF(E334="","",(E334-'2018'!E229)/'2018'!E229)</f>
        <v>-2.3414634146341463E-2</v>
      </c>
      <c r="F344" s="91">
        <f>IF(F334="","",(F334-'2018'!F229)/'2018'!F229)</f>
        <v>8.5698982324584894E-3</v>
      </c>
      <c r="G344" s="91" t="str">
        <f>IF(G334="","",(G334-'2014'!#REF!)/'2014'!#REF!)</f>
        <v/>
      </c>
      <c r="H344" s="91" t="str">
        <f>IF(H334="","",(H334-'2014'!#REF!)/'2014'!#REF!)</f>
        <v/>
      </c>
      <c r="I344" s="91" t="str">
        <f>IF(I334="","",(I334-'2014'!#REF!)/'2014'!#REF!)</f>
        <v/>
      </c>
      <c r="J344" s="87"/>
      <c r="K344" s="87"/>
      <c r="L344" s="87"/>
      <c r="M344" s="87" t="str">
        <f>IF(G344="","",M334-((1/'Proto 2013'!#REF!)*1000000))</f>
        <v/>
      </c>
      <c r="N344" s="87" t="str">
        <f>IF(H344="","",N334-((1/'Proto 2013'!#REF!)*1000000))</f>
        <v/>
      </c>
      <c r="O344" s="88" t="str">
        <f>IF(I344="","",O334-((1/'Proto 2013'!#REF!)*1000000))</f>
        <v/>
      </c>
    </row>
    <row r="345" spans="1:15" x14ac:dyDescent="0.25">
      <c r="A345" s="81" t="s">
        <v>16</v>
      </c>
      <c r="B345" s="82" t="s">
        <v>17</v>
      </c>
      <c r="C345" s="82" t="s">
        <v>12</v>
      </c>
      <c r="D345" s="91">
        <f>IF(D335="","",(D335-'2018'!D230)/'2018'!D230)</f>
        <v>1.6195727084769126E-2</v>
      </c>
      <c r="E345" s="91">
        <f>IF(E335="","",(E335-'2018'!E230)/'2018'!E230)</f>
        <v>-3.0334114888628371E-2</v>
      </c>
      <c r="F345" s="91">
        <f>IF(F335="","",(F335-'2018'!F230)/'2018'!F230)</f>
        <v>-3.6308623298033284E-2</v>
      </c>
      <c r="G345" s="91" t="str">
        <f>IF(G335="","",(G335-'2014'!#REF!)/'2014'!#REF!)</f>
        <v/>
      </c>
      <c r="H345" s="91" t="str">
        <f>IF(H335="","",(H335-'2014'!#REF!)/'2014'!#REF!)</f>
        <v/>
      </c>
      <c r="I345" s="91" t="str">
        <f>IF(I335="","",(I335-'2014'!#REF!)/'2014'!#REF!)</f>
        <v/>
      </c>
      <c r="J345" s="87"/>
      <c r="K345" s="87"/>
      <c r="L345" s="87"/>
      <c r="M345" s="87" t="str">
        <f>IF(G345="","",M335-((1/'Proto 2013'!#REF!)*1000000))</f>
        <v/>
      </c>
      <c r="N345" s="87" t="str">
        <f>IF(H345="","",N335-((1/'Proto 2013'!#REF!)*1000000))</f>
        <v/>
      </c>
      <c r="O345" s="88" t="str">
        <f>IF(I345="","",O335-((1/'Proto 2013'!#REF!)*1000000))</f>
        <v/>
      </c>
    </row>
    <row r="346" spans="1:15" ht="15.75" thickBot="1" x14ac:dyDescent="0.3">
      <c r="A346" s="92" t="s">
        <v>18</v>
      </c>
      <c r="B346" s="93" t="s">
        <v>19</v>
      </c>
      <c r="C346" s="93" t="s">
        <v>12</v>
      </c>
      <c r="D346" s="91">
        <f>IF(D336="","",(D336-'2018'!D231)/'2018'!D231)</f>
        <v>1.2881115575514062E-2</v>
      </c>
      <c r="E346" s="91">
        <f>IF(E336="","",(E336-'2018'!E231)/'2018'!E231)</f>
        <v>7.0832651725830198E-2</v>
      </c>
      <c r="F346" s="91">
        <f>IF(F336="","",(F336-'2018'!F231)/'2018'!F231)</f>
        <v>3.0798071772897697E-2</v>
      </c>
      <c r="G346" s="94" t="str">
        <f>IF(G336="","",(G336-'2014'!#REF!)/'2014'!#REF!)</f>
        <v/>
      </c>
      <c r="H346" s="94" t="str">
        <f>IF(H336="","",(H336-'2014'!#REF!)/'2014'!#REF!)</f>
        <v/>
      </c>
      <c r="I346" s="94" t="str">
        <f>IF(I336="","",(I336-'2014'!#REF!)/'2014'!#REF!)</f>
        <v/>
      </c>
      <c r="J346" s="95"/>
      <c r="K346" s="95"/>
      <c r="L346" s="95"/>
      <c r="M346" s="95" t="str">
        <f>IF(G346="","",M336-((1/'Proto 2013'!#REF!)*1000000))</f>
        <v/>
      </c>
      <c r="N346" s="95" t="str">
        <f>IF(H346="","",N336-((1/'Proto 2013'!#REF!)*1000000))</f>
        <v/>
      </c>
      <c r="O346" s="96" t="str">
        <f>IF(I346="","",O336-((1/'Proto 2013'!#REF!)*1000000))</f>
        <v/>
      </c>
    </row>
    <row r="347" spans="1:15" ht="18.75" x14ac:dyDescent="0.3">
      <c r="A347" s="158" t="s">
        <v>218</v>
      </c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59"/>
    </row>
    <row r="348" spans="1:15" x14ac:dyDescent="0.25">
      <c r="A348" s="185" t="s">
        <v>2</v>
      </c>
      <c r="B348" s="186"/>
      <c r="C348" s="187"/>
      <c r="D348" s="188" t="s">
        <v>20</v>
      </c>
      <c r="E348" s="189"/>
      <c r="F348" s="189"/>
      <c r="G348" s="189"/>
      <c r="H348" s="189"/>
      <c r="I348" s="190"/>
      <c r="J348" s="188" t="s">
        <v>23</v>
      </c>
      <c r="K348" s="189"/>
      <c r="L348" s="189"/>
      <c r="M348" s="189"/>
      <c r="N348" s="189"/>
      <c r="O348" s="191"/>
    </row>
    <row r="349" spans="1:15" x14ac:dyDescent="0.25">
      <c r="A349" s="76" t="s">
        <v>5</v>
      </c>
      <c r="B349" s="77" t="s">
        <v>6</v>
      </c>
      <c r="C349" s="77" t="s">
        <v>7</v>
      </c>
      <c r="D349" s="79">
        <v>1</v>
      </c>
      <c r="E349" s="79">
        <v>4</v>
      </c>
      <c r="F349" s="79">
        <v>16</v>
      </c>
      <c r="G349" s="79">
        <v>32</v>
      </c>
      <c r="H349" s="79">
        <v>64</v>
      </c>
      <c r="I349" s="79">
        <v>80</v>
      </c>
      <c r="J349" s="79">
        <v>1</v>
      </c>
      <c r="K349" s="79">
        <v>4</v>
      </c>
      <c r="L349" s="79">
        <v>16</v>
      </c>
      <c r="M349" s="79">
        <v>32</v>
      </c>
      <c r="N349" s="79">
        <v>64</v>
      </c>
      <c r="O349" s="80">
        <v>80</v>
      </c>
    </row>
    <row r="350" spans="1:15" x14ac:dyDescent="0.25">
      <c r="A350" s="81" t="s">
        <v>8</v>
      </c>
      <c r="B350" s="82" t="s">
        <v>9</v>
      </c>
      <c r="C350" s="82" t="s">
        <v>10</v>
      </c>
      <c r="D350" s="91">
        <f>IF(D331="","",(D331-'2018'!D270)/'2018'!D270)</f>
        <v>7.8662036708950465E-3</v>
      </c>
      <c r="E350" s="91">
        <f>IF(E331="","",(E331-'2018'!E270)/'2018'!E270)</f>
        <v>0.30476738241308793</v>
      </c>
      <c r="F350" s="91">
        <f>IF(F331="","",(F331-'2018'!F270)/'2018'!F270)</f>
        <v>3.5648842245543898E-2</v>
      </c>
      <c r="G350" s="91" t="str">
        <f>IF(G331="","",(G331-'2018'!G448)/'2018'!G448)</f>
        <v/>
      </c>
      <c r="H350" s="91" t="str">
        <f>IF(H331="","",(H331-'2018'!H448)/'2018'!H448)</f>
        <v/>
      </c>
      <c r="I350" s="87" t="e">
        <f>IF(I340="","",(I340-'2014'!#REF!)/'2014'!#REF!)</f>
        <v>#REF!</v>
      </c>
      <c r="J350" s="87"/>
      <c r="K350" s="87"/>
      <c r="L350" s="87"/>
      <c r="M350" s="87" t="str">
        <f>IF(G350="","",M340-((1/'Proto 2013'!#REF!)*1000000))</f>
        <v/>
      </c>
      <c r="N350" s="87" t="str">
        <f>IF(H350="","",N340-((1/'Proto 2013'!#REF!)*1000000))</f>
        <v/>
      </c>
      <c r="O350" s="88" t="e">
        <f>IF(I350="","",O340-((1/'Proto 2013'!#REF!)*1000000))</f>
        <v>#REF!</v>
      </c>
    </row>
    <row r="351" spans="1:15" x14ac:dyDescent="0.25">
      <c r="A351" s="81" t="s">
        <v>11</v>
      </c>
      <c r="B351" s="82" t="s">
        <v>9</v>
      </c>
      <c r="C351" s="82" t="s">
        <v>12</v>
      </c>
      <c r="D351" s="91">
        <f>IF(D332="","",(D332-'2018'!D271)/'2018'!D271)</f>
        <v>-6.7623803578859762E-2</v>
      </c>
      <c r="E351" s="91">
        <f>IF(E332="","",(E332-'2018'!E271)/'2018'!E271)</f>
        <v>-7.0356827638381039E-2</v>
      </c>
      <c r="F351" s="91">
        <f>IF(F332="","",(F332-'2018'!F271)/'2018'!F271)</f>
        <v>-3.244005641748942E-2</v>
      </c>
      <c r="G351" s="91" t="str">
        <f>IF(G341="","",(G341-'2014'!#REF!)/'2014'!#REF!)</f>
        <v/>
      </c>
      <c r="H351" s="91" t="str">
        <f>IF(H341="","",(H341-'2014'!#REF!)/'2014'!#REF!)</f>
        <v/>
      </c>
      <c r="I351" s="91" t="str">
        <f>IF(I341="","",(I341-'2014'!#REF!)/'2014'!#REF!)</f>
        <v/>
      </c>
      <c r="J351" s="87"/>
      <c r="K351" s="87"/>
      <c r="L351" s="87"/>
      <c r="M351" s="87" t="str">
        <f>IF(G351="","",M341-((1/'Proto 2013'!#REF!)*1000000))</f>
        <v/>
      </c>
      <c r="N351" s="87" t="str">
        <f>IF(H351="","",N341-((1/'Proto 2013'!#REF!)*1000000))</f>
        <v/>
      </c>
      <c r="O351" s="88" t="str">
        <f>IF(I351="","",O341-((1/'Proto 2013'!#REF!)*1000000))</f>
        <v/>
      </c>
    </row>
    <row r="352" spans="1:15" x14ac:dyDescent="0.25">
      <c r="A352" s="81" t="s">
        <v>13</v>
      </c>
      <c r="B352" s="82" t="s">
        <v>14</v>
      </c>
      <c r="C352" s="82" t="s">
        <v>10</v>
      </c>
      <c r="D352" s="91">
        <f>IF(D333="","",(D333-'2018'!D272)/'2018'!D272)</f>
        <v>0.51251088314343041</v>
      </c>
      <c r="E352" s="91">
        <f>IF(E333="","",(E333-'2018'!E272)/'2018'!E272)</f>
        <v>-7.4556742547122329E-2</v>
      </c>
      <c r="F352" s="91">
        <f>IF(F333="","",(F333-'2018'!F272)/'2018'!F272)</f>
        <v>0</v>
      </c>
      <c r="G352" s="91" t="str">
        <f>IF(G342="","",(G342-'2014'!#REF!)/'2014'!#REF!)</f>
        <v/>
      </c>
      <c r="H352" s="91" t="str">
        <f>IF(H342="","",(H342-'2014'!#REF!)/'2014'!#REF!)</f>
        <v/>
      </c>
      <c r="I352" s="91" t="str">
        <f>IF(I342="","",(I342-'2014'!#REF!)/'2014'!#REF!)</f>
        <v/>
      </c>
      <c r="J352" s="87"/>
      <c r="K352" s="87"/>
      <c r="L352" s="87"/>
      <c r="M352" s="87" t="str">
        <f>IF(G352="","",M342-((1/'Proto 2013'!#REF!)*1000000))</f>
        <v/>
      </c>
      <c r="N352" s="87" t="str">
        <f>IF(H352="","",N342-((1/'Proto 2013'!#REF!)*1000000))</f>
        <v/>
      </c>
      <c r="O352" s="88" t="str">
        <f>IF(I352="","",O342-((1/'Proto 2013'!#REF!)*1000000))</f>
        <v/>
      </c>
    </row>
    <row r="353" spans="1:15" x14ac:dyDescent="0.25">
      <c r="A353" s="81" t="s">
        <v>15</v>
      </c>
      <c r="B353" s="82" t="s">
        <v>14</v>
      </c>
      <c r="C353" s="82" t="s">
        <v>12</v>
      </c>
      <c r="D353" s="91">
        <f>IF(D334="","",(D334-'2018'!D273)/'2018'!D273)</f>
        <v>-4.7336662505201833E-2</v>
      </c>
      <c r="E353" s="91">
        <f>IF(E334="","",(E334-'2018'!E273)/'2018'!E273)</f>
        <v>-5.7058269411923025E-2</v>
      </c>
      <c r="F353" s="91">
        <f>IF(F334="","",(F334-'2018'!F273)/'2018'!F273)</f>
        <v>-4.4404973357015987E-2</v>
      </c>
      <c r="G353" s="91" t="str">
        <f>IF(G343="","",(G343-'2014'!#REF!)/'2014'!#REF!)</f>
        <v/>
      </c>
      <c r="H353" s="91" t="str">
        <f>IF(H343="","",(H343-'2014'!#REF!)/'2014'!#REF!)</f>
        <v/>
      </c>
      <c r="I353" s="91" t="str">
        <f>IF(I343="","",(I343-'2014'!#REF!)/'2014'!#REF!)</f>
        <v/>
      </c>
      <c r="J353" s="87"/>
      <c r="K353" s="87"/>
      <c r="L353" s="87"/>
      <c r="M353" s="87" t="str">
        <f>IF(G353="","",M343-((1/'Proto 2013'!#REF!)*1000000))</f>
        <v/>
      </c>
      <c r="N353" s="87" t="str">
        <f>IF(H353="","",N343-((1/'Proto 2013'!#REF!)*1000000))</f>
        <v/>
      </c>
      <c r="O353" s="88" t="str">
        <f>IF(I353="","",O343-((1/'Proto 2013'!#REF!)*1000000))</f>
        <v/>
      </c>
    </row>
    <row r="354" spans="1:15" x14ac:dyDescent="0.25">
      <c r="A354" s="81" t="s">
        <v>16</v>
      </c>
      <c r="B354" s="82" t="s">
        <v>17</v>
      </c>
      <c r="C354" s="82" t="s">
        <v>12</v>
      </c>
      <c r="D354" s="91">
        <f>IF(D335="","",(D335-'2018'!D274)/'2018'!D274)</f>
        <v>4.5126993502658003E-2</v>
      </c>
      <c r="E354" s="91">
        <f>IF(E335="","",(E335-'2018'!E274)/'2018'!E274)</f>
        <v>1.7686865579821593E-2</v>
      </c>
      <c r="F354" s="91">
        <f>IF(F335="","",(F335-'2018'!F274)/'2018'!F274)</f>
        <v>-8.8174273858921161E-3</v>
      </c>
      <c r="G354" s="91" t="str">
        <f>IF(G344="","",(G344-'2014'!#REF!)/'2014'!#REF!)</f>
        <v/>
      </c>
      <c r="H354" s="91" t="str">
        <f>IF(H344="","",(H344-'2014'!#REF!)/'2014'!#REF!)</f>
        <v/>
      </c>
      <c r="I354" s="91" t="str">
        <f>IF(I344="","",(I344-'2014'!#REF!)/'2014'!#REF!)</f>
        <v/>
      </c>
      <c r="J354" s="87"/>
      <c r="K354" s="87"/>
      <c r="L354" s="87"/>
      <c r="M354" s="87" t="str">
        <f>IF(G354="","",M344-((1/'Proto 2013'!#REF!)*1000000))</f>
        <v/>
      </c>
      <c r="N354" s="87" t="str">
        <f>IF(H354="","",N344-((1/'Proto 2013'!#REF!)*1000000))</f>
        <v/>
      </c>
      <c r="O354" s="88" t="str">
        <f>IF(I354="","",O344-((1/'Proto 2013'!#REF!)*1000000))</f>
        <v/>
      </c>
    </row>
    <row r="355" spans="1:15" ht="15.75" thickBot="1" x14ac:dyDescent="0.3">
      <c r="A355" s="92" t="s">
        <v>18</v>
      </c>
      <c r="B355" s="93" t="s">
        <v>19</v>
      </c>
      <c r="C355" s="93" t="s">
        <v>12</v>
      </c>
      <c r="D355" s="91">
        <f>IF(D336="","",(D336-'2018'!D275)/'2018'!D275)</f>
        <v>-9.3250961650542016E-4</v>
      </c>
      <c r="E355" s="91">
        <f>IF(E336="","",(E336-'2018'!E275)/'2018'!E275)</f>
        <v>2.105755732335049E-2</v>
      </c>
      <c r="F355" s="91">
        <f>IF(F336="","",(F336-'2018'!F275)/'2018'!F275)</f>
        <v>1.5299393299920866E-2</v>
      </c>
      <c r="G355" s="94" t="str">
        <f>IF(G345="","",(G345-'2014'!#REF!)/'2014'!#REF!)</f>
        <v/>
      </c>
      <c r="H355" s="94" t="str">
        <f>IF(H345="","",(H345-'2014'!#REF!)/'2014'!#REF!)</f>
        <v/>
      </c>
      <c r="I355" s="94" t="str">
        <f>IF(I345="","",(I345-'2014'!#REF!)/'2014'!#REF!)</f>
        <v/>
      </c>
      <c r="J355" s="95"/>
      <c r="K355" s="95"/>
      <c r="L355" s="95"/>
      <c r="M355" s="95" t="str">
        <f>IF(G355="","",M345-((1/'Proto 2013'!#REF!)*1000000))</f>
        <v/>
      </c>
      <c r="N355" s="95" t="str">
        <f>IF(H355="","",N345-((1/'Proto 2013'!#REF!)*1000000))</f>
        <v/>
      </c>
      <c r="O355" s="96" t="str">
        <f>IF(I355="","",O345-((1/'Proto 2013'!#REF!)*1000000))</f>
        <v/>
      </c>
    </row>
    <row r="356" spans="1:15" ht="15.75" thickBot="1" x14ac:dyDescent="0.3"/>
    <row r="357" spans="1:15" ht="18.75" x14ac:dyDescent="0.25">
      <c r="A357" s="162" t="s">
        <v>191</v>
      </c>
      <c r="B357" s="163"/>
      <c r="C357" s="163"/>
      <c r="D357" s="163"/>
      <c r="E357" s="163"/>
      <c r="F357" s="163"/>
      <c r="G357" s="163"/>
      <c r="H357" s="163"/>
      <c r="I357" s="163"/>
      <c r="J357" s="163"/>
      <c r="K357" s="163"/>
      <c r="L357" s="163"/>
      <c r="M357" s="163"/>
      <c r="N357" s="163"/>
      <c r="O357" s="164"/>
    </row>
    <row r="358" spans="1:15" ht="15.75" x14ac:dyDescent="0.25">
      <c r="A358" s="165" t="s">
        <v>233</v>
      </c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66"/>
    </row>
    <row r="359" spans="1:15" x14ac:dyDescent="0.25">
      <c r="A359" s="185" t="s">
        <v>2</v>
      </c>
      <c r="B359" s="186"/>
      <c r="C359" s="187"/>
      <c r="D359" s="192" t="s">
        <v>3</v>
      </c>
      <c r="E359" s="193"/>
      <c r="F359" s="193"/>
      <c r="G359" s="193"/>
      <c r="H359" s="193"/>
      <c r="I359" s="194"/>
      <c r="J359" s="188" t="s">
        <v>4</v>
      </c>
      <c r="K359" s="189"/>
      <c r="L359" s="189"/>
      <c r="M359" s="189"/>
      <c r="N359" s="189"/>
      <c r="O359" s="191"/>
    </row>
    <row r="360" spans="1:15" x14ac:dyDescent="0.25">
      <c r="A360" s="76" t="s">
        <v>5</v>
      </c>
      <c r="B360" s="77" t="s">
        <v>6</v>
      </c>
      <c r="C360" s="77" t="s">
        <v>7</v>
      </c>
      <c r="D360" s="78">
        <v>1</v>
      </c>
      <c r="E360" s="78">
        <v>4</v>
      </c>
      <c r="F360" s="78">
        <v>16</v>
      </c>
      <c r="G360" s="79">
        <v>32</v>
      </c>
      <c r="H360" s="79">
        <v>64</v>
      </c>
      <c r="I360" s="79">
        <v>80</v>
      </c>
      <c r="J360" s="79">
        <v>1</v>
      </c>
      <c r="K360" s="79">
        <v>4</v>
      </c>
      <c r="L360" s="79">
        <v>16</v>
      </c>
      <c r="M360" s="79">
        <v>32</v>
      </c>
      <c r="N360" s="79">
        <v>64</v>
      </c>
      <c r="O360" s="80">
        <v>80</v>
      </c>
    </row>
    <row r="361" spans="1:15" x14ac:dyDescent="0.25">
      <c r="A361" s="37" t="s">
        <v>8</v>
      </c>
      <c r="B361" s="82" t="s">
        <v>9</v>
      </c>
      <c r="C361" s="83" t="s">
        <v>10</v>
      </c>
      <c r="D361" s="100">
        <v>42666</v>
      </c>
      <c r="E361" s="100">
        <v>20620</v>
      </c>
      <c r="F361" s="100">
        <v>6431</v>
      </c>
      <c r="G361" s="85"/>
      <c r="H361" s="86"/>
      <c r="I361" s="86"/>
      <c r="J361" s="87">
        <f t="shared" ref="J361:J366" si="80">IF(D361="","",(1/D361)*1000000)</f>
        <v>23.437866216659636</v>
      </c>
      <c r="K361" s="87">
        <f t="shared" ref="K361:K363" si="81">IF(E361="","",(1/E361)*1000000)</f>
        <v>48.496605237633368</v>
      </c>
      <c r="L361" s="87">
        <f t="shared" ref="L361:L366" si="82">IF(F361="","",(1/F361)*1000000)</f>
        <v>155.49681231534754</v>
      </c>
      <c r="M361" s="87" t="str">
        <f t="shared" ref="M361:M366" si="83">IF(G361="","",(1/G361)*1000000)</f>
        <v/>
      </c>
      <c r="N361" s="87" t="str">
        <f t="shared" ref="N361:N366" si="84">IF(H361="","",(1/H361)*1000000)</f>
        <v/>
      </c>
      <c r="O361" s="88" t="str">
        <f t="shared" ref="O361:O366" si="85">IF(I361="","",(1/I361)*1000000)</f>
        <v/>
      </c>
    </row>
    <row r="362" spans="1:15" x14ac:dyDescent="0.25">
      <c r="A362" s="81" t="s">
        <v>11</v>
      </c>
      <c r="B362" s="82" t="s">
        <v>9</v>
      </c>
      <c r="C362" s="83" t="s">
        <v>12</v>
      </c>
      <c r="D362" s="100">
        <v>9246</v>
      </c>
      <c r="E362" s="100">
        <v>7704</v>
      </c>
      <c r="F362" s="100">
        <v>4134</v>
      </c>
      <c r="G362" s="85"/>
      <c r="H362" s="86"/>
      <c r="I362" s="86"/>
      <c r="J362" s="87">
        <f t="shared" si="80"/>
        <v>108.15487778498812</v>
      </c>
      <c r="K362" s="87">
        <f t="shared" si="81"/>
        <v>129.80269989615783</v>
      </c>
      <c r="L362" s="87">
        <f t="shared" si="82"/>
        <v>241.89646831156264</v>
      </c>
      <c r="M362" s="87" t="str">
        <f t="shared" si="83"/>
        <v/>
      </c>
      <c r="N362" s="87" t="str">
        <f t="shared" si="84"/>
        <v/>
      </c>
      <c r="O362" s="88" t="str">
        <f t="shared" si="85"/>
        <v/>
      </c>
    </row>
    <row r="363" spans="1:15" x14ac:dyDescent="0.25">
      <c r="A363" s="81" t="s">
        <v>13</v>
      </c>
      <c r="B363" s="82" t="s">
        <v>14</v>
      </c>
      <c r="C363" s="83" t="s">
        <v>10</v>
      </c>
      <c r="D363" s="100">
        <v>41379</v>
      </c>
      <c r="E363" s="100">
        <v>17896</v>
      </c>
      <c r="F363" s="100">
        <v>5758</v>
      </c>
      <c r="G363" s="85"/>
      <c r="H363" s="86"/>
      <c r="I363" s="86"/>
      <c r="J363" s="87">
        <f t="shared" si="80"/>
        <v>24.16684791802605</v>
      </c>
      <c r="K363" s="87">
        <f t="shared" si="81"/>
        <v>55.878408582923562</v>
      </c>
      <c r="L363" s="87">
        <f t="shared" si="82"/>
        <v>173.67141368530739</v>
      </c>
      <c r="M363" s="87" t="str">
        <f t="shared" si="83"/>
        <v/>
      </c>
      <c r="N363" s="87" t="str">
        <f t="shared" si="84"/>
        <v/>
      </c>
      <c r="O363" s="88" t="str">
        <f t="shared" si="85"/>
        <v/>
      </c>
    </row>
    <row r="364" spans="1:15" x14ac:dyDescent="0.25">
      <c r="A364" s="81" t="s">
        <v>15</v>
      </c>
      <c r="B364" s="82" t="s">
        <v>14</v>
      </c>
      <c r="C364" s="83" t="s">
        <v>12</v>
      </c>
      <c r="D364" s="100">
        <v>9127</v>
      </c>
      <c r="E364" s="100">
        <v>7054</v>
      </c>
      <c r="F364" s="100">
        <v>3843</v>
      </c>
      <c r="G364" s="85"/>
      <c r="H364" s="86"/>
      <c r="I364" s="86"/>
      <c r="J364" s="87">
        <f t="shared" si="80"/>
        <v>109.56502684343158</v>
      </c>
      <c r="K364" s="87"/>
      <c r="L364" s="87">
        <f t="shared" si="82"/>
        <v>260.21337496747333</v>
      </c>
      <c r="M364" s="87" t="str">
        <f t="shared" si="83"/>
        <v/>
      </c>
      <c r="N364" s="87" t="str">
        <f t="shared" si="84"/>
        <v/>
      </c>
      <c r="O364" s="88" t="str">
        <f t="shared" si="85"/>
        <v/>
      </c>
    </row>
    <row r="365" spans="1:15" x14ac:dyDescent="0.25">
      <c r="A365" s="81" t="s">
        <v>16</v>
      </c>
      <c r="B365" s="82" t="s">
        <v>17</v>
      </c>
      <c r="C365" s="83" t="s">
        <v>12</v>
      </c>
      <c r="D365" s="100">
        <v>8533</v>
      </c>
      <c r="E365" s="100">
        <v>6439</v>
      </c>
      <c r="F365" s="100">
        <v>3697</v>
      </c>
      <c r="G365" s="85"/>
      <c r="H365" s="86"/>
      <c r="I365" s="86"/>
      <c r="J365" s="87">
        <f t="shared" si="80"/>
        <v>117.19207781553966</v>
      </c>
      <c r="K365" s="87">
        <f>IF(E365="","",(1/E365)*1000000)</f>
        <v>155.30361857431279</v>
      </c>
      <c r="L365" s="87">
        <f t="shared" si="82"/>
        <v>270.48958615093318</v>
      </c>
      <c r="M365" s="87" t="str">
        <f t="shared" si="83"/>
        <v/>
      </c>
      <c r="N365" s="87" t="str">
        <f t="shared" si="84"/>
        <v/>
      </c>
      <c r="O365" s="88" t="str">
        <f t="shared" si="85"/>
        <v/>
      </c>
    </row>
    <row r="366" spans="1:15" x14ac:dyDescent="0.25">
      <c r="A366" s="81" t="s">
        <v>18</v>
      </c>
      <c r="B366" s="82" t="s">
        <v>19</v>
      </c>
      <c r="C366" s="83" t="s">
        <v>12</v>
      </c>
      <c r="D366" s="100">
        <v>8609</v>
      </c>
      <c r="E366" s="100">
        <v>6325</v>
      </c>
      <c r="F366" s="100">
        <v>3555</v>
      </c>
      <c r="G366" s="85"/>
      <c r="H366" s="86"/>
      <c r="I366" s="86"/>
      <c r="J366" s="87">
        <f t="shared" si="80"/>
        <v>116.15750958299454</v>
      </c>
      <c r="K366" s="87">
        <f>IF(E366="","",(1/E366)*1000000)</f>
        <v>158.10276679841897</v>
      </c>
      <c r="L366" s="87">
        <f t="shared" si="82"/>
        <v>281.29395218002816</v>
      </c>
      <c r="M366" s="87" t="str">
        <f t="shared" si="83"/>
        <v/>
      </c>
      <c r="N366" s="87" t="str">
        <f t="shared" si="84"/>
        <v/>
      </c>
      <c r="O366" s="88" t="str">
        <f t="shared" si="85"/>
        <v/>
      </c>
    </row>
    <row r="367" spans="1:15" x14ac:dyDescent="0.25">
      <c r="A367" s="156" t="s">
        <v>234</v>
      </c>
      <c r="B367" s="157"/>
      <c r="C367" s="157"/>
      <c r="D367" s="157"/>
      <c r="E367" s="157"/>
      <c r="F367" s="157"/>
      <c r="G367" s="130" t="s">
        <v>224</v>
      </c>
      <c r="H367" s="130"/>
      <c r="I367" s="130"/>
      <c r="J367" s="195"/>
      <c r="K367" s="195"/>
      <c r="L367" s="195"/>
      <c r="M367" s="157" t="s">
        <v>172</v>
      </c>
      <c r="N367" s="157"/>
      <c r="O367" s="90"/>
    </row>
    <row r="368" spans="1:15" ht="18.75" x14ac:dyDescent="0.3">
      <c r="A368" s="158" t="s">
        <v>186</v>
      </c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59"/>
    </row>
    <row r="369" spans="1:15" x14ac:dyDescent="0.25">
      <c r="A369" s="185" t="s">
        <v>2</v>
      </c>
      <c r="B369" s="186"/>
      <c r="C369" s="187"/>
      <c r="D369" s="188" t="s">
        <v>20</v>
      </c>
      <c r="E369" s="189"/>
      <c r="F369" s="189"/>
      <c r="G369" s="189"/>
      <c r="H369" s="189"/>
      <c r="I369" s="190"/>
      <c r="J369" s="188" t="s">
        <v>23</v>
      </c>
      <c r="K369" s="189"/>
      <c r="L369" s="189"/>
      <c r="M369" s="189"/>
      <c r="N369" s="189"/>
      <c r="O369" s="191"/>
    </row>
    <row r="370" spans="1:15" x14ac:dyDescent="0.25">
      <c r="A370" s="76" t="s">
        <v>5</v>
      </c>
      <c r="B370" s="77" t="s">
        <v>6</v>
      </c>
      <c r="C370" s="77" t="s">
        <v>7</v>
      </c>
      <c r="D370" s="79">
        <v>1</v>
      </c>
      <c r="E370" s="79">
        <v>4</v>
      </c>
      <c r="F370" s="79">
        <v>16</v>
      </c>
      <c r="G370" s="79">
        <v>32</v>
      </c>
      <c r="H370" s="79">
        <v>64</v>
      </c>
      <c r="I370" s="79">
        <v>80</v>
      </c>
      <c r="J370" s="79">
        <v>1</v>
      </c>
      <c r="K370" s="79">
        <v>4</v>
      </c>
      <c r="L370" s="79">
        <v>16</v>
      </c>
      <c r="M370" s="79">
        <v>32</v>
      </c>
      <c r="N370" s="79">
        <v>64</v>
      </c>
      <c r="O370" s="80">
        <v>80</v>
      </c>
    </row>
    <row r="371" spans="1:15" x14ac:dyDescent="0.25">
      <c r="A371" s="81" t="s">
        <v>8</v>
      </c>
      <c r="B371" s="82" t="s">
        <v>9</v>
      </c>
      <c r="C371" s="82" t="s">
        <v>10</v>
      </c>
      <c r="D371" s="91">
        <f>IF(D361="","",(D361-'2018'!D226)/'2018'!D226)</f>
        <v>5.040987468199378E-3</v>
      </c>
      <c r="E371" s="91">
        <f>IF(E361="","",(E361-'2018'!E226)/'2018'!E226)</f>
        <v>2.6176968249228626E-2</v>
      </c>
      <c r="F371" s="91">
        <f>IF(F361="","",(F361-'2018'!F226)/'2018'!F226)</f>
        <v>7.1297684491087795E-2</v>
      </c>
      <c r="G371" s="91" t="str">
        <f>IF(G361="","",(G361-'2014'!#REF!)/'2014'!#REF!)</f>
        <v/>
      </c>
      <c r="H371" s="91" t="str">
        <f>IF(H361="","",(H361-'2014'!#REF!)/'2014'!#REF!)</f>
        <v/>
      </c>
      <c r="I371" s="87" t="str">
        <f>IF(I361="","",(I361-'2014'!#REF!)/'2014'!#REF!)</f>
        <v/>
      </c>
      <c r="J371" s="87"/>
      <c r="K371" s="87"/>
      <c r="L371" s="87"/>
      <c r="M371" s="87" t="str">
        <f>IF(G371="","",M361-((1/'Proto 2013'!#REF!)*1000000))</f>
        <v/>
      </c>
      <c r="N371" s="87" t="str">
        <f>IF(H371="","",N361-((1/'Proto 2013'!#REF!)*1000000))</f>
        <v/>
      </c>
      <c r="O371" s="88" t="str">
        <f>IF(I371="","",O361-((1/'Proto 2013'!#REF!)*1000000))</f>
        <v/>
      </c>
    </row>
    <row r="372" spans="1:15" x14ac:dyDescent="0.25">
      <c r="A372" s="81" t="s">
        <v>11</v>
      </c>
      <c r="B372" s="82" t="s">
        <v>9</v>
      </c>
      <c r="C372" s="82" t="s">
        <v>12</v>
      </c>
      <c r="D372" s="91">
        <f>IF(D362="","",(D362-'2018'!D227)/'2018'!D227)</f>
        <v>-9.2194403534609726E-2</v>
      </c>
      <c r="E372" s="91">
        <f>IF(E362="","",(E362-'2018'!E227)/'2018'!E227)</f>
        <v>-2.3574144486692015E-2</v>
      </c>
      <c r="F372" s="91">
        <f>IF(F362="","",(F362-'2018'!F227)/'2018'!F227)</f>
        <v>-1.8285442887675137E-2</v>
      </c>
      <c r="G372" s="91" t="str">
        <f>IF(G362="","",(G362-'2014'!#REF!)/'2014'!#REF!)</f>
        <v/>
      </c>
      <c r="H372" s="91" t="str">
        <f>IF(H362="","",(H362-'2014'!#REF!)/'2014'!#REF!)</f>
        <v/>
      </c>
      <c r="I372" s="91" t="str">
        <f>IF(I362="","",(I362-'2014'!#REF!)/'2014'!#REF!)</f>
        <v/>
      </c>
      <c r="J372" s="87"/>
      <c r="K372" s="87"/>
      <c r="L372" s="87"/>
      <c r="M372" s="87" t="str">
        <f>IF(G372="","",M362-((1/'Proto 2013'!#REF!)*1000000))</f>
        <v/>
      </c>
      <c r="N372" s="87" t="str">
        <f>IF(H372="","",N362-((1/'Proto 2013'!#REF!)*1000000))</f>
        <v/>
      </c>
      <c r="O372" s="88" t="str">
        <f>IF(I372="","",O362-((1/'Proto 2013'!#REF!)*1000000))</f>
        <v/>
      </c>
    </row>
    <row r="373" spans="1:15" x14ac:dyDescent="0.25">
      <c r="A373" s="81" t="s">
        <v>13</v>
      </c>
      <c r="B373" s="82" t="s">
        <v>14</v>
      </c>
      <c r="C373" s="82" t="s">
        <v>10</v>
      </c>
      <c r="D373" s="91">
        <f>IF(D363="","",(D363-'2018'!D228)/'2018'!D228)</f>
        <v>9.6887922807761637E-2</v>
      </c>
      <c r="E373" s="91">
        <f>IF(E363="","",(E363-'2018'!E228)/'2018'!E228)</f>
        <v>0.1201101583526319</v>
      </c>
      <c r="F373" s="91">
        <f>IF(F363="","",(F363-'2018'!F228)/'2018'!F228)</f>
        <v>4.0477050957715935E-2</v>
      </c>
      <c r="G373" s="91" t="str">
        <f>IF(G363="","",(G363-'2014'!#REF!)/'2014'!#REF!)</f>
        <v/>
      </c>
      <c r="H373" s="91" t="str">
        <f>IF(H363="","",(H363-'2014'!#REF!)/'2014'!#REF!)</f>
        <v/>
      </c>
      <c r="I373" s="91" t="str">
        <f>IF(I363="","",(I363-'2014'!#REF!)/'2014'!#REF!)</f>
        <v/>
      </c>
      <c r="J373" s="87"/>
      <c r="K373" s="87"/>
      <c r="L373" s="87"/>
      <c r="M373" s="87" t="str">
        <f>IF(G373="","",M363-((1/'Proto 2013'!#REF!)*1000000))</f>
        <v/>
      </c>
      <c r="N373" s="87" t="str">
        <f>IF(H373="","",N363-((1/'Proto 2013'!#REF!)*1000000))</f>
        <v/>
      </c>
      <c r="O373" s="88" t="str">
        <f>IF(I373="","",O363-((1/'Proto 2013'!#REF!)*1000000))</f>
        <v/>
      </c>
    </row>
    <row r="374" spans="1:15" x14ac:dyDescent="0.25">
      <c r="A374" s="81" t="s">
        <v>15</v>
      </c>
      <c r="B374" s="82" t="s">
        <v>14</v>
      </c>
      <c r="C374" s="82" t="s">
        <v>12</v>
      </c>
      <c r="D374" s="91">
        <f>IF(D364="","",(D364-'2018'!D229)/'2018'!D229)</f>
        <v>-4.399287734366817E-2</v>
      </c>
      <c r="E374" s="91">
        <f>IF(E364="","",(E364-'2018'!E229)/'2018'!E229)</f>
        <v>-1.6864111498257839E-2</v>
      </c>
      <c r="F374" s="91">
        <f>IF(F364="","",(F364-'2018'!F229)/'2018'!F229)</f>
        <v>2.9191215854311729E-2</v>
      </c>
      <c r="G374" s="91" t="str">
        <f>IF(G364="","",(G364-'2014'!#REF!)/'2014'!#REF!)</f>
        <v/>
      </c>
      <c r="H374" s="91" t="str">
        <f>IF(H364="","",(H364-'2014'!#REF!)/'2014'!#REF!)</f>
        <v/>
      </c>
      <c r="I374" s="91" t="str">
        <f>IF(I364="","",(I364-'2014'!#REF!)/'2014'!#REF!)</f>
        <v/>
      </c>
      <c r="J374" s="87"/>
      <c r="K374" s="87"/>
      <c r="L374" s="87"/>
      <c r="M374" s="87" t="str">
        <f>IF(G374="","",M364-((1/'Proto 2013'!#REF!)*1000000))</f>
        <v/>
      </c>
      <c r="N374" s="87" t="str">
        <f>IF(H374="","",N364-((1/'Proto 2013'!#REF!)*1000000))</f>
        <v/>
      </c>
      <c r="O374" s="88" t="str">
        <f>IF(I374="","",O364-((1/'Proto 2013'!#REF!)*1000000))</f>
        <v/>
      </c>
    </row>
    <row r="375" spans="1:15" x14ac:dyDescent="0.25">
      <c r="A375" s="81" t="s">
        <v>16</v>
      </c>
      <c r="B375" s="82" t="s">
        <v>17</v>
      </c>
      <c r="C375" s="82" t="s">
        <v>12</v>
      </c>
      <c r="D375" s="91">
        <f>IF(D365="","",(D365-'2018'!D230)/'2018'!D230)</f>
        <v>-1.9871353089823112E-2</v>
      </c>
      <c r="E375" s="91">
        <f>IF(E365="","",(E365-'2018'!E230)/'2018'!E230)</f>
        <v>-5.6418522860492377E-2</v>
      </c>
      <c r="F375" s="91">
        <f>IF(F365="","",(F365-'2018'!F230)/'2018'!F230)</f>
        <v>-6.7826525466464949E-2</v>
      </c>
      <c r="G375" s="91" t="str">
        <f>IF(G365="","",(G365-'2014'!#REF!)/'2014'!#REF!)</f>
        <v/>
      </c>
      <c r="H375" s="91" t="str">
        <f>IF(H365="","",(H365-'2014'!#REF!)/'2014'!#REF!)</f>
        <v/>
      </c>
      <c r="I375" s="91" t="str">
        <f>IF(I365="","",(I365-'2014'!#REF!)/'2014'!#REF!)</f>
        <v/>
      </c>
      <c r="J375" s="87"/>
      <c r="K375" s="87"/>
      <c r="L375" s="87"/>
      <c r="M375" s="87" t="str">
        <f>IF(G375="","",M365-((1/'Proto 2013'!#REF!)*1000000))</f>
        <v/>
      </c>
      <c r="N375" s="87" t="str">
        <f>IF(H375="","",N365-((1/'Proto 2013'!#REF!)*1000000))</f>
        <v/>
      </c>
      <c r="O375" s="88" t="str">
        <f>IF(I375="","",O365-((1/'Proto 2013'!#REF!)*1000000))</f>
        <v/>
      </c>
    </row>
    <row r="376" spans="1:15" ht="15.75" thickBot="1" x14ac:dyDescent="0.3">
      <c r="A376" s="92" t="s">
        <v>18</v>
      </c>
      <c r="B376" s="93" t="s">
        <v>19</v>
      </c>
      <c r="C376" s="93" t="s">
        <v>12</v>
      </c>
      <c r="D376" s="91">
        <f>IF(D366="","",(D366-'2018'!D231)/'2018'!D231)</f>
        <v>1.7371779721106123E-2</v>
      </c>
      <c r="E376" s="91">
        <f>IF(E366="","",(E366-'2018'!E231)/'2018'!E231)</f>
        <v>3.4680189759528871E-2</v>
      </c>
      <c r="F376" s="91">
        <f>IF(F366="","",(F366-'2018'!F231)/'2018'!F231)</f>
        <v>-4.7937868237814679E-2</v>
      </c>
      <c r="G376" s="94" t="str">
        <f>IF(G366="","",(G366-'2014'!#REF!)/'2014'!#REF!)</f>
        <v/>
      </c>
      <c r="H376" s="94" t="str">
        <f>IF(H366="","",(H366-'2014'!#REF!)/'2014'!#REF!)</f>
        <v/>
      </c>
      <c r="I376" s="94" t="str">
        <f>IF(I366="","",(I366-'2014'!#REF!)/'2014'!#REF!)</f>
        <v/>
      </c>
      <c r="J376" s="95"/>
      <c r="K376" s="95"/>
      <c r="L376" s="95"/>
      <c r="M376" s="95" t="str">
        <f>IF(G376="","",M366-((1/'Proto 2013'!#REF!)*1000000))</f>
        <v/>
      </c>
      <c r="N376" s="95" t="str">
        <f>IF(H376="","",N366-((1/'Proto 2013'!#REF!)*1000000))</f>
        <v/>
      </c>
      <c r="O376" s="96" t="str">
        <f>IF(I376="","",O366-((1/'Proto 2013'!#REF!)*1000000))</f>
        <v/>
      </c>
    </row>
    <row r="377" spans="1:15" ht="18.75" x14ac:dyDescent="0.3">
      <c r="A377" s="158" t="s">
        <v>218</v>
      </c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59"/>
    </row>
    <row r="378" spans="1:15" x14ac:dyDescent="0.25">
      <c r="A378" s="185" t="s">
        <v>2</v>
      </c>
      <c r="B378" s="186"/>
      <c r="C378" s="187"/>
      <c r="D378" s="188" t="s">
        <v>20</v>
      </c>
      <c r="E378" s="189"/>
      <c r="F378" s="189"/>
      <c r="G378" s="189"/>
      <c r="H378" s="189"/>
      <c r="I378" s="190"/>
      <c r="J378" s="188" t="s">
        <v>23</v>
      </c>
      <c r="K378" s="189"/>
      <c r="L378" s="189"/>
      <c r="M378" s="189"/>
      <c r="N378" s="189"/>
      <c r="O378" s="191"/>
    </row>
    <row r="379" spans="1:15" x14ac:dyDescent="0.25">
      <c r="A379" s="76" t="s">
        <v>5</v>
      </c>
      <c r="B379" s="77" t="s">
        <v>6</v>
      </c>
      <c r="C379" s="77" t="s">
        <v>7</v>
      </c>
      <c r="D379" s="79">
        <v>1</v>
      </c>
      <c r="E379" s="79">
        <v>4</v>
      </c>
      <c r="F379" s="79">
        <v>16</v>
      </c>
      <c r="G379" s="79">
        <v>32</v>
      </c>
      <c r="H379" s="79">
        <v>64</v>
      </c>
      <c r="I379" s="79">
        <v>80</v>
      </c>
      <c r="J379" s="79">
        <v>1</v>
      </c>
      <c r="K379" s="79">
        <v>4</v>
      </c>
      <c r="L379" s="79">
        <v>16</v>
      </c>
      <c r="M379" s="79">
        <v>32</v>
      </c>
      <c r="N379" s="79">
        <v>64</v>
      </c>
      <c r="O379" s="80">
        <v>80</v>
      </c>
    </row>
    <row r="380" spans="1:15" x14ac:dyDescent="0.25">
      <c r="A380" s="81" t="s">
        <v>8</v>
      </c>
      <c r="B380" s="82" t="s">
        <v>9</v>
      </c>
      <c r="C380" s="82" t="s">
        <v>10</v>
      </c>
      <c r="D380" s="91">
        <f>IF(D361="","",(D361-'2018'!D270)/'2018'!D270)</f>
        <v>7.8662036708950465E-3</v>
      </c>
      <c r="E380" s="91">
        <f>IF(E361="","",(E361-'2018'!E270)/'2018'!E270)</f>
        <v>0.31774028629856849</v>
      </c>
      <c r="F380" s="91">
        <f>IF(F361="","",(F361-'2018'!F270)/'2018'!F270)</f>
        <v>7.1297684491087795E-2</v>
      </c>
      <c r="G380" s="91" t="str">
        <f>IF(G361="","",(G361-'2018'!G478)/'2018'!G478)</f>
        <v/>
      </c>
      <c r="H380" s="91" t="str">
        <f>IF(H361="","",(H361-'2018'!H478)/'2018'!H478)</f>
        <v/>
      </c>
      <c r="I380" s="87" t="e">
        <f>IF(I370="","",(I370-'2014'!#REF!)/'2014'!#REF!)</f>
        <v>#REF!</v>
      </c>
      <c r="J380" s="87"/>
      <c r="K380" s="87"/>
      <c r="L380" s="87"/>
      <c r="M380" s="87" t="str">
        <f>IF(G380="","",M370-((1/'Proto 2013'!#REF!)*1000000))</f>
        <v/>
      </c>
      <c r="N380" s="87" t="str">
        <f>IF(H380="","",N370-((1/'Proto 2013'!#REF!)*1000000))</f>
        <v/>
      </c>
      <c r="O380" s="88" t="e">
        <f>IF(I380="","",O370-((1/'Proto 2013'!#REF!)*1000000))</f>
        <v>#REF!</v>
      </c>
    </row>
    <row r="381" spans="1:15" x14ac:dyDescent="0.25">
      <c r="A381" s="81" t="s">
        <v>11</v>
      </c>
      <c r="B381" s="82" t="s">
        <v>9</v>
      </c>
      <c r="C381" s="82" t="s">
        <v>12</v>
      </c>
      <c r="D381" s="91">
        <f>IF(D362="","",(D362-'2018'!D271)/'2018'!D271)</f>
        <v>-3.8077403245942575E-2</v>
      </c>
      <c r="E381" s="91">
        <f>IF(E362="","",(E362-'2018'!E271)/'2018'!E271)</f>
        <v>-2.8621863573319885E-2</v>
      </c>
      <c r="F381" s="91">
        <f>IF(F362="","",(F362-'2018'!F271)/'2018'!F271)</f>
        <v>-2.8208744710860368E-2</v>
      </c>
      <c r="G381" s="91" t="str">
        <f>IF(G371="","",(G371-'2014'!#REF!)/'2014'!#REF!)</f>
        <v/>
      </c>
      <c r="H381" s="91" t="str">
        <f>IF(H371="","",(H371-'2014'!#REF!)/'2014'!#REF!)</f>
        <v/>
      </c>
      <c r="I381" s="91" t="str">
        <f>IF(I371="","",(I371-'2014'!#REF!)/'2014'!#REF!)</f>
        <v/>
      </c>
      <c r="J381" s="87"/>
      <c r="K381" s="87"/>
      <c r="L381" s="87"/>
      <c r="M381" s="87" t="str">
        <f>IF(G381="","",M371-((1/'Proto 2013'!#REF!)*1000000))</f>
        <v/>
      </c>
      <c r="N381" s="87" t="str">
        <f>IF(H381="","",N371-((1/'Proto 2013'!#REF!)*1000000))</f>
        <v/>
      </c>
      <c r="O381" s="88" t="str">
        <f>IF(I381="","",O371-((1/'Proto 2013'!#REF!)*1000000))</f>
        <v/>
      </c>
    </row>
    <row r="382" spans="1:15" x14ac:dyDescent="0.25">
      <c r="A382" s="81" t="s">
        <v>13</v>
      </c>
      <c r="B382" s="82" t="s">
        <v>14</v>
      </c>
      <c r="C382" s="82" t="s">
        <v>10</v>
      </c>
      <c r="D382" s="91">
        <f>IF(D363="","",(D363-'2018'!D272)/'2018'!D272)</f>
        <v>0.56637771132225456</v>
      </c>
      <c r="E382" s="91">
        <f>IF(E363="","",(E363-'2018'!E272)/'2018'!E272)</f>
        <v>9.5083617651993955E-4</v>
      </c>
      <c r="F382" s="91">
        <f>IF(F363="","",(F363-'2018'!F272)/'2018'!F272)</f>
        <v>7.0658237262923015E-2</v>
      </c>
      <c r="G382" s="91" t="str">
        <f>IF(G372="","",(G372-'2014'!#REF!)/'2014'!#REF!)</f>
        <v/>
      </c>
      <c r="H382" s="91" t="str">
        <f>IF(H372="","",(H372-'2014'!#REF!)/'2014'!#REF!)</f>
        <v/>
      </c>
      <c r="I382" s="91" t="str">
        <f>IF(I372="","",(I372-'2014'!#REF!)/'2014'!#REF!)</f>
        <v/>
      </c>
      <c r="J382" s="87"/>
      <c r="K382" s="87"/>
      <c r="L382" s="87"/>
      <c r="M382" s="87" t="str">
        <f>IF(G382="","",M372-((1/'Proto 2013'!#REF!)*1000000))</f>
        <v/>
      </c>
      <c r="N382" s="87" t="str">
        <f>IF(H382="","",N372-((1/'Proto 2013'!#REF!)*1000000))</f>
        <v/>
      </c>
      <c r="O382" s="88" t="str">
        <f>IF(I382="","",O372-((1/'Proto 2013'!#REF!)*1000000))</f>
        <v/>
      </c>
    </row>
    <row r="383" spans="1:15" x14ac:dyDescent="0.25">
      <c r="A383" s="81" t="s">
        <v>15</v>
      </c>
      <c r="B383" s="82" t="s">
        <v>14</v>
      </c>
      <c r="C383" s="82" t="s">
        <v>12</v>
      </c>
      <c r="D383" s="91">
        <f>IF(D364="","",(D364-'2018'!D273)/'2018'!D273)</f>
        <v>-5.0457761131918438E-2</v>
      </c>
      <c r="E383" s="91">
        <f>IF(E364="","",(E364-'2018'!E273)/'2018'!E273)</f>
        <v>-5.073341407616741E-2</v>
      </c>
      <c r="F383" s="91">
        <f>IF(F364="","",(F364-'2018'!F273)/'2018'!F273)</f>
        <v>-2.4866785079928951E-2</v>
      </c>
      <c r="G383" s="91" t="str">
        <f>IF(G373="","",(G373-'2014'!#REF!)/'2014'!#REF!)</f>
        <v/>
      </c>
      <c r="H383" s="91" t="str">
        <f>IF(H373="","",(H373-'2014'!#REF!)/'2014'!#REF!)</f>
        <v/>
      </c>
      <c r="I383" s="91" t="str">
        <f>IF(I373="","",(I373-'2014'!#REF!)/'2014'!#REF!)</f>
        <v/>
      </c>
      <c r="J383" s="87"/>
      <c r="K383" s="87"/>
      <c r="L383" s="87"/>
      <c r="M383" s="87" t="str">
        <f>IF(G383="","",M373-((1/'Proto 2013'!#REF!)*1000000))</f>
        <v/>
      </c>
      <c r="N383" s="87" t="str">
        <f>IF(H383="","",N373-((1/'Proto 2013'!#REF!)*1000000))</f>
        <v/>
      </c>
      <c r="O383" s="88" t="str">
        <f>IF(I383="","",O373-((1/'Proto 2013'!#REF!)*1000000))</f>
        <v/>
      </c>
    </row>
    <row r="384" spans="1:15" x14ac:dyDescent="0.25">
      <c r="A384" s="81" t="s">
        <v>16</v>
      </c>
      <c r="B384" s="82" t="s">
        <v>17</v>
      </c>
      <c r="C384" s="82" t="s">
        <v>12</v>
      </c>
      <c r="D384" s="91">
        <f>IF(D365="","",(D365-'2018'!D274)/'2018'!D274)</f>
        <v>8.0330773774365035E-3</v>
      </c>
      <c r="E384" s="91">
        <f>IF(E365="","",(E365-'2018'!E274)/'2018'!E274)</f>
        <v>-9.6893263611196549E-3</v>
      </c>
      <c r="F384" s="91">
        <f>IF(F365="","",(F365-'2018'!F274)/'2018'!F274)</f>
        <v>-4.1234439834024895E-2</v>
      </c>
      <c r="G384" s="91" t="str">
        <f>IF(G374="","",(G374-'2014'!#REF!)/'2014'!#REF!)</f>
        <v/>
      </c>
      <c r="H384" s="91" t="str">
        <f>IF(H374="","",(H374-'2014'!#REF!)/'2014'!#REF!)</f>
        <v/>
      </c>
      <c r="I384" s="91" t="str">
        <f>IF(I374="","",(I374-'2014'!#REF!)/'2014'!#REF!)</f>
        <v/>
      </c>
      <c r="J384" s="87"/>
      <c r="K384" s="87"/>
      <c r="L384" s="87"/>
      <c r="M384" s="87" t="str">
        <f>IF(G384="","",M374-((1/'Proto 2013'!#REF!)*1000000))</f>
        <v/>
      </c>
      <c r="N384" s="87" t="str">
        <f>IF(H384="","",N374-((1/'Proto 2013'!#REF!)*1000000))</f>
        <v/>
      </c>
      <c r="O384" s="88" t="str">
        <f>IF(I384="","",O374-((1/'Proto 2013'!#REF!)*1000000))</f>
        <v/>
      </c>
    </row>
    <row r="385" spans="1:15" ht="15.75" thickBot="1" x14ac:dyDescent="0.3">
      <c r="A385" s="92" t="s">
        <v>18</v>
      </c>
      <c r="B385" s="93" t="s">
        <v>19</v>
      </c>
      <c r="C385" s="93" t="s">
        <v>12</v>
      </c>
      <c r="D385" s="91">
        <f>IF(D366="","",(D366-'2018'!D275)/'2018'!D275)</f>
        <v>3.4969110618953258E-3</v>
      </c>
      <c r="E385" s="91">
        <f>IF(E366="","",(E366-'2018'!E275)/'2018'!E275)</f>
        <v>-1.3414443924504757E-2</v>
      </c>
      <c r="F385" s="91">
        <f>IF(F366="","",(F366-'2018'!F275)/'2018'!F275)</f>
        <v>-6.22527037720918E-2</v>
      </c>
      <c r="G385" s="94" t="str">
        <f>IF(G375="","",(G375-'2014'!#REF!)/'2014'!#REF!)</f>
        <v/>
      </c>
      <c r="H385" s="94" t="str">
        <f>IF(H375="","",(H375-'2014'!#REF!)/'2014'!#REF!)</f>
        <v/>
      </c>
      <c r="I385" s="94" t="str">
        <f>IF(I375="","",(I375-'2014'!#REF!)/'2014'!#REF!)</f>
        <v/>
      </c>
      <c r="J385" s="95"/>
      <c r="K385" s="95"/>
      <c r="L385" s="95"/>
      <c r="M385" s="95" t="str">
        <f>IF(G385="","",M375-((1/'Proto 2013'!#REF!)*1000000))</f>
        <v/>
      </c>
      <c r="N385" s="95" t="str">
        <f>IF(H385="","",N375-((1/'Proto 2013'!#REF!)*1000000))</f>
        <v/>
      </c>
      <c r="O385" s="96" t="str">
        <f>IF(I385="","",O375-((1/'Proto 2013'!#REF!)*1000000))</f>
        <v/>
      </c>
    </row>
    <row r="386" spans="1:15" x14ac:dyDescent="0.25">
      <c r="E386" s="91" t="str">
        <f>IF(E367="","",(E367-'2018'!E276)/'2018'!E276)</f>
        <v/>
      </c>
    </row>
    <row r="387" spans="1:15" ht="15.75" thickBot="1" x14ac:dyDescent="0.3"/>
    <row r="388" spans="1:15" ht="18.75" x14ac:dyDescent="0.25">
      <c r="A388" s="162" t="s">
        <v>191</v>
      </c>
      <c r="B388" s="163"/>
      <c r="C388" s="163"/>
      <c r="D388" s="163"/>
      <c r="E388" s="163"/>
      <c r="F388" s="163"/>
      <c r="G388" s="163"/>
      <c r="H388" s="163"/>
      <c r="I388" s="163"/>
      <c r="J388" s="163"/>
      <c r="K388" s="163"/>
      <c r="L388" s="163"/>
      <c r="M388" s="163"/>
      <c r="N388" s="163"/>
      <c r="O388" s="164"/>
    </row>
    <row r="389" spans="1:15" ht="15.75" x14ac:dyDescent="0.25">
      <c r="A389" s="165" t="s">
        <v>235</v>
      </c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66"/>
    </row>
    <row r="390" spans="1:15" x14ac:dyDescent="0.25">
      <c r="A390" s="185" t="s">
        <v>2</v>
      </c>
      <c r="B390" s="186"/>
      <c r="C390" s="187"/>
      <c r="D390" s="192" t="s">
        <v>3</v>
      </c>
      <c r="E390" s="193"/>
      <c r="F390" s="193"/>
      <c r="G390" s="193"/>
      <c r="H390" s="193"/>
      <c r="I390" s="194"/>
      <c r="J390" s="188" t="s">
        <v>4</v>
      </c>
      <c r="K390" s="189"/>
      <c r="L390" s="189"/>
      <c r="M390" s="189"/>
      <c r="N390" s="189"/>
      <c r="O390" s="191"/>
    </row>
    <row r="391" spans="1:15" x14ac:dyDescent="0.25">
      <c r="A391" s="76" t="s">
        <v>5</v>
      </c>
      <c r="B391" s="77" t="s">
        <v>6</v>
      </c>
      <c r="C391" s="77" t="s">
        <v>7</v>
      </c>
      <c r="D391" s="78">
        <v>1</v>
      </c>
      <c r="E391" s="78">
        <v>4</v>
      </c>
      <c r="F391" s="78">
        <v>16</v>
      </c>
      <c r="G391" s="79">
        <v>32</v>
      </c>
      <c r="H391" s="79">
        <v>64</v>
      </c>
      <c r="I391" s="79">
        <v>80</v>
      </c>
      <c r="J391" s="79">
        <v>1</v>
      </c>
      <c r="K391" s="79">
        <v>4</v>
      </c>
      <c r="L391" s="79">
        <v>16</v>
      </c>
      <c r="M391" s="79">
        <v>32</v>
      </c>
      <c r="N391" s="79">
        <v>64</v>
      </c>
      <c r="O391" s="80">
        <v>80</v>
      </c>
    </row>
    <row r="392" spans="1:15" x14ac:dyDescent="0.25">
      <c r="A392" s="37" t="s">
        <v>8</v>
      </c>
      <c r="B392" s="82" t="s">
        <v>9</v>
      </c>
      <c r="C392" s="83" t="s">
        <v>10</v>
      </c>
      <c r="D392" s="100">
        <v>42666</v>
      </c>
      <c r="E392" s="100">
        <v>20637</v>
      </c>
      <c r="F392" s="100">
        <v>6420</v>
      </c>
      <c r="G392" s="85"/>
      <c r="H392" s="86"/>
      <c r="I392" s="86"/>
      <c r="J392" s="87">
        <f t="shared" ref="J392:J397" si="86">IF(D392="","",(1/D392)*1000000)</f>
        <v>23.437866216659636</v>
      </c>
      <c r="K392" s="87">
        <f t="shared" ref="K392:K394" si="87">IF(E392="","",(1/E392)*1000000)</f>
        <v>48.456655521635902</v>
      </c>
      <c r="L392" s="87">
        <f t="shared" ref="L392:L397" si="88">IF(F392="","",(1/F392)*1000000)</f>
        <v>155.76323987538942</v>
      </c>
      <c r="M392" s="87" t="str">
        <f t="shared" ref="M392:M397" si="89">IF(G392="","",(1/G392)*1000000)</f>
        <v/>
      </c>
      <c r="N392" s="87" t="str">
        <f t="shared" ref="N392:N397" si="90">IF(H392="","",(1/H392)*1000000)</f>
        <v/>
      </c>
      <c r="O392" s="88" t="str">
        <f t="shared" ref="O392:O397" si="91">IF(I392="","",(1/I392)*1000000)</f>
        <v/>
      </c>
    </row>
    <row r="393" spans="1:15" x14ac:dyDescent="0.25">
      <c r="A393" s="81" t="s">
        <v>11</v>
      </c>
      <c r="B393" s="82" t="s">
        <v>9</v>
      </c>
      <c r="C393" s="83" t="s">
        <v>12</v>
      </c>
      <c r="D393" s="100">
        <v>9612</v>
      </c>
      <c r="E393" s="100">
        <v>7704</v>
      </c>
      <c r="F393" s="100">
        <v>4107</v>
      </c>
      <c r="G393" s="85"/>
      <c r="H393" s="86"/>
      <c r="I393" s="86"/>
      <c r="J393" s="87">
        <f t="shared" si="86"/>
        <v>104.03662089055348</v>
      </c>
      <c r="K393" s="87">
        <f t="shared" si="87"/>
        <v>129.80269989615783</v>
      </c>
      <c r="L393" s="87">
        <f t="shared" si="88"/>
        <v>243.48672997321646</v>
      </c>
      <c r="M393" s="87" t="str">
        <f t="shared" si="89"/>
        <v/>
      </c>
      <c r="N393" s="87" t="str">
        <f t="shared" si="90"/>
        <v/>
      </c>
      <c r="O393" s="88" t="str">
        <f t="shared" si="91"/>
        <v/>
      </c>
    </row>
    <row r="394" spans="1:15" x14ac:dyDescent="0.25">
      <c r="A394" s="81" t="s">
        <v>13</v>
      </c>
      <c r="B394" s="82" t="s">
        <v>14</v>
      </c>
      <c r="C394" s="83" t="s">
        <v>10</v>
      </c>
      <c r="D394" s="100">
        <v>34441</v>
      </c>
      <c r="E394" s="100">
        <v>16915</v>
      </c>
      <c r="F394" s="100">
        <v>5378</v>
      </c>
      <c r="G394" s="85"/>
      <c r="H394" s="86"/>
      <c r="I394" s="86"/>
      <c r="J394" s="87">
        <f t="shared" si="86"/>
        <v>29.035161580674195</v>
      </c>
      <c r="K394" s="87">
        <f t="shared" si="87"/>
        <v>59.119125036949448</v>
      </c>
      <c r="L394" s="87">
        <f t="shared" si="88"/>
        <v>185.94272963927111</v>
      </c>
      <c r="M394" s="87" t="str">
        <f t="shared" si="89"/>
        <v/>
      </c>
      <c r="N394" s="87" t="str">
        <f t="shared" si="90"/>
        <v/>
      </c>
      <c r="O394" s="88" t="str">
        <f t="shared" si="91"/>
        <v/>
      </c>
    </row>
    <row r="395" spans="1:15" x14ac:dyDescent="0.25">
      <c r="A395" s="81" t="s">
        <v>15</v>
      </c>
      <c r="B395" s="82" t="s">
        <v>14</v>
      </c>
      <c r="C395" s="83" t="s">
        <v>12</v>
      </c>
      <c r="D395" s="100">
        <v>9154</v>
      </c>
      <c r="E395" s="100">
        <v>7026</v>
      </c>
      <c r="F395" s="100">
        <v>3734</v>
      </c>
      <c r="G395" s="85"/>
      <c r="H395" s="86"/>
      <c r="I395" s="86"/>
      <c r="J395" s="87">
        <f t="shared" si="86"/>
        <v>109.24186148131963</v>
      </c>
      <c r="K395" s="87"/>
      <c r="L395" s="87">
        <f t="shared" si="88"/>
        <v>267.80931976432777</v>
      </c>
      <c r="M395" s="87" t="str">
        <f t="shared" si="89"/>
        <v/>
      </c>
      <c r="N395" s="87" t="str">
        <f t="shared" si="90"/>
        <v/>
      </c>
      <c r="O395" s="88" t="str">
        <f t="shared" si="91"/>
        <v/>
      </c>
    </row>
    <row r="396" spans="1:15" x14ac:dyDescent="0.25">
      <c r="A396" s="81" t="s">
        <v>16</v>
      </c>
      <c r="B396" s="82" t="s">
        <v>17</v>
      </c>
      <c r="C396" s="83" t="s">
        <v>12</v>
      </c>
      <c r="D396" s="100">
        <v>8571</v>
      </c>
      <c r="E396" s="100">
        <v>6642</v>
      </c>
      <c r="F396" s="100">
        <v>3888</v>
      </c>
      <c r="G396" s="85"/>
      <c r="H396" s="86"/>
      <c r="I396" s="86"/>
      <c r="J396" s="87">
        <f t="shared" si="86"/>
        <v>116.67250029168125</v>
      </c>
      <c r="K396" s="87">
        <f>IF(E396="","",(1/E396)*1000000)</f>
        <v>150.55706112616681</v>
      </c>
      <c r="L396" s="87">
        <f t="shared" si="88"/>
        <v>257.20164609053501</v>
      </c>
      <c r="M396" s="87" t="str">
        <f t="shared" si="89"/>
        <v/>
      </c>
      <c r="N396" s="87" t="str">
        <f t="shared" si="90"/>
        <v/>
      </c>
      <c r="O396" s="88" t="str">
        <f t="shared" si="91"/>
        <v/>
      </c>
    </row>
    <row r="397" spans="1:15" x14ac:dyDescent="0.25">
      <c r="A397" s="81" t="s">
        <v>18</v>
      </c>
      <c r="B397" s="82" t="s">
        <v>19</v>
      </c>
      <c r="C397" s="83" t="s">
        <v>12</v>
      </c>
      <c r="D397" s="100">
        <v>8847</v>
      </c>
      <c r="E397" s="100">
        <v>6144</v>
      </c>
      <c r="F397" s="100">
        <v>3873</v>
      </c>
      <c r="G397" s="85"/>
      <c r="H397" s="86"/>
      <c r="I397" s="86"/>
      <c r="J397" s="87">
        <f t="shared" si="86"/>
        <v>113.03266644060133</v>
      </c>
      <c r="K397" s="87">
        <f>IF(E397="","",(1/E397)*1000000)</f>
        <v>162.76041666666666</v>
      </c>
      <c r="L397" s="87">
        <f t="shared" si="88"/>
        <v>258.19777949909627</v>
      </c>
      <c r="M397" s="87" t="str">
        <f t="shared" si="89"/>
        <v/>
      </c>
      <c r="N397" s="87" t="str">
        <f t="shared" si="90"/>
        <v/>
      </c>
      <c r="O397" s="88" t="str">
        <f t="shared" si="91"/>
        <v/>
      </c>
    </row>
    <row r="398" spans="1:15" x14ac:dyDescent="0.25">
      <c r="A398" s="156" t="s">
        <v>236</v>
      </c>
      <c r="B398" s="157"/>
      <c r="C398" s="157"/>
      <c r="D398" s="157"/>
      <c r="E398" s="157"/>
      <c r="F398" s="157"/>
      <c r="G398" s="130" t="s">
        <v>224</v>
      </c>
      <c r="H398" s="130"/>
      <c r="I398" s="130"/>
      <c r="J398" s="195"/>
      <c r="K398" s="195"/>
      <c r="L398" s="195"/>
      <c r="M398" s="157" t="s">
        <v>172</v>
      </c>
      <c r="N398" s="157"/>
      <c r="O398" s="90"/>
    </row>
    <row r="399" spans="1:15" ht="18.75" x14ac:dyDescent="0.3">
      <c r="A399" s="158" t="s">
        <v>186</v>
      </c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59"/>
    </row>
    <row r="400" spans="1:15" x14ac:dyDescent="0.25">
      <c r="A400" s="185" t="s">
        <v>2</v>
      </c>
      <c r="B400" s="186"/>
      <c r="C400" s="187"/>
      <c r="D400" s="188" t="s">
        <v>20</v>
      </c>
      <c r="E400" s="189"/>
      <c r="F400" s="189"/>
      <c r="G400" s="189"/>
      <c r="H400" s="189"/>
      <c r="I400" s="190"/>
      <c r="J400" s="188" t="s">
        <v>23</v>
      </c>
      <c r="K400" s="189"/>
      <c r="L400" s="189"/>
      <c r="M400" s="189"/>
      <c r="N400" s="189"/>
      <c r="O400" s="191"/>
    </row>
    <row r="401" spans="1:15" x14ac:dyDescent="0.25">
      <c r="A401" s="76" t="s">
        <v>5</v>
      </c>
      <c r="B401" s="77" t="s">
        <v>6</v>
      </c>
      <c r="C401" s="77" t="s">
        <v>7</v>
      </c>
      <c r="D401" s="79">
        <v>1</v>
      </c>
      <c r="E401" s="79">
        <v>4</v>
      </c>
      <c r="F401" s="79">
        <v>16</v>
      </c>
      <c r="G401" s="79">
        <v>32</v>
      </c>
      <c r="H401" s="79">
        <v>64</v>
      </c>
      <c r="I401" s="79">
        <v>80</v>
      </c>
      <c r="J401" s="79">
        <v>1</v>
      </c>
      <c r="K401" s="79">
        <v>4</v>
      </c>
      <c r="L401" s="79">
        <v>16</v>
      </c>
      <c r="M401" s="79">
        <v>32</v>
      </c>
      <c r="N401" s="79">
        <v>64</v>
      </c>
      <c r="O401" s="80">
        <v>80</v>
      </c>
    </row>
    <row r="402" spans="1:15" x14ac:dyDescent="0.25">
      <c r="A402" s="81" t="s">
        <v>8</v>
      </c>
      <c r="B402" s="82" t="s">
        <v>9</v>
      </c>
      <c r="C402" s="82" t="s">
        <v>10</v>
      </c>
      <c r="D402" s="91">
        <f>IF(D392="","",(D392-'2018'!D226)/'2018'!D226)</f>
        <v>5.040987468199378E-3</v>
      </c>
      <c r="E402" s="91">
        <f>IF(E392="","",(E392-'2018'!E226)/'2018'!E226)</f>
        <v>2.702299193789191E-2</v>
      </c>
      <c r="F402" s="91">
        <f>IF(F392="","",(F392-'2018'!F226)/'2018'!F226)</f>
        <v>6.9465267366316835E-2</v>
      </c>
      <c r="G402" s="91" t="str">
        <f>IF(G392="","",(G392-'2014'!#REF!)/'2014'!#REF!)</f>
        <v/>
      </c>
      <c r="H402" s="91" t="str">
        <f>IF(H392="","",(H392-'2014'!#REF!)/'2014'!#REF!)</f>
        <v/>
      </c>
      <c r="I402" s="87" t="str">
        <f>IF(I392="","",(I392-'2014'!#REF!)/'2014'!#REF!)</f>
        <v/>
      </c>
      <c r="J402" s="87"/>
      <c r="K402" s="87"/>
      <c r="L402" s="87"/>
      <c r="M402" s="87" t="str">
        <f>IF(G402="","",M392-((1/'Proto 2013'!#REF!)*1000000))</f>
        <v/>
      </c>
      <c r="N402" s="87" t="str">
        <f>IF(H402="","",N392-((1/'Proto 2013'!#REF!)*1000000))</f>
        <v/>
      </c>
      <c r="O402" s="88" t="str">
        <f>IF(I402="","",O392-((1/'Proto 2013'!#REF!)*1000000))</f>
        <v/>
      </c>
    </row>
    <row r="403" spans="1:15" x14ac:dyDescent="0.25">
      <c r="A403" s="81" t="s">
        <v>11</v>
      </c>
      <c r="B403" s="82" t="s">
        <v>9</v>
      </c>
      <c r="C403" s="82" t="s">
        <v>12</v>
      </c>
      <c r="D403" s="91">
        <f>IF(D393="","",(D393-'2018'!D227)/'2018'!D227)</f>
        <v>-5.6259204712812962E-2</v>
      </c>
      <c r="E403" s="91">
        <f>IF(E393="","",(E393-'2018'!E227)/'2018'!E227)</f>
        <v>-2.3574144486692015E-2</v>
      </c>
      <c r="F403" s="91">
        <f>IF(F393="","",(F393-'2018'!F227)/'2018'!F227)</f>
        <v>-2.4697221562574211E-2</v>
      </c>
      <c r="G403" s="91" t="str">
        <f>IF(G393="","",(G393-'2014'!#REF!)/'2014'!#REF!)</f>
        <v/>
      </c>
      <c r="H403" s="91" t="str">
        <f>IF(H393="","",(H393-'2014'!#REF!)/'2014'!#REF!)</f>
        <v/>
      </c>
      <c r="I403" s="91" t="str">
        <f>IF(I393="","",(I393-'2014'!#REF!)/'2014'!#REF!)</f>
        <v/>
      </c>
      <c r="J403" s="87"/>
      <c r="K403" s="87"/>
      <c r="L403" s="87"/>
      <c r="M403" s="87" t="str">
        <f>IF(G403="","",M393-((1/'Proto 2013'!#REF!)*1000000))</f>
        <v/>
      </c>
      <c r="N403" s="87" t="str">
        <f>IF(H403="","",N393-((1/'Proto 2013'!#REF!)*1000000))</f>
        <v/>
      </c>
      <c r="O403" s="88" t="str">
        <f>IF(I403="","",O393-((1/'Proto 2013'!#REF!)*1000000))</f>
        <v/>
      </c>
    </row>
    <row r="404" spans="1:15" x14ac:dyDescent="0.25">
      <c r="A404" s="81" t="s">
        <v>13</v>
      </c>
      <c r="B404" s="82" t="s">
        <v>14</v>
      </c>
      <c r="C404" s="82" t="s">
        <v>10</v>
      </c>
      <c r="D404" s="91">
        <f>IF(D394="","",(D394-'2018'!D228)/'2018'!D228)</f>
        <v>-8.7026826423496975E-2</v>
      </c>
      <c r="E404" s="91">
        <f>IF(E394="","",(E394-'2018'!E228)/'2018'!E228)</f>
        <v>5.8709394754960252E-2</v>
      </c>
      <c r="F404" s="91">
        <f>IF(F394="","",(F394-'2018'!F228)/'2018'!F228)</f>
        <v>-2.8189374774123598E-2</v>
      </c>
      <c r="G404" s="91" t="str">
        <f>IF(G394="","",(G394-'2014'!#REF!)/'2014'!#REF!)</f>
        <v/>
      </c>
      <c r="H404" s="91" t="str">
        <f>IF(H394="","",(H394-'2014'!#REF!)/'2014'!#REF!)</f>
        <v/>
      </c>
      <c r="I404" s="91" t="str">
        <f>IF(I394="","",(I394-'2014'!#REF!)/'2014'!#REF!)</f>
        <v/>
      </c>
      <c r="J404" s="87"/>
      <c r="K404" s="87"/>
      <c r="L404" s="87"/>
      <c r="M404" s="87" t="str">
        <f>IF(G404="","",M394-((1/'Proto 2013'!#REF!)*1000000))</f>
        <v/>
      </c>
      <c r="N404" s="87" t="str">
        <f>IF(H404="","",N394-((1/'Proto 2013'!#REF!)*1000000))</f>
        <v/>
      </c>
      <c r="O404" s="88" t="str">
        <f>IF(I404="","",O394-((1/'Proto 2013'!#REF!)*1000000))</f>
        <v/>
      </c>
    </row>
    <row r="405" spans="1:15" x14ac:dyDescent="0.25">
      <c r="A405" s="81" t="s">
        <v>15</v>
      </c>
      <c r="B405" s="82" t="s">
        <v>14</v>
      </c>
      <c r="C405" s="82" t="s">
        <v>12</v>
      </c>
      <c r="D405" s="91">
        <f>IF(D395="","",(D395-'2018'!D229)/'2018'!D229)</f>
        <v>-4.1164763800146643E-2</v>
      </c>
      <c r="E405" s="91">
        <f>IF(E395="","",(E395-'2018'!E229)/'2018'!E229)</f>
        <v>-2.0766550522648083E-2</v>
      </c>
      <c r="F405" s="91">
        <f>IF(F395="","",(F395-'2018'!F229)/'2018'!F229)</f>
        <v>0</v>
      </c>
      <c r="G405" s="91" t="str">
        <f>IF(G395="","",(G395-'2014'!#REF!)/'2014'!#REF!)</f>
        <v/>
      </c>
      <c r="H405" s="91" t="str">
        <f>IF(H395="","",(H395-'2014'!#REF!)/'2014'!#REF!)</f>
        <v/>
      </c>
      <c r="I405" s="91" t="str">
        <f>IF(I395="","",(I395-'2014'!#REF!)/'2014'!#REF!)</f>
        <v/>
      </c>
      <c r="J405" s="87"/>
      <c r="K405" s="87"/>
      <c r="L405" s="87"/>
      <c r="M405" s="87" t="str">
        <f>IF(G405="","",M395-((1/'Proto 2013'!#REF!)*1000000))</f>
        <v/>
      </c>
      <c r="N405" s="87" t="str">
        <f>IF(H405="","",N395-((1/'Proto 2013'!#REF!)*1000000))</f>
        <v/>
      </c>
      <c r="O405" s="88" t="str">
        <f>IF(I405="","",O395-((1/'Proto 2013'!#REF!)*1000000))</f>
        <v/>
      </c>
    </row>
    <row r="406" spans="1:15" x14ac:dyDescent="0.25">
      <c r="A406" s="81" t="s">
        <v>16</v>
      </c>
      <c r="B406" s="82" t="s">
        <v>17</v>
      </c>
      <c r="C406" s="82" t="s">
        <v>12</v>
      </c>
      <c r="D406" s="91">
        <f>IF(D396="","",(D396-'2018'!D230)/'2018'!D230)</f>
        <v>-1.5506547208821502E-2</v>
      </c>
      <c r="E406" s="91">
        <f>IF(E396="","",(E396-'2018'!E230)/'2018'!E230)</f>
        <v>-2.6670574443141852E-2</v>
      </c>
      <c r="F406" s="91">
        <f>IF(F396="","",(F396-'2018'!F230)/'2018'!F230)</f>
        <v>-1.9667170953101363E-2</v>
      </c>
      <c r="G406" s="91" t="str">
        <f>IF(G396="","",(G396-'2014'!#REF!)/'2014'!#REF!)</f>
        <v/>
      </c>
      <c r="H406" s="91" t="str">
        <f>IF(H396="","",(H396-'2014'!#REF!)/'2014'!#REF!)</f>
        <v/>
      </c>
      <c r="I406" s="91" t="str">
        <f>IF(I396="","",(I396-'2014'!#REF!)/'2014'!#REF!)</f>
        <v/>
      </c>
      <c r="J406" s="87"/>
      <c r="K406" s="87"/>
      <c r="L406" s="87"/>
      <c r="M406" s="87" t="str">
        <f>IF(G406="","",M396-((1/'Proto 2013'!#REF!)*1000000))</f>
        <v/>
      </c>
      <c r="N406" s="87" t="str">
        <f>IF(H406="","",N396-((1/'Proto 2013'!#REF!)*1000000))</f>
        <v/>
      </c>
      <c r="O406" s="88" t="str">
        <f>IF(I406="","",O396-((1/'Proto 2013'!#REF!)*1000000))</f>
        <v/>
      </c>
    </row>
    <row r="407" spans="1:15" ht="15.75" thickBot="1" x14ac:dyDescent="0.3">
      <c r="A407" s="92" t="s">
        <v>18</v>
      </c>
      <c r="B407" s="93" t="s">
        <v>19</v>
      </c>
      <c r="C407" s="93" t="s">
        <v>12</v>
      </c>
      <c r="D407" s="91">
        <f>IF(D397="","",(D397-'2018'!D231)/'2018'!D231)</f>
        <v>4.5497518317182697E-2</v>
      </c>
      <c r="E407" s="91">
        <f>IF(E397="","",(E397-'2018'!E231)/'2018'!E231)</f>
        <v>5.0711598233273356E-3</v>
      </c>
      <c r="F407" s="91">
        <f>IF(F397="","",(F397-'2018'!F231)/'2018'!F231)</f>
        <v>3.7225495447241561E-2</v>
      </c>
      <c r="G407" s="94" t="str">
        <f>IF(G397="","",(G397-'2014'!#REF!)/'2014'!#REF!)</f>
        <v/>
      </c>
      <c r="H407" s="94" t="str">
        <f>IF(H397="","",(H397-'2014'!#REF!)/'2014'!#REF!)</f>
        <v/>
      </c>
      <c r="I407" s="94" t="str">
        <f>IF(I397="","",(I397-'2014'!#REF!)/'2014'!#REF!)</f>
        <v/>
      </c>
      <c r="J407" s="95"/>
      <c r="K407" s="95"/>
      <c r="L407" s="95"/>
      <c r="M407" s="95" t="str">
        <f>IF(G407="","",M397-((1/'Proto 2013'!#REF!)*1000000))</f>
        <v/>
      </c>
      <c r="N407" s="95" t="str">
        <f>IF(H407="","",N397-((1/'Proto 2013'!#REF!)*1000000))</f>
        <v/>
      </c>
      <c r="O407" s="96" t="str">
        <f>IF(I407="","",O397-((1/'Proto 2013'!#REF!)*1000000))</f>
        <v/>
      </c>
    </row>
    <row r="408" spans="1:15" ht="18.75" x14ac:dyDescent="0.3">
      <c r="A408" s="158" t="s">
        <v>218</v>
      </c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59"/>
    </row>
    <row r="409" spans="1:15" x14ac:dyDescent="0.25">
      <c r="A409" s="185" t="s">
        <v>2</v>
      </c>
      <c r="B409" s="186"/>
      <c r="C409" s="187"/>
      <c r="D409" s="188" t="s">
        <v>20</v>
      </c>
      <c r="E409" s="189"/>
      <c r="F409" s="189"/>
      <c r="G409" s="189"/>
      <c r="H409" s="189"/>
      <c r="I409" s="190"/>
      <c r="J409" s="188" t="s">
        <v>23</v>
      </c>
      <c r="K409" s="189"/>
      <c r="L409" s="189"/>
      <c r="M409" s="189"/>
      <c r="N409" s="189"/>
      <c r="O409" s="191"/>
    </row>
    <row r="410" spans="1:15" x14ac:dyDescent="0.25">
      <c r="A410" s="76" t="s">
        <v>5</v>
      </c>
      <c r="B410" s="77" t="s">
        <v>6</v>
      </c>
      <c r="C410" s="77" t="s">
        <v>7</v>
      </c>
      <c r="D410" s="79">
        <v>1</v>
      </c>
      <c r="E410" s="79">
        <v>4</v>
      </c>
      <c r="F410" s="79">
        <v>16</v>
      </c>
      <c r="G410" s="79">
        <v>32</v>
      </c>
      <c r="H410" s="79">
        <v>64</v>
      </c>
      <c r="I410" s="79">
        <v>80</v>
      </c>
      <c r="J410" s="79">
        <v>1</v>
      </c>
      <c r="K410" s="79">
        <v>4</v>
      </c>
      <c r="L410" s="79">
        <v>16</v>
      </c>
      <c r="M410" s="79">
        <v>32</v>
      </c>
      <c r="N410" s="79">
        <v>64</v>
      </c>
      <c r="O410" s="80">
        <v>80</v>
      </c>
    </row>
    <row r="411" spans="1:15" x14ac:dyDescent="0.25">
      <c r="A411" s="81" t="s">
        <v>8</v>
      </c>
      <c r="B411" s="82" t="s">
        <v>9</v>
      </c>
      <c r="C411" s="82" t="s">
        <v>10</v>
      </c>
      <c r="D411" s="91">
        <f>IF(D392="","",(D392-'2018'!D270)/'2018'!D270)</f>
        <v>7.8662036708950465E-3</v>
      </c>
      <c r="E411" s="91">
        <f>IF(E392="","",(E392-'2018'!E270)/'2018'!E270)</f>
        <v>0.31882668711656442</v>
      </c>
      <c r="F411" s="91">
        <f>IF(F392="","",(F392-'2018'!F270)/'2018'!F270)</f>
        <v>6.9465267366316835E-2</v>
      </c>
      <c r="G411" s="91" t="str">
        <f>IF(G392="","",(G392-'2018'!G509)/'2018'!G509)</f>
        <v/>
      </c>
      <c r="H411" s="91" t="str">
        <f>IF(H392="","",(H392-'2018'!H509)/'2018'!H509)</f>
        <v/>
      </c>
      <c r="I411" s="87" t="e">
        <f>IF(I401="","",(I401-'2014'!#REF!)/'2014'!#REF!)</f>
        <v>#REF!</v>
      </c>
      <c r="J411" s="87"/>
      <c r="K411" s="87"/>
      <c r="L411" s="87"/>
      <c r="M411" s="87" t="str">
        <f>IF(G411="","",M401-((1/'Proto 2013'!#REF!)*1000000))</f>
        <v/>
      </c>
      <c r="N411" s="87" t="str">
        <f>IF(H411="","",N401-((1/'Proto 2013'!#REF!)*1000000))</f>
        <v/>
      </c>
      <c r="O411" s="88" t="e">
        <f>IF(I411="","",O401-((1/'Proto 2013'!#REF!)*1000000))</f>
        <v>#REF!</v>
      </c>
    </row>
    <row r="412" spans="1:15" x14ac:dyDescent="0.25">
      <c r="A412" s="81" t="s">
        <v>11</v>
      </c>
      <c r="B412" s="82" t="s">
        <v>9</v>
      </c>
      <c r="C412" s="82" t="s">
        <v>12</v>
      </c>
      <c r="D412" s="91">
        <f>IF(D393="","",(D393-'2018'!D271)/'2018'!D271)</f>
        <v>0</v>
      </c>
      <c r="E412" s="91">
        <f>IF(E393="","",(E393-'2018'!E271)/'2018'!E271)</f>
        <v>-2.8621863573319885E-2</v>
      </c>
      <c r="F412" s="91">
        <f>IF(F393="","",(F393-'2018'!F271)/'2018'!F271)</f>
        <v>-3.4555712270803951E-2</v>
      </c>
      <c r="G412" s="91" t="str">
        <f>IF(G402="","",(G402-'2014'!#REF!)/'2014'!#REF!)</f>
        <v/>
      </c>
      <c r="H412" s="91" t="str">
        <f>IF(H402="","",(H402-'2014'!#REF!)/'2014'!#REF!)</f>
        <v/>
      </c>
      <c r="I412" s="91" t="str">
        <f>IF(I402="","",(I402-'2014'!#REF!)/'2014'!#REF!)</f>
        <v/>
      </c>
      <c r="J412" s="87"/>
      <c r="K412" s="87"/>
      <c r="L412" s="87"/>
      <c r="M412" s="87" t="str">
        <f>IF(G412="","",M402-((1/'Proto 2013'!#REF!)*1000000))</f>
        <v/>
      </c>
      <c r="N412" s="87" t="str">
        <f>IF(H412="","",N402-((1/'Proto 2013'!#REF!)*1000000))</f>
        <v/>
      </c>
      <c r="O412" s="88" t="str">
        <f>IF(I412="","",O402-((1/'Proto 2013'!#REF!)*1000000))</f>
        <v/>
      </c>
    </row>
    <row r="413" spans="1:15" x14ac:dyDescent="0.25">
      <c r="A413" s="81" t="s">
        <v>13</v>
      </c>
      <c r="B413" s="82" t="s">
        <v>14</v>
      </c>
      <c r="C413" s="82" t="s">
        <v>10</v>
      </c>
      <c r="D413" s="91">
        <f>IF(D394="","",(D394-'2018'!D272)/'2018'!D272)</f>
        <v>0.30374380134004619</v>
      </c>
      <c r="E413" s="91">
        <f>IF(E394="","",(E394-'2018'!E272)/'2018'!E272)</f>
        <v>-5.3918004362660102E-2</v>
      </c>
      <c r="F413" s="91">
        <f>IF(F394="","",(F394-'2018'!F272)/'2018'!F272)</f>
        <v>0</v>
      </c>
      <c r="G413" s="91" t="str">
        <f>IF(G403="","",(G403-'2014'!#REF!)/'2014'!#REF!)</f>
        <v/>
      </c>
      <c r="H413" s="91" t="str">
        <f>IF(H403="","",(H403-'2014'!#REF!)/'2014'!#REF!)</f>
        <v/>
      </c>
      <c r="I413" s="91" t="str">
        <f>IF(I403="","",(I403-'2014'!#REF!)/'2014'!#REF!)</f>
        <v/>
      </c>
      <c r="J413" s="87"/>
      <c r="K413" s="87"/>
      <c r="L413" s="87"/>
      <c r="M413" s="87" t="str">
        <f>IF(G413="","",M403-((1/'Proto 2013'!#REF!)*1000000))</f>
        <v/>
      </c>
      <c r="N413" s="87" t="str">
        <f>IF(H413="","",N403-((1/'Proto 2013'!#REF!)*1000000))</f>
        <v/>
      </c>
      <c r="O413" s="88" t="str">
        <f>IF(I413="","",O403-((1/'Proto 2013'!#REF!)*1000000))</f>
        <v/>
      </c>
    </row>
    <row r="414" spans="1:15" x14ac:dyDescent="0.25">
      <c r="A414" s="81" t="s">
        <v>15</v>
      </c>
      <c r="B414" s="82" t="s">
        <v>14</v>
      </c>
      <c r="C414" s="82" t="s">
        <v>12</v>
      </c>
      <c r="D414" s="91">
        <f>IF(D395="","",(D395-'2018'!D273)/'2018'!D273)</f>
        <v>-4.7648772367873495E-2</v>
      </c>
      <c r="E414" s="91">
        <f>IF(E395="","",(E395-'2018'!E273)/'2018'!E273)</f>
        <v>-5.4501412999596287E-2</v>
      </c>
      <c r="F414" s="91">
        <f>IF(F395="","",(F395-'2018'!F273)/'2018'!F273)</f>
        <v>-5.2524739913727483E-2</v>
      </c>
      <c r="G414" s="91" t="str">
        <f>IF(G404="","",(G404-'2014'!#REF!)/'2014'!#REF!)</f>
        <v/>
      </c>
      <c r="H414" s="91" t="str">
        <f>IF(H404="","",(H404-'2014'!#REF!)/'2014'!#REF!)</f>
        <v/>
      </c>
      <c r="I414" s="91" t="str">
        <f>IF(I404="","",(I404-'2014'!#REF!)/'2014'!#REF!)</f>
        <v/>
      </c>
      <c r="J414" s="87"/>
      <c r="K414" s="87"/>
      <c r="L414" s="87"/>
      <c r="M414" s="87" t="str">
        <f>IF(G414="","",M404-((1/'Proto 2013'!#REF!)*1000000))</f>
        <v/>
      </c>
      <c r="N414" s="87" t="str">
        <f>IF(H414="","",N404-((1/'Proto 2013'!#REF!)*1000000))</f>
        <v/>
      </c>
      <c r="O414" s="88" t="str">
        <f>IF(I414="","",O404-((1/'Proto 2013'!#REF!)*1000000))</f>
        <v/>
      </c>
    </row>
    <row r="415" spans="1:15" x14ac:dyDescent="0.25">
      <c r="A415" s="81" t="s">
        <v>16</v>
      </c>
      <c r="B415" s="82" t="s">
        <v>17</v>
      </c>
      <c r="C415" s="82" t="s">
        <v>12</v>
      </c>
      <c r="D415" s="91">
        <f>IF(D396="","",(D396-'2018'!D274)/'2018'!D274)</f>
        <v>1.2522150029533373E-2</v>
      </c>
      <c r="E415" s="91">
        <f>IF(E396="","",(E396-'2018'!E274)/'2018'!E274)</f>
        <v>2.153183635804368E-2</v>
      </c>
      <c r="F415" s="91">
        <f>IF(F396="","",(F396-'2018'!F274)/'2018'!F274)</f>
        <v>8.2987551867219917E-3</v>
      </c>
      <c r="G415" s="91" t="str">
        <f>IF(G405="","",(G405-'2014'!#REF!)/'2014'!#REF!)</f>
        <v/>
      </c>
      <c r="H415" s="91" t="str">
        <f>IF(H405="","",(H405-'2014'!#REF!)/'2014'!#REF!)</f>
        <v/>
      </c>
      <c r="I415" s="91" t="str">
        <f>IF(I405="","",(I405-'2014'!#REF!)/'2014'!#REF!)</f>
        <v/>
      </c>
      <c r="J415" s="87"/>
      <c r="K415" s="87"/>
      <c r="L415" s="87"/>
      <c r="M415" s="87" t="str">
        <f>IF(G415="","",M405-((1/'Proto 2013'!#REF!)*1000000))</f>
        <v/>
      </c>
      <c r="N415" s="87" t="str">
        <f>IF(H415="","",N405-((1/'Proto 2013'!#REF!)*1000000))</f>
        <v/>
      </c>
      <c r="O415" s="88" t="str">
        <f>IF(I415="","",O405-((1/'Proto 2013'!#REF!)*1000000))</f>
        <v/>
      </c>
    </row>
    <row r="416" spans="1:15" ht="15.75" thickBot="1" x14ac:dyDescent="0.3">
      <c r="A416" s="92" t="s">
        <v>18</v>
      </c>
      <c r="B416" s="93" t="s">
        <v>19</v>
      </c>
      <c r="C416" s="93" t="s">
        <v>12</v>
      </c>
      <c r="D416" s="91">
        <f>IF(D397="","",(D397-'2018'!D275)/'2018'!D275)</f>
        <v>3.1239072152931577E-2</v>
      </c>
      <c r="E416" s="91">
        <f>IF(E397="","",(E397-'2018'!E275)/'2018'!E275)</f>
        <v>-4.1647168928404303E-2</v>
      </c>
      <c r="F416" s="91">
        <f>IF(F397="","",(F397-'2018'!F275)/'2018'!F275)</f>
        <v>2.1630176734370878E-2</v>
      </c>
      <c r="G416" s="94" t="str">
        <f>IF(G406="","",(G406-'2014'!#REF!)/'2014'!#REF!)</f>
        <v/>
      </c>
      <c r="H416" s="94" t="str">
        <f>IF(H406="","",(H406-'2014'!#REF!)/'2014'!#REF!)</f>
        <v/>
      </c>
      <c r="I416" s="94" t="str">
        <f>IF(I406="","",(I406-'2014'!#REF!)/'2014'!#REF!)</f>
        <v/>
      </c>
      <c r="J416" s="95"/>
      <c r="K416" s="95"/>
      <c r="L416" s="95"/>
      <c r="M416" s="95" t="str">
        <f>IF(G416="","",M406-((1/'Proto 2013'!#REF!)*1000000))</f>
        <v/>
      </c>
      <c r="N416" s="95" t="str">
        <f>IF(H416="","",N406-((1/'Proto 2013'!#REF!)*1000000))</f>
        <v/>
      </c>
      <c r="O416" s="96" t="str">
        <f>IF(I416="","",O406-((1/'Proto 2013'!#REF!)*1000000))</f>
        <v/>
      </c>
    </row>
  </sheetData>
  <mergeCells count="236">
    <mergeCell ref="A308:O308"/>
    <mergeCell ref="A309:C309"/>
    <mergeCell ref="D309:I309"/>
    <mergeCell ref="J309:O309"/>
    <mergeCell ref="A317:O317"/>
    <mergeCell ref="A318:C318"/>
    <mergeCell ref="D318:I318"/>
    <mergeCell ref="J318:O318"/>
    <mergeCell ref="A297:O297"/>
    <mergeCell ref="A298:O298"/>
    <mergeCell ref="A299:C299"/>
    <mergeCell ref="D299:I299"/>
    <mergeCell ref="J299:O299"/>
    <mergeCell ref="A307:F307"/>
    <mergeCell ref="G307:I307"/>
    <mergeCell ref="J307:L307"/>
    <mergeCell ref="M307:N307"/>
    <mergeCell ref="A250:O250"/>
    <mergeCell ref="A251:C251"/>
    <mergeCell ref="D251:I251"/>
    <mergeCell ref="J251:O251"/>
    <mergeCell ref="A259:O259"/>
    <mergeCell ref="A260:C260"/>
    <mergeCell ref="D260:I260"/>
    <mergeCell ref="J260:O260"/>
    <mergeCell ref="A239:O239"/>
    <mergeCell ref="A240:O240"/>
    <mergeCell ref="A241:C241"/>
    <mergeCell ref="D241:I241"/>
    <mergeCell ref="J241:O241"/>
    <mergeCell ref="A249:F249"/>
    <mergeCell ref="G249:I249"/>
    <mergeCell ref="J249:L249"/>
    <mergeCell ref="M249:N249"/>
    <mergeCell ref="D161:I161"/>
    <mergeCell ref="J161:O161"/>
    <mergeCell ref="A199:O199"/>
    <mergeCell ref="A200:C200"/>
    <mergeCell ref="D200:I200"/>
    <mergeCell ref="J200:O200"/>
    <mergeCell ref="J189:L189"/>
    <mergeCell ref="A189:F189"/>
    <mergeCell ref="G189:I189"/>
    <mergeCell ref="M189:N189"/>
    <mergeCell ref="A190:O190"/>
    <mergeCell ref="A191:C191"/>
    <mergeCell ref="D191:I191"/>
    <mergeCell ref="J191:O191"/>
    <mergeCell ref="A46:C46"/>
    <mergeCell ref="D46:I46"/>
    <mergeCell ref="J46:O46"/>
    <mergeCell ref="A179:O179"/>
    <mergeCell ref="A180:O180"/>
    <mergeCell ref="A181:C181"/>
    <mergeCell ref="D181:I181"/>
    <mergeCell ref="J181:O181"/>
    <mergeCell ref="A139:F139"/>
    <mergeCell ref="G139:I139"/>
    <mergeCell ref="M139:N139"/>
    <mergeCell ref="A140:O140"/>
    <mergeCell ref="A141:C141"/>
    <mergeCell ref="D141:I141"/>
    <mergeCell ref="J141:O141"/>
    <mergeCell ref="A169:O169"/>
    <mergeCell ref="A170:C170"/>
    <mergeCell ref="D170:I170"/>
    <mergeCell ref="J170:O170"/>
    <mergeCell ref="A159:F159"/>
    <mergeCell ref="G159:I159"/>
    <mergeCell ref="M159:N159"/>
    <mergeCell ref="A160:O160"/>
    <mergeCell ref="A161:C161"/>
    <mergeCell ref="A32:F32"/>
    <mergeCell ref="G32:I32"/>
    <mergeCell ref="M32:N32"/>
    <mergeCell ref="A33:O33"/>
    <mergeCell ref="A34:C34"/>
    <mergeCell ref="D34:I34"/>
    <mergeCell ref="J34:O34"/>
    <mergeCell ref="A44:O44"/>
    <mergeCell ref="A45:O45"/>
    <mergeCell ref="A1:O1"/>
    <mergeCell ref="A2:O2"/>
    <mergeCell ref="A3:C3"/>
    <mergeCell ref="D3:I3"/>
    <mergeCell ref="J3:O3"/>
    <mergeCell ref="A22:O22"/>
    <mergeCell ref="A23:O23"/>
    <mergeCell ref="A24:C24"/>
    <mergeCell ref="D24:I24"/>
    <mergeCell ref="J24:O24"/>
    <mergeCell ref="M11:N11"/>
    <mergeCell ref="A12:O12"/>
    <mergeCell ref="A13:C13"/>
    <mergeCell ref="D13:I13"/>
    <mergeCell ref="J13:O13"/>
    <mergeCell ref="A11:F11"/>
    <mergeCell ref="G11:I11"/>
    <mergeCell ref="A54:F54"/>
    <mergeCell ref="G54:I54"/>
    <mergeCell ref="M54:N54"/>
    <mergeCell ref="A55:O55"/>
    <mergeCell ref="A56:C56"/>
    <mergeCell ref="D56:I56"/>
    <mergeCell ref="J56:O56"/>
    <mergeCell ref="A66:O66"/>
    <mergeCell ref="A67:O67"/>
    <mergeCell ref="A68:C68"/>
    <mergeCell ref="D68:I68"/>
    <mergeCell ref="J68:O68"/>
    <mergeCell ref="A76:F76"/>
    <mergeCell ref="G76:I76"/>
    <mergeCell ref="M76:N76"/>
    <mergeCell ref="A77:O77"/>
    <mergeCell ref="A78:C78"/>
    <mergeCell ref="D78:I78"/>
    <mergeCell ref="J78:O78"/>
    <mergeCell ref="A87:O87"/>
    <mergeCell ref="A88:O88"/>
    <mergeCell ref="A89:C89"/>
    <mergeCell ref="D89:I89"/>
    <mergeCell ref="J89:O89"/>
    <mergeCell ref="A97:F97"/>
    <mergeCell ref="G97:I97"/>
    <mergeCell ref="M97:N97"/>
    <mergeCell ref="A98:O98"/>
    <mergeCell ref="A99:C99"/>
    <mergeCell ref="D99:I99"/>
    <mergeCell ref="J99:O99"/>
    <mergeCell ref="A108:O108"/>
    <mergeCell ref="A109:O109"/>
    <mergeCell ref="A110:C110"/>
    <mergeCell ref="D110:I110"/>
    <mergeCell ref="J110:O110"/>
    <mergeCell ref="A118:F118"/>
    <mergeCell ref="G118:I118"/>
    <mergeCell ref="M118:N118"/>
    <mergeCell ref="A119:O119"/>
    <mergeCell ref="A120:C120"/>
    <mergeCell ref="D120:I120"/>
    <mergeCell ref="J120:O120"/>
    <mergeCell ref="A149:O149"/>
    <mergeCell ref="A150:O150"/>
    <mergeCell ref="A151:C151"/>
    <mergeCell ref="D151:I151"/>
    <mergeCell ref="J151:O151"/>
    <mergeCell ref="A129:O129"/>
    <mergeCell ref="A130:O130"/>
    <mergeCell ref="A131:C131"/>
    <mergeCell ref="D131:I131"/>
    <mergeCell ref="J131:O131"/>
    <mergeCell ref="A220:O220"/>
    <mergeCell ref="A221:C221"/>
    <mergeCell ref="D221:I221"/>
    <mergeCell ref="J221:O221"/>
    <mergeCell ref="A229:O229"/>
    <mergeCell ref="A230:C230"/>
    <mergeCell ref="D230:I230"/>
    <mergeCell ref="J230:O230"/>
    <mergeCell ref="A209:O209"/>
    <mergeCell ref="A210:O210"/>
    <mergeCell ref="A211:C211"/>
    <mergeCell ref="D211:I211"/>
    <mergeCell ref="J211:O211"/>
    <mergeCell ref="A219:F219"/>
    <mergeCell ref="G219:I219"/>
    <mergeCell ref="J219:L219"/>
    <mergeCell ref="M219:N219"/>
    <mergeCell ref="A279:O279"/>
    <mergeCell ref="A280:C280"/>
    <mergeCell ref="D280:I280"/>
    <mergeCell ref="J280:O280"/>
    <mergeCell ref="A288:O288"/>
    <mergeCell ref="A289:C289"/>
    <mergeCell ref="D289:I289"/>
    <mergeCell ref="J289:O289"/>
    <mergeCell ref="A268:O268"/>
    <mergeCell ref="A269:O269"/>
    <mergeCell ref="A270:C270"/>
    <mergeCell ref="D270:I270"/>
    <mergeCell ref="J270:O270"/>
    <mergeCell ref="A278:F278"/>
    <mergeCell ref="G278:I278"/>
    <mergeCell ref="J278:L278"/>
    <mergeCell ref="M278:N278"/>
    <mergeCell ref="A327:O327"/>
    <mergeCell ref="A328:O328"/>
    <mergeCell ref="A329:C329"/>
    <mergeCell ref="D329:I329"/>
    <mergeCell ref="J329:O329"/>
    <mergeCell ref="A337:F337"/>
    <mergeCell ref="G337:I337"/>
    <mergeCell ref="J337:L337"/>
    <mergeCell ref="M337:N337"/>
    <mergeCell ref="A338:O338"/>
    <mergeCell ref="A339:C339"/>
    <mergeCell ref="D339:I339"/>
    <mergeCell ref="J339:O339"/>
    <mergeCell ref="A347:O347"/>
    <mergeCell ref="A348:C348"/>
    <mergeCell ref="D348:I348"/>
    <mergeCell ref="J348:O348"/>
    <mergeCell ref="A357:O357"/>
    <mergeCell ref="A369:C369"/>
    <mergeCell ref="D369:I369"/>
    <mergeCell ref="J369:O369"/>
    <mergeCell ref="A377:O377"/>
    <mergeCell ref="A378:C378"/>
    <mergeCell ref="D378:I378"/>
    <mergeCell ref="J378:O378"/>
    <mergeCell ref="A358:O358"/>
    <mergeCell ref="A359:C359"/>
    <mergeCell ref="D359:I359"/>
    <mergeCell ref="J359:O359"/>
    <mergeCell ref="A367:F367"/>
    <mergeCell ref="G367:I367"/>
    <mergeCell ref="J367:L367"/>
    <mergeCell ref="M367:N367"/>
    <mergeCell ref="A368:O368"/>
    <mergeCell ref="A399:O399"/>
    <mergeCell ref="A400:C400"/>
    <mergeCell ref="D400:I400"/>
    <mergeCell ref="J400:O400"/>
    <mergeCell ref="A408:O408"/>
    <mergeCell ref="A409:C409"/>
    <mergeCell ref="D409:I409"/>
    <mergeCell ref="J409:O409"/>
    <mergeCell ref="A388:O388"/>
    <mergeCell ref="A389:O389"/>
    <mergeCell ref="A390:C390"/>
    <mergeCell ref="D390:I390"/>
    <mergeCell ref="J390:O390"/>
    <mergeCell ref="A398:F398"/>
    <mergeCell ref="G398:I398"/>
    <mergeCell ref="J398:L398"/>
    <mergeCell ref="M398:N398"/>
  </mergeCells>
  <conditionalFormatting sqref="D15:H15 D16:I20">
    <cfRule type="colorScale" priority="5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5:H15 D16:I20">
    <cfRule type="colorScale" priority="4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6:H36 D37:I41">
    <cfRule type="colorScale" priority="4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6:H36 D37:I41">
    <cfRule type="colorScale" priority="4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8:H58 D59:I63">
    <cfRule type="colorScale" priority="4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8:H58 D59:I63">
    <cfRule type="colorScale" priority="4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80:H80 D81:I85">
    <cfRule type="colorScale" priority="4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80:H80 D81:I85">
    <cfRule type="colorScale" priority="4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01:H101 D102:I106">
    <cfRule type="colorScale" priority="4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01:H101 D102:I106">
    <cfRule type="colorScale" priority="4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22:H122 D123:I127">
    <cfRule type="colorScale" priority="4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22:H122 D123:I127">
    <cfRule type="colorScale" priority="3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43:H143 D144:I148">
    <cfRule type="colorScale" priority="3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43:H143 D144:F148">
    <cfRule type="colorScale" priority="3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63:H163 D164:I168">
    <cfRule type="colorScale" priority="3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63:H163 D164:F168">
    <cfRule type="colorScale" priority="3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72:H172 D173:I177">
    <cfRule type="colorScale" priority="3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72:H172 D173:F177">
    <cfRule type="colorScale" priority="3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93:H193 D194:I198">
    <cfRule type="colorScale" priority="3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93:H193 D194:F198">
    <cfRule type="colorScale" priority="3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02:H202 D203:I207">
    <cfRule type="colorScale" priority="3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02:H202 D203:F207">
    <cfRule type="colorScale" priority="2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23:H223 D224:I228">
    <cfRule type="colorScale" priority="2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23:H223 D224:F228">
    <cfRule type="colorScale" priority="2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32:H232 D233:I237">
    <cfRule type="colorScale" priority="2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32:H232 D233:F237">
    <cfRule type="colorScale" priority="2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53:H253 D254:I258">
    <cfRule type="colorScale" priority="2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53:H253 D254:F258">
    <cfRule type="colorScale" priority="2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62:H262 D263:I267">
    <cfRule type="colorScale" priority="2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62:H262 D263:F267">
    <cfRule type="colorScale" priority="2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82:H282 D283:I287">
    <cfRule type="colorScale" priority="2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82:H282 D283:F287">
    <cfRule type="colorScale" priority="1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91:H291 D292:I296">
    <cfRule type="colorScale" priority="1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91:H291 D292:F296">
    <cfRule type="colorScale" priority="1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11:H311 D312:I316">
    <cfRule type="colorScale" priority="1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11:H311 D312:F316">
    <cfRule type="colorScale" priority="1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20:H320 D321:I325">
    <cfRule type="colorScale" priority="1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20:H320 D321:F325">
    <cfRule type="colorScale" priority="1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41:H341 D342:I346">
    <cfRule type="colorScale" priority="1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41:H341 D342:F346">
    <cfRule type="colorScale" priority="1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50:H350 D351:I355">
    <cfRule type="colorScale" priority="1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50:H350 D351:F355">
    <cfRule type="colorScale" priority="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71:H371 D372:I376">
    <cfRule type="colorScale" priority="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71:H371 D372:F376">
    <cfRule type="colorScale" priority="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81:D385 D380:H380 E381:E386 F381:I385">
    <cfRule type="colorScale" priority="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81:D385 D380:H380 E381:E386 F381:F385">
    <cfRule type="colorScale" priority="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02:H402 D403:I407">
    <cfRule type="colorScale" priority="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02:H402 D403:F407">
    <cfRule type="colorScale" priority="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11:H411 D412:I416">
    <cfRule type="colorScale" priority="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11:H411 D412:F416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hyperlinks>
    <hyperlink ref="A11:F11" r:id="rId1" display="Worst of 10 iterations: 9068_sp_online_poll_19.0a0" xr:uid="{FC511CA9-624C-42FE-BC20-F71439B4C582}"/>
    <hyperlink ref="M11:N11" r:id="rId2" display="CAR : 681734" xr:uid="{4529C184-50EC-4F98-86F9-17E920E0FDA5}"/>
    <hyperlink ref="G11" r:id="rId3" location="Test_cRIO-Benchmark.lvproj%5CRT%20Target%5CAI-AO-FILE%5CTest_cRIO_AI-AO-FILE_01_INT.vi" display="T3 Cases were run again" xr:uid="{C4F599EF-97BE-4F5D-8FD4-AD4B67DAEAC6}"/>
    <hyperlink ref="G11:I11" r:id="rId4" location="TSsummary" display="T3,T4 Cases were run again" xr:uid="{863D2541-0016-4920-8409-2F8EB96E8DF1}"/>
    <hyperlink ref="J11" r:id="rId5" location="TSsummary" xr:uid="{37536401-C721-4291-82AE-2E3A16C4B7CE}"/>
    <hyperlink ref="A32:F32" r:id="rId6" display="Worst of 10 iterations: 9068_sp_online_poll_19.0a6" xr:uid="{448110C2-6AE2-4C50-95BD-EAECB293E551}"/>
    <hyperlink ref="M32:N32" r:id="rId7" display="CAR : 681734" xr:uid="{834BD37B-4F5E-42C6-923D-08C6291CD2DA}"/>
    <hyperlink ref="G32" r:id="rId8" location="Test_cRIO-Benchmark.lvproj%5CRT%20Target%5CAI-AO-FILE%5CTest_cRIO_AI-AO-FILE_01_INT.vi" display="T3 Cases were run again" xr:uid="{32474508-1BC6-425D-BD12-2C2AB45A3784}"/>
    <hyperlink ref="G32:I32" r:id="rId9" display="T3Cases were run again" xr:uid="{CB5AE512-E03F-40D7-837A-4827D1E38F7E}"/>
    <hyperlink ref="J32" r:id="rId10" display="T4 case ran again--1st case errors with error 66" xr:uid="{A80E1A9E-CAC6-47AE-9F5D-BCF6B2B509C5}"/>
    <hyperlink ref="A54:F54" r:id="rId11" display="Worst of 10 iterations: 9068_sp_online_poll_19.0a9" xr:uid="{34A1C410-1E4F-4B97-9498-36F0ADCEDE3F}"/>
    <hyperlink ref="M54:N54" r:id="rId12" display="CAR : 681734" xr:uid="{AD639B9C-99F8-4CC7-9F9F-4D4CDC8C1D0A}"/>
    <hyperlink ref="G54:I54" r:id="rId13" display="T3Cases were run again" xr:uid="{2EFE5981-CFAF-4585-B857-EBD28891652D}"/>
    <hyperlink ref="J54:L54" r:id="rId14" display="T3,T4 case ran again--1st case :error 66" xr:uid="{8821CA1A-D891-4AAA-8A47-2EA2629A370C}"/>
    <hyperlink ref="A76:F76" r:id="rId15" display="Worst of 10 iterations: 9068_sp_online_poll_19.0a25" xr:uid="{D91FC0C4-A067-4B85-977B-B6EE940437BC}"/>
    <hyperlink ref="M76:N76" r:id="rId16" display="CAR : 681734" xr:uid="{0FCCBAA6-3DAB-4897-ABA3-998A05968C63}"/>
    <hyperlink ref="G76:I76" r:id="rId17" location="TSsummary" display="T3,T4 Cases were run again" xr:uid="{E143EEAF-0ED5-49F9-8459-17ECE4629328}"/>
    <hyperlink ref="A97:F97" r:id="rId18" display="Worst of 10 iterations: 9068_sp_online_poll_19.0a28" xr:uid="{877B8A19-B3CC-4B92-9A41-AA46150A1060}"/>
    <hyperlink ref="M97:N97" r:id="rId19" display="CAR : 681734" xr:uid="{F5C98DF4-7692-49CD-AC3A-96DD3A237FCE}"/>
    <hyperlink ref="G97:I97" r:id="rId20" display="T3,T4 Cases were run again : T4 1st case-Error 66" xr:uid="{12ABB0B2-1214-4FA9-A6E3-BF35A0910CB7}"/>
    <hyperlink ref="A118:F118" r:id="rId21" display="Worst of 10 iterations: 9068_sp_online_poll_19.0b2" xr:uid="{2CFD8B12-699D-4824-AE25-6CAB2828243B}"/>
    <hyperlink ref="M118:N118" r:id="rId22" display="CAR : 681734" xr:uid="{2407B6DA-D385-49F4-9D1E-EEA9E7B7C298}"/>
    <hyperlink ref="G118:I118" r:id="rId23" display="T3,T4 Cases were run again : T4 1st case-Error 66" xr:uid="{01BD3EF8-9388-4047-A5DF-5C04976DF5A6}"/>
    <hyperlink ref="J118" r:id="rId24" xr:uid="{39E606D3-10EA-465F-9B2B-B1C02A6E32C0}"/>
    <hyperlink ref="A139:F139" r:id="rId25" display="Worst of 10 iterations: 9068_sp_online_poll_19.0b2" xr:uid="{8334F1BD-9117-4E68-A956-B70004A8641A}"/>
    <hyperlink ref="M139:N139" r:id="rId26" display="CAR : 681734" xr:uid="{0C5B1F4A-CC52-4013-B98A-BF7AF42C7F36}"/>
    <hyperlink ref="G139:I139" r:id="rId27" display="T3Cases were run again  " xr:uid="{DBD65A86-C2CA-4C3A-8AA6-254B71232C18}"/>
    <hyperlink ref="A159:F159" r:id="rId28" display="Worst of 10 iterations: 9068_sp_online_poll_19.0b33" xr:uid="{FC5D089E-9A07-40EE-9B9C-9E33D2562F62}"/>
    <hyperlink ref="M159:N159" r:id="rId29" display="CAR : 681734" xr:uid="{F7EF2E1E-C5BD-4933-8A41-90FE67E21AB4}"/>
    <hyperlink ref="G159:I159" r:id="rId30" display="T3&amp;T4 Cases were run again  " xr:uid="{FE0E97DC-8136-4C5C-995D-2D0472D74DBB}"/>
    <hyperlink ref="A189:F189" r:id="rId31" display="Worst of 10 iterations: 9068_sp_online_poll_19.0b49" xr:uid="{81D4BFAC-342A-4BDF-B788-9B1625C358A1}"/>
    <hyperlink ref="M189:N189" r:id="rId32" display="CAR : 681734" xr:uid="{41204A9B-AAC1-458C-BAD2-90A7B52DAAF1}"/>
    <hyperlink ref="G189:I189" r:id="rId33" display="T3Cases were run again  " xr:uid="{2E37CC85-7B54-4A75-9518-244E144BBF45}"/>
    <hyperlink ref="J189:L189" r:id="rId34" display="T4 Cases were run again" xr:uid="{9022E8FB-B5A9-405E-B8E4-B20A41F480E8}"/>
    <hyperlink ref="A219:F219" r:id="rId35" display="Worst of 10 iterations: 9068_sp_online_poll_19.0b57" xr:uid="{A44E258D-317A-430E-B568-1454E2E28034}"/>
    <hyperlink ref="M219:N219" r:id="rId36" display="CAR : 681734" xr:uid="{DE36F413-DEAF-41E5-8426-869D3A9E8D9B}"/>
    <hyperlink ref="G219:I219" r:id="rId37" display="T3 &amp; T4 Cases were run again  " xr:uid="{366A17CC-5279-469F-BE91-CFD3BE8C0B07}"/>
    <hyperlink ref="A249:F249" r:id="rId38" display="Worst of 10 iterations: 9068_sp_online_poll_19.0b67" xr:uid="{BD0561A5-6638-46DD-B0C1-BBAC5A3C5494}"/>
    <hyperlink ref="M249:N249" r:id="rId39" display="CAR : 681734" xr:uid="{6130256E-7E7D-41C6-9A7C-AB938164C8F6}"/>
    <hyperlink ref="G249:I249" r:id="rId40" location="Test_cRIO-Benchmark.lvproj%5CRT%20Target%5CAI-AO-FILE%5CTest_cRIO_AI-AO-FILE_01_INT.vi" display="T3 &amp; T4 Cases were run again  " xr:uid="{85DBE7CF-BF1B-46C7-BF55-F778EFCF7CCE}"/>
    <hyperlink ref="A278:F278" r:id="rId41" display="Worst of 10 iterations: 9068_sp_online_poll_19.0b79" xr:uid="{338E7C80-4A1E-4149-B395-7C0113214666}"/>
    <hyperlink ref="M278:N278" r:id="rId42" display="CAR : 681734" xr:uid="{5EDD6AA0-F56B-4F37-9FF1-564E007CD897}"/>
    <hyperlink ref="G278:I278" r:id="rId43" display="T3 &amp; T4 Cases were run again  " xr:uid="{F4A148BB-2C29-48D6-97E0-4B272435CD97}"/>
    <hyperlink ref="A307:F307" r:id="rId44" display="Worst of 10 iterations: 9068_sp_online_poll_19.0b83" xr:uid="{1CA44D6A-834D-4DFF-B8EB-A002958EF166}"/>
    <hyperlink ref="M307:N307" r:id="rId45" display="CAR : 681734" xr:uid="{2B0A9539-F8FF-4701-BC0D-082535AE8054}"/>
    <hyperlink ref="G307:I307" r:id="rId46" display="T3 &amp; T4 Cases were run again  " xr:uid="{F8ECEDB3-95C8-47C9-8FBF-408E91B82566}"/>
    <hyperlink ref="A337:F337" r:id="rId47" location="TSsummary" display="Worst of 10 iterations: 9068_sp_online_poll_19.0b91" xr:uid="{73E4BD17-7274-4242-9081-C1BCA057E2FE}"/>
    <hyperlink ref="M337:N337" r:id="rId48" display="CAR : 681734" xr:uid="{47BDEF78-DEBD-443D-BCC0-6424ED86F1E1}"/>
    <hyperlink ref="G337:I337" r:id="rId49" location="TSsummary" display="T3 &amp; T4 Cases were run again  " xr:uid="{BF281002-B85B-4AA0-B560-C2E120144F09}"/>
    <hyperlink ref="A367:F367" r:id="rId50" display="Worst of 10 iterations: 9068_sp_online_poll_19.0b101" xr:uid="{F6691817-993A-4D6E-95C6-7AECB5618E3C}"/>
    <hyperlink ref="M367:N367" r:id="rId51" display="CAR : 681734" xr:uid="{20B34BEF-4941-4778-8F98-90890C2F418A}"/>
    <hyperlink ref="G367:I367" r:id="rId52" display="T3 &amp; T4 Cases were run again  " xr:uid="{C0D0ABB6-D09E-4C10-94B0-9675A47C2FDD}"/>
    <hyperlink ref="A398:F398" r:id="rId53" display="Worst of 10 iterations: 9068_sp_online_poll_19.0.0" xr:uid="{3539B4B8-C340-445F-8883-6F436140C15C}"/>
    <hyperlink ref="M398:N398" r:id="rId54" display="CAR : 681734" xr:uid="{A9AAC1FC-4D98-4F0A-BD2C-D4A13D4B63E8}"/>
    <hyperlink ref="G398:I398" r:id="rId55" display="T3 &amp; T4 Cases were run again  " xr:uid="{F6CA3AA3-9328-442D-849B-60C208816A16}"/>
  </hyperlinks>
  <pageMargins left="0.7" right="0.7" top="0.75" bottom="0.75" header="0.3" footer="0.3"/>
  <pageSetup orientation="portrait" r:id="rId5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cRIO-9024 Benchmark</vt:lpstr>
      <vt:lpstr>Proto 2013</vt:lpstr>
      <vt:lpstr>2014</vt:lpstr>
      <vt:lpstr>2015</vt:lpstr>
      <vt:lpstr>2016</vt:lpstr>
      <vt:lpstr>2017</vt:lpstr>
      <vt:lpstr>NIB 2017</vt:lpstr>
      <vt:lpstr>2018</vt:lpstr>
      <vt:lpstr>2019</vt:lpstr>
    </vt:vector>
  </TitlesOfParts>
  <Company>National Instruments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Frantz</dc:creator>
  <cp:lastModifiedBy>Deepa Nagarajappa</cp:lastModifiedBy>
  <dcterms:created xsi:type="dcterms:W3CDTF">2013-03-07T22:33:07Z</dcterms:created>
  <dcterms:modified xsi:type="dcterms:W3CDTF">2019-03-26T12:30:56Z</dcterms:modified>
</cp:coreProperties>
</file>