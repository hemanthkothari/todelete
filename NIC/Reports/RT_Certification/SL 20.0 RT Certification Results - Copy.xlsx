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/>
  <mc:AlternateContent xmlns:mc="http://schemas.openxmlformats.org/markup-compatibility/2006">
    <mc:Choice Requires="x15">
      <x15ac:absPath xmlns:x15ac="http://schemas.microsoft.com/office/spreadsheetml/2010/11/ac" url="E:\shared\RT\NIC\Reports\RT_Certification\"/>
    </mc:Choice>
  </mc:AlternateContent>
  <xr:revisionPtr revIDLastSave="0" documentId="13_ncr:1_{EE5903CE-2B78-42FF-8ECF-36AB3421539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RT Certification Results 20.0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12" i="2" l="1"/>
  <c r="B11" i="2"/>
  <c r="B10" i="2"/>
  <c r="B9" i="2"/>
  <c r="B8" i="2"/>
  <c r="B7" i="2"/>
  <c r="B6" i="2"/>
  <c r="B5" i="2"/>
  <c r="B4" i="2"/>
  <c r="B3" i="2"/>
  <c r="B2" i="2"/>
  <c r="D26" i="1" l="1"/>
  <c r="J29" i="1" l="1"/>
  <c r="J28" i="1"/>
  <c r="J27" i="1"/>
  <c r="J26" i="1"/>
  <c r="G29" i="1"/>
  <c r="G28" i="1"/>
  <c r="G27" i="1"/>
  <c r="G26" i="1"/>
  <c r="D29" i="1"/>
  <c r="D28" i="1"/>
  <c r="D27" i="1"/>
  <c r="J22" i="1"/>
  <c r="J21" i="1"/>
  <c r="J20" i="1"/>
  <c r="J19" i="1"/>
  <c r="G22" i="1"/>
  <c r="G21" i="1"/>
  <c r="G20" i="1"/>
  <c r="G19" i="1"/>
  <c r="D22" i="1"/>
  <c r="D21" i="1"/>
  <c r="D20" i="1"/>
  <c r="D19" i="1"/>
</calcChain>
</file>

<file path=xl/sharedStrings.xml><?xml version="1.0" encoding="utf-8"?>
<sst xmlns="http://schemas.openxmlformats.org/spreadsheetml/2006/main" count="99" uniqueCount="29">
  <si>
    <t>Disk Usage</t>
  </si>
  <si>
    <t>Memory Usage</t>
  </si>
  <si>
    <t>Jitter Results</t>
  </si>
  <si>
    <t>PXI Linux 8840QC</t>
  </si>
  <si>
    <t>PXI Linux 8840 QC</t>
  </si>
  <si>
    <t>Max Jitter(μs)</t>
  </si>
  <si>
    <t>Max Std. Dev. (μs)</t>
  </si>
  <si>
    <t>Current Release (KB)</t>
  </si>
  <si>
    <t>Order</t>
  </si>
  <si>
    <t>Delta</t>
  </si>
  <si>
    <t>Baseline</t>
  </si>
  <si>
    <t>First</t>
  </si>
  <si>
    <t>Baseline + Health Monitoring Disabled</t>
  </si>
  <si>
    <t>Baseline + Registered Minion</t>
  </si>
  <si>
    <t>Baseline + Salt</t>
  </si>
  <si>
    <t>File Download</t>
  </si>
  <si>
    <t>File Query</t>
  </si>
  <si>
    <t>File Upload</t>
  </si>
  <si>
    <t>After Jitter Tests</t>
  </si>
  <si>
    <t>Message Async</t>
  </si>
  <si>
    <t>Message Sync</t>
  </si>
  <si>
    <t>Tag Query</t>
  </si>
  <si>
    <t>cRIO 9039(Linux X64)</t>
  </si>
  <si>
    <t>Tag Read</t>
  </si>
  <si>
    <t>Tag Write</t>
  </si>
  <si>
    <t>cRIO 9068(Linux ARM)</t>
  </si>
  <si>
    <t>Previous Release - 19.6(KB)</t>
  </si>
  <si>
    <t>Memory</t>
  </si>
  <si>
    <t>Disk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</si>
</sst>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0"/>
      <color rgb="FF000000"/>
      <name val="Arial"/>
    </font>
    <font>
      <sz val="10"/>
      <name val="Arial"/>
      <family val="2"/>
    </font>
    <font>
      <sz val="10"/>
      <color theme="1"/>
      <name val="Arial"/>
      <family val="2"/>
    </font>
    <font>
      <b/>
      <sz val="12"/>
      <color rgb="FF3D3D3D"/>
      <name val="Calibri"/>
      <family val="2"/>
    </font>
    <font>
      <sz val="12"/>
      <color theme="1"/>
      <name val="Calibri"/>
      <family val="2"/>
    </font>
    <font>
      <sz val="12"/>
      <name val="Calibri"/>
      <family val="2"/>
    </font>
    <font>
      <b/>
      <sz val="20"/>
      <color theme="1"/>
      <name val="Calibri"/>
      <family val="2"/>
    </font>
    <font>
      <b/>
      <sz val="14"/>
      <color theme="1"/>
      <name val="Calibri"/>
      <family val="2"/>
    </font>
    <font>
      <b/>
      <sz val="14"/>
      <color rgb="FF3D3D3D"/>
      <name val="Calibri"/>
      <family val="2"/>
    </font>
    <font>
      <b/>
      <sz val="14"/>
      <color theme="4"/>
      <name val="Calibri"/>
      <family val="2"/>
    </font>
    <font>
      <sz val="12"/>
      <color theme="4"/>
      <name val="Calibri"/>
      <family val="2"/>
    </font>
    <font>
      <sz val="10"/>
      <color theme="4"/>
      <name val="Arial"/>
      <family val="2"/>
    </font>
    <font>
      <sz val="12"/>
      <color theme="5" tint="-0.249977111117893"/>
      <name val="Calibri"/>
      <family val="2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 applyFont="1" applyAlignment="1"/>
    <xf numFmtId="0" fontId="2" fillId="0" borderId="0" xfId="0" applyFont="1" applyAlignment="1"/>
    <xf numFmtId="0" fontId="2" fillId="0" borderId="0" xfId="0" applyFont="1" applyAlignment="1"/>
    <xf numFmtId="0" fontId="2" fillId="0" borderId="0" xfId="0" applyFont="1" applyAlignment="1">
      <alignment horizontal="right"/>
    </xf>
    <xf numFmtId="0" fontId="2" fillId="0" borderId="0" xfId="0" applyFont="1" applyBorder="1" applyAlignment="1"/>
    <xf numFmtId="0" fontId="4" fillId="0" borderId="0" xfId="0" applyFont="1" applyBorder="1" applyAlignment="1">
      <alignment horizontal="left"/>
    </xf>
    <xf numFmtId="0" fontId="1" fillId="0" borderId="0" xfId="0" applyFont="1" applyBorder="1" applyAlignment="1"/>
    <xf numFmtId="0" fontId="5" fillId="0" borderId="0" xfId="0" applyFont="1" applyBorder="1" applyAlignment="1">
      <alignment horizontal="left"/>
    </xf>
    <xf numFmtId="0" fontId="0" fillId="0" borderId="5" xfId="0" applyFont="1" applyBorder="1" applyAlignment="1"/>
    <xf numFmtId="0" fontId="0" fillId="0" borderId="5" xfId="0" applyFont="1" applyBorder="1" applyAlignment="1">
      <alignment horizontal="left"/>
    </xf>
    <xf numFmtId="0" fontId="4" fillId="0" borderId="1" xfId="0" applyFont="1" applyBorder="1" applyAlignment="1">
      <alignment horizontal="left"/>
    </xf>
    <xf numFmtId="10" fontId="4" fillId="0" borderId="1" xfId="0" applyNumberFormat="1" applyFont="1" applyBorder="1" applyAlignment="1">
      <alignment horizontal="left"/>
    </xf>
    <xf numFmtId="0" fontId="4" fillId="0" borderId="8" xfId="0" applyFont="1" applyBorder="1" applyAlignment="1">
      <alignment horizontal="left"/>
    </xf>
    <xf numFmtId="10" fontId="4" fillId="0" borderId="8" xfId="0" applyNumberFormat="1" applyFont="1" applyBorder="1" applyAlignment="1">
      <alignment horizontal="left"/>
    </xf>
    <xf numFmtId="0" fontId="2" fillId="0" borderId="5" xfId="0" applyFont="1" applyBorder="1" applyAlignment="1"/>
    <xf numFmtId="0" fontId="0" fillId="0" borderId="2" xfId="0" applyFont="1" applyBorder="1" applyAlignment="1"/>
    <xf numFmtId="0" fontId="3" fillId="2" borderId="5" xfId="0" applyFont="1" applyFill="1" applyBorder="1" applyAlignment="1"/>
    <xf numFmtId="0" fontId="3" fillId="2" borderId="7" xfId="0" applyFont="1" applyFill="1" applyBorder="1" applyAlignment="1"/>
    <xf numFmtId="0" fontId="3" fillId="2" borderId="5" xfId="0" applyFont="1" applyFill="1" applyBorder="1" applyAlignment="1">
      <alignment horizontal="left"/>
    </xf>
    <xf numFmtId="0" fontId="3" fillId="2" borderId="7" xfId="0" applyFont="1" applyFill="1" applyBorder="1" applyAlignment="1">
      <alignment horizontal="left"/>
    </xf>
    <xf numFmtId="0" fontId="7" fillId="0" borderId="1" xfId="0" applyFont="1" applyBorder="1" applyAlignment="1"/>
    <xf numFmtId="0" fontId="8" fillId="2" borderId="1" xfId="0" applyFont="1" applyFill="1" applyBorder="1" applyAlignment="1"/>
    <xf numFmtId="0" fontId="8" fillId="2" borderId="1" xfId="0" applyFont="1" applyFill="1" applyBorder="1" applyAlignment="1">
      <alignment horizontal="left" vertical="top"/>
    </xf>
    <xf numFmtId="0" fontId="9" fillId="0" borderId="1" xfId="0" applyFont="1" applyBorder="1" applyAlignment="1"/>
    <xf numFmtId="0" fontId="9" fillId="2" borderId="1" xfId="0" applyFont="1" applyFill="1" applyBorder="1" applyAlignment="1"/>
    <xf numFmtId="0" fontId="9" fillId="2" borderId="6" xfId="0" applyFont="1" applyFill="1" applyBorder="1" applyAlignment="1"/>
    <xf numFmtId="0" fontId="10" fillId="0" borderId="1" xfId="0" applyFont="1" applyBorder="1" applyAlignment="1">
      <alignment horizontal="left"/>
    </xf>
    <xf numFmtId="0" fontId="10" fillId="0" borderId="6" xfId="0" applyFont="1" applyBorder="1" applyAlignment="1">
      <alignment horizontal="left"/>
    </xf>
    <xf numFmtId="0" fontId="10" fillId="0" borderId="8" xfId="0" applyFont="1" applyBorder="1" applyAlignment="1">
      <alignment horizontal="left"/>
    </xf>
    <xf numFmtId="0" fontId="10" fillId="0" borderId="9" xfId="0" applyFont="1" applyBorder="1" applyAlignment="1">
      <alignment horizontal="left"/>
    </xf>
    <xf numFmtId="0" fontId="9" fillId="2" borderId="1" xfId="0" applyFont="1" applyFill="1" applyBorder="1" applyAlignment="1">
      <alignment horizontal="left" vertical="top"/>
    </xf>
    <xf numFmtId="0" fontId="9" fillId="2" borderId="6" xfId="0" applyFont="1" applyFill="1" applyBorder="1" applyAlignment="1">
      <alignment horizontal="left" vertical="top"/>
    </xf>
    <xf numFmtId="10" fontId="10" fillId="0" borderId="6" xfId="0" applyNumberFormat="1" applyFont="1" applyBorder="1" applyAlignment="1">
      <alignment horizontal="left"/>
    </xf>
    <xf numFmtId="0" fontId="11" fillId="0" borderId="1" xfId="0" applyFont="1" applyBorder="1" applyAlignment="1">
      <alignment horizontal="left"/>
    </xf>
    <xf numFmtId="0" fontId="11" fillId="0" borderId="8" xfId="0" applyFont="1" applyBorder="1" applyAlignment="1">
      <alignment horizontal="left"/>
    </xf>
    <xf numFmtId="10" fontId="10" fillId="0" borderId="9" xfId="0" applyNumberFormat="1" applyFont="1" applyBorder="1" applyAlignment="1">
      <alignment horizontal="left"/>
    </xf>
    <xf numFmtId="0" fontId="0" fillId="0" borderId="13" xfId="0" applyFont="1" applyBorder="1" applyAlignment="1">
      <alignment horizontal="left"/>
    </xf>
    <xf numFmtId="0" fontId="12" fillId="0" borderId="8" xfId="0" applyFont="1" applyBorder="1" applyAlignment="1">
      <alignment horizontal="left"/>
    </xf>
    <xf numFmtId="0" fontId="0" fillId="0" borderId="0" xfId="0" applyFont="1" applyAlignment="1"/>
    <xf numFmtId="0" fontId="2" fillId="0" borderId="0" xfId="0" applyFont="1" applyBorder="1" applyAlignment="1"/>
    <xf numFmtId="0" fontId="4" fillId="0" borderId="0" xfId="0" applyFont="1" applyBorder="1" applyAlignment="1">
      <alignment horizontal="left"/>
    </xf>
    <xf numFmtId="0" fontId="2" fillId="0" borderId="0" xfId="0" applyFont="1" applyBorder="1" applyAlignment="1">
      <alignment horizontal="left"/>
    </xf>
    <xf numFmtId="0" fontId="1" fillId="0" borderId="0" xfId="0" applyFont="1" applyBorder="1" applyAlignment="1">
      <alignment horizontal="left"/>
    </xf>
    <xf numFmtId="0" fontId="4" fillId="0" borderId="0" xfId="0" applyFont="1" applyBorder="1" applyAlignment="1">
      <alignment horizontal="left"/>
    </xf>
    <xf numFmtId="0" fontId="2" fillId="0" borderId="0" xfId="0" applyFont="1" applyBorder="1" applyAlignment="1">
      <alignment horizontal="left"/>
    </xf>
    <xf numFmtId="0" fontId="2" fillId="0" borderId="0" xfId="0" applyFont="1" applyBorder="1" applyAlignment="1">
      <alignment horizontal="left"/>
    </xf>
    <xf numFmtId="0" fontId="12" fillId="0" borderId="1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5" fillId="0" borderId="8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10" fontId="5" fillId="0" borderId="1" xfId="0" applyNumberFormat="1" applyFont="1" applyBorder="1" applyAlignment="1">
      <alignment horizontal="left"/>
    </xf>
    <xf numFmtId="0" fontId="1" fillId="0" borderId="8" xfId="0" applyFont="1" applyBorder="1" applyAlignment="1">
      <alignment horizontal="left"/>
    </xf>
    <xf numFmtId="10" fontId="5" fillId="0" borderId="8" xfId="0" applyNumberFormat="1" applyFont="1" applyBorder="1" applyAlignment="1">
      <alignment horizontal="left"/>
    </xf>
    <xf numFmtId="0" fontId="13" fillId="0" borderId="0" xfId="0" applyFont="1" applyAlignment="1"/>
    <xf numFmtId="0" fontId="13" fillId="0" borderId="0" xfId="0" applyFont="1" applyFill="1" applyBorder="1" applyAlignment="1"/>
    <xf numFmtId="0" fontId="7" fillId="0" borderId="14" xfId="0" applyFont="1" applyBorder="1" applyAlignment="1">
      <alignment horizontal="center"/>
    </xf>
    <xf numFmtId="0" fontId="7" fillId="0" borderId="15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9" fillId="0" borderId="14" xfId="0" applyFont="1" applyBorder="1" applyAlignment="1">
      <alignment horizontal="center"/>
    </xf>
    <xf numFmtId="0" fontId="9" fillId="0" borderId="15" xfId="0" applyFont="1" applyBorder="1" applyAlignment="1">
      <alignment horizontal="center"/>
    </xf>
    <xf numFmtId="0" fontId="9" fillId="0" borderId="17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6" fillId="0" borderId="11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9" fillId="0" borderId="6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P49"/>
  <sheetViews>
    <sheetView tabSelected="1" workbookViewId="0">
      <selection activeCell="C13" sqref="C13"/>
    </sheetView>
  </sheetViews>
  <sheetFormatPr defaultColWidth="14.42578125" defaultRowHeight="15.75" customHeight="1" x14ac:dyDescent="0.2"/>
  <cols>
    <col min="1" max="1" width="37.7109375" bestFit="1" customWidth="1"/>
    <col min="2" max="2" width="33.140625" customWidth="1"/>
    <col min="3" max="3" width="25.28515625" customWidth="1"/>
    <col min="4" max="4" width="14.42578125" customWidth="1"/>
    <col min="5" max="5" width="33.140625" customWidth="1"/>
    <col min="6" max="6" width="25.28515625" bestFit="1" customWidth="1"/>
    <col min="8" max="8" width="33.140625" bestFit="1" customWidth="1"/>
    <col min="9" max="9" width="25.28515625" bestFit="1" customWidth="1"/>
  </cols>
  <sheetData>
    <row r="1" spans="1:12" ht="26.25" x14ac:dyDescent="0.4">
      <c r="A1" s="67" t="s">
        <v>2</v>
      </c>
      <c r="B1" s="68"/>
      <c r="C1" s="68"/>
      <c r="D1" s="68"/>
      <c r="E1" s="68"/>
      <c r="F1" s="68"/>
      <c r="G1" s="68"/>
      <c r="H1" s="68"/>
      <c r="I1" s="68"/>
      <c r="J1" s="69"/>
    </row>
    <row r="2" spans="1:12" ht="15.75" customHeight="1" x14ac:dyDescent="0.3">
      <c r="A2" s="14"/>
      <c r="B2" s="70" t="s">
        <v>3</v>
      </c>
      <c r="C2" s="70"/>
      <c r="D2" s="70"/>
      <c r="E2" s="70" t="s">
        <v>22</v>
      </c>
      <c r="F2" s="70"/>
      <c r="G2" s="70"/>
      <c r="H2" s="71" t="s">
        <v>25</v>
      </c>
      <c r="I2" s="71"/>
      <c r="J2" s="72"/>
    </row>
    <row r="3" spans="1:12" ht="15.75" customHeight="1" x14ac:dyDescent="0.3">
      <c r="A3" s="14"/>
      <c r="B3" s="20" t="s">
        <v>5</v>
      </c>
      <c r="C3" s="21" t="s">
        <v>6</v>
      </c>
      <c r="D3" s="21" t="s">
        <v>8</v>
      </c>
      <c r="E3" s="20" t="s">
        <v>5</v>
      </c>
      <c r="F3" s="21" t="s">
        <v>6</v>
      </c>
      <c r="G3" s="21" t="s">
        <v>8</v>
      </c>
      <c r="H3" s="23" t="s">
        <v>5</v>
      </c>
      <c r="I3" s="24" t="s">
        <v>6</v>
      </c>
      <c r="J3" s="25" t="s">
        <v>8</v>
      </c>
    </row>
    <row r="4" spans="1:12" ht="15.75" customHeight="1" x14ac:dyDescent="0.25">
      <c r="A4" s="16" t="s">
        <v>10</v>
      </c>
      <c r="B4" s="47">
        <v>6.1690100000000001</v>
      </c>
      <c r="C4" s="47">
        <v>0.341254</v>
      </c>
      <c r="D4" s="47" t="s">
        <v>11</v>
      </c>
      <c r="E4" s="47">
        <v>17.753900000000002</v>
      </c>
      <c r="F4" s="47">
        <v>0.758552</v>
      </c>
      <c r="G4" s="10" t="s">
        <v>11</v>
      </c>
      <c r="H4" s="26">
        <v>25.459499999999998</v>
      </c>
      <c r="I4" s="26">
        <v>2.3241299999999998</v>
      </c>
      <c r="J4" s="27" t="s">
        <v>11</v>
      </c>
    </row>
    <row r="5" spans="1:12" ht="15.75" customHeight="1" x14ac:dyDescent="0.25">
      <c r="A5" s="16" t="s">
        <v>12</v>
      </c>
      <c r="B5" s="47">
        <v>13.026</v>
      </c>
      <c r="C5" s="47">
        <v>0.59476499999999999</v>
      </c>
      <c r="D5" s="47" t="s">
        <v>11</v>
      </c>
      <c r="E5" s="47">
        <v>28.551300000000001</v>
      </c>
      <c r="F5" s="47">
        <v>3.5983499999999999</v>
      </c>
      <c r="G5" s="10" t="s">
        <v>11</v>
      </c>
      <c r="H5" s="26">
        <v>57.534599999999998</v>
      </c>
      <c r="I5" s="26">
        <v>11.83</v>
      </c>
      <c r="J5" s="27" t="s">
        <v>11</v>
      </c>
    </row>
    <row r="6" spans="1:12" ht="15.75" customHeight="1" x14ac:dyDescent="0.25">
      <c r="A6" s="16" t="s">
        <v>13</v>
      </c>
      <c r="B6" s="47">
        <v>12.643700000000001</v>
      </c>
      <c r="C6" s="47">
        <v>0.64476800000000001</v>
      </c>
      <c r="D6" s="47" t="s">
        <v>11</v>
      </c>
      <c r="E6" s="47">
        <v>20.1541</v>
      </c>
      <c r="F6" s="47">
        <v>0.97498300000000004</v>
      </c>
      <c r="G6" s="10" t="s">
        <v>11</v>
      </c>
      <c r="H6" s="26">
        <v>47.488900000000001</v>
      </c>
      <c r="I6" s="26">
        <v>4.4390400000000003</v>
      </c>
      <c r="J6" s="27" t="s">
        <v>11</v>
      </c>
    </row>
    <row r="7" spans="1:12" ht="15.75" customHeight="1" x14ac:dyDescent="0.25">
      <c r="A7" s="16" t="s">
        <v>14</v>
      </c>
      <c r="B7" s="47">
        <v>12.72</v>
      </c>
      <c r="C7" s="47">
        <v>0.67364900000000005</v>
      </c>
      <c r="D7" s="47" t="s">
        <v>11</v>
      </c>
      <c r="E7" s="47">
        <v>19.828800000000001</v>
      </c>
      <c r="F7" s="47">
        <v>0.91329899999999997</v>
      </c>
      <c r="G7" s="10" t="s">
        <v>11</v>
      </c>
      <c r="H7" s="26">
        <v>33.695700000000002</v>
      </c>
      <c r="I7" s="26">
        <v>3.18858</v>
      </c>
      <c r="J7" s="27" t="s">
        <v>11</v>
      </c>
    </row>
    <row r="8" spans="1:12" ht="15.75" customHeight="1" x14ac:dyDescent="0.25">
      <c r="A8" s="16" t="s">
        <v>15</v>
      </c>
      <c r="B8" s="47">
        <v>13.801159</v>
      </c>
      <c r="C8" s="47">
        <v>0.94194900000000004</v>
      </c>
      <c r="D8" s="47" t="s">
        <v>11</v>
      </c>
      <c r="E8" s="47">
        <v>28.104547</v>
      </c>
      <c r="F8" s="47">
        <v>2.5973839999999999</v>
      </c>
      <c r="G8" s="10" t="s">
        <v>11</v>
      </c>
      <c r="H8" s="26">
        <v>62.355840000000001</v>
      </c>
      <c r="I8" s="26">
        <v>8.6236359999999994</v>
      </c>
      <c r="J8" s="27" t="s">
        <v>11</v>
      </c>
    </row>
    <row r="9" spans="1:12" ht="15.75" customHeight="1" x14ac:dyDescent="0.25">
      <c r="A9" s="16" t="s">
        <v>16</v>
      </c>
      <c r="B9" s="47">
        <v>12.822217</v>
      </c>
      <c r="C9" s="47">
        <v>1.2382409999999999</v>
      </c>
      <c r="D9" s="47" t="s">
        <v>11</v>
      </c>
      <c r="E9" s="47">
        <v>33.496080999999997</v>
      </c>
      <c r="F9" s="47">
        <v>2.6465070000000002</v>
      </c>
      <c r="G9" s="10" t="s">
        <v>11</v>
      </c>
      <c r="H9" s="26">
        <v>97.752735999999999</v>
      </c>
      <c r="I9" s="26">
        <v>7.7865399999999996</v>
      </c>
      <c r="J9" s="27" t="s">
        <v>11</v>
      </c>
    </row>
    <row r="10" spans="1:12" ht="15.75" customHeight="1" x14ac:dyDescent="0.25">
      <c r="A10" s="16" t="s">
        <v>17</v>
      </c>
      <c r="B10" s="47">
        <v>15.032024</v>
      </c>
      <c r="C10" s="47">
        <v>0.83931999999999995</v>
      </c>
      <c r="D10" s="47" t="s">
        <v>11</v>
      </c>
      <c r="E10" s="47">
        <v>46.365456999999999</v>
      </c>
      <c r="F10" s="47">
        <v>3.9719829999999998</v>
      </c>
      <c r="G10" s="10" t="s">
        <v>11</v>
      </c>
      <c r="H10" s="26">
        <v>83.623603000000003</v>
      </c>
      <c r="I10" s="26">
        <v>11.185376</v>
      </c>
      <c r="J10" s="27" t="s">
        <v>11</v>
      </c>
    </row>
    <row r="11" spans="1:12" ht="15.75" customHeight="1" x14ac:dyDescent="0.25">
      <c r="A11" s="16" t="s">
        <v>19</v>
      </c>
      <c r="B11" s="47">
        <v>13.621152</v>
      </c>
      <c r="C11" s="47">
        <v>0.74549299999999996</v>
      </c>
      <c r="D11" s="47" t="s">
        <v>11</v>
      </c>
      <c r="E11" s="47">
        <v>41.44359</v>
      </c>
      <c r="F11" s="47">
        <v>2.493239</v>
      </c>
      <c r="G11" s="10" t="s">
        <v>11</v>
      </c>
      <c r="H11" s="26">
        <v>70.194357999999994</v>
      </c>
      <c r="I11" s="26">
        <v>8.0068459999999995</v>
      </c>
      <c r="J11" s="27" t="s">
        <v>11</v>
      </c>
    </row>
    <row r="12" spans="1:12" ht="15.75" customHeight="1" x14ac:dyDescent="0.25">
      <c r="A12" s="16" t="s">
        <v>20</v>
      </c>
      <c r="B12" s="47">
        <v>12.399027999999999</v>
      </c>
      <c r="C12" s="47">
        <v>0.63048199999999999</v>
      </c>
      <c r="D12" s="47" t="s">
        <v>11</v>
      </c>
      <c r="E12" s="47">
        <v>26.946947000000002</v>
      </c>
      <c r="F12" s="47">
        <v>3.0275020000000001</v>
      </c>
      <c r="G12" s="10" t="s">
        <v>11</v>
      </c>
      <c r="H12" s="26">
        <v>74.114222999999996</v>
      </c>
      <c r="I12" s="26">
        <v>7.679818</v>
      </c>
      <c r="J12" s="27" t="s">
        <v>11</v>
      </c>
    </row>
    <row r="13" spans="1:12" ht="15.75" customHeight="1" x14ac:dyDescent="0.25">
      <c r="A13" s="16" t="s">
        <v>21</v>
      </c>
      <c r="B13" s="47">
        <v>14.545977000000001</v>
      </c>
      <c r="C13" s="47">
        <v>1.299695</v>
      </c>
      <c r="D13" s="47" t="s">
        <v>11</v>
      </c>
      <c r="E13" s="47">
        <v>48.760263999999999</v>
      </c>
      <c r="F13" s="47">
        <v>3.2276470000000002</v>
      </c>
      <c r="G13" s="10" t="s">
        <v>11</v>
      </c>
      <c r="H13" s="26">
        <v>65.259180999999998</v>
      </c>
      <c r="I13" s="26">
        <v>8.1489670000000007</v>
      </c>
      <c r="J13" s="27" t="s">
        <v>11</v>
      </c>
    </row>
    <row r="14" spans="1:12" ht="15.75" customHeight="1" x14ac:dyDescent="0.25">
      <c r="A14" s="16" t="s">
        <v>23</v>
      </c>
      <c r="B14" s="47">
        <v>13.498207000000001</v>
      </c>
      <c r="C14" s="47">
        <v>0.88061800000000001</v>
      </c>
      <c r="D14" s="47" t="s">
        <v>11</v>
      </c>
      <c r="E14" s="47">
        <v>34.805039000000001</v>
      </c>
      <c r="F14" s="47">
        <v>2.4398179999999998</v>
      </c>
      <c r="G14" s="10" t="s">
        <v>11</v>
      </c>
      <c r="H14" s="26">
        <v>63.941333</v>
      </c>
      <c r="I14" s="26">
        <v>8.0727709999999995</v>
      </c>
      <c r="J14" s="27" t="s">
        <v>11</v>
      </c>
    </row>
    <row r="15" spans="1:12" ht="15.75" customHeight="1" thickBot="1" x14ac:dyDescent="0.3">
      <c r="A15" s="17" t="s">
        <v>24</v>
      </c>
      <c r="B15" s="48">
        <v>15.123339</v>
      </c>
      <c r="C15" s="48">
        <v>1.693756</v>
      </c>
      <c r="D15" s="48" t="s">
        <v>11</v>
      </c>
      <c r="E15" s="48">
        <v>36.163533999999999</v>
      </c>
      <c r="F15" s="48">
        <v>2.7455059999999998</v>
      </c>
      <c r="G15" s="12" t="s">
        <v>11</v>
      </c>
      <c r="H15" s="28">
        <v>65.987751000000003</v>
      </c>
      <c r="I15" s="28">
        <v>7.8740670000000001</v>
      </c>
      <c r="J15" s="29" t="s">
        <v>11</v>
      </c>
    </row>
    <row r="16" spans="1:12" ht="27" thickBot="1" x14ac:dyDescent="0.45">
      <c r="A16" s="61" t="s">
        <v>1</v>
      </c>
      <c r="B16" s="62"/>
      <c r="C16" s="62"/>
      <c r="D16" s="62"/>
      <c r="E16" s="62"/>
      <c r="F16" s="62"/>
      <c r="G16" s="62"/>
      <c r="H16" s="62"/>
      <c r="I16" s="62"/>
      <c r="J16" s="63"/>
      <c r="L16" s="53"/>
    </row>
    <row r="17" spans="1:16" ht="15.75" customHeight="1" x14ac:dyDescent="0.3">
      <c r="A17" s="36"/>
      <c r="B17" s="55" t="s">
        <v>4</v>
      </c>
      <c r="C17" s="56"/>
      <c r="D17" s="57"/>
      <c r="E17" s="55" t="s">
        <v>22</v>
      </c>
      <c r="F17" s="56"/>
      <c r="G17" s="57"/>
      <c r="H17" s="58" t="s">
        <v>25</v>
      </c>
      <c r="I17" s="59"/>
      <c r="J17" s="60"/>
      <c r="L17" s="53"/>
    </row>
    <row r="18" spans="1:16" ht="15.75" customHeight="1" x14ac:dyDescent="0.2">
      <c r="A18" s="9"/>
      <c r="B18" s="22" t="s">
        <v>26</v>
      </c>
      <c r="C18" s="22" t="s">
        <v>7</v>
      </c>
      <c r="D18" s="22" t="s">
        <v>9</v>
      </c>
      <c r="E18" s="22" t="s">
        <v>26</v>
      </c>
      <c r="F18" s="22" t="s">
        <v>7</v>
      </c>
      <c r="G18" s="22" t="s">
        <v>9</v>
      </c>
      <c r="H18" s="30" t="s">
        <v>26</v>
      </c>
      <c r="I18" s="30" t="s">
        <v>7</v>
      </c>
      <c r="J18" s="31" t="s">
        <v>9</v>
      </c>
      <c r="L18" s="53"/>
    </row>
    <row r="19" spans="1:16" ht="15.75" customHeight="1" x14ac:dyDescent="0.25">
      <c r="A19" s="18" t="s">
        <v>10</v>
      </c>
      <c r="B19" s="49">
        <v>227148</v>
      </c>
      <c r="C19" s="49">
        <v>159472</v>
      </c>
      <c r="D19" s="50">
        <f t="shared" ref="D19:D22" si="0">((C19-B19)/B19)</f>
        <v>-0.29793790832408829</v>
      </c>
      <c r="E19" s="49">
        <v>121924</v>
      </c>
      <c r="F19" s="49">
        <v>160268</v>
      </c>
      <c r="G19" s="11">
        <f>(((F19-E19)/E19))</f>
        <v>0.31449099438994782</v>
      </c>
      <c r="H19" s="26">
        <v>63896</v>
      </c>
      <c r="I19" s="26">
        <v>69724</v>
      </c>
      <c r="J19" s="32">
        <f>(((I19-H19)/H19))</f>
        <v>9.1210717415800682E-2</v>
      </c>
      <c r="L19" s="53"/>
      <c r="N19" s="53"/>
      <c r="P19" s="38"/>
    </row>
    <row r="20" spans="1:16" ht="15.75" customHeight="1" x14ac:dyDescent="0.25">
      <c r="A20" s="18" t="s">
        <v>14</v>
      </c>
      <c r="B20" s="49">
        <v>46680</v>
      </c>
      <c r="C20" s="49">
        <v>54488</v>
      </c>
      <c r="D20" s="50">
        <f t="shared" si="0"/>
        <v>0.16726649528706083</v>
      </c>
      <c r="E20" s="49">
        <v>49752</v>
      </c>
      <c r="F20" s="49">
        <v>10408</v>
      </c>
      <c r="G20" s="11">
        <f>(((F20-E20)/E20))</f>
        <v>-0.79080237980382695</v>
      </c>
      <c r="H20" s="33">
        <v>33916</v>
      </c>
      <c r="I20" s="33">
        <v>26296</v>
      </c>
      <c r="J20" s="32">
        <f>(((I20-H20)/H20))</f>
        <v>-0.22467272083972167</v>
      </c>
      <c r="K20" s="33"/>
      <c r="L20" s="53"/>
      <c r="N20" s="53"/>
    </row>
    <row r="21" spans="1:16" ht="15.75" customHeight="1" x14ac:dyDescent="0.25">
      <c r="A21" s="18" t="s">
        <v>13</v>
      </c>
      <c r="B21" s="49">
        <v>82040</v>
      </c>
      <c r="C21" s="49">
        <v>81124</v>
      </c>
      <c r="D21" s="50">
        <f t="shared" si="0"/>
        <v>-1.1165285226718674E-2</v>
      </c>
      <c r="E21" s="49">
        <v>74772</v>
      </c>
      <c r="F21" s="49">
        <v>90620</v>
      </c>
      <c r="G21" s="11">
        <f>(((F21-E21)/E21))</f>
        <v>0.21195099769967368</v>
      </c>
      <c r="H21" s="33">
        <v>50140</v>
      </c>
      <c r="I21" s="33">
        <v>51620</v>
      </c>
      <c r="J21" s="32">
        <f>(((I21-H21)/H21))</f>
        <v>2.9517351416035103E-2</v>
      </c>
      <c r="L21" s="54"/>
      <c r="N21" s="38"/>
    </row>
    <row r="22" spans="1:16" ht="15.75" customHeight="1" thickBot="1" x14ac:dyDescent="0.3">
      <c r="A22" s="19" t="s">
        <v>18</v>
      </c>
      <c r="B22" s="51">
        <v>128760</v>
      </c>
      <c r="C22" s="51">
        <v>135148</v>
      </c>
      <c r="D22" s="52">
        <f t="shared" si="0"/>
        <v>4.9611680646163406E-2</v>
      </c>
      <c r="E22" s="51">
        <v>100824</v>
      </c>
      <c r="F22" s="51">
        <v>141728</v>
      </c>
      <c r="G22" s="13">
        <f>(((F22-E22)/E22))</f>
        <v>0.40569705625644686</v>
      </c>
      <c r="H22" s="34">
        <v>64176</v>
      </c>
      <c r="I22" s="34">
        <v>95680</v>
      </c>
      <c r="J22" s="35">
        <f>(((I22-H22)/H22))</f>
        <v>0.49090002493143853</v>
      </c>
      <c r="L22" s="54"/>
      <c r="N22" s="38"/>
    </row>
    <row r="23" spans="1:16" ht="27" thickBot="1" x14ac:dyDescent="0.45">
      <c r="A23" s="61" t="s">
        <v>0</v>
      </c>
      <c r="B23" s="62"/>
      <c r="C23" s="62"/>
      <c r="D23" s="62"/>
      <c r="E23" s="62"/>
      <c r="F23" s="62"/>
      <c r="G23" s="62"/>
      <c r="H23" s="62"/>
      <c r="I23" s="62"/>
      <c r="J23" s="63"/>
      <c r="L23" s="54"/>
      <c r="N23" s="53"/>
    </row>
    <row r="24" spans="1:16" ht="15.75" customHeight="1" x14ac:dyDescent="0.3">
      <c r="A24" s="15"/>
      <c r="B24" s="64" t="s">
        <v>4</v>
      </c>
      <c r="C24" s="64"/>
      <c r="D24" s="64"/>
      <c r="E24" s="64" t="s">
        <v>22</v>
      </c>
      <c r="F24" s="64"/>
      <c r="G24" s="64"/>
      <c r="H24" s="65" t="s">
        <v>25</v>
      </c>
      <c r="I24" s="65"/>
      <c r="J24" s="66"/>
      <c r="N24" s="38"/>
    </row>
    <row r="25" spans="1:16" ht="15.75" customHeight="1" x14ac:dyDescent="0.2">
      <c r="A25" s="8"/>
      <c r="B25" s="22" t="s">
        <v>26</v>
      </c>
      <c r="C25" s="22" t="s">
        <v>7</v>
      </c>
      <c r="D25" s="22" t="s">
        <v>9</v>
      </c>
      <c r="E25" s="22" t="s">
        <v>26</v>
      </c>
      <c r="F25" s="22" t="s">
        <v>7</v>
      </c>
      <c r="G25" s="22" t="s">
        <v>9</v>
      </c>
      <c r="H25" s="30" t="s">
        <v>26</v>
      </c>
      <c r="I25" s="30" t="s">
        <v>7</v>
      </c>
      <c r="J25" s="31" t="s">
        <v>9</v>
      </c>
      <c r="N25" s="38"/>
    </row>
    <row r="26" spans="1:16" ht="15.75" customHeight="1" x14ac:dyDescent="0.25">
      <c r="A26" s="16" t="s">
        <v>10</v>
      </c>
      <c r="B26" s="47">
        <v>751124</v>
      </c>
      <c r="C26" s="49">
        <v>767948</v>
      </c>
      <c r="D26" s="50">
        <f>(((C26-B26)/B26))</f>
        <v>2.2398432216251912E-2</v>
      </c>
      <c r="E26" s="49">
        <v>590492</v>
      </c>
      <c r="F26" s="49">
        <v>846352</v>
      </c>
      <c r="G26" s="11">
        <f t="shared" ref="G26:G29" si="1">(((F26-E26)/E26))</f>
        <v>0.43329968907284094</v>
      </c>
      <c r="H26" s="26">
        <v>200944</v>
      </c>
      <c r="I26" s="26">
        <v>246604</v>
      </c>
      <c r="J26" s="32">
        <f>(((I26-H26)/H26))</f>
        <v>0.22722748626483</v>
      </c>
      <c r="L26" s="53"/>
      <c r="N26" s="38"/>
      <c r="O26" s="38"/>
    </row>
    <row r="27" spans="1:16" ht="15.75" customHeight="1" x14ac:dyDescent="0.25">
      <c r="A27" s="16" t="s">
        <v>14</v>
      </c>
      <c r="B27" s="47">
        <v>8</v>
      </c>
      <c r="C27" s="49">
        <v>16</v>
      </c>
      <c r="D27" s="50">
        <f>(((C27-B27)/B27))</f>
        <v>1</v>
      </c>
      <c r="E27" s="49">
        <v>8</v>
      </c>
      <c r="F27" s="49">
        <v>4</v>
      </c>
      <c r="G27" s="11">
        <f t="shared" si="1"/>
        <v>-0.5</v>
      </c>
      <c r="H27" s="33">
        <v>20</v>
      </c>
      <c r="I27" s="33">
        <v>8</v>
      </c>
      <c r="J27" s="32">
        <f t="shared" ref="J27:J29" si="2">(((I27-H27)/H27))</f>
        <v>-0.6</v>
      </c>
      <c r="K27" s="33"/>
      <c r="L27" s="53"/>
      <c r="N27" s="53"/>
      <c r="O27" s="38"/>
    </row>
    <row r="28" spans="1:16" ht="15.75" customHeight="1" x14ac:dyDescent="0.25">
      <c r="A28" s="16" t="s">
        <v>13</v>
      </c>
      <c r="B28" s="47">
        <v>136</v>
      </c>
      <c r="C28" s="49">
        <v>160</v>
      </c>
      <c r="D28" s="50">
        <f>(((C28-B28)/B28))</f>
        <v>0.17647058823529413</v>
      </c>
      <c r="E28" s="49">
        <v>156</v>
      </c>
      <c r="F28" s="49">
        <v>220</v>
      </c>
      <c r="G28" s="11">
        <f t="shared" si="1"/>
        <v>0.41025641025641024</v>
      </c>
      <c r="H28" s="33">
        <v>700</v>
      </c>
      <c r="I28" s="33">
        <v>1100</v>
      </c>
      <c r="J28" s="32">
        <f t="shared" si="2"/>
        <v>0.5714285714285714</v>
      </c>
      <c r="L28" s="53"/>
      <c r="N28" s="53"/>
    </row>
    <row r="29" spans="1:16" ht="15.75" customHeight="1" thickBot="1" x14ac:dyDescent="0.3">
      <c r="A29" s="17" t="s">
        <v>18</v>
      </c>
      <c r="B29" s="48">
        <v>148</v>
      </c>
      <c r="C29" s="51">
        <v>2588</v>
      </c>
      <c r="D29" s="52">
        <f>(((C29-B29)/B29))</f>
        <v>16.486486486486488</v>
      </c>
      <c r="E29" s="51">
        <v>160</v>
      </c>
      <c r="F29" s="51">
        <v>652</v>
      </c>
      <c r="G29" s="13">
        <f t="shared" si="1"/>
        <v>3.0750000000000002</v>
      </c>
      <c r="H29" s="34">
        <v>712</v>
      </c>
      <c r="I29" s="34">
        <v>1696</v>
      </c>
      <c r="J29" s="35">
        <f t="shared" si="2"/>
        <v>1.3820224719101124</v>
      </c>
      <c r="L29" s="54"/>
      <c r="N29" s="38"/>
    </row>
    <row r="30" spans="1:16" ht="15.75" customHeight="1" x14ac:dyDescent="0.25">
      <c r="A30" s="4"/>
      <c r="B30" s="4"/>
      <c r="C30" s="40" t="s">
        <v>27</v>
      </c>
      <c r="D30" s="5"/>
      <c r="F30" s="45" t="s">
        <v>27</v>
      </c>
      <c r="H30" s="2"/>
      <c r="I30" s="2"/>
      <c r="L30" s="54"/>
      <c r="N30" s="38"/>
    </row>
    <row r="31" spans="1:16" ht="12.75" x14ac:dyDescent="0.2">
      <c r="A31" s="4"/>
      <c r="B31" s="4"/>
      <c r="C31" s="41">
        <v>213960</v>
      </c>
      <c r="D31" s="4"/>
      <c r="F31" s="45">
        <v>170676</v>
      </c>
      <c r="L31" s="54"/>
      <c r="N31" s="53"/>
    </row>
    <row r="32" spans="1:16" ht="12.75" x14ac:dyDescent="0.2">
      <c r="A32" s="4"/>
      <c r="B32" s="4"/>
      <c r="C32" s="42">
        <v>240596</v>
      </c>
      <c r="D32" s="6"/>
      <c r="F32" s="45">
        <v>250888</v>
      </c>
    </row>
    <row r="33" spans="1:6" ht="12.75" x14ac:dyDescent="0.2">
      <c r="A33" s="4"/>
      <c r="B33" s="4"/>
      <c r="C33" s="45">
        <v>294620</v>
      </c>
      <c r="D33" s="4"/>
      <c r="F33" s="45">
        <v>301996</v>
      </c>
    </row>
    <row r="34" spans="1:6" ht="12.75" x14ac:dyDescent="0.2">
      <c r="A34" s="4"/>
      <c r="B34" s="4"/>
      <c r="C34" s="38"/>
      <c r="D34" s="4"/>
      <c r="F34" s="45"/>
    </row>
    <row r="35" spans="1:6" ht="12.75" x14ac:dyDescent="0.2">
      <c r="A35" s="4"/>
      <c r="B35" s="4"/>
      <c r="C35" s="39" t="s">
        <v>28</v>
      </c>
      <c r="D35" s="4"/>
      <c r="F35" s="45" t="s">
        <v>28</v>
      </c>
    </row>
    <row r="36" spans="1:6" ht="12.75" x14ac:dyDescent="0.2">
      <c r="A36" s="4"/>
      <c r="B36" s="4"/>
      <c r="C36" s="44">
        <v>767964</v>
      </c>
      <c r="D36" s="4"/>
      <c r="F36" s="45">
        <v>846356</v>
      </c>
    </row>
    <row r="37" spans="1:6" ht="12.75" x14ac:dyDescent="0.2">
      <c r="A37" s="4"/>
      <c r="B37" s="4"/>
      <c r="C37" s="44">
        <v>768108</v>
      </c>
      <c r="D37" s="4"/>
      <c r="F37" s="45">
        <v>846572</v>
      </c>
    </row>
    <row r="38" spans="1:6" x14ac:dyDescent="0.25">
      <c r="A38" s="4"/>
      <c r="B38" s="4"/>
      <c r="C38" s="43">
        <v>770536</v>
      </c>
      <c r="D38" s="4"/>
      <c r="F38" s="45">
        <v>847004</v>
      </c>
    </row>
    <row r="39" spans="1:6" x14ac:dyDescent="0.25">
      <c r="A39" s="4"/>
      <c r="B39" s="4"/>
      <c r="C39" s="5"/>
      <c r="D39" s="4"/>
      <c r="E39" s="4"/>
      <c r="F39" s="1"/>
    </row>
    <row r="40" spans="1:6" x14ac:dyDescent="0.25">
      <c r="A40" s="4"/>
      <c r="B40" s="4"/>
      <c r="C40" s="7"/>
      <c r="D40" s="5"/>
      <c r="E40" s="3"/>
      <c r="F40" s="1"/>
    </row>
    <row r="41" spans="1:6" x14ac:dyDescent="0.25">
      <c r="A41" s="4"/>
      <c r="B41" s="4"/>
      <c r="C41" s="7"/>
      <c r="D41" s="5"/>
      <c r="E41" s="3"/>
      <c r="F41" s="1"/>
    </row>
    <row r="42" spans="1:6" x14ac:dyDescent="0.25">
      <c r="A42" s="4"/>
      <c r="B42" s="4"/>
      <c r="C42" s="7"/>
      <c r="D42" s="5"/>
      <c r="E42" s="3"/>
      <c r="F42" s="1"/>
    </row>
    <row r="43" spans="1:6" x14ac:dyDescent="0.25">
      <c r="A43" s="4"/>
      <c r="B43" s="4"/>
      <c r="C43" s="7"/>
      <c r="D43" s="5"/>
      <c r="E43" s="3"/>
      <c r="F43" s="1"/>
    </row>
    <row r="44" spans="1:6" x14ac:dyDescent="0.25">
      <c r="A44" s="4"/>
      <c r="B44" s="4"/>
      <c r="C44" s="7"/>
      <c r="D44" s="5"/>
      <c r="E44" s="3"/>
      <c r="F44" s="1"/>
    </row>
    <row r="45" spans="1:6" x14ac:dyDescent="0.25">
      <c r="A45" s="4"/>
      <c r="B45" s="4"/>
      <c r="C45" s="7"/>
      <c r="D45" s="5"/>
      <c r="E45" s="3"/>
      <c r="F45" s="1"/>
    </row>
    <row r="46" spans="1:6" x14ac:dyDescent="0.25">
      <c r="A46" s="4"/>
      <c r="B46" s="4"/>
      <c r="C46" s="7"/>
      <c r="D46" s="5"/>
      <c r="E46" s="3"/>
      <c r="F46" s="1"/>
    </row>
    <row r="47" spans="1:6" ht="15.75" customHeight="1" x14ac:dyDescent="0.2">
      <c r="A47" s="4"/>
      <c r="B47" s="4"/>
    </row>
    <row r="48" spans="1:6" ht="15.75" customHeight="1" x14ac:dyDescent="0.2">
      <c r="A48" s="4"/>
      <c r="B48" s="4"/>
    </row>
    <row r="49" spans="1:2" ht="15.75" customHeight="1" x14ac:dyDescent="0.2">
      <c r="A49" s="4"/>
      <c r="B49" s="4"/>
    </row>
  </sheetData>
  <mergeCells count="12">
    <mergeCell ref="A1:J1"/>
    <mergeCell ref="B2:D2"/>
    <mergeCell ref="E2:G2"/>
    <mergeCell ref="H2:J2"/>
    <mergeCell ref="A16:J16"/>
    <mergeCell ref="B17:D17"/>
    <mergeCell ref="E17:G17"/>
    <mergeCell ref="H17:J17"/>
    <mergeCell ref="A23:J23"/>
    <mergeCell ref="B24:D24"/>
    <mergeCell ref="E24:G24"/>
    <mergeCell ref="H24:J24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7A96D7-7561-4FF6-95A6-AC17D55B5AB5}">
  <dimension ref="A1:B12"/>
  <sheetViews>
    <sheetView workbookViewId="0">
      <selection activeCell="G19" sqref="G19"/>
    </sheetView>
  </sheetViews>
  <sheetFormatPr defaultRowHeight="12.75" x14ac:dyDescent="0.2"/>
  <sheetData>
    <row r="1" spans="1:2" ht="15.75" x14ac:dyDescent="0.25">
      <c r="A1" s="46">
        <v>6.1690100000000001</v>
      </c>
    </row>
    <row r="2" spans="1:2" ht="15.75" x14ac:dyDescent="0.25">
      <c r="A2" s="46">
        <v>13.026</v>
      </c>
      <c r="B2">
        <f>(A2/A1)</f>
        <v>2.1115219459848502</v>
      </c>
    </row>
    <row r="3" spans="1:2" ht="15.75" x14ac:dyDescent="0.25">
      <c r="A3" s="46">
        <v>12.643700000000001</v>
      </c>
      <c r="B3" s="38">
        <f>(A3/A1)</f>
        <v>2.0495509003875827</v>
      </c>
    </row>
    <row r="4" spans="1:2" ht="15.75" x14ac:dyDescent="0.25">
      <c r="A4" s="46">
        <v>12.72</v>
      </c>
      <c r="B4" s="38">
        <f>(A4/A1)</f>
        <v>2.0619191734168045</v>
      </c>
    </row>
    <row r="5" spans="1:2" ht="15.75" x14ac:dyDescent="0.25">
      <c r="A5" s="46">
        <v>13.801159</v>
      </c>
      <c r="B5" s="38">
        <f>(A5/A1)</f>
        <v>2.2371756570341108</v>
      </c>
    </row>
    <row r="6" spans="1:2" ht="15.75" x14ac:dyDescent="0.25">
      <c r="A6" s="46">
        <v>12.822217</v>
      </c>
      <c r="B6" s="38">
        <f>(A6/A1)</f>
        <v>2.0784886067618631</v>
      </c>
    </row>
    <row r="7" spans="1:2" ht="15.75" x14ac:dyDescent="0.25">
      <c r="A7" s="46">
        <v>15.032024</v>
      </c>
      <c r="B7" s="38">
        <f>(A7/A1)</f>
        <v>2.4366995676777958</v>
      </c>
    </row>
    <row r="8" spans="1:2" ht="15.75" x14ac:dyDescent="0.25">
      <c r="A8" s="46">
        <v>13.621152</v>
      </c>
      <c r="B8" s="38">
        <f>(A8/A1)</f>
        <v>2.2079964208195482</v>
      </c>
    </row>
    <row r="9" spans="1:2" ht="15.75" x14ac:dyDescent="0.25">
      <c r="A9" s="46">
        <v>12.399027999999999</v>
      </c>
      <c r="B9" s="38">
        <f>(A9/A1)</f>
        <v>2.0098894312053313</v>
      </c>
    </row>
    <row r="10" spans="1:2" ht="15.75" x14ac:dyDescent="0.25">
      <c r="A10" s="46">
        <v>14.545977000000001</v>
      </c>
      <c r="B10" s="38">
        <f>(A10/A1)</f>
        <v>2.3579110748726295</v>
      </c>
    </row>
    <row r="11" spans="1:2" ht="15.75" x14ac:dyDescent="0.25">
      <c r="A11" s="46">
        <v>13.498207000000001</v>
      </c>
      <c r="B11" s="38">
        <f>(A11/A1)</f>
        <v>2.1880669669849784</v>
      </c>
    </row>
    <row r="12" spans="1:2" ht="16.5" thickBot="1" x14ac:dyDescent="0.3">
      <c r="A12" s="37">
        <v>15.123339</v>
      </c>
      <c r="B12" s="38">
        <f>(A12/A1)</f>
        <v>2.451501780674695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C68938C25E75A48B38E3943F7278D4C" ma:contentTypeVersion="10" ma:contentTypeDescription="Create a new document." ma:contentTypeScope="" ma:versionID="8eb665934aa0e87ba24ee2ef8a59bd02">
  <xsd:schema xmlns:xsd="http://www.w3.org/2001/XMLSchema" xmlns:xs="http://www.w3.org/2001/XMLSchema" xmlns:p="http://schemas.microsoft.com/office/2006/metadata/properties" xmlns:ns2="58dd0d8a-0b6e-4df8-afdb-fbe9bd3e42e9" xmlns:ns3="8f35f8fb-94b8-4296-88b5-253c68a5f93d" targetNamespace="http://schemas.microsoft.com/office/2006/metadata/properties" ma:root="true" ma:fieldsID="0bd091adf5422d7a25eb8df8a0f8c14a" ns2:_="" ns3:_="">
    <xsd:import namespace="58dd0d8a-0b6e-4df8-afdb-fbe9bd3e42e9"/>
    <xsd:import namespace="8f35f8fb-94b8-4296-88b5-253c68a5f93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EventHashCode" minOccurs="0"/>
                <xsd:element ref="ns2:MediaServiceGenerationTime" minOccurs="0"/>
                <xsd:element ref="ns2:MediaServiceAutoTags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8dd0d8a-0b6e-4df8-afdb-fbe9bd3e42e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35f8fb-94b8-4296-88b5-253c68a5f93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125DC0F-1D8F-4CD9-94C2-7FCAEA19AE62}">
  <ds:schemaRefs>
    <ds:schemaRef ds:uri="58dd0d8a-0b6e-4df8-afdb-fbe9bd3e42e9"/>
    <ds:schemaRef ds:uri="http://schemas.microsoft.com/office/2006/documentManagement/types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metadata/properties"/>
    <ds:schemaRef ds:uri="8f35f8fb-94b8-4296-88b5-253c68a5f93d"/>
    <ds:schemaRef ds:uri="http://www.w3.org/XML/1998/namespace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1E718E01-3A1A-4F9A-B3C0-DF5809B235B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93C3AED-06D6-47BE-AEF0-F4C88FB3F80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8dd0d8a-0b6e-4df8-afdb-fbe9bd3e42e9"/>
    <ds:schemaRef ds:uri="8f35f8fb-94b8-4296-88b5-253c68a5f9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RT Certification Results 20.0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Krupa Jois</dc:creator>
  <cp:lastModifiedBy>Hemanth Kumar Kothari</cp:lastModifiedBy>
  <dcterms:created xsi:type="dcterms:W3CDTF">2019-11-06T11:41:25Z</dcterms:created>
  <dcterms:modified xsi:type="dcterms:W3CDTF">2020-02-17T04:33:46Z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0x010100CC68938C25E75A48B38E3943F7278D4C</vt:lpwstr>
  </property>
</Properties>
</file>