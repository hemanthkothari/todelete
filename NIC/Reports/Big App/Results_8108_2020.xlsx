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\RT\NIC\Reports\Big App\"/>
    </mc:Choice>
  </mc:AlternateContent>
  <xr:revisionPtr revIDLastSave="0" documentId="13_ncr:1_{8ADC8117-6103-4629-8477-ED19783B7409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8108 Regression" sheetId="4" r:id="rId1"/>
    <sheet name="rawdata_8108" sheetId="5" r:id="rId2"/>
  </sheets>
  <definedNames>
    <definedName name="_8108_1" localSheetId="1">rawdata_8108!$V$28:$AA$28</definedName>
    <definedName name="ExternalData_1" localSheetId="1" hidden="1">rawdata_8108!$H$59:$M$81</definedName>
    <definedName name="test" localSheetId="1">rawdata_8108!$V$30:$AA$53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R4" i="4" l="1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3" i="4"/>
  <c r="Q3" i="4"/>
  <c r="R2" i="4"/>
  <c r="P4" i="4" l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3" i="4"/>
  <c r="P2" i="4"/>
  <c r="Q2" i="4"/>
  <c r="Q4" i="4" l="1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A4" i="4" l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8108" type="6" refreshedVersion="4" background="1" saveData="1">
    <textPr codePage="437" sourceFile="C:\Users\kjois\Documents\Krupa Documents\Projects\LVRT\Impt\Perofrmance Testing\2017 Perf Results\Big App\17.0a17\8108\8108.csv">
      <textFields count="6">
        <textField/>
        <textField/>
        <textField/>
        <textField/>
        <textField/>
        <textField/>
      </textFields>
    </textPr>
  </connection>
  <connection id="2" xr16:uid="{00000000-0015-0000-FFFF-FFFF01000000}" keepAlive="1" name="Query - 8018" description="Connection to the '8018' query in the workbook." type="5" refreshedVersion="6" background="1" saveData="1">
    <dbPr connection="Provider=Microsoft.Mashup.OleDb.1;Data Source=$Workbook$;Location=8018;Extended Properties=&quot;&quot;" command="SELECT * FROM [8018]"/>
  </connection>
  <connection id="3" xr16:uid="{00000000-0015-0000-FFFF-FFFF02000000}" name="test" type="6" refreshedVersion="6" background="1" saveData="1">
    <textPr codePage="437" sourceFile="C:\Users\kjois\Desktop\test.txt" comma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<sst xmlns="http://schemas.openxmlformats.org/spreadsheetml/2006/main" count="92" uniqueCount="20">
  <si>
    <t>Average CPU Usage (%)</t>
  </si>
  <si>
    <t>Loop Rate (Hz)</t>
  </si>
  <si>
    <t>2014b</t>
  </si>
  <si>
    <t>2014rc</t>
  </si>
  <si>
    <t>2015b26</t>
  </si>
  <si>
    <t>2015b35</t>
  </si>
  <si>
    <t>Sleep</t>
  </si>
  <si>
    <t>Rate</t>
  </si>
  <si>
    <t>ISRs</t>
  </si>
  <si>
    <t>TL</t>
  </si>
  <si>
    <t>Other</t>
  </si>
  <si>
    <t>Total</t>
  </si>
  <si>
    <t>Software</t>
  </si>
  <si>
    <t>2015b64</t>
  </si>
  <si>
    <t>2015rc1</t>
  </si>
  <si>
    <t>2017a17</t>
  </si>
  <si>
    <t>2017b8</t>
  </si>
  <si>
    <t>2018b13</t>
  </si>
  <si>
    <t>2020 B78</t>
  </si>
  <si>
    <t>2020 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</si>
</sst>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 indent="1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3"/>
    </xf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right"/>
    </xf>
    <xf numFmtId="0" fontId="4" fillId="2" borderId="0" xfId="0" applyFont="1" applyFill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top style="thin">
          <color auto="1"/>
        </top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  <dxf>
      <border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1" i="0" u="none" strike="noStrike" baseline="0">
                <a:solidFill>
                  <a:srgbClr val="000000"/>
                </a:solidFill>
                <a:latin typeface="Calibri"/>
              </a:rPr>
              <a:t>Big DAQ App - Average CPU Usage vs Loop Rate</a:t>
            </a: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400" b="1" i="0" u="none" strike="noStrike" baseline="0">
                <a:solidFill>
                  <a:srgbClr val="000000"/>
                </a:solidFill>
                <a:latin typeface="Calibri"/>
              </a:rPr>
              <a:t>Lower is better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1065837822903717"/>
          <c:y val="0.158301799952731"/>
          <c:w val="0.75080488623132624"/>
          <c:h val="0.74925999179012581"/>
        </c:manualLayout>
      </c:layout>
      <c:scatterChart>
        <c:scatterStyle val="lineMarker"/>
        <c:varyColors val="0"/>
        <c:ser>
          <c:idx val="10"/>
          <c:order val="0"/>
          <c:tx>
            <c:strRef>
              <c:f>'8108 Regression'!$P$2</c:f>
              <c:strCache>
                <c:ptCount val="1"/>
                <c:pt idx="0">
                  <c:v>2019</c:v>
                </c:pt>
              </c:strCache>
            </c:strRef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Regression'!$P$3:$P$25</c:f>
              <c:numCache>
                <c:formatCode>General</c:formatCode>
                <c:ptCount val="23"/>
                <c:pt idx="0">
                  <c:v>3.65</c:v>
                </c:pt>
                <c:pt idx="1">
                  <c:v>7.19</c:v>
                </c:pt>
                <c:pt idx="2">
                  <c:v>10.78</c:v>
                </c:pt>
                <c:pt idx="3">
                  <c:v>14.39</c:v>
                </c:pt>
                <c:pt idx="4">
                  <c:v>18</c:v>
                </c:pt>
                <c:pt idx="5">
                  <c:v>21.64</c:v>
                </c:pt>
                <c:pt idx="6">
                  <c:v>25.21</c:v>
                </c:pt>
                <c:pt idx="7">
                  <c:v>28.72</c:v>
                </c:pt>
                <c:pt idx="8">
                  <c:v>32.39</c:v>
                </c:pt>
                <c:pt idx="9">
                  <c:v>35.9</c:v>
                </c:pt>
                <c:pt idx="10">
                  <c:v>39.520000000000003</c:v>
                </c:pt>
                <c:pt idx="11">
                  <c:v>43.04</c:v>
                </c:pt>
                <c:pt idx="12">
                  <c:v>46.6</c:v>
                </c:pt>
                <c:pt idx="13">
                  <c:v>50.28</c:v>
                </c:pt>
                <c:pt idx="14">
                  <c:v>53.85</c:v>
                </c:pt>
                <c:pt idx="15">
                  <c:v>57.57</c:v>
                </c:pt>
                <c:pt idx="16">
                  <c:v>61.17</c:v>
                </c:pt>
                <c:pt idx="17">
                  <c:v>64.77</c:v>
                </c:pt>
                <c:pt idx="18">
                  <c:v>68.260000000000005</c:v>
                </c:pt>
                <c:pt idx="19">
                  <c:v>71.89</c:v>
                </c:pt>
                <c:pt idx="20">
                  <c:v>75.56</c:v>
                </c:pt>
                <c:pt idx="21">
                  <c:v>79.099999999999994</c:v>
                </c:pt>
                <c:pt idx="22">
                  <c:v>82.71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7C-4868-8B45-048CB57C22FF}"/>
            </c:ext>
          </c:extLst>
        </c:ser>
        <c:ser>
          <c:idx val="2"/>
          <c:order val="1"/>
          <c:tx>
            <c:strRef>
              <c:f>'8108 Regression'!$D$2</c:f>
              <c:strCache>
                <c:ptCount val="1"/>
                <c:pt idx="0">
                  <c:v>2014b</c:v>
                </c:pt>
              </c:strCache>
            </c:strRef>
          </c:tx>
          <c:marker>
            <c:symbol val="none"/>
          </c:marker>
          <c:xVal>
            <c:numRef>
              <c:f>'8108 Regression'!$A$3:$A$26</c:f>
              <c:numCache>
                <c:formatCode>General</c:formatCode>
                <c:ptCount val="2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</c:numCache>
            </c:numRef>
          </c:xVal>
          <c:yVal>
            <c:numRef>
              <c:f>'8108 Regression'!$D$3:$D$26</c:f>
            </c:numRef>
          </c:yVal>
          <c:smooth val="0"/>
          <c:extLst>
            <c:ext xmlns:c16="http://schemas.microsoft.com/office/drawing/2014/chart" uri="{C3380CC4-5D6E-409C-BE32-E72D297353CC}">
              <c16:uniqueId val="{00000000-CC81-4E6E-BB91-E17CD6262CEA}"/>
            </c:ext>
          </c:extLst>
        </c:ser>
        <c:ser>
          <c:idx val="3"/>
          <c:order val="2"/>
          <c:tx>
            <c:strRef>
              <c:f>'8108 Regression'!$E$2</c:f>
              <c:strCache>
                <c:ptCount val="1"/>
                <c:pt idx="0">
                  <c:v>2014rc</c:v>
                </c:pt>
              </c:strCache>
            </c:strRef>
          </c:tx>
          <c:marker>
            <c:symbol val="none"/>
          </c:marker>
          <c:xVal>
            <c:numRef>
              <c:f>'8108 Regression'!$A$3:$A$26</c:f>
              <c:numCache>
                <c:formatCode>General</c:formatCode>
                <c:ptCount val="24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</c:numCache>
            </c:numRef>
          </c:xVal>
          <c:yVal>
            <c:numRef>
              <c:f>'8108 Regression'!$E$3:$E$26</c:f>
              <c:numCache>
                <c:formatCode>General</c:formatCode>
                <c:ptCount val="24"/>
                <c:pt idx="0">
                  <c:v>3.6</c:v>
                </c:pt>
                <c:pt idx="1">
                  <c:v>7.14</c:v>
                </c:pt>
                <c:pt idx="2">
                  <c:v>10.69</c:v>
                </c:pt>
                <c:pt idx="3">
                  <c:v>14.23</c:v>
                </c:pt>
                <c:pt idx="4">
                  <c:v>17.84</c:v>
                </c:pt>
                <c:pt idx="5">
                  <c:v>21.45</c:v>
                </c:pt>
                <c:pt idx="6">
                  <c:v>24.98</c:v>
                </c:pt>
                <c:pt idx="7">
                  <c:v>28.51</c:v>
                </c:pt>
                <c:pt idx="8">
                  <c:v>32.17</c:v>
                </c:pt>
                <c:pt idx="9">
                  <c:v>35.64</c:v>
                </c:pt>
                <c:pt idx="10">
                  <c:v>39.200000000000003</c:v>
                </c:pt>
                <c:pt idx="11">
                  <c:v>42.88</c:v>
                </c:pt>
                <c:pt idx="12">
                  <c:v>46.45</c:v>
                </c:pt>
                <c:pt idx="13">
                  <c:v>49.95</c:v>
                </c:pt>
                <c:pt idx="14">
                  <c:v>53.64</c:v>
                </c:pt>
                <c:pt idx="15">
                  <c:v>57.26</c:v>
                </c:pt>
                <c:pt idx="16">
                  <c:v>60.82</c:v>
                </c:pt>
                <c:pt idx="17">
                  <c:v>64.3</c:v>
                </c:pt>
                <c:pt idx="18">
                  <c:v>67.98</c:v>
                </c:pt>
                <c:pt idx="19">
                  <c:v>71.55</c:v>
                </c:pt>
                <c:pt idx="20">
                  <c:v>74.930000000000007</c:v>
                </c:pt>
                <c:pt idx="21">
                  <c:v>78.62</c:v>
                </c:pt>
                <c:pt idx="22">
                  <c:v>82.1</c:v>
                </c:pt>
                <c:pt idx="23">
                  <c:v>85.76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C81-4E6E-BB91-E17CD6262CEA}"/>
            </c:ext>
          </c:extLst>
        </c:ser>
        <c:ser>
          <c:idx val="6"/>
          <c:order val="3"/>
          <c:tx>
            <c:v>2015rc1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Regression'!$I$3:$I$24</c:f>
              <c:numCache>
                <c:formatCode>General</c:formatCode>
                <c:ptCount val="22"/>
                <c:pt idx="0">
                  <c:v>3.74</c:v>
                </c:pt>
                <c:pt idx="1">
                  <c:v>7.37</c:v>
                </c:pt>
                <c:pt idx="2">
                  <c:v>11.11</c:v>
                </c:pt>
                <c:pt idx="3">
                  <c:v>14.76</c:v>
                </c:pt>
                <c:pt idx="4">
                  <c:v>18.47</c:v>
                </c:pt>
                <c:pt idx="5">
                  <c:v>22.16</c:v>
                </c:pt>
                <c:pt idx="6">
                  <c:v>25.83</c:v>
                </c:pt>
                <c:pt idx="7">
                  <c:v>29.51</c:v>
                </c:pt>
                <c:pt idx="8">
                  <c:v>33.229999999999997</c:v>
                </c:pt>
                <c:pt idx="9">
                  <c:v>36.909999999999997</c:v>
                </c:pt>
                <c:pt idx="10">
                  <c:v>40.64</c:v>
                </c:pt>
                <c:pt idx="11">
                  <c:v>44.22</c:v>
                </c:pt>
                <c:pt idx="12">
                  <c:v>47.99</c:v>
                </c:pt>
                <c:pt idx="13">
                  <c:v>51.6</c:v>
                </c:pt>
                <c:pt idx="14">
                  <c:v>55.44</c:v>
                </c:pt>
                <c:pt idx="15">
                  <c:v>59.15</c:v>
                </c:pt>
                <c:pt idx="16">
                  <c:v>62.92</c:v>
                </c:pt>
                <c:pt idx="17">
                  <c:v>66.44</c:v>
                </c:pt>
                <c:pt idx="18">
                  <c:v>70.27</c:v>
                </c:pt>
                <c:pt idx="19">
                  <c:v>73.89</c:v>
                </c:pt>
                <c:pt idx="20">
                  <c:v>77.84</c:v>
                </c:pt>
                <c:pt idx="21">
                  <c:v>81.47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C81-4E6E-BB91-E17CD6262CEA}"/>
            </c:ext>
          </c:extLst>
        </c:ser>
        <c:ser>
          <c:idx val="0"/>
          <c:order val="4"/>
          <c:tx>
            <c:strRef>
              <c:f>'8108 Regression'!$J$2</c:f>
              <c:strCache>
                <c:ptCount val="1"/>
                <c:pt idx="0">
                  <c:v>2016</c:v>
                </c:pt>
              </c:strCache>
            </c:strRef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Regression'!$J$3:$J$27</c:f>
              <c:numCache>
                <c:formatCode>General</c:formatCode>
                <c:ptCount val="25"/>
                <c:pt idx="0">
                  <c:v>3.6</c:v>
                </c:pt>
                <c:pt idx="1">
                  <c:v>7.17</c:v>
                </c:pt>
                <c:pt idx="2">
                  <c:v>10.77</c:v>
                </c:pt>
                <c:pt idx="3">
                  <c:v>14.37</c:v>
                </c:pt>
                <c:pt idx="4">
                  <c:v>17.97</c:v>
                </c:pt>
                <c:pt idx="5">
                  <c:v>21.61</c:v>
                </c:pt>
                <c:pt idx="6">
                  <c:v>25.09</c:v>
                </c:pt>
                <c:pt idx="7">
                  <c:v>28.63</c:v>
                </c:pt>
                <c:pt idx="8">
                  <c:v>32.25</c:v>
                </c:pt>
                <c:pt idx="9">
                  <c:v>35.979999999999997</c:v>
                </c:pt>
                <c:pt idx="10">
                  <c:v>39.479999999999997</c:v>
                </c:pt>
                <c:pt idx="11">
                  <c:v>43.02</c:v>
                </c:pt>
                <c:pt idx="12">
                  <c:v>46.57</c:v>
                </c:pt>
                <c:pt idx="13">
                  <c:v>50.27</c:v>
                </c:pt>
                <c:pt idx="14">
                  <c:v>53.74</c:v>
                </c:pt>
                <c:pt idx="15">
                  <c:v>57.38</c:v>
                </c:pt>
                <c:pt idx="16">
                  <c:v>60.98</c:v>
                </c:pt>
                <c:pt idx="17">
                  <c:v>64.66</c:v>
                </c:pt>
                <c:pt idx="18">
                  <c:v>68.09</c:v>
                </c:pt>
                <c:pt idx="19">
                  <c:v>71.69</c:v>
                </c:pt>
                <c:pt idx="20">
                  <c:v>75.22</c:v>
                </c:pt>
                <c:pt idx="21">
                  <c:v>78.900000000000006</c:v>
                </c:pt>
                <c:pt idx="22">
                  <c:v>82.33</c:v>
                </c:pt>
                <c:pt idx="23">
                  <c:v>86.03</c:v>
                </c:pt>
                <c:pt idx="24">
                  <c:v>89.74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C81-4E6E-BB91-E17CD6262CEA}"/>
            </c:ext>
          </c:extLst>
        </c:ser>
        <c:ser>
          <c:idx val="1"/>
          <c:order val="5"/>
          <c:tx>
            <c:strRef>
              <c:f>'8108 Regression'!$K$2</c:f>
              <c:strCache>
                <c:ptCount val="1"/>
                <c:pt idx="0">
                  <c:v>2017a17</c:v>
                </c:pt>
              </c:strCache>
            </c:strRef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Regression'!$K$3:$K$27</c:f>
              <c:numCache>
                <c:formatCode>General</c:formatCode>
                <c:ptCount val="25"/>
                <c:pt idx="0">
                  <c:v>3.66</c:v>
                </c:pt>
                <c:pt idx="1">
                  <c:v>7.18</c:v>
                </c:pt>
                <c:pt idx="2">
                  <c:v>10.81</c:v>
                </c:pt>
                <c:pt idx="3">
                  <c:v>14.37</c:v>
                </c:pt>
                <c:pt idx="4">
                  <c:v>17.989999999999998</c:v>
                </c:pt>
                <c:pt idx="5">
                  <c:v>21.63</c:v>
                </c:pt>
                <c:pt idx="6">
                  <c:v>25.23</c:v>
                </c:pt>
                <c:pt idx="7">
                  <c:v>28.64</c:v>
                </c:pt>
                <c:pt idx="8">
                  <c:v>32.270000000000003</c:v>
                </c:pt>
                <c:pt idx="9">
                  <c:v>35.9</c:v>
                </c:pt>
                <c:pt idx="10">
                  <c:v>39.43</c:v>
                </c:pt>
                <c:pt idx="11">
                  <c:v>43</c:v>
                </c:pt>
                <c:pt idx="12">
                  <c:v>46.57</c:v>
                </c:pt>
                <c:pt idx="13">
                  <c:v>50.4</c:v>
                </c:pt>
                <c:pt idx="14">
                  <c:v>53.92</c:v>
                </c:pt>
                <c:pt idx="15">
                  <c:v>57.33</c:v>
                </c:pt>
                <c:pt idx="16">
                  <c:v>61.1</c:v>
                </c:pt>
                <c:pt idx="17">
                  <c:v>64.540000000000006</c:v>
                </c:pt>
                <c:pt idx="18">
                  <c:v>68.25</c:v>
                </c:pt>
                <c:pt idx="19">
                  <c:v>71.78</c:v>
                </c:pt>
                <c:pt idx="20">
                  <c:v>75.430000000000007</c:v>
                </c:pt>
                <c:pt idx="21">
                  <c:v>78.89</c:v>
                </c:pt>
                <c:pt idx="22">
                  <c:v>82.63</c:v>
                </c:pt>
                <c:pt idx="23">
                  <c:v>86.3</c:v>
                </c:pt>
                <c:pt idx="24">
                  <c:v>89.63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C81-4E6E-BB91-E17CD6262CEA}"/>
            </c:ext>
          </c:extLst>
        </c:ser>
        <c:ser>
          <c:idx val="4"/>
          <c:order val="6"/>
          <c:tx>
            <c:v>2017b8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Regression'!$L$3:$L$27</c:f>
              <c:numCache>
                <c:formatCode>General</c:formatCode>
                <c:ptCount val="25"/>
                <c:pt idx="0">
                  <c:v>3.61</c:v>
                </c:pt>
                <c:pt idx="1">
                  <c:v>7.15</c:v>
                </c:pt>
                <c:pt idx="2">
                  <c:v>10.78</c:v>
                </c:pt>
                <c:pt idx="3">
                  <c:v>14.34</c:v>
                </c:pt>
                <c:pt idx="4">
                  <c:v>17.96</c:v>
                </c:pt>
                <c:pt idx="5">
                  <c:v>21.48</c:v>
                </c:pt>
                <c:pt idx="6">
                  <c:v>25.16</c:v>
                </c:pt>
                <c:pt idx="7">
                  <c:v>28.57</c:v>
                </c:pt>
                <c:pt idx="8">
                  <c:v>32.18</c:v>
                </c:pt>
                <c:pt idx="9">
                  <c:v>35.76</c:v>
                </c:pt>
                <c:pt idx="10">
                  <c:v>39.409999999999997</c:v>
                </c:pt>
                <c:pt idx="11">
                  <c:v>42.95</c:v>
                </c:pt>
                <c:pt idx="12">
                  <c:v>46.45</c:v>
                </c:pt>
                <c:pt idx="13">
                  <c:v>50.07</c:v>
                </c:pt>
                <c:pt idx="14">
                  <c:v>53.72</c:v>
                </c:pt>
                <c:pt idx="15">
                  <c:v>57.31</c:v>
                </c:pt>
                <c:pt idx="16">
                  <c:v>60.82</c:v>
                </c:pt>
                <c:pt idx="17">
                  <c:v>64.44</c:v>
                </c:pt>
                <c:pt idx="18">
                  <c:v>68</c:v>
                </c:pt>
                <c:pt idx="19">
                  <c:v>71.61</c:v>
                </c:pt>
                <c:pt idx="20">
                  <c:v>75.290000000000006</c:v>
                </c:pt>
                <c:pt idx="21">
                  <c:v>78.72</c:v>
                </c:pt>
                <c:pt idx="22">
                  <c:v>82.27</c:v>
                </c:pt>
                <c:pt idx="23">
                  <c:v>85.96</c:v>
                </c:pt>
                <c:pt idx="24">
                  <c:v>89.46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C81-4E6E-BB91-E17CD6262CEA}"/>
            </c:ext>
          </c:extLst>
        </c:ser>
        <c:ser>
          <c:idx val="5"/>
          <c:order val="7"/>
          <c:tx>
            <c:v>2017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Regression'!$M$3:$M$25</c:f>
              <c:numCache>
                <c:formatCode>General</c:formatCode>
                <c:ptCount val="23"/>
                <c:pt idx="0">
                  <c:v>3.63</c:v>
                </c:pt>
                <c:pt idx="1">
                  <c:v>7.18</c:v>
                </c:pt>
                <c:pt idx="2">
                  <c:v>10.78</c:v>
                </c:pt>
                <c:pt idx="3">
                  <c:v>14.42</c:v>
                </c:pt>
                <c:pt idx="4">
                  <c:v>18.04</c:v>
                </c:pt>
                <c:pt idx="5">
                  <c:v>21.63</c:v>
                </c:pt>
                <c:pt idx="6">
                  <c:v>25.24</c:v>
                </c:pt>
                <c:pt idx="7">
                  <c:v>28.76</c:v>
                </c:pt>
                <c:pt idx="8">
                  <c:v>32.340000000000003</c:v>
                </c:pt>
                <c:pt idx="9">
                  <c:v>35.880000000000003</c:v>
                </c:pt>
                <c:pt idx="10">
                  <c:v>39.51</c:v>
                </c:pt>
                <c:pt idx="11">
                  <c:v>43.16</c:v>
                </c:pt>
                <c:pt idx="12">
                  <c:v>46.82</c:v>
                </c:pt>
                <c:pt idx="13">
                  <c:v>50.36</c:v>
                </c:pt>
                <c:pt idx="14">
                  <c:v>53.93</c:v>
                </c:pt>
                <c:pt idx="15">
                  <c:v>57.68</c:v>
                </c:pt>
                <c:pt idx="16">
                  <c:v>61.09</c:v>
                </c:pt>
                <c:pt idx="17">
                  <c:v>64.91</c:v>
                </c:pt>
                <c:pt idx="18">
                  <c:v>68.25</c:v>
                </c:pt>
                <c:pt idx="19">
                  <c:v>71.900000000000006</c:v>
                </c:pt>
                <c:pt idx="20">
                  <c:v>75.599999999999994</c:v>
                </c:pt>
                <c:pt idx="21">
                  <c:v>79.14</c:v>
                </c:pt>
                <c:pt idx="22">
                  <c:v>82.7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320-4F01-AB73-C22DFB120445}"/>
            </c:ext>
          </c:extLst>
        </c:ser>
        <c:ser>
          <c:idx val="7"/>
          <c:order val="8"/>
          <c:tx>
            <c:v>2018b13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Regression'!$N$3:$N$24</c:f>
              <c:numCache>
                <c:formatCode>General</c:formatCode>
                <c:ptCount val="22"/>
                <c:pt idx="0">
                  <c:v>3.59</c:v>
                </c:pt>
                <c:pt idx="1">
                  <c:v>7.1</c:v>
                </c:pt>
                <c:pt idx="2">
                  <c:v>10.69</c:v>
                </c:pt>
                <c:pt idx="3">
                  <c:v>14.2</c:v>
                </c:pt>
                <c:pt idx="4">
                  <c:v>17.88</c:v>
                </c:pt>
                <c:pt idx="5">
                  <c:v>21.37</c:v>
                </c:pt>
                <c:pt idx="6">
                  <c:v>24.88</c:v>
                </c:pt>
                <c:pt idx="7">
                  <c:v>28.51</c:v>
                </c:pt>
                <c:pt idx="8">
                  <c:v>32.04</c:v>
                </c:pt>
                <c:pt idx="9">
                  <c:v>35.69</c:v>
                </c:pt>
                <c:pt idx="10">
                  <c:v>39.18</c:v>
                </c:pt>
                <c:pt idx="11">
                  <c:v>42.75</c:v>
                </c:pt>
                <c:pt idx="12">
                  <c:v>46.32</c:v>
                </c:pt>
                <c:pt idx="13">
                  <c:v>49.84</c:v>
                </c:pt>
                <c:pt idx="14">
                  <c:v>53.4</c:v>
                </c:pt>
                <c:pt idx="15">
                  <c:v>57.1</c:v>
                </c:pt>
                <c:pt idx="16">
                  <c:v>60.63</c:v>
                </c:pt>
                <c:pt idx="17">
                  <c:v>64.17</c:v>
                </c:pt>
                <c:pt idx="18">
                  <c:v>67.61</c:v>
                </c:pt>
                <c:pt idx="19">
                  <c:v>71.38</c:v>
                </c:pt>
                <c:pt idx="20">
                  <c:v>74.81</c:v>
                </c:pt>
                <c:pt idx="21">
                  <c:v>78.790000000000006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84-412C-B680-0BED78DB3BA2}"/>
            </c:ext>
          </c:extLst>
        </c:ser>
        <c:ser>
          <c:idx val="8"/>
          <c:order val="9"/>
          <c:tx>
            <c:v>2018</c:v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Regression'!$O$3:$O$27</c:f>
              <c:numCache>
                <c:formatCode>General</c:formatCode>
                <c:ptCount val="25"/>
                <c:pt idx="0">
                  <c:v>3.64</c:v>
                </c:pt>
                <c:pt idx="1">
                  <c:v>7.17</c:v>
                </c:pt>
                <c:pt idx="2">
                  <c:v>10.75</c:v>
                </c:pt>
                <c:pt idx="3">
                  <c:v>14.37</c:v>
                </c:pt>
                <c:pt idx="4">
                  <c:v>17.98</c:v>
                </c:pt>
                <c:pt idx="5">
                  <c:v>21.6</c:v>
                </c:pt>
                <c:pt idx="6">
                  <c:v>25.26</c:v>
                </c:pt>
                <c:pt idx="7">
                  <c:v>28.75</c:v>
                </c:pt>
                <c:pt idx="8">
                  <c:v>32.26</c:v>
                </c:pt>
                <c:pt idx="9">
                  <c:v>35.75</c:v>
                </c:pt>
                <c:pt idx="10">
                  <c:v>39.5</c:v>
                </c:pt>
                <c:pt idx="11">
                  <c:v>43.04</c:v>
                </c:pt>
                <c:pt idx="12">
                  <c:v>46.59</c:v>
                </c:pt>
                <c:pt idx="13">
                  <c:v>50.26</c:v>
                </c:pt>
                <c:pt idx="14">
                  <c:v>53.72</c:v>
                </c:pt>
                <c:pt idx="15">
                  <c:v>57.39</c:v>
                </c:pt>
                <c:pt idx="16">
                  <c:v>60.84</c:v>
                </c:pt>
                <c:pt idx="17">
                  <c:v>64.5</c:v>
                </c:pt>
                <c:pt idx="18">
                  <c:v>68.11</c:v>
                </c:pt>
                <c:pt idx="19">
                  <c:v>71.650000000000006</c:v>
                </c:pt>
                <c:pt idx="20">
                  <c:v>75.25</c:v>
                </c:pt>
                <c:pt idx="21">
                  <c:v>78.97</c:v>
                </c:pt>
                <c:pt idx="22">
                  <c:v>82.52</c:v>
                </c:pt>
                <c:pt idx="23">
                  <c:v>86.27</c:v>
                </c:pt>
                <c:pt idx="24">
                  <c:v>90.01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D-4F9C-9208-FF708951B583}"/>
            </c:ext>
          </c:extLst>
        </c:ser>
        <c:ser>
          <c:idx val="9"/>
          <c:order val="10"/>
          <c:tx>
            <c:strRef>
              <c:f>'8108 Regression'!$Q$2</c:f>
              <c:strCache>
                <c:ptCount val="1"/>
                <c:pt idx="0">
                  <c:v>2020 B3</c:v>
                </c:pt>
              </c:strCache>
            </c:strRef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Regression'!$Q$3:$Q$27</c:f>
              <c:numCache>
                <c:formatCode>General</c:formatCode>
                <c:ptCount val="25"/>
                <c:pt idx="0">
                  <c:v>3.68</c:v>
                </c:pt>
                <c:pt idx="1">
                  <c:v>7.33</c:v>
                </c:pt>
                <c:pt idx="2">
                  <c:v>10.98</c:v>
                </c:pt>
                <c:pt idx="3">
                  <c:v>14.71</c:v>
                </c:pt>
                <c:pt idx="4">
                  <c:v>18.32</c:v>
                </c:pt>
                <c:pt idx="5">
                  <c:v>22.01</c:v>
                </c:pt>
                <c:pt idx="6">
                  <c:v>25.6</c:v>
                </c:pt>
                <c:pt idx="7">
                  <c:v>29.16</c:v>
                </c:pt>
                <c:pt idx="8">
                  <c:v>32.89</c:v>
                </c:pt>
                <c:pt idx="9">
                  <c:v>36.46</c:v>
                </c:pt>
                <c:pt idx="10">
                  <c:v>40.21</c:v>
                </c:pt>
                <c:pt idx="11">
                  <c:v>43.8</c:v>
                </c:pt>
                <c:pt idx="12">
                  <c:v>47.45</c:v>
                </c:pt>
                <c:pt idx="13">
                  <c:v>51.06</c:v>
                </c:pt>
                <c:pt idx="14">
                  <c:v>54.86</c:v>
                </c:pt>
                <c:pt idx="15">
                  <c:v>58.6</c:v>
                </c:pt>
                <c:pt idx="16">
                  <c:v>62.2</c:v>
                </c:pt>
                <c:pt idx="17">
                  <c:v>65.77</c:v>
                </c:pt>
                <c:pt idx="18">
                  <c:v>69.39</c:v>
                </c:pt>
                <c:pt idx="19">
                  <c:v>73.260000000000005</c:v>
                </c:pt>
                <c:pt idx="20">
                  <c:v>76.91</c:v>
                </c:pt>
                <c:pt idx="21">
                  <c:v>80.430000000000007</c:v>
                </c:pt>
                <c:pt idx="22">
                  <c:v>84.1</c:v>
                </c:pt>
                <c:pt idx="23">
                  <c:v>87.82</c:v>
                </c:pt>
                <c:pt idx="24">
                  <c:v>91.82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00-411B-B657-B97B635914B9}"/>
            </c:ext>
          </c:extLst>
        </c:ser>
        <c:ser>
          <c:idx val="11"/>
          <c:order val="11"/>
          <c:tx>
            <c:strRef>
              <c:f>'8108 Regression'!$R$2</c:f>
              <c:strCache>
                <c:ptCount val="1"/>
                <c:pt idx="0">
                  <c:v>2020 B78</c:v>
                </c:pt>
              </c:strCache>
            </c:strRef>
          </c:tx>
          <c:marker>
            <c:symbol val="none"/>
          </c:marker>
          <c:xVal>
            <c:numRef>
              <c:f>'8108 Regression'!$A$3:$A$27</c:f>
              <c:numCache>
                <c:formatCode>General</c:formatCode>
                <c:ptCount val="25"/>
                <c:pt idx="0">
                  <c:v>500</c:v>
                </c:pt>
                <c:pt idx="1">
                  <c:v>1000</c:v>
                </c:pt>
                <c:pt idx="2">
                  <c:v>1500</c:v>
                </c:pt>
                <c:pt idx="3">
                  <c:v>2000</c:v>
                </c:pt>
                <c:pt idx="4">
                  <c:v>2500</c:v>
                </c:pt>
                <c:pt idx="5">
                  <c:v>3000</c:v>
                </c:pt>
                <c:pt idx="6">
                  <c:v>3500</c:v>
                </c:pt>
                <c:pt idx="7">
                  <c:v>4000</c:v>
                </c:pt>
                <c:pt idx="8">
                  <c:v>4500</c:v>
                </c:pt>
                <c:pt idx="9">
                  <c:v>5000</c:v>
                </c:pt>
                <c:pt idx="10">
                  <c:v>5500</c:v>
                </c:pt>
                <c:pt idx="11">
                  <c:v>6000</c:v>
                </c:pt>
                <c:pt idx="12">
                  <c:v>6500</c:v>
                </c:pt>
                <c:pt idx="13">
                  <c:v>7000</c:v>
                </c:pt>
                <c:pt idx="14">
                  <c:v>7500</c:v>
                </c:pt>
                <c:pt idx="15">
                  <c:v>8000</c:v>
                </c:pt>
                <c:pt idx="16">
                  <c:v>8500</c:v>
                </c:pt>
                <c:pt idx="17">
                  <c:v>9000</c:v>
                </c:pt>
                <c:pt idx="18">
                  <c:v>9500</c:v>
                </c:pt>
                <c:pt idx="19">
                  <c:v>10000</c:v>
                </c:pt>
                <c:pt idx="20">
                  <c:v>10500</c:v>
                </c:pt>
                <c:pt idx="21">
                  <c:v>11000</c:v>
                </c:pt>
                <c:pt idx="22">
                  <c:v>11500</c:v>
                </c:pt>
                <c:pt idx="23">
                  <c:v>12000</c:v>
                </c:pt>
                <c:pt idx="24">
                  <c:v>12500</c:v>
                </c:pt>
              </c:numCache>
            </c:numRef>
          </c:xVal>
          <c:yVal>
            <c:numRef>
              <c:f>'8108 Regression'!$R$3:$R$27</c:f>
              <c:numCache>
                <c:formatCode>General</c:formatCode>
                <c:ptCount val="25"/>
                <c:pt idx="0">
                  <c:v>3.64</c:v>
                </c:pt>
                <c:pt idx="1">
                  <c:v>7.24</c:v>
                </c:pt>
                <c:pt idx="2">
                  <c:v>10.83</c:v>
                </c:pt>
                <c:pt idx="3">
                  <c:v>14.47</c:v>
                </c:pt>
                <c:pt idx="4">
                  <c:v>18.09</c:v>
                </c:pt>
                <c:pt idx="5">
                  <c:v>21.72</c:v>
                </c:pt>
                <c:pt idx="6">
                  <c:v>25.29</c:v>
                </c:pt>
                <c:pt idx="7">
                  <c:v>28.91</c:v>
                </c:pt>
                <c:pt idx="8">
                  <c:v>32.630000000000003</c:v>
                </c:pt>
                <c:pt idx="9">
                  <c:v>36.159999999999997</c:v>
                </c:pt>
                <c:pt idx="10">
                  <c:v>39.65</c:v>
                </c:pt>
                <c:pt idx="11">
                  <c:v>43.3</c:v>
                </c:pt>
                <c:pt idx="12">
                  <c:v>46.87</c:v>
                </c:pt>
                <c:pt idx="13">
                  <c:v>50.58</c:v>
                </c:pt>
                <c:pt idx="14">
                  <c:v>54.08</c:v>
                </c:pt>
                <c:pt idx="15">
                  <c:v>57.84</c:v>
                </c:pt>
                <c:pt idx="16">
                  <c:v>61.38</c:v>
                </c:pt>
                <c:pt idx="17">
                  <c:v>65.010000000000005</c:v>
                </c:pt>
                <c:pt idx="18">
                  <c:v>68.680000000000007</c:v>
                </c:pt>
                <c:pt idx="19">
                  <c:v>72.23</c:v>
                </c:pt>
                <c:pt idx="20">
                  <c:v>75.790000000000006</c:v>
                </c:pt>
                <c:pt idx="21">
                  <c:v>79.62</c:v>
                </c:pt>
                <c:pt idx="22">
                  <c:v>83.07</c:v>
                </c:pt>
                <c:pt idx="23">
                  <c:v>86.98</c:v>
                </c:pt>
                <c:pt idx="24">
                  <c:v>90.35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48-4181-A04B-FB7C00D98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8607040"/>
        <c:axId val="1"/>
      </c:scatterChart>
      <c:valAx>
        <c:axId val="35860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Loop Rate (Hz)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Average CPU Usage (%)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58607040"/>
        <c:crosses val="autoZero"/>
        <c:crossBetween val="midCat"/>
      </c:valAx>
    </c:plotArea>
    <c:legend>
      <c:legendPos val="r"/>
      <c:overlay val="0"/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266" l="0.70000000000000062" r="0.70000000000000062" t="0.75000000000000266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276225</xdr:colOff>
      <xdr:row>1</xdr:row>
      <xdr:rowOff>47625</xdr:rowOff>
    </xdr:from>
    <xdr:to>
      <xdr:col>31</xdr:col>
      <xdr:colOff>38100</xdr:colOff>
      <xdr:row>25</xdr:row>
      <xdr:rowOff>152400</xdr:rowOff>
    </xdr:to>
    <xdr:graphicFrame macro="">
      <xdr:nvGraphicFramePr>
        <xdr:cNvPr id="1430" name="Chart 1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1009650</xdr:colOff>
      <xdr:row>45</xdr:row>
      <xdr:rowOff>57150</xdr:rowOff>
    </xdr:from>
    <xdr:to>
      <xdr:col>2</xdr:col>
      <xdr:colOff>304800</xdr:colOff>
      <xdr:row>46</xdr:row>
      <xdr:rowOff>171450</xdr:rowOff>
    </xdr:to>
    <xdr:sp macro="" textlink="">
      <xdr:nvSpPr>
        <xdr:cNvPr id="1431" name="AutoShape 15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2419350" y="86296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114300</xdr:rowOff>
    </xdr:to>
    <xdr:sp macro="" textlink="">
      <xdr:nvSpPr>
        <xdr:cNvPr id="1432" name="AutoShape 16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477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114300</xdr:rowOff>
    </xdr:to>
    <xdr:sp macro="" textlink="">
      <xdr:nvSpPr>
        <xdr:cNvPr id="1433" name="AutoShape 17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667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304800</xdr:colOff>
      <xdr:row>37</xdr:row>
      <xdr:rowOff>114300</xdr:rowOff>
    </xdr:to>
    <xdr:sp macro="" textlink="">
      <xdr:nvSpPr>
        <xdr:cNvPr id="1434" name="AutoShape 18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0" y="6858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304800</xdr:colOff>
      <xdr:row>38</xdr:row>
      <xdr:rowOff>114300</xdr:rowOff>
    </xdr:to>
    <xdr:sp macro="" textlink="">
      <xdr:nvSpPr>
        <xdr:cNvPr id="1435" name="AutoShape 19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048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304800</xdr:colOff>
      <xdr:row>39</xdr:row>
      <xdr:rowOff>114300</xdr:rowOff>
    </xdr:to>
    <xdr:sp macro="" textlink="">
      <xdr:nvSpPr>
        <xdr:cNvPr id="1436" name="AutoShape 20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239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114300</xdr:rowOff>
    </xdr:to>
    <xdr:sp macro="" textlink="">
      <xdr:nvSpPr>
        <xdr:cNvPr id="1437" name="AutoShape 21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429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114300</xdr:rowOff>
    </xdr:to>
    <xdr:sp macro="" textlink="">
      <xdr:nvSpPr>
        <xdr:cNvPr id="1438" name="AutoShape 22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620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114300</xdr:rowOff>
    </xdr:to>
    <xdr:sp macro="" textlink="">
      <xdr:nvSpPr>
        <xdr:cNvPr id="1439" name="AutoShape 23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0" y="7810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304800</xdr:colOff>
      <xdr:row>43</xdr:row>
      <xdr:rowOff>114300</xdr:rowOff>
    </xdr:to>
    <xdr:sp macro="" textlink="">
      <xdr:nvSpPr>
        <xdr:cNvPr id="1440" name="AutoShape 24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001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304800</xdr:colOff>
      <xdr:row>44</xdr:row>
      <xdr:rowOff>114300</xdr:rowOff>
    </xdr:to>
    <xdr:sp macro="" textlink="">
      <xdr:nvSpPr>
        <xdr:cNvPr id="1441" name="AutoShape 25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191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304800</xdr:colOff>
      <xdr:row>45</xdr:row>
      <xdr:rowOff>114300</xdr:rowOff>
    </xdr:to>
    <xdr:sp macro="" textlink="">
      <xdr:nvSpPr>
        <xdr:cNvPr id="1442" name="AutoShape 26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382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304800</xdr:colOff>
      <xdr:row>46</xdr:row>
      <xdr:rowOff>114300</xdr:rowOff>
    </xdr:to>
    <xdr:sp macro="" textlink="">
      <xdr:nvSpPr>
        <xdr:cNvPr id="1443" name="AutoShape 27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572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304800</xdr:colOff>
      <xdr:row>47</xdr:row>
      <xdr:rowOff>114300</xdr:rowOff>
    </xdr:to>
    <xdr:sp macro="" textlink="">
      <xdr:nvSpPr>
        <xdr:cNvPr id="1444" name="AutoShape 28" descr="C:\Users\lvadmin\Documents\MAX\max_report_files\icon9.jpg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0" y="87630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29</xdr:row>
      <xdr:rowOff>38100</xdr:rowOff>
    </xdr:from>
    <xdr:to>
      <xdr:col>5</xdr:col>
      <xdr:colOff>561975</xdr:colOff>
      <xdr:row>45</xdr:row>
      <xdr:rowOff>95250</xdr:rowOff>
    </xdr:to>
    <xdr:pic>
      <xdr:nvPicPr>
        <xdr:cNvPr id="3101" name="Picture 1">
          <a:extLst>
            <a:ext uri="{FF2B5EF4-FFF2-40B4-BE49-F238E27FC236}">
              <a16:creationId xmlns:a16="http://schemas.microsoft.com/office/drawing/2014/main" id="{00000000-0008-0000-0100-00001D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0"/>
          <a:ext cx="3609975" cy="3105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00000000-0016-0000-0100-000002000000}" autoFormatId="16" applyNumberFormats="0" applyBorderFormats="0" applyFontFormats="0" applyPatternFormats="0" applyAlignmentFormats="0" applyWidthHeightFormats="0">
  <queryTableRefresh nextId="7">
    <queryTableFields count="6">
      <queryTableField id="1" name="Sleep" tableColumnId="1"/>
      <queryTableField id="2" name="Rate" tableColumnId="2"/>
      <queryTableField id="3" name="ISRs" tableColumnId="3"/>
      <queryTableField id="4" name="TL" tableColumnId="4"/>
      <queryTableField id="5" name="Other" tableColumnId="5"/>
      <queryTableField id="6" name="Total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8108_1" connectionId="1" xr16:uid="{00000000-0016-0000-0100-000000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" connectionId="3" xr16:uid="{00000000-0016-0000-0100-000001000000}" autoFormatId="16" applyNumberFormats="0" applyBorderFormats="0" applyFontFormats="0" applyPatternFormats="0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781F6-CC17-457A-BF92-A03BC501F9BC}" name="_8018" displayName="_8018" ref="H59:M81" tableType="queryTable" totalsRowShown="0" headerRowDxfId="10" dataDxfId="8" headerRowBorderDxfId="9" tableBorderDxfId="7" totalsRowBorderDxfId="6" dataCellStyle="Normal">
  <tableColumns count="6">
    <tableColumn id="1" xr3:uid="{A708CBE8-95E4-4C3A-A83F-52614C126584}" uniqueName="1" name="Sleep" queryTableFieldId="1" dataDxfId="5" dataCellStyle="Normal"/>
    <tableColumn id="2" xr3:uid="{552AFA8D-58E3-42AE-9732-0A0095B1070C}" uniqueName="2" name="Rate" queryTableFieldId="2" dataDxfId="4" dataCellStyle="Normal"/>
    <tableColumn id="3" xr3:uid="{35DB0EB7-40F1-4651-93FB-F9B9F5B97C1C}" uniqueName="3" name="ISRs" queryTableFieldId="3" dataDxfId="3" dataCellStyle="Normal"/>
    <tableColumn id="4" xr3:uid="{A74F8B5F-8707-4404-A17F-4F6BDC758F4B}" uniqueName="4" name="TL" queryTableFieldId="4" dataDxfId="2" dataCellStyle="Normal"/>
    <tableColumn id="5" xr3:uid="{B05172C4-B045-43BC-B3B3-6A448AF770A7}" uniqueName="5" name="Other" queryTableFieldId="5" dataDxfId="1" dataCellStyle="Normal"/>
    <tableColumn id="6" xr3:uid="{AA1D21AD-1603-4E0B-BCE8-6204FEADDBDF}" uniqueName="6" name="Total" queryTableFieldId="6" dataDxfId="0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queryTable" Target="../queryTables/queryTable3.xml"/><Relationship Id="rId4" Type="http://schemas.openxmlformats.org/officeDocument/2006/relationships/queryTable" Target="../queryTables/query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7"/>
  <sheetViews>
    <sheetView topLeftCell="E1" workbookViewId="0">
      <selection activeCell="R2" sqref="R2"/>
    </sheetView>
  </sheetViews>
  <sheetFormatPr defaultRowHeight="15" x14ac:dyDescent="0.25"/>
  <cols>
    <col min="1" max="1" width="14.85546875" style="6" customWidth="1"/>
    <col min="2" max="2" width="8.5703125" style="6" customWidth="1"/>
    <col min="3" max="3" width="11.28515625" style="6" customWidth="1"/>
    <col min="4" max="4" width="0" style="6" hidden="1" customWidth="1"/>
    <col min="5" max="5" width="9.140625" style="6"/>
    <col min="6" max="6" width="10" style="6" bestFit="1" customWidth="1"/>
    <col min="7" max="8" width="12" style="6" bestFit="1" customWidth="1"/>
    <col min="9" max="15" width="9.140625" style="6"/>
    <col min="16" max="16" width="9.140625" style="22"/>
    <col min="17" max="16384" width="9.140625" style="6"/>
  </cols>
  <sheetData>
    <row r="1" spans="1:18" x14ac:dyDescent="0.25">
      <c r="B1" s="24" t="s">
        <v>0</v>
      </c>
      <c r="C1" s="24"/>
      <c r="D1" s="24"/>
      <c r="E1" s="24"/>
    </row>
    <row r="2" spans="1:18" x14ac:dyDescent="0.25">
      <c r="A2" s="18" t="s">
        <v>1</v>
      </c>
      <c r="B2" s="18">
        <v>2012</v>
      </c>
      <c r="C2" s="18">
        <v>2013</v>
      </c>
      <c r="D2" s="18" t="s">
        <v>2</v>
      </c>
      <c r="E2" s="18" t="s">
        <v>3</v>
      </c>
      <c r="F2" s="18" t="s">
        <v>4</v>
      </c>
      <c r="G2" s="18" t="s">
        <v>5</v>
      </c>
      <c r="H2" s="18" t="s">
        <v>13</v>
      </c>
      <c r="I2" s="18" t="s">
        <v>14</v>
      </c>
      <c r="J2" s="18">
        <v>2016</v>
      </c>
      <c r="K2" s="18" t="s">
        <v>15</v>
      </c>
      <c r="L2" s="18" t="s">
        <v>16</v>
      </c>
      <c r="M2" s="18">
        <v>2017</v>
      </c>
      <c r="N2" s="19" t="s">
        <v>17</v>
      </c>
      <c r="O2" s="19">
        <v>2018</v>
      </c>
      <c r="P2" s="19">
        <f>rawdata_8108!V58</f>
        <v>2019</v>
      </c>
      <c r="Q2" s="19" t="str">
        <f>rawdata_8108!H86</f>
        <v>2020 B3</v>
      </c>
      <c r="R2" s="19" t="str">
        <f>rawdata_8108!O86</f>
        <v>2020 B78</v>
      </c>
    </row>
    <row r="3" spans="1:18" x14ac:dyDescent="0.25">
      <c r="A3" s="6">
        <v>500</v>
      </c>
      <c r="B3" s="6">
        <v>3.47</v>
      </c>
      <c r="C3" s="6">
        <v>3.58</v>
      </c>
      <c r="D3" s="6">
        <v>3.6</v>
      </c>
      <c r="E3" s="6">
        <v>3.6</v>
      </c>
      <c r="F3" s="6">
        <v>3.72</v>
      </c>
      <c r="G3" s="6">
        <v>3.69</v>
      </c>
      <c r="H3" s="6">
        <v>3.71</v>
      </c>
      <c r="I3" s="6">
        <v>3.74</v>
      </c>
      <c r="J3" s="6">
        <v>3.6</v>
      </c>
      <c r="K3" s="6">
        <v>3.66</v>
      </c>
      <c r="L3" s="7">
        <v>3.61</v>
      </c>
      <c r="M3" s="7">
        <v>3.63</v>
      </c>
      <c r="N3" s="16">
        <v>3.59</v>
      </c>
      <c r="O3">
        <v>3.64</v>
      </c>
      <c r="P3" s="20">
        <f>rawdata_8108!AA60</f>
        <v>3.65</v>
      </c>
      <c r="Q3">
        <f>rawdata_8108!M88</f>
        <v>3.68</v>
      </c>
      <c r="R3" s="20">
        <f>rawdata_8108!T88</f>
        <v>3.64</v>
      </c>
    </row>
    <row r="4" spans="1:18" x14ac:dyDescent="0.25">
      <c r="A4" s="6">
        <f>A3+500</f>
        <v>1000</v>
      </c>
      <c r="B4" s="6">
        <v>6.93</v>
      </c>
      <c r="C4" s="6">
        <v>7.07</v>
      </c>
      <c r="D4" s="6">
        <v>7.11</v>
      </c>
      <c r="E4" s="6">
        <v>7.14</v>
      </c>
      <c r="F4" s="6">
        <v>7.37</v>
      </c>
      <c r="G4" s="6">
        <v>7.33</v>
      </c>
      <c r="H4" s="6">
        <v>7.34</v>
      </c>
      <c r="I4" s="6">
        <v>7.37</v>
      </c>
      <c r="J4" s="6">
        <v>7.17</v>
      </c>
      <c r="K4" s="6">
        <v>7.18</v>
      </c>
      <c r="L4" s="7">
        <v>7.15</v>
      </c>
      <c r="M4" s="7">
        <v>7.18</v>
      </c>
      <c r="N4" s="16">
        <v>7.1</v>
      </c>
      <c r="O4">
        <v>7.17</v>
      </c>
      <c r="P4" s="20">
        <f>rawdata_8108!AA61</f>
        <v>7.19</v>
      </c>
      <c r="Q4">
        <f>rawdata_8108!M89</f>
        <v>7.33</v>
      </c>
      <c r="R4" s="20">
        <f>rawdata_8108!T89</f>
        <v>7.24</v>
      </c>
    </row>
    <row r="5" spans="1:18" x14ac:dyDescent="0.25">
      <c r="A5" s="6">
        <f t="shared" ref="A5:A27" si="0">A4+500</f>
        <v>1500</v>
      </c>
      <c r="B5" s="6">
        <v>10.32</v>
      </c>
      <c r="C5" s="6">
        <v>10.63</v>
      </c>
      <c r="D5" s="6">
        <v>10.67</v>
      </c>
      <c r="E5" s="6">
        <v>10.69</v>
      </c>
      <c r="F5" s="6">
        <v>11.05</v>
      </c>
      <c r="G5" s="6">
        <v>11</v>
      </c>
      <c r="H5" s="6">
        <v>11.01</v>
      </c>
      <c r="I5" s="6">
        <v>11.11</v>
      </c>
      <c r="J5" s="6">
        <v>10.77</v>
      </c>
      <c r="K5" s="6">
        <v>10.81</v>
      </c>
      <c r="L5" s="7">
        <v>10.78</v>
      </c>
      <c r="M5" s="7">
        <v>10.78</v>
      </c>
      <c r="N5" s="16">
        <v>10.69</v>
      </c>
      <c r="O5">
        <v>10.75</v>
      </c>
      <c r="P5" s="20">
        <f>rawdata_8108!AA62</f>
        <v>10.78</v>
      </c>
      <c r="Q5">
        <f>rawdata_8108!M90</f>
        <v>10.98</v>
      </c>
      <c r="R5" s="20">
        <f>rawdata_8108!T90</f>
        <v>10.83</v>
      </c>
    </row>
    <row r="6" spans="1:18" x14ac:dyDescent="0.25">
      <c r="A6" s="6">
        <f t="shared" si="0"/>
        <v>2000</v>
      </c>
      <c r="B6" s="6">
        <v>13.76</v>
      </c>
      <c r="C6" s="6">
        <v>14.15</v>
      </c>
      <c r="D6" s="6">
        <v>14.22</v>
      </c>
      <c r="E6" s="6">
        <v>14.23</v>
      </c>
      <c r="F6" s="6">
        <v>14.78</v>
      </c>
      <c r="G6" s="6">
        <v>14.62</v>
      </c>
      <c r="H6" s="6">
        <v>14.69</v>
      </c>
      <c r="I6" s="6">
        <v>14.76</v>
      </c>
      <c r="J6" s="6">
        <v>14.37</v>
      </c>
      <c r="K6" s="6">
        <v>14.37</v>
      </c>
      <c r="L6" s="7">
        <v>14.34</v>
      </c>
      <c r="M6" s="7">
        <v>14.42</v>
      </c>
      <c r="N6" s="16">
        <v>14.2</v>
      </c>
      <c r="O6">
        <v>14.37</v>
      </c>
      <c r="P6" s="20">
        <f>rawdata_8108!AA63</f>
        <v>14.39</v>
      </c>
      <c r="Q6">
        <f>rawdata_8108!M91</f>
        <v>14.71</v>
      </c>
      <c r="R6" s="20">
        <f>rawdata_8108!T91</f>
        <v>14.47</v>
      </c>
    </row>
    <row r="7" spans="1:18" x14ac:dyDescent="0.25">
      <c r="A7" s="6">
        <f t="shared" si="0"/>
        <v>2500</v>
      </c>
      <c r="B7" s="6">
        <v>17.2</v>
      </c>
      <c r="C7" s="6">
        <v>17.68</v>
      </c>
      <c r="D7" s="6">
        <v>17.79</v>
      </c>
      <c r="E7" s="6">
        <v>17.84</v>
      </c>
      <c r="F7" s="6">
        <v>18.45</v>
      </c>
      <c r="G7" s="6">
        <v>18.3</v>
      </c>
      <c r="H7" s="6">
        <v>18.38</v>
      </c>
      <c r="I7" s="6">
        <v>18.47</v>
      </c>
      <c r="J7" s="6">
        <v>17.97</v>
      </c>
      <c r="K7" s="6">
        <v>17.989999999999998</v>
      </c>
      <c r="L7" s="7">
        <v>17.96</v>
      </c>
      <c r="M7" s="7">
        <v>18.04</v>
      </c>
      <c r="N7" s="16">
        <v>17.88</v>
      </c>
      <c r="O7">
        <v>17.98</v>
      </c>
      <c r="P7" s="20">
        <f>rawdata_8108!AA64</f>
        <v>18</v>
      </c>
      <c r="Q7">
        <f>rawdata_8108!M92</f>
        <v>18.32</v>
      </c>
      <c r="R7" s="20">
        <f>rawdata_8108!T92</f>
        <v>18.09</v>
      </c>
    </row>
    <row r="8" spans="1:18" x14ac:dyDescent="0.25">
      <c r="A8" s="6">
        <f t="shared" si="0"/>
        <v>3000</v>
      </c>
      <c r="B8" s="6">
        <v>20.67</v>
      </c>
      <c r="C8" s="6">
        <v>21.27</v>
      </c>
      <c r="D8" s="6">
        <v>21.38</v>
      </c>
      <c r="E8" s="6">
        <v>21.45</v>
      </c>
      <c r="F8" s="6">
        <v>22.14</v>
      </c>
      <c r="G8" s="6">
        <v>21.96</v>
      </c>
      <c r="H8" s="6">
        <v>22.12</v>
      </c>
      <c r="I8" s="6">
        <v>22.16</v>
      </c>
      <c r="J8" s="6">
        <v>21.61</v>
      </c>
      <c r="K8" s="6">
        <v>21.63</v>
      </c>
      <c r="L8" s="7">
        <v>21.48</v>
      </c>
      <c r="M8" s="7">
        <v>21.63</v>
      </c>
      <c r="N8" s="16">
        <v>21.37</v>
      </c>
      <c r="O8">
        <v>21.6</v>
      </c>
      <c r="P8" s="20">
        <f>rawdata_8108!AA65</f>
        <v>21.64</v>
      </c>
      <c r="Q8">
        <f>rawdata_8108!M93</f>
        <v>22.01</v>
      </c>
      <c r="R8" s="20">
        <f>rawdata_8108!T93</f>
        <v>21.72</v>
      </c>
    </row>
    <row r="9" spans="1:18" x14ac:dyDescent="0.25">
      <c r="A9" s="6">
        <f t="shared" si="0"/>
        <v>3500</v>
      </c>
      <c r="B9" s="6">
        <v>24.04</v>
      </c>
      <c r="C9" s="6">
        <v>24.76</v>
      </c>
      <c r="D9" s="6">
        <v>24.96</v>
      </c>
      <c r="E9" s="6">
        <v>24.98</v>
      </c>
      <c r="F9" s="6">
        <v>25.92</v>
      </c>
      <c r="G9" s="6">
        <v>25.64</v>
      </c>
      <c r="H9" s="6">
        <v>25.77</v>
      </c>
      <c r="I9" s="6">
        <v>25.83</v>
      </c>
      <c r="J9" s="6">
        <v>25.09</v>
      </c>
      <c r="K9" s="6">
        <v>25.23</v>
      </c>
      <c r="L9" s="7">
        <v>25.16</v>
      </c>
      <c r="M9" s="7">
        <v>25.24</v>
      </c>
      <c r="N9" s="16">
        <v>24.88</v>
      </c>
      <c r="O9">
        <v>25.26</v>
      </c>
      <c r="P9" s="20">
        <f>rawdata_8108!AA66</f>
        <v>25.21</v>
      </c>
      <c r="Q9">
        <f>rawdata_8108!M94</f>
        <v>25.6</v>
      </c>
      <c r="R9" s="20">
        <f>rawdata_8108!T94</f>
        <v>25.29</v>
      </c>
    </row>
    <row r="10" spans="1:18" x14ac:dyDescent="0.25">
      <c r="A10" s="6">
        <f t="shared" si="0"/>
        <v>4000</v>
      </c>
      <c r="B10" s="6">
        <v>27.5</v>
      </c>
      <c r="C10" s="6">
        <v>28.27</v>
      </c>
      <c r="D10" s="6">
        <v>28.61</v>
      </c>
      <c r="E10" s="6">
        <v>28.51</v>
      </c>
      <c r="F10" s="6">
        <v>29.56</v>
      </c>
      <c r="G10" s="6">
        <v>29.29</v>
      </c>
      <c r="H10" s="6">
        <v>29.41</v>
      </c>
      <c r="I10" s="6">
        <v>29.51</v>
      </c>
      <c r="J10" s="6">
        <v>28.63</v>
      </c>
      <c r="K10" s="6">
        <v>28.64</v>
      </c>
      <c r="L10" s="7">
        <v>28.57</v>
      </c>
      <c r="M10" s="7">
        <v>28.76</v>
      </c>
      <c r="N10" s="16">
        <v>28.51</v>
      </c>
      <c r="O10">
        <v>28.75</v>
      </c>
      <c r="P10" s="20">
        <f>rawdata_8108!AA67</f>
        <v>28.72</v>
      </c>
      <c r="Q10">
        <f>rawdata_8108!M95</f>
        <v>29.16</v>
      </c>
      <c r="R10" s="20">
        <f>rawdata_8108!T95</f>
        <v>28.91</v>
      </c>
    </row>
    <row r="11" spans="1:18" x14ac:dyDescent="0.25">
      <c r="A11" s="6">
        <f t="shared" si="0"/>
        <v>4500</v>
      </c>
      <c r="B11" s="6">
        <v>30.96</v>
      </c>
      <c r="C11" s="6">
        <v>31.86</v>
      </c>
      <c r="D11" s="6">
        <v>32.07</v>
      </c>
      <c r="E11" s="6">
        <v>32.17</v>
      </c>
      <c r="F11" s="6">
        <v>33.19</v>
      </c>
      <c r="G11" s="6">
        <v>32.94</v>
      </c>
      <c r="H11" s="6">
        <v>33.049999999999997</v>
      </c>
      <c r="I11" s="6">
        <v>33.229999999999997</v>
      </c>
      <c r="J11" s="6">
        <v>32.25</v>
      </c>
      <c r="K11" s="6">
        <v>32.270000000000003</v>
      </c>
      <c r="L11" s="7">
        <v>32.18</v>
      </c>
      <c r="M11" s="7">
        <v>32.340000000000003</v>
      </c>
      <c r="N11" s="16">
        <v>32.04</v>
      </c>
      <c r="O11">
        <v>32.26</v>
      </c>
      <c r="P11" s="20">
        <f>rawdata_8108!AA68</f>
        <v>32.39</v>
      </c>
      <c r="Q11">
        <f>rawdata_8108!M96</f>
        <v>32.89</v>
      </c>
      <c r="R11" s="20">
        <f>rawdata_8108!T96</f>
        <v>32.630000000000003</v>
      </c>
    </row>
    <row r="12" spans="1:18" x14ac:dyDescent="0.25">
      <c r="A12" s="6">
        <f t="shared" si="0"/>
        <v>5000</v>
      </c>
      <c r="B12" s="6">
        <v>34.39</v>
      </c>
      <c r="C12" s="6">
        <v>35.33</v>
      </c>
      <c r="D12" s="6">
        <v>35.69</v>
      </c>
      <c r="E12" s="6">
        <v>35.64</v>
      </c>
      <c r="F12" s="6">
        <v>36.97</v>
      </c>
      <c r="G12" s="6">
        <v>36.619999999999997</v>
      </c>
      <c r="H12" s="6">
        <v>36.74</v>
      </c>
      <c r="I12" s="6">
        <v>36.909999999999997</v>
      </c>
      <c r="J12" s="6">
        <v>35.979999999999997</v>
      </c>
      <c r="K12" s="6">
        <v>35.9</v>
      </c>
      <c r="L12" s="7">
        <v>35.76</v>
      </c>
      <c r="M12" s="7">
        <v>35.880000000000003</v>
      </c>
      <c r="N12" s="16">
        <v>35.69</v>
      </c>
      <c r="O12">
        <v>35.75</v>
      </c>
      <c r="P12" s="20">
        <f>rawdata_8108!AA69</f>
        <v>35.9</v>
      </c>
      <c r="Q12">
        <f>rawdata_8108!M97</f>
        <v>36.46</v>
      </c>
      <c r="R12" s="20">
        <f>rawdata_8108!T97</f>
        <v>36.159999999999997</v>
      </c>
    </row>
    <row r="13" spans="1:18" x14ac:dyDescent="0.25">
      <c r="A13" s="6">
        <f t="shared" si="0"/>
        <v>5500</v>
      </c>
      <c r="B13" s="6">
        <v>37.86</v>
      </c>
      <c r="C13" s="6">
        <v>38.97</v>
      </c>
      <c r="D13" s="6">
        <v>39.229999999999997</v>
      </c>
      <c r="E13" s="6">
        <v>39.200000000000003</v>
      </c>
      <c r="F13" s="6">
        <v>40.69</v>
      </c>
      <c r="G13" s="6">
        <v>40.19</v>
      </c>
      <c r="H13" s="6">
        <v>40.54</v>
      </c>
      <c r="I13" s="6">
        <v>40.64</v>
      </c>
      <c r="J13" s="6">
        <v>39.479999999999997</v>
      </c>
      <c r="K13" s="6">
        <v>39.43</v>
      </c>
      <c r="L13" s="7">
        <v>39.409999999999997</v>
      </c>
      <c r="M13" s="7">
        <v>39.51</v>
      </c>
      <c r="N13" s="16">
        <v>39.18</v>
      </c>
      <c r="O13">
        <v>39.5</v>
      </c>
      <c r="P13" s="20">
        <f>rawdata_8108!AA70</f>
        <v>39.520000000000003</v>
      </c>
      <c r="Q13">
        <f>rawdata_8108!M98</f>
        <v>40.21</v>
      </c>
      <c r="R13" s="20">
        <f>rawdata_8108!T98</f>
        <v>39.65</v>
      </c>
    </row>
    <row r="14" spans="1:18" x14ac:dyDescent="0.25">
      <c r="A14" s="6">
        <f t="shared" si="0"/>
        <v>6000</v>
      </c>
      <c r="B14" s="6">
        <v>41.36</v>
      </c>
      <c r="C14" s="6">
        <v>42.51</v>
      </c>
      <c r="D14" s="6">
        <v>42.85</v>
      </c>
      <c r="E14" s="6">
        <v>42.88</v>
      </c>
      <c r="F14" s="6">
        <v>44.41</v>
      </c>
      <c r="G14" s="6">
        <v>43.88</v>
      </c>
      <c r="H14" s="6">
        <v>44.09</v>
      </c>
      <c r="I14" s="6">
        <v>44.22</v>
      </c>
      <c r="J14" s="6">
        <v>43.02</v>
      </c>
      <c r="K14" s="6">
        <v>43</v>
      </c>
      <c r="L14" s="7">
        <v>42.95</v>
      </c>
      <c r="M14" s="7">
        <v>43.16</v>
      </c>
      <c r="N14" s="16">
        <v>42.75</v>
      </c>
      <c r="O14">
        <v>43.04</v>
      </c>
      <c r="P14" s="20">
        <f>rawdata_8108!AA71</f>
        <v>43.04</v>
      </c>
      <c r="Q14">
        <f>rawdata_8108!M99</f>
        <v>43.8</v>
      </c>
      <c r="R14" s="20">
        <f>rawdata_8108!T99</f>
        <v>43.3</v>
      </c>
    </row>
    <row r="15" spans="1:18" x14ac:dyDescent="0.25">
      <c r="A15" s="6">
        <f t="shared" si="0"/>
        <v>6500</v>
      </c>
      <c r="B15" s="6">
        <v>44.7</v>
      </c>
      <c r="C15" s="6">
        <v>46.03</v>
      </c>
      <c r="D15" s="6">
        <v>46.37</v>
      </c>
      <c r="E15" s="6">
        <v>46.45</v>
      </c>
      <c r="F15" s="6">
        <v>48.05</v>
      </c>
      <c r="G15" s="6">
        <v>47.59</v>
      </c>
      <c r="H15" s="6">
        <v>47.88</v>
      </c>
      <c r="I15" s="6">
        <v>47.99</v>
      </c>
      <c r="J15" s="6">
        <v>46.57</v>
      </c>
      <c r="K15" s="6">
        <v>46.57</v>
      </c>
      <c r="L15" s="7">
        <v>46.45</v>
      </c>
      <c r="M15" s="7">
        <v>46.82</v>
      </c>
      <c r="N15" s="16">
        <v>46.32</v>
      </c>
      <c r="O15">
        <v>46.59</v>
      </c>
      <c r="P15" s="20">
        <f>rawdata_8108!AA72</f>
        <v>46.6</v>
      </c>
      <c r="Q15">
        <f>rawdata_8108!M100</f>
        <v>47.45</v>
      </c>
      <c r="R15" s="20">
        <f>rawdata_8108!T100</f>
        <v>46.87</v>
      </c>
    </row>
    <row r="16" spans="1:18" x14ac:dyDescent="0.25">
      <c r="A16" s="6">
        <f t="shared" si="0"/>
        <v>7000</v>
      </c>
      <c r="B16" s="6">
        <v>48.23</v>
      </c>
      <c r="C16" s="6">
        <v>49.46</v>
      </c>
      <c r="D16" s="6">
        <v>49.92</v>
      </c>
      <c r="E16" s="6">
        <v>49.95</v>
      </c>
      <c r="F16" s="6">
        <v>51.78</v>
      </c>
      <c r="G16" s="6">
        <v>51.15</v>
      </c>
      <c r="H16" s="6">
        <v>51.47</v>
      </c>
      <c r="I16" s="6">
        <v>51.6</v>
      </c>
      <c r="J16" s="6">
        <v>50.27</v>
      </c>
      <c r="K16" s="6">
        <v>50.4</v>
      </c>
      <c r="L16" s="7">
        <v>50.07</v>
      </c>
      <c r="M16" s="7">
        <v>50.36</v>
      </c>
      <c r="N16" s="16">
        <v>49.84</v>
      </c>
      <c r="O16">
        <v>50.26</v>
      </c>
      <c r="P16" s="20">
        <f>rawdata_8108!AA73</f>
        <v>50.28</v>
      </c>
      <c r="Q16">
        <f>rawdata_8108!M101</f>
        <v>51.06</v>
      </c>
      <c r="R16" s="20">
        <f>rawdata_8108!T101</f>
        <v>50.58</v>
      </c>
    </row>
    <row r="17" spans="1:18" x14ac:dyDescent="0.25">
      <c r="A17" s="6">
        <f t="shared" si="0"/>
        <v>7500</v>
      </c>
      <c r="B17" s="6">
        <v>51.67</v>
      </c>
      <c r="C17" s="6">
        <v>53.16</v>
      </c>
      <c r="D17" s="6">
        <v>53.53</v>
      </c>
      <c r="E17" s="6">
        <v>53.64</v>
      </c>
      <c r="F17" s="6">
        <v>55.55</v>
      </c>
      <c r="G17" s="6">
        <v>54.9</v>
      </c>
      <c r="H17" s="6">
        <v>55.18</v>
      </c>
      <c r="I17" s="6">
        <v>55.44</v>
      </c>
      <c r="J17" s="6">
        <v>53.74</v>
      </c>
      <c r="K17" s="6">
        <v>53.92</v>
      </c>
      <c r="L17" s="7">
        <v>53.72</v>
      </c>
      <c r="M17" s="7">
        <v>53.93</v>
      </c>
      <c r="N17" s="16">
        <v>53.4</v>
      </c>
      <c r="O17">
        <v>53.72</v>
      </c>
      <c r="P17" s="20">
        <f>rawdata_8108!AA74</f>
        <v>53.85</v>
      </c>
      <c r="Q17">
        <f>rawdata_8108!M102</f>
        <v>54.86</v>
      </c>
      <c r="R17" s="20">
        <f>rawdata_8108!T102</f>
        <v>54.08</v>
      </c>
    </row>
    <row r="18" spans="1:18" x14ac:dyDescent="0.25">
      <c r="A18" s="6">
        <f t="shared" si="0"/>
        <v>8000</v>
      </c>
      <c r="B18" s="6">
        <v>55.08</v>
      </c>
      <c r="C18" s="6">
        <v>56.66</v>
      </c>
      <c r="D18" s="6">
        <v>57.03</v>
      </c>
      <c r="E18" s="6">
        <v>57.26</v>
      </c>
      <c r="F18" s="6">
        <v>59.07</v>
      </c>
      <c r="G18" s="6">
        <v>58.54</v>
      </c>
      <c r="H18" s="6">
        <v>58.89</v>
      </c>
      <c r="I18" s="6">
        <v>59.15</v>
      </c>
      <c r="J18" s="6">
        <v>57.38</v>
      </c>
      <c r="K18" s="6">
        <v>57.33</v>
      </c>
      <c r="L18" s="7">
        <v>57.31</v>
      </c>
      <c r="M18" s="7">
        <v>57.68</v>
      </c>
      <c r="N18" s="16">
        <v>57.1</v>
      </c>
      <c r="O18">
        <v>57.39</v>
      </c>
      <c r="P18" s="20">
        <f>rawdata_8108!AA75</f>
        <v>57.57</v>
      </c>
      <c r="Q18">
        <f>rawdata_8108!M103</f>
        <v>58.6</v>
      </c>
      <c r="R18" s="20">
        <f>rawdata_8108!T103</f>
        <v>57.84</v>
      </c>
    </row>
    <row r="19" spans="1:18" x14ac:dyDescent="0.25">
      <c r="A19" s="6">
        <f t="shared" si="0"/>
        <v>8500</v>
      </c>
      <c r="B19" s="6">
        <v>58.61</v>
      </c>
      <c r="C19" s="6">
        <v>60.23</v>
      </c>
      <c r="D19" s="6">
        <v>60.65</v>
      </c>
      <c r="E19" s="6">
        <v>60.82</v>
      </c>
      <c r="F19" s="6">
        <v>62.92</v>
      </c>
      <c r="G19" s="6">
        <v>62.27</v>
      </c>
      <c r="H19" s="6">
        <v>62.65</v>
      </c>
      <c r="I19" s="6">
        <v>62.92</v>
      </c>
      <c r="J19" s="6">
        <v>60.98</v>
      </c>
      <c r="K19" s="6">
        <v>61.1</v>
      </c>
      <c r="L19" s="7">
        <v>60.82</v>
      </c>
      <c r="M19" s="7">
        <v>61.09</v>
      </c>
      <c r="N19" s="16">
        <v>60.63</v>
      </c>
      <c r="O19">
        <v>60.84</v>
      </c>
      <c r="P19" s="20">
        <f>rawdata_8108!AA76</f>
        <v>61.17</v>
      </c>
      <c r="Q19">
        <f>rawdata_8108!M104</f>
        <v>62.2</v>
      </c>
      <c r="R19" s="20">
        <f>rawdata_8108!T104</f>
        <v>61.38</v>
      </c>
    </row>
    <row r="20" spans="1:18" x14ac:dyDescent="0.25">
      <c r="A20" s="6">
        <f t="shared" si="0"/>
        <v>9000</v>
      </c>
      <c r="B20" s="6">
        <v>61.95</v>
      </c>
      <c r="C20" s="6">
        <v>63.74</v>
      </c>
      <c r="D20" s="6">
        <v>64.040000000000006</v>
      </c>
      <c r="E20" s="6">
        <v>64.3</v>
      </c>
      <c r="F20" s="6">
        <v>66.64</v>
      </c>
      <c r="G20" s="6">
        <v>65.739999999999995</v>
      </c>
      <c r="H20" s="6">
        <v>66.38</v>
      </c>
      <c r="I20" s="6">
        <v>66.44</v>
      </c>
      <c r="J20" s="6">
        <v>64.66</v>
      </c>
      <c r="K20" s="6">
        <v>64.540000000000006</v>
      </c>
      <c r="L20" s="7">
        <v>64.44</v>
      </c>
      <c r="M20" s="7">
        <v>64.91</v>
      </c>
      <c r="N20" s="16">
        <v>64.17</v>
      </c>
      <c r="O20">
        <v>64.5</v>
      </c>
      <c r="P20" s="20">
        <f>rawdata_8108!AA77</f>
        <v>64.77</v>
      </c>
      <c r="Q20">
        <f>rawdata_8108!M105</f>
        <v>65.77</v>
      </c>
      <c r="R20" s="20">
        <f>rawdata_8108!T105</f>
        <v>65.010000000000005</v>
      </c>
    </row>
    <row r="21" spans="1:18" x14ac:dyDescent="0.25">
      <c r="A21" s="6">
        <f t="shared" si="0"/>
        <v>9500</v>
      </c>
      <c r="B21" s="6">
        <v>65.61</v>
      </c>
      <c r="C21" s="6">
        <v>67.36</v>
      </c>
      <c r="D21" s="6">
        <v>67.849999999999994</v>
      </c>
      <c r="E21" s="6">
        <v>67.98</v>
      </c>
      <c r="F21" s="6">
        <v>70.41</v>
      </c>
      <c r="G21" s="6">
        <v>69.66</v>
      </c>
      <c r="H21" s="6">
        <v>70.17</v>
      </c>
      <c r="I21" s="6">
        <v>70.27</v>
      </c>
      <c r="J21" s="6">
        <v>68.09</v>
      </c>
      <c r="K21" s="6">
        <v>68.25</v>
      </c>
      <c r="L21" s="7">
        <v>68</v>
      </c>
      <c r="M21" s="7">
        <v>68.25</v>
      </c>
      <c r="N21" s="16">
        <v>67.61</v>
      </c>
      <c r="O21">
        <v>68.11</v>
      </c>
      <c r="P21" s="20">
        <f>rawdata_8108!AA78</f>
        <v>68.260000000000005</v>
      </c>
      <c r="Q21">
        <f>rawdata_8108!M106</f>
        <v>69.39</v>
      </c>
      <c r="R21" s="20">
        <f>rawdata_8108!T106</f>
        <v>68.680000000000007</v>
      </c>
    </row>
    <row r="22" spans="1:18" x14ac:dyDescent="0.25">
      <c r="A22" s="6">
        <f t="shared" si="0"/>
        <v>10000</v>
      </c>
      <c r="B22" s="6">
        <v>69.040000000000006</v>
      </c>
      <c r="C22" s="6">
        <v>71.03</v>
      </c>
      <c r="D22" s="6">
        <v>71.540000000000006</v>
      </c>
      <c r="E22" s="6">
        <v>71.55</v>
      </c>
      <c r="F22" s="6">
        <v>73.930000000000007</v>
      </c>
      <c r="G22" s="6">
        <v>73.23</v>
      </c>
      <c r="H22" s="6">
        <v>73.599999999999994</v>
      </c>
      <c r="I22" s="6">
        <v>73.89</v>
      </c>
      <c r="J22" s="6">
        <v>71.69</v>
      </c>
      <c r="K22" s="6">
        <v>71.78</v>
      </c>
      <c r="L22" s="7">
        <v>71.61</v>
      </c>
      <c r="M22" s="7">
        <v>71.900000000000006</v>
      </c>
      <c r="N22" s="16">
        <v>71.38</v>
      </c>
      <c r="O22">
        <v>71.650000000000006</v>
      </c>
      <c r="P22" s="20">
        <f>rawdata_8108!AA79</f>
        <v>71.89</v>
      </c>
      <c r="Q22">
        <f>rawdata_8108!M107</f>
        <v>73.260000000000005</v>
      </c>
      <c r="R22" s="20">
        <f>rawdata_8108!T107</f>
        <v>72.23</v>
      </c>
    </row>
    <row r="23" spans="1:18" x14ac:dyDescent="0.25">
      <c r="A23" s="6">
        <f t="shared" si="0"/>
        <v>10500</v>
      </c>
      <c r="B23" s="6">
        <v>72.42</v>
      </c>
      <c r="C23" s="6">
        <v>74.680000000000007</v>
      </c>
      <c r="D23" s="6">
        <v>75.180000000000007</v>
      </c>
      <c r="E23" s="6">
        <v>74.930000000000007</v>
      </c>
      <c r="F23" s="6">
        <v>77.8</v>
      </c>
      <c r="G23" s="6">
        <v>76.91</v>
      </c>
      <c r="H23" s="6">
        <v>77.510000000000005</v>
      </c>
      <c r="I23" s="6">
        <v>77.84</v>
      </c>
      <c r="J23" s="6">
        <v>75.22</v>
      </c>
      <c r="K23" s="6">
        <v>75.430000000000007</v>
      </c>
      <c r="L23" s="7">
        <v>75.290000000000006</v>
      </c>
      <c r="M23" s="7">
        <v>75.599999999999994</v>
      </c>
      <c r="N23" s="16">
        <v>74.81</v>
      </c>
      <c r="O23">
        <v>75.25</v>
      </c>
      <c r="P23" s="20">
        <f>rawdata_8108!AA80</f>
        <v>75.56</v>
      </c>
      <c r="Q23">
        <f>rawdata_8108!M108</f>
        <v>76.91</v>
      </c>
      <c r="R23" s="20">
        <f>rawdata_8108!T108</f>
        <v>75.790000000000006</v>
      </c>
    </row>
    <row r="24" spans="1:18" x14ac:dyDescent="0.25">
      <c r="A24" s="6">
        <f t="shared" si="0"/>
        <v>11000</v>
      </c>
      <c r="B24" s="6">
        <v>75.78</v>
      </c>
      <c r="C24" s="6">
        <v>78.069999999999993</v>
      </c>
      <c r="D24" s="6">
        <v>78.66</v>
      </c>
      <c r="E24" s="6">
        <v>78.62</v>
      </c>
      <c r="F24" s="6">
        <v>81.62</v>
      </c>
      <c r="G24" s="6">
        <v>80.510000000000005</v>
      </c>
      <c r="H24" s="6">
        <v>81.11</v>
      </c>
      <c r="I24" s="6">
        <v>81.47</v>
      </c>
      <c r="J24" s="6">
        <v>78.900000000000006</v>
      </c>
      <c r="K24" s="6">
        <v>78.89</v>
      </c>
      <c r="L24" s="7">
        <v>78.72</v>
      </c>
      <c r="M24" s="7">
        <v>79.14</v>
      </c>
      <c r="N24" s="16">
        <v>78.790000000000006</v>
      </c>
      <c r="O24">
        <v>78.97</v>
      </c>
      <c r="P24" s="20">
        <f>rawdata_8108!AA81</f>
        <v>79.099999999999994</v>
      </c>
      <c r="Q24">
        <f>rawdata_8108!M109</f>
        <v>80.430000000000007</v>
      </c>
      <c r="R24" s="20">
        <f>rawdata_8108!T109</f>
        <v>79.62</v>
      </c>
    </row>
    <row r="25" spans="1:18" x14ac:dyDescent="0.25">
      <c r="A25" s="6">
        <f t="shared" si="0"/>
        <v>11500</v>
      </c>
      <c r="B25" s="6">
        <v>79.23</v>
      </c>
      <c r="C25" s="6">
        <v>81.72</v>
      </c>
      <c r="D25" s="6">
        <v>82.2</v>
      </c>
      <c r="E25" s="6">
        <v>82.1</v>
      </c>
      <c r="F25" s="6">
        <v>85.35</v>
      </c>
      <c r="G25" s="6">
        <v>84.31</v>
      </c>
      <c r="H25" s="6">
        <v>84.92</v>
      </c>
      <c r="J25" s="6">
        <v>82.33</v>
      </c>
      <c r="K25" s="6">
        <v>82.63</v>
      </c>
      <c r="L25" s="7">
        <v>82.27</v>
      </c>
      <c r="M25" s="7">
        <v>82.7</v>
      </c>
      <c r="O25">
        <v>82.52</v>
      </c>
      <c r="P25" s="20">
        <f>rawdata_8108!AA82</f>
        <v>82.71</v>
      </c>
      <c r="Q25">
        <f>rawdata_8108!M110</f>
        <v>84.1</v>
      </c>
      <c r="R25" s="20">
        <f>rawdata_8108!T110</f>
        <v>83.07</v>
      </c>
    </row>
    <row r="26" spans="1:18" x14ac:dyDescent="0.25">
      <c r="A26" s="6">
        <f t="shared" si="0"/>
        <v>12000</v>
      </c>
      <c r="B26" s="6">
        <v>82.66</v>
      </c>
      <c r="C26" s="6">
        <v>85.28</v>
      </c>
      <c r="D26" s="6">
        <v>85.8</v>
      </c>
      <c r="E26" s="6">
        <v>85.76</v>
      </c>
      <c r="G26" s="6">
        <v>88.39</v>
      </c>
      <c r="J26" s="6">
        <v>86.03</v>
      </c>
      <c r="K26" s="6">
        <v>86.3</v>
      </c>
      <c r="L26" s="7">
        <v>85.96</v>
      </c>
      <c r="O26">
        <v>86.27</v>
      </c>
      <c r="P26" s="20"/>
      <c r="Q26">
        <f>rawdata_8108!M111</f>
        <v>87.82</v>
      </c>
      <c r="R26" s="20">
        <f>rawdata_8108!T111</f>
        <v>86.98</v>
      </c>
    </row>
    <row r="27" spans="1:18" x14ac:dyDescent="0.25">
      <c r="A27" s="6">
        <f t="shared" si="0"/>
        <v>12500</v>
      </c>
      <c r="B27" s="8"/>
      <c r="C27" s="9">
        <v>88.88</v>
      </c>
      <c r="D27" s="6">
        <v>89.48</v>
      </c>
      <c r="E27" s="6">
        <v>89.45</v>
      </c>
      <c r="G27" s="6">
        <v>91.75</v>
      </c>
      <c r="J27" s="6">
        <v>89.74</v>
      </c>
      <c r="K27" s="6">
        <v>89.63</v>
      </c>
      <c r="L27" s="7">
        <v>89.46</v>
      </c>
      <c r="O27">
        <v>90.01</v>
      </c>
      <c r="P27" s="20"/>
      <c r="Q27">
        <f>rawdata_8108!M112</f>
        <v>91.82</v>
      </c>
      <c r="R27" s="20">
        <f>rawdata_8108!T112</f>
        <v>90.35</v>
      </c>
    </row>
    <row r="28" spans="1:18" x14ac:dyDescent="0.25">
      <c r="A28" s="10"/>
      <c r="B28" s="9"/>
      <c r="C28" s="9"/>
      <c r="D28" s="6">
        <v>0.2</v>
      </c>
      <c r="P28" s="20"/>
      <c r="R28" s="20"/>
    </row>
    <row r="29" spans="1:18" x14ac:dyDescent="0.25">
      <c r="A29" s="11"/>
      <c r="B29" s="9"/>
      <c r="C29" s="9"/>
    </row>
    <row r="30" spans="1:18" x14ac:dyDescent="0.25">
      <c r="A30" s="10"/>
      <c r="B30" s="9"/>
      <c r="C30" s="9"/>
    </row>
    <row r="31" spans="1:18" x14ac:dyDescent="0.25">
      <c r="A31" s="10"/>
      <c r="B31" s="9"/>
      <c r="C31" s="9"/>
    </row>
    <row r="32" spans="1:18" x14ac:dyDescent="0.25">
      <c r="A32" s="12"/>
      <c r="B32" s="9"/>
    </row>
    <row r="33" spans="1:1" x14ac:dyDescent="0.25">
      <c r="A33" s="13"/>
    </row>
    <row r="34" spans="1:1" x14ac:dyDescent="0.25">
      <c r="A34" s="14"/>
    </row>
    <row r="35" spans="1:1" x14ac:dyDescent="0.25">
      <c r="A35" s="14"/>
    </row>
    <row r="36" spans="1:1" x14ac:dyDescent="0.25">
      <c r="A36" s="15"/>
    </row>
    <row r="37" spans="1:1" x14ac:dyDescent="0.25">
      <c r="A37" s="15"/>
    </row>
    <row r="38" spans="1:1" x14ac:dyDescent="0.25">
      <c r="A38" s="15"/>
    </row>
    <row r="39" spans="1:1" x14ac:dyDescent="0.25">
      <c r="A39" s="14"/>
    </row>
    <row r="40" spans="1:1" x14ac:dyDescent="0.25">
      <c r="A40" s="14"/>
    </row>
    <row r="41" spans="1:1" x14ac:dyDescent="0.25">
      <c r="A41" s="14"/>
    </row>
    <row r="42" spans="1:1" x14ac:dyDescent="0.25">
      <c r="A42" s="14"/>
    </row>
    <row r="43" spans="1:1" x14ac:dyDescent="0.25">
      <c r="A43" s="15"/>
    </row>
    <row r="44" spans="1:1" x14ac:dyDescent="0.25">
      <c r="A44" s="15"/>
    </row>
    <row r="45" spans="1:1" x14ac:dyDescent="0.25">
      <c r="A45" s="15"/>
    </row>
    <row r="46" spans="1:1" x14ac:dyDescent="0.25">
      <c r="A46" s="15"/>
    </row>
    <row r="47" spans="1:1" x14ac:dyDescent="0.25">
      <c r="A47" s="14"/>
    </row>
  </sheetData>
  <mergeCells count="1">
    <mergeCell ref="B1:E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12"/>
  <sheetViews>
    <sheetView tabSelected="1" topLeftCell="B76" workbookViewId="0">
      <selection activeCell="H87" sqref="H87"/>
    </sheetView>
  </sheetViews>
  <sheetFormatPr defaultRowHeight="15" x14ac:dyDescent="0.25"/>
  <sheetData>
    <row r="1" spans="1:27" x14ac:dyDescent="0.25">
      <c r="A1" s="1" t="s">
        <v>4</v>
      </c>
      <c r="H1" s="1" t="s">
        <v>5</v>
      </c>
      <c r="O1" s="1" t="s">
        <v>14</v>
      </c>
      <c r="V1" s="1">
        <v>2016</v>
      </c>
    </row>
    <row r="2" spans="1:27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/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V2" s="1" t="s">
        <v>6</v>
      </c>
      <c r="W2" s="1" t="s">
        <v>7</v>
      </c>
      <c r="X2" s="1" t="s">
        <v>8</v>
      </c>
      <c r="Y2" s="1" t="s">
        <v>9</v>
      </c>
      <c r="Z2" s="1" t="s">
        <v>10</v>
      </c>
      <c r="AA2" s="1" t="s">
        <v>11</v>
      </c>
    </row>
    <row r="3" spans="1:27" x14ac:dyDescent="0.25">
      <c r="A3">
        <v>0</v>
      </c>
      <c r="B3">
        <v>500</v>
      </c>
      <c r="C3">
        <v>0</v>
      </c>
      <c r="D3">
        <v>3.72</v>
      </c>
      <c r="E3">
        <v>0</v>
      </c>
      <c r="F3">
        <v>3.72</v>
      </c>
      <c r="H3">
        <v>0</v>
      </c>
      <c r="I3">
        <v>500</v>
      </c>
      <c r="J3">
        <v>0</v>
      </c>
      <c r="K3">
        <v>3.69</v>
      </c>
      <c r="L3">
        <v>0</v>
      </c>
      <c r="M3">
        <v>3.69</v>
      </c>
      <c r="O3">
        <v>0</v>
      </c>
      <c r="P3">
        <v>500</v>
      </c>
      <c r="Q3">
        <v>0</v>
      </c>
      <c r="R3">
        <v>3.74</v>
      </c>
      <c r="S3">
        <v>0</v>
      </c>
      <c r="T3">
        <v>3.74</v>
      </c>
      <c r="V3">
        <v>0</v>
      </c>
      <c r="W3">
        <v>500</v>
      </c>
      <c r="X3">
        <v>0</v>
      </c>
      <c r="Y3">
        <v>3.6</v>
      </c>
      <c r="Z3">
        <v>0</v>
      </c>
      <c r="AA3">
        <v>3.6</v>
      </c>
    </row>
    <row r="4" spans="1:27" x14ac:dyDescent="0.25">
      <c r="A4">
        <v>0</v>
      </c>
      <c r="B4">
        <v>1000</v>
      </c>
      <c r="C4">
        <v>0</v>
      </c>
      <c r="D4">
        <v>7.37</v>
      </c>
      <c r="E4">
        <v>0</v>
      </c>
      <c r="F4">
        <v>7.37</v>
      </c>
      <c r="H4">
        <v>0</v>
      </c>
      <c r="I4">
        <v>1000</v>
      </c>
      <c r="J4">
        <v>0</v>
      </c>
      <c r="K4">
        <v>7.33</v>
      </c>
      <c r="L4">
        <v>0</v>
      </c>
      <c r="M4">
        <v>7.33</v>
      </c>
      <c r="O4">
        <v>0</v>
      </c>
      <c r="P4">
        <v>1000</v>
      </c>
      <c r="Q4">
        <v>0</v>
      </c>
      <c r="R4">
        <v>7.37</v>
      </c>
      <c r="S4">
        <v>0</v>
      </c>
      <c r="T4">
        <v>7.37</v>
      </c>
      <c r="V4">
        <v>0</v>
      </c>
      <c r="W4">
        <v>1000</v>
      </c>
      <c r="X4">
        <v>0</v>
      </c>
      <c r="Y4">
        <v>7.17</v>
      </c>
      <c r="Z4">
        <v>0</v>
      </c>
      <c r="AA4">
        <v>7.17</v>
      </c>
    </row>
    <row r="5" spans="1:27" x14ac:dyDescent="0.25">
      <c r="A5">
        <v>0</v>
      </c>
      <c r="B5">
        <v>1500</v>
      </c>
      <c r="C5">
        <v>0</v>
      </c>
      <c r="D5">
        <v>11.05</v>
      </c>
      <c r="E5">
        <v>0</v>
      </c>
      <c r="F5">
        <v>11.05</v>
      </c>
      <c r="H5">
        <v>0</v>
      </c>
      <c r="I5">
        <v>1500</v>
      </c>
      <c r="J5">
        <v>0</v>
      </c>
      <c r="K5">
        <v>11</v>
      </c>
      <c r="L5">
        <v>0</v>
      </c>
      <c r="M5">
        <v>11</v>
      </c>
      <c r="O5">
        <v>0</v>
      </c>
      <c r="P5">
        <v>1500</v>
      </c>
      <c r="Q5">
        <v>0</v>
      </c>
      <c r="R5">
        <v>11.11</v>
      </c>
      <c r="S5">
        <v>0</v>
      </c>
      <c r="T5">
        <v>11.11</v>
      </c>
      <c r="V5">
        <v>0</v>
      </c>
      <c r="W5">
        <v>1500</v>
      </c>
      <c r="X5">
        <v>0</v>
      </c>
      <c r="Y5">
        <v>10.77</v>
      </c>
      <c r="Z5">
        <v>0</v>
      </c>
      <c r="AA5">
        <v>10.77</v>
      </c>
    </row>
    <row r="6" spans="1:27" x14ac:dyDescent="0.25">
      <c r="A6">
        <v>0</v>
      </c>
      <c r="B6">
        <v>2000</v>
      </c>
      <c r="C6">
        <v>0</v>
      </c>
      <c r="D6">
        <v>14.78</v>
      </c>
      <c r="E6">
        <v>0</v>
      </c>
      <c r="F6">
        <v>14.78</v>
      </c>
      <c r="H6">
        <v>0</v>
      </c>
      <c r="I6">
        <v>2000</v>
      </c>
      <c r="J6">
        <v>0</v>
      </c>
      <c r="K6">
        <v>14.62</v>
      </c>
      <c r="L6">
        <v>0</v>
      </c>
      <c r="M6">
        <v>14.62</v>
      </c>
      <c r="O6">
        <v>0</v>
      </c>
      <c r="P6">
        <v>2000</v>
      </c>
      <c r="Q6">
        <v>0</v>
      </c>
      <c r="R6">
        <v>14.76</v>
      </c>
      <c r="S6">
        <v>0</v>
      </c>
      <c r="T6">
        <v>14.76</v>
      </c>
      <c r="V6">
        <v>0</v>
      </c>
      <c r="W6">
        <v>2000</v>
      </c>
      <c r="X6">
        <v>0</v>
      </c>
      <c r="Y6">
        <v>14.37</v>
      </c>
      <c r="Z6">
        <v>0</v>
      </c>
      <c r="AA6">
        <v>14.37</v>
      </c>
    </row>
    <row r="7" spans="1:27" x14ac:dyDescent="0.25">
      <c r="A7">
        <v>0</v>
      </c>
      <c r="B7">
        <v>2500</v>
      </c>
      <c r="C7">
        <v>0</v>
      </c>
      <c r="D7">
        <v>18.45</v>
      </c>
      <c r="E7">
        <v>0</v>
      </c>
      <c r="F7">
        <v>18.45</v>
      </c>
      <c r="H7">
        <v>0</v>
      </c>
      <c r="I7">
        <v>2500</v>
      </c>
      <c r="J7">
        <v>0</v>
      </c>
      <c r="K7">
        <v>18.3</v>
      </c>
      <c r="L7">
        <v>0</v>
      </c>
      <c r="M7">
        <v>18.3</v>
      </c>
      <c r="O7">
        <v>0</v>
      </c>
      <c r="P7">
        <v>2500</v>
      </c>
      <c r="Q7">
        <v>0</v>
      </c>
      <c r="R7">
        <v>18.47</v>
      </c>
      <c r="S7">
        <v>0</v>
      </c>
      <c r="T7">
        <v>18.47</v>
      </c>
      <c r="V7">
        <v>0</v>
      </c>
      <c r="W7">
        <v>2500</v>
      </c>
      <c r="X7">
        <v>0</v>
      </c>
      <c r="Y7">
        <v>17.97</v>
      </c>
      <c r="Z7">
        <v>0</v>
      </c>
      <c r="AA7">
        <v>17.97</v>
      </c>
    </row>
    <row r="8" spans="1:27" x14ac:dyDescent="0.25">
      <c r="A8">
        <v>0</v>
      </c>
      <c r="B8">
        <v>3000</v>
      </c>
      <c r="C8">
        <v>0</v>
      </c>
      <c r="D8">
        <v>22.14</v>
      </c>
      <c r="E8">
        <v>0</v>
      </c>
      <c r="F8">
        <v>22.14</v>
      </c>
      <c r="H8">
        <v>0</v>
      </c>
      <c r="I8">
        <v>3000</v>
      </c>
      <c r="J8">
        <v>0</v>
      </c>
      <c r="K8">
        <v>21.96</v>
      </c>
      <c r="L8">
        <v>0</v>
      </c>
      <c r="M8">
        <v>21.96</v>
      </c>
      <c r="O8">
        <v>0</v>
      </c>
      <c r="P8">
        <v>3000</v>
      </c>
      <c r="Q8">
        <v>0</v>
      </c>
      <c r="R8">
        <v>22.16</v>
      </c>
      <c r="S8">
        <v>0</v>
      </c>
      <c r="T8">
        <v>22.16</v>
      </c>
      <c r="V8">
        <v>0</v>
      </c>
      <c r="W8">
        <v>3000</v>
      </c>
      <c r="X8">
        <v>0</v>
      </c>
      <c r="Y8">
        <v>21.61</v>
      </c>
      <c r="Z8">
        <v>0</v>
      </c>
      <c r="AA8">
        <v>21.61</v>
      </c>
    </row>
    <row r="9" spans="1:27" x14ac:dyDescent="0.25">
      <c r="A9">
        <v>0</v>
      </c>
      <c r="B9">
        <v>3500</v>
      </c>
      <c r="C9">
        <v>0</v>
      </c>
      <c r="D9">
        <v>25.92</v>
      </c>
      <c r="E9">
        <v>0</v>
      </c>
      <c r="F9">
        <v>25.92</v>
      </c>
      <c r="H9">
        <v>0</v>
      </c>
      <c r="I9">
        <v>3500</v>
      </c>
      <c r="J9">
        <v>0</v>
      </c>
      <c r="K9">
        <v>25.64</v>
      </c>
      <c r="L9">
        <v>0</v>
      </c>
      <c r="M9">
        <v>25.64</v>
      </c>
      <c r="O9">
        <v>0</v>
      </c>
      <c r="P9">
        <v>3500</v>
      </c>
      <c r="Q9">
        <v>0</v>
      </c>
      <c r="R9">
        <v>25.83</v>
      </c>
      <c r="S9">
        <v>0</v>
      </c>
      <c r="T9">
        <v>25.83</v>
      </c>
      <c r="V9">
        <v>0</v>
      </c>
      <c r="W9">
        <v>3500</v>
      </c>
      <c r="X9">
        <v>0</v>
      </c>
      <c r="Y9">
        <v>25.08</v>
      </c>
      <c r="Z9">
        <v>0</v>
      </c>
      <c r="AA9">
        <v>25.09</v>
      </c>
    </row>
    <row r="10" spans="1:27" x14ac:dyDescent="0.25">
      <c r="A10">
        <v>0</v>
      </c>
      <c r="B10">
        <v>4000</v>
      </c>
      <c r="C10">
        <v>0</v>
      </c>
      <c r="D10">
        <v>29.56</v>
      </c>
      <c r="E10">
        <v>0</v>
      </c>
      <c r="F10">
        <v>29.56</v>
      </c>
      <c r="H10">
        <v>0</v>
      </c>
      <c r="I10">
        <v>4000</v>
      </c>
      <c r="J10">
        <v>0</v>
      </c>
      <c r="K10">
        <v>29.29</v>
      </c>
      <c r="L10">
        <v>0</v>
      </c>
      <c r="M10">
        <v>29.29</v>
      </c>
      <c r="O10">
        <v>0</v>
      </c>
      <c r="P10">
        <v>4000</v>
      </c>
      <c r="Q10">
        <v>0</v>
      </c>
      <c r="R10">
        <v>29.5</v>
      </c>
      <c r="S10">
        <v>0</v>
      </c>
      <c r="T10">
        <v>29.51</v>
      </c>
      <c r="V10">
        <v>0</v>
      </c>
      <c r="W10">
        <v>4000</v>
      </c>
      <c r="X10">
        <v>0</v>
      </c>
      <c r="Y10">
        <v>28.63</v>
      </c>
      <c r="Z10">
        <v>0</v>
      </c>
      <c r="AA10">
        <v>28.63</v>
      </c>
    </row>
    <row r="11" spans="1:27" x14ac:dyDescent="0.25">
      <c r="A11">
        <v>0</v>
      </c>
      <c r="B11">
        <v>4500</v>
      </c>
      <c r="C11">
        <v>0</v>
      </c>
      <c r="D11">
        <v>33.19</v>
      </c>
      <c r="E11">
        <v>0</v>
      </c>
      <c r="F11">
        <v>33.19</v>
      </c>
      <c r="H11">
        <v>0</v>
      </c>
      <c r="I11">
        <v>4500</v>
      </c>
      <c r="J11">
        <v>0</v>
      </c>
      <c r="K11">
        <v>32.94</v>
      </c>
      <c r="L11">
        <v>0</v>
      </c>
      <c r="M11">
        <v>32.94</v>
      </c>
      <c r="O11">
        <v>0</v>
      </c>
      <c r="P11">
        <v>4500</v>
      </c>
      <c r="Q11">
        <v>0</v>
      </c>
      <c r="R11">
        <v>33.229999999999997</v>
      </c>
      <c r="S11">
        <v>0</v>
      </c>
      <c r="T11">
        <v>33.229999999999997</v>
      </c>
      <c r="V11">
        <v>0</v>
      </c>
      <c r="W11">
        <v>4500</v>
      </c>
      <c r="X11">
        <v>0</v>
      </c>
      <c r="Y11">
        <v>32.25</v>
      </c>
      <c r="Z11">
        <v>0</v>
      </c>
      <c r="AA11">
        <v>32.25</v>
      </c>
    </row>
    <row r="12" spans="1:27" x14ac:dyDescent="0.25">
      <c r="A12">
        <v>0</v>
      </c>
      <c r="B12">
        <v>5000</v>
      </c>
      <c r="C12">
        <v>0</v>
      </c>
      <c r="D12">
        <v>36.97</v>
      </c>
      <c r="E12">
        <v>0</v>
      </c>
      <c r="F12">
        <v>36.97</v>
      </c>
      <c r="H12">
        <v>0</v>
      </c>
      <c r="I12">
        <v>5000</v>
      </c>
      <c r="J12">
        <v>0</v>
      </c>
      <c r="K12">
        <v>36.61</v>
      </c>
      <c r="L12">
        <v>0</v>
      </c>
      <c r="M12">
        <v>36.619999999999997</v>
      </c>
      <c r="O12">
        <v>0</v>
      </c>
      <c r="P12">
        <v>5000</v>
      </c>
      <c r="Q12">
        <v>0</v>
      </c>
      <c r="R12">
        <v>36.909999999999997</v>
      </c>
      <c r="S12">
        <v>0</v>
      </c>
      <c r="T12">
        <v>36.909999999999997</v>
      </c>
      <c r="V12">
        <v>0</v>
      </c>
      <c r="W12">
        <v>5000</v>
      </c>
      <c r="X12">
        <v>0</v>
      </c>
      <c r="Y12">
        <v>35.979999999999997</v>
      </c>
      <c r="Z12">
        <v>0</v>
      </c>
      <c r="AA12">
        <v>35.979999999999997</v>
      </c>
    </row>
    <row r="13" spans="1:27" x14ac:dyDescent="0.25">
      <c r="A13">
        <v>0</v>
      </c>
      <c r="B13">
        <v>5500</v>
      </c>
      <c r="C13">
        <v>0</v>
      </c>
      <c r="D13">
        <v>40.69</v>
      </c>
      <c r="E13">
        <v>0</v>
      </c>
      <c r="F13">
        <v>40.69</v>
      </c>
      <c r="H13">
        <v>0</v>
      </c>
      <c r="I13">
        <v>5500</v>
      </c>
      <c r="J13">
        <v>0</v>
      </c>
      <c r="K13">
        <v>40.19</v>
      </c>
      <c r="L13">
        <v>0</v>
      </c>
      <c r="M13">
        <v>40.19</v>
      </c>
      <c r="O13">
        <v>0</v>
      </c>
      <c r="P13">
        <v>5500</v>
      </c>
      <c r="Q13">
        <v>0</v>
      </c>
      <c r="R13">
        <v>40.64</v>
      </c>
      <c r="S13">
        <v>0</v>
      </c>
      <c r="T13">
        <v>40.64</v>
      </c>
      <c r="V13">
        <v>0</v>
      </c>
      <c r="W13">
        <v>5500</v>
      </c>
      <c r="X13">
        <v>0</v>
      </c>
      <c r="Y13">
        <v>39.479999999999997</v>
      </c>
      <c r="Z13">
        <v>0</v>
      </c>
      <c r="AA13">
        <v>39.479999999999997</v>
      </c>
    </row>
    <row r="14" spans="1:27" x14ac:dyDescent="0.25">
      <c r="A14">
        <v>0</v>
      </c>
      <c r="B14">
        <v>6000</v>
      </c>
      <c r="C14">
        <v>0</v>
      </c>
      <c r="D14">
        <v>44.41</v>
      </c>
      <c r="E14">
        <v>0</v>
      </c>
      <c r="F14">
        <v>44.41</v>
      </c>
      <c r="H14">
        <v>0</v>
      </c>
      <c r="I14">
        <v>6000</v>
      </c>
      <c r="J14">
        <v>0</v>
      </c>
      <c r="K14">
        <v>43.88</v>
      </c>
      <c r="L14">
        <v>0</v>
      </c>
      <c r="M14">
        <v>43.88</v>
      </c>
      <c r="O14">
        <v>0</v>
      </c>
      <c r="P14">
        <v>6000</v>
      </c>
      <c r="Q14">
        <v>0</v>
      </c>
      <c r="R14">
        <v>44.22</v>
      </c>
      <c r="S14">
        <v>0</v>
      </c>
      <c r="T14">
        <v>44.22</v>
      </c>
      <c r="V14">
        <v>0</v>
      </c>
      <c r="W14">
        <v>6000</v>
      </c>
      <c r="X14">
        <v>0</v>
      </c>
      <c r="Y14">
        <v>43.02</v>
      </c>
      <c r="Z14">
        <v>0</v>
      </c>
      <c r="AA14">
        <v>43.02</v>
      </c>
    </row>
    <row r="15" spans="1:27" x14ac:dyDescent="0.25">
      <c r="A15">
        <v>0</v>
      </c>
      <c r="B15">
        <v>6500</v>
      </c>
      <c r="C15">
        <v>0</v>
      </c>
      <c r="D15">
        <v>48.05</v>
      </c>
      <c r="E15">
        <v>0</v>
      </c>
      <c r="F15">
        <v>48.05</v>
      </c>
      <c r="H15">
        <v>0</v>
      </c>
      <c r="I15">
        <v>6500</v>
      </c>
      <c r="J15">
        <v>0.01</v>
      </c>
      <c r="K15">
        <v>47.59</v>
      </c>
      <c r="L15">
        <v>0</v>
      </c>
      <c r="M15">
        <v>47.59</v>
      </c>
      <c r="O15">
        <v>0</v>
      </c>
      <c r="P15">
        <v>6500</v>
      </c>
      <c r="Q15">
        <v>0</v>
      </c>
      <c r="R15">
        <v>47.99</v>
      </c>
      <c r="S15">
        <v>0</v>
      </c>
      <c r="T15">
        <v>47.99</v>
      </c>
      <c r="V15">
        <v>0</v>
      </c>
      <c r="W15">
        <v>6500</v>
      </c>
      <c r="X15">
        <v>0</v>
      </c>
      <c r="Y15">
        <v>46.57</v>
      </c>
      <c r="Z15">
        <v>0</v>
      </c>
      <c r="AA15">
        <v>46.57</v>
      </c>
    </row>
    <row r="16" spans="1:27" x14ac:dyDescent="0.25">
      <c r="A16">
        <v>0</v>
      </c>
      <c r="B16">
        <v>7000</v>
      </c>
      <c r="C16">
        <v>0</v>
      </c>
      <c r="D16">
        <v>51.78</v>
      </c>
      <c r="E16">
        <v>0</v>
      </c>
      <c r="F16">
        <v>51.78</v>
      </c>
      <c r="H16">
        <v>0</v>
      </c>
      <c r="I16">
        <v>7000</v>
      </c>
      <c r="J16">
        <v>0</v>
      </c>
      <c r="K16">
        <v>51.15</v>
      </c>
      <c r="L16">
        <v>0</v>
      </c>
      <c r="M16">
        <v>51.15</v>
      </c>
      <c r="O16">
        <v>0</v>
      </c>
      <c r="P16">
        <v>7000</v>
      </c>
      <c r="Q16">
        <v>0</v>
      </c>
      <c r="R16">
        <v>51.6</v>
      </c>
      <c r="S16">
        <v>0</v>
      </c>
      <c r="T16">
        <v>51.6</v>
      </c>
      <c r="V16">
        <v>0</v>
      </c>
      <c r="W16">
        <v>7000</v>
      </c>
      <c r="X16">
        <v>0</v>
      </c>
      <c r="Y16">
        <v>50.27</v>
      </c>
      <c r="Z16">
        <v>0</v>
      </c>
      <c r="AA16">
        <v>50.27</v>
      </c>
    </row>
    <row r="17" spans="1:27" x14ac:dyDescent="0.25">
      <c r="A17">
        <v>0</v>
      </c>
      <c r="B17">
        <v>7500</v>
      </c>
      <c r="C17">
        <v>0</v>
      </c>
      <c r="D17">
        <v>55.55</v>
      </c>
      <c r="E17">
        <v>0</v>
      </c>
      <c r="F17">
        <v>55.55</v>
      </c>
      <c r="H17">
        <v>0</v>
      </c>
      <c r="I17">
        <v>7500</v>
      </c>
      <c r="J17">
        <v>0</v>
      </c>
      <c r="K17">
        <v>54.9</v>
      </c>
      <c r="L17">
        <v>0</v>
      </c>
      <c r="M17">
        <v>54.9</v>
      </c>
      <c r="O17">
        <v>0</v>
      </c>
      <c r="P17">
        <v>7500</v>
      </c>
      <c r="Q17">
        <v>0</v>
      </c>
      <c r="R17">
        <v>55.44</v>
      </c>
      <c r="S17">
        <v>0</v>
      </c>
      <c r="T17">
        <v>55.44</v>
      </c>
      <c r="V17">
        <v>0</v>
      </c>
      <c r="W17">
        <v>7500</v>
      </c>
      <c r="X17">
        <v>0</v>
      </c>
      <c r="Y17">
        <v>53.74</v>
      </c>
      <c r="Z17">
        <v>0</v>
      </c>
      <c r="AA17">
        <v>53.74</v>
      </c>
    </row>
    <row r="18" spans="1:27" x14ac:dyDescent="0.25">
      <c r="A18">
        <v>0</v>
      </c>
      <c r="B18">
        <v>8000</v>
      </c>
      <c r="C18">
        <v>0</v>
      </c>
      <c r="D18">
        <v>59.07</v>
      </c>
      <c r="E18">
        <v>0</v>
      </c>
      <c r="F18">
        <v>59.07</v>
      </c>
      <c r="H18">
        <v>0</v>
      </c>
      <c r="I18">
        <v>8000</v>
      </c>
      <c r="J18">
        <v>0</v>
      </c>
      <c r="K18">
        <v>58.53</v>
      </c>
      <c r="L18">
        <v>0</v>
      </c>
      <c r="M18">
        <v>58.54</v>
      </c>
      <c r="O18">
        <v>0</v>
      </c>
      <c r="P18">
        <v>8000</v>
      </c>
      <c r="Q18">
        <v>0</v>
      </c>
      <c r="R18">
        <v>59.15</v>
      </c>
      <c r="S18">
        <v>0</v>
      </c>
      <c r="T18">
        <v>59.15</v>
      </c>
      <c r="V18">
        <v>0</v>
      </c>
      <c r="W18">
        <v>8000</v>
      </c>
      <c r="X18">
        <v>0</v>
      </c>
      <c r="Y18">
        <v>57.38</v>
      </c>
      <c r="Z18">
        <v>0</v>
      </c>
      <c r="AA18">
        <v>57.38</v>
      </c>
    </row>
    <row r="19" spans="1:27" x14ac:dyDescent="0.25">
      <c r="A19">
        <v>0</v>
      </c>
      <c r="B19">
        <v>8500</v>
      </c>
      <c r="C19">
        <v>0</v>
      </c>
      <c r="D19">
        <v>62.92</v>
      </c>
      <c r="E19">
        <v>0</v>
      </c>
      <c r="F19">
        <v>62.92</v>
      </c>
      <c r="H19">
        <v>0</v>
      </c>
      <c r="I19">
        <v>8500</v>
      </c>
      <c r="J19">
        <v>0</v>
      </c>
      <c r="K19">
        <v>62.27</v>
      </c>
      <c r="L19">
        <v>0</v>
      </c>
      <c r="M19">
        <v>62.27</v>
      </c>
      <c r="O19">
        <v>0</v>
      </c>
      <c r="P19">
        <v>8500</v>
      </c>
      <c r="Q19">
        <v>0.01</v>
      </c>
      <c r="R19">
        <v>62.91</v>
      </c>
      <c r="S19">
        <v>0</v>
      </c>
      <c r="T19">
        <v>62.92</v>
      </c>
      <c r="V19">
        <v>0</v>
      </c>
      <c r="W19">
        <v>8500</v>
      </c>
      <c r="X19">
        <v>0</v>
      </c>
      <c r="Y19">
        <v>60.98</v>
      </c>
      <c r="Z19">
        <v>0</v>
      </c>
      <c r="AA19">
        <v>60.98</v>
      </c>
    </row>
    <row r="20" spans="1:27" x14ac:dyDescent="0.25">
      <c r="A20">
        <v>0</v>
      </c>
      <c r="B20">
        <v>9000</v>
      </c>
      <c r="C20">
        <v>0</v>
      </c>
      <c r="D20">
        <v>66.64</v>
      </c>
      <c r="E20">
        <v>0</v>
      </c>
      <c r="F20">
        <v>66.64</v>
      </c>
      <c r="H20">
        <v>0</v>
      </c>
      <c r="I20">
        <v>9000</v>
      </c>
      <c r="J20">
        <v>0</v>
      </c>
      <c r="K20">
        <v>65.739999999999995</v>
      </c>
      <c r="L20">
        <v>0</v>
      </c>
      <c r="M20">
        <v>65.739999999999995</v>
      </c>
      <c r="O20">
        <v>0</v>
      </c>
      <c r="P20">
        <v>9000</v>
      </c>
      <c r="Q20">
        <v>0</v>
      </c>
      <c r="R20">
        <v>66.44</v>
      </c>
      <c r="S20">
        <v>0</v>
      </c>
      <c r="T20">
        <v>66.44</v>
      </c>
      <c r="V20">
        <v>0</v>
      </c>
      <c r="W20">
        <v>9000</v>
      </c>
      <c r="X20">
        <v>0</v>
      </c>
      <c r="Y20">
        <v>64.66</v>
      </c>
      <c r="Z20">
        <v>0</v>
      </c>
      <c r="AA20">
        <v>64.66</v>
      </c>
    </row>
    <row r="21" spans="1:27" x14ac:dyDescent="0.25">
      <c r="A21">
        <v>0</v>
      </c>
      <c r="B21">
        <v>9500</v>
      </c>
      <c r="C21">
        <v>0</v>
      </c>
      <c r="D21">
        <v>70.41</v>
      </c>
      <c r="E21">
        <v>0</v>
      </c>
      <c r="F21">
        <v>70.41</v>
      </c>
      <c r="H21">
        <v>0</v>
      </c>
      <c r="I21">
        <v>9500</v>
      </c>
      <c r="J21">
        <v>0</v>
      </c>
      <c r="K21">
        <v>69.650000000000006</v>
      </c>
      <c r="L21">
        <v>0</v>
      </c>
      <c r="M21">
        <v>69.66</v>
      </c>
      <c r="O21">
        <v>0</v>
      </c>
      <c r="P21">
        <v>9500</v>
      </c>
      <c r="Q21">
        <v>0</v>
      </c>
      <c r="R21">
        <v>70.27</v>
      </c>
      <c r="S21">
        <v>0</v>
      </c>
      <c r="T21">
        <v>70.27</v>
      </c>
      <c r="V21">
        <v>0</v>
      </c>
      <c r="W21">
        <v>9500</v>
      </c>
      <c r="X21">
        <v>0</v>
      </c>
      <c r="Y21">
        <v>68.09</v>
      </c>
      <c r="Z21">
        <v>0</v>
      </c>
      <c r="AA21">
        <v>68.09</v>
      </c>
    </row>
    <row r="22" spans="1:27" x14ac:dyDescent="0.25">
      <c r="A22">
        <v>0</v>
      </c>
      <c r="B22">
        <v>10000</v>
      </c>
      <c r="C22">
        <v>0</v>
      </c>
      <c r="D22">
        <v>73.930000000000007</v>
      </c>
      <c r="E22">
        <v>0</v>
      </c>
      <c r="F22">
        <v>73.930000000000007</v>
      </c>
      <c r="H22">
        <v>0</v>
      </c>
      <c r="I22">
        <v>10000</v>
      </c>
      <c r="J22">
        <v>0</v>
      </c>
      <c r="K22">
        <v>73.22</v>
      </c>
      <c r="L22">
        <v>0</v>
      </c>
      <c r="M22">
        <v>73.23</v>
      </c>
      <c r="O22">
        <v>0</v>
      </c>
      <c r="P22">
        <v>10000</v>
      </c>
      <c r="Q22">
        <v>0</v>
      </c>
      <c r="R22">
        <v>73.89</v>
      </c>
      <c r="S22">
        <v>0</v>
      </c>
      <c r="T22">
        <v>73.89</v>
      </c>
      <c r="V22">
        <v>0</v>
      </c>
      <c r="W22">
        <v>10000</v>
      </c>
      <c r="X22">
        <v>0</v>
      </c>
      <c r="Y22">
        <v>71.69</v>
      </c>
      <c r="Z22">
        <v>0</v>
      </c>
      <c r="AA22">
        <v>71.69</v>
      </c>
    </row>
    <row r="23" spans="1:27" x14ac:dyDescent="0.25">
      <c r="A23">
        <v>0</v>
      </c>
      <c r="B23">
        <v>10500</v>
      </c>
      <c r="C23">
        <v>0</v>
      </c>
      <c r="D23">
        <v>77.8</v>
      </c>
      <c r="E23">
        <v>0</v>
      </c>
      <c r="F23">
        <v>77.8</v>
      </c>
      <c r="H23">
        <v>0</v>
      </c>
      <c r="I23">
        <v>10500</v>
      </c>
      <c r="J23">
        <v>0</v>
      </c>
      <c r="K23">
        <v>76.900000000000006</v>
      </c>
      <c r="L23">
        <v>0</v>
      </c>
      <c r="M23">
        <v>76.91</v>
      </c>
      <c r="O23">
        <v>0</v>
      </c>
      <c r="P23">
        <v>10500</v>
      </c>
      <c r="Q23">
        <v>0</v>
      </c>
      <c r="R23">
        <v>77.84</v>
      </c>
      <c r="S23">
        <v>0</v>
      </c>
      <c r="T23">
        <v>77.84</v>
      </c>
      <c r="V23">
        <v>0</v>
      </c>
      <c r="W23">
        <v>10500</v>
      </c>
      <c r="X23">
        <v>0</v>
      </c>
      <c r="Y23">
        <v>75.22</v>
      </c>
      <c r="Z23">
        <v>0</v>
      </c>
      <c r="AA23">
        <v>75.22</v>
      </c>
    </row>
    <row r="24" spans="1:27" x14ac:dyDescent="0.25">
      <c r="A24">
        <v>0</v>
      </c>
      <c r="B24">
        <v>11000</v>
      </c>
      <c r="C24">
        <v>0</v>
      </c>
      <c r="D24">
        <v>81.62</v>
      </c>
      <c r="E24">
        <v>0</v>
      </c>
      <c r="F24">
        <v>81.62</v>
      </c>
      <c r="H24">
        <v>0</v>
      </c>
      <c r="I24">
        <v>11000</v>
      </c>
      <c r="J24">
        <v>0</v>
      </c>
      <c r="K24">
        <v>80.510000000000005</v>
      </c>
      <c r="L24">
        <v>0</v>
      </c>
      <c r="M24">
        <v>80.510000000000005</v>
      </c>
      <c r="O24">
        <v>0</v>
      </c>
      <c r="P24">
        <v>11000</v>
      </c>
      <c r="Q24">
        <v>0</v>
      </c>
      <c r="R24">
        <v>81.47</v>
      </c>
      <c r="S24">
        <v>0</v>
      </c>
      <c r="T24">
        <v>81.47</v>
      </c>
      <c r="V24">
        <v>0</v>
      </c>
      <c r="W24">
        <v>11000</v>
      </c>
      <c r="X24">
        <v>0</v>
      </c>
      <c r="Y24">
        <v>78.900000000000006</v>
      </c>
      <c r="Z24">
        <v>0</v>
      </c>
      <c r="AA24">
        <v>78.900000000000006</v>
      </c>
    </row>
    <row r="25" spans="1:27" x14ac:dyDescent="0.25">
      <c r="A25">
        <v>0</v>
      </c>
      <c r="B25">
        <v>11500</v>
      </c>
      <c r="C25">
        <v>0</v>
      </c>
      <c r="D25">
        <v>85.34</v>
      </c>
      <c r="E25">
        <v>0</v>
      </c>
      <c r="F25">
        <v>85.35</v>
      </c>
      <c r="H25">
        <v>0</v>
      </c>
      <c r="I25">
        <v>11500</v>
      </c>
      <c r="J25">
        <v>0</v>
      </c>
      <c r="K25">
        <v>84.31</v>
      </c>
      <c r="L25">
        <v>0</v>
      </c>
      <c r="M25">
        <v>84.31</v>
      </c>
      <c r="V25">
        <v>0</v>
      </c>
      <c r="W25">
        <v>11500</v>
      </c>
      <c r="X25">
        <v>0</v>
      </c>
      <c r="Y25">
        <v>82.33</v>
      </c>
      <c r="Z25">
        <v>0</v>
      </c>
      <c r="AA25">
        <v>82.33</v>
      </c>
    </row>
    <row r="26" spans="1:27" x14ac:dyDescent="0.25">
      <c r="H26">
        <v>0</v>
      </c>
      <c r="I26">
        <v>12000</v>
      </c>
      <c r="J26">
        <v>0</v>
      </c>
      <c r="K26">
        <v>88.39</v>
      </c>
      <c r="L26">
        <v>0</v>
      </c>
      <c r="M26">
        <v>88.39</v>
      </c>
      <c r="V26">
        <v>0</v>
      </c>
      <c r="W26">
        <v>12000</v>
      </c>
      <c r="X26">
        <v>0</v>
      </c>
      <c r="Y26">
        <v>86.03</v>
      </c>
      <c r="Z26">
        <v>0</v>
      </c>
      <c r="AA26">
        <v>86.03</v>
      </c>
    </row>
    <row r="27" spans="1:27" x14ac:dyDescent="0.25">
      <c r="H27">
        <v>0</v>
      </c>
      <c r="I27">
        <v>12500</v>
      </c>
      <c r="J27">
        <v>0</v>
      </c>
      <c r="K27">
        <v>91.75</v>
      </c>
      <c r="L27">
        <v>0</v>
      </c>
      <c r="M27">
        <v>91.75</v>
      </c>
      <c r="V27">
        <v>0</v>
      </c>
      <c r="W27">
        <v>12500</v>
      </c>
      <c r="X27">
        <v>0</v>
      </c>
      <c r="Y27">
        <v>89.74</v>
      </c>
      <c r="Z27">
        <v>0</v>
      </c>
      <c r="AA27">
        <v>89.74</v>
      </c>
    </row>
    <row r="28" spans="1:27" x14ac:dyDescent="0.25">
      <c r="V28" s="2"/>
      <c r="W28" s="2"/>
      <c r="X28" s="2"/>
      <c r="Y28" s="2"/>
      <c r="Z28" s="2"/>
      <c r="AA28" s="2"/>
    </row>
    <row r="29" spans="1:27" x14ac:dyDescent="0.25">
      <c r="A29" s="1" t="s">
        <v>12</v>
      </c>
      <c r="H29" s="1" t="s">
        <v>15</v>
      </c>
      <c r="I29" s="1"/>
      <c r="J29" s="1"/>
      <c r="K29" s="1"/>
      <c r="L29" s="1"/>
      <c r="M29" s="1"/>
      <c r="O29" s="1" t="s">
        <v>16</v>
      </c>
      <c r="V29" s="4">
        <v>2017</v>
      </c>
    </row>
    <row r="30" spans="1:27" x14ac:dyDescent="0.25">
      <c r="H30" s="3" t="s">
        <v>6</v>
      </c>
      <c r="I30" s="3" t="s">
        <v>7</v>
      </c>
      <c r="J30" s="3" t="s">
        <v>8</v>
      </c>
      <c r="K30" s="3" t="s">
        <v>9</v>
      </c>
      <c r="L30" s="3" t="s">
        <v>10</v>
      </c>
      <c r="M30" s="3" t="s">
        <v>11</v>
      </c>
      <c r="O30" s="1" t="s">
        <v>6</v>
      </c>
      <c r="P30" s="1" t="s">
        <v>7</v>
      </c>
      <c r="Q30" s="1" t="s">
        <v>8</v>
      </c>
      <c r="R30" s="1" t="s">
        <v>9</v>
      </c>
      <c r="S30" s="1" t="s">
        <v>10</v>
      </c>
      <c r="T30" s="1" t="s">
        <v>11</v>
      </c>
      <c r="V30" s="1" t="s">
        <v>6</v>
      </c>
      <c r="W30" s="1" t="s">
        <v>7</v>
      </c>
      <c r="X30" s="1" t="s">
        <v>8</v>
      </c>
      <c r="Y30" s="1" t="s">
        <v>9</v>
      </c>
      <c r="Z30" s="1" t="s">
        <v>10</v>
      </c>
      <c r="AA30" s="1" t="s">
        <v>11</v>
      </c>
    </row>
    <row r="31" spans="1:27" x14ac:dyDescent="0.25">
      <c r="H31" s="2">
        <v>0</v>
      </c>
      <c r="I31" s="2">
        <v>500</v>
      </c>
      <c r="J31" s="2">
        <v>0</v>
      </c>
      <c r="K31" s="2">
        <v>3.66</v>
      </c>
      <c r="L31" s="2">
        <v>0</v>
      </c>
      <c r="M31" s="2">
        <v>3.66</v>
      </c>
      <c r="O31">
        <v>0</v>
      </c>
      <c r="P31">
        <v>500</v>
      </c>
      <c r="Q31">
        <v>0</v>
      </c>
      <c r="R31">
        <v>3.61</v>
      </c>
      <c r="S31">
        <v>0</v>
      </c>
      <c r="T31">
        <v>3.61</v>
      </c>
      <c r="V31">
        <v>0</v>
      </c>
      <c r="W31">
        <v>500</v>
      </c>
      <c r="X31">
        <v>0</v>
      </c>
      <c r="Y31">
        <v>3.63</v>
      </c>
      <c r="Z31">
        <v>0</v>
      </c>
      <c r="AA31">
        <v>3.63</v>
      </c>
    </row>
    <row r="32" spans="1:27" x14ac:dyDescent="0.25">
      <c r="H32" s="2">
        <v>0</v>
      </c>
      <c r="I32" s="2">
        <v>1000</v>
      </c>
      <c r="J32" s="2">
        <v>0</v>
      </c>
      <c r="K32" s="2">
        <v>7.18</v>
      </c>
      <c r="L32" s="2">
        <v>0</v>
      </c>
      <c r="M32" s="2">
        <v>7.18</v>
      </c>
      <c r="O32">
        <v>0</v>
      </c>
      <c r="P32">
        <v>1000</v>
      </c>
      <c r="Q32">
        <v>0</v>
      </c>
      <c r="R32">
        <v>7.15</v>
      </c>
      <c r="S32">
        <v>0</v>
      </c>
      <c r="T32">
        <v>7.15</v>
      </c>
      <c r="V32">
        <v>0</v>
      </c>
      <c r="W32">
        <v>1000</v>
      </c>
      <c r="X32">
        <v>0</v>
      </c>
      <c r="Y32">
        <v>7.18</v>
      </c>
      <c r="Z32">
        <v>0</v>
      </c>
      <c r="AA32">
        <v>7.18</v>
      </c>
    </row>
    <row r="33" spans="8:27" x14ac:dyDescent="0.25">
      <c r="H33" s="2">
        <v>0</v>
      </c>
      <c r="I33" s="2">
        <v>1500</v>
      </c>
      <c r="J33" s="2">
        <v>0</v>
      </c>
      <c r="K33" s="2">
        <v>10.81</v>
      </c>
      <c r="L33" s="2">
        <v>0</v>
      </c>
      <c r="M33" s="2">
        <v>10.81</v>
      </c>
      <c r="O33">
        <v>0</v>
      </c>
      <c r="P33">
        <v>1500</v>
      </c>
      <c r="Q33">
        <v>0</v>
      </c>
      <c r="R33">
        <v>10.78</v>
      </c>
      <c r="S33">
        <v>0</v>
      </c>
      <c r="T33">
        <v>10.78</v>
      </c>
      <c r="V33">
        <v>0</v>
      </c>
      <c r="W33">
        <v>1500</v>
      </c>
      <c r="X33">
        <v>0</v>
      </c>
      <c r="Y33">
        <v>10.78</v>
      </c>
      <c r="Z33">
        <v>0</v>
      </c>
      <c r="AA33">
        <v>10.78</v>
      </c>
    </row>
    <row r="34" spans="8:27" x14ac:dyDescent="0.25">
      <c r="H34" s="2">
        <v>0</v>
      </c>
      <c r="I34" s="2">
        <v>2000</v>
      </c>
      <c r="J34" s="2">
        <v>0</v>
      </c>
      <c r="K34" s="2">
        <v>14.37</v>
      </c>
      <c r="L34" s="2">
        <v>0</v>
      </c>
      <c r="M34" s="2">
        <v>14.37</v>
      </c>
      <c r="O34">
        <v>0</v>
      </c>
      <c r="P34">
        <v>2000</v>
      </c>
      <c r="Q34">
        <v>0</v>
      </c>
      <c r="R34">
        <v>14.34</v>
      </c>
      <c r="S34">
        <v>0</v>
      </c>
      <c r="T34">
        <v>14.34</v>
      </c>
      <c r="V34">
        <v>0</v>
      </c>
      <c r="W34">
        <v>2000</v>
      </c>
      <c r="X34">
        <v>0</v>
      </c>
      <c r="Y34">
        <v>14.42</v>
      </c>
      <c r="Z34">
        <v>0</v>
      </c>
      <c r="AA34">
        <v>14.42</v>
      </c>
    </row>
    <row r="35" spans="8:27" x14ac:dyDescent="0.25">
      <c r="H35" s="2">
        <v>0</v>
      </c>
      <c r="I35" s="2">
        <v>2500</v>
      </c>
      <c r="J35" s="2">
        <v>0</v>
      </c>
      <c r="K35" s="2">
        <v>17.989999999999998</v>
      </c>
      <c r="L35" s="2">
        <v>0</v>
      </c>
      <c r="M35" s="2">
        <v>17.989999999999998</v>
      </c>
      <c r="O35">
        <v>0</v>
      </c>
      <c r="P35">
        <v>2500</v>
      </c>
      <c r="Q35">
        <v>0</v>
      </c>
      <c r="R35">
        <v>17.96</v>
      </c>
      <c r="S35">
        <v>0</v>
      </c>
      <c r="T35">
        <v>17.96</v>
      </c>
      <c r="V35">
        <v>0</v>
      </c>
      <c r="W35">
        <v>2500</v>
      </c>
      <c r="X35">
        <v>0</v>
      </c>
      <c r="Y35">
        <v>18.04</v>
      </c>
      <c r="Z35">
        <v>0</v>
      </c>
      <c r="AA35">
        <v>18.04</v>
      </c>
    </row>
    <row r="36" spans="8:27" x14ac:dyDescent="0.25">
      <c r="H36" s="2">
        <v>0</v>
      </c>
      <c r="I36" s="2">
        <v>3000</v>
      </c>
      <c r="J36" s="2">
        <v>0</v>
      </c>
      <c r="K36" s="2">
        <v>21.63</v>
      </c>
      <c r="L36" s="2">
        <v>0</v>
      </c>
      <c r="M36" s="2">
        <v>21.63</v>
      </c>
      <c r="O36">
        <v>0</v>
      </c>
      <c r="P36">
        <v>3000</v>
      </c>
      <c r="Q36">
        <v>0</v>
      </c>
      <c r="R36">
        <v>21.48</v>
      </c>
      <c r="S36">
        <v>0</v>
      </c>
      <c r="T36">
        <v>21.48</v>
      </c>
      <c r="V36">
        <v>0</v>
      </c>
      <c r="W36">
        <v>3000</v>
      </c>
      <c r="X36">
        <v>0</v>
      </c>
      <c r="Y36">
        <v>21.63</v>
      </c>
      <c r="Z36">
        <v>0</v>
      </c>
      <c r="AA36">
        <v>21.63</v>
      </c>
    </row>
    <row r="37" spans="8:27" x14ac:dyDescent="0.25">
      <c r="H37" s="2">
        <v>0</v>
      </c>
      <c r="I37" s="2">
        <v>3500</v>
      </c>
      <c r="J37" s="2">
        <v>0</v>
      </c>
      <c r="K37" s="2">
        <v>25.23</v>
      </c>
      <c r="L37" s="2">
        <v>0</v>
      </c>
      <c r="M37" s="2">
        <v>25.23</v>
      </c>
      <c r="O37">
        <v>0</v>
      </c>
      <c r="P37">
        <v>3500</v>
      </c>
      <c r="Q37">
        <v>0</v>
      </c>
      <c r="R37">
        <v>25.16</v>
      </c>
      <c r="S37">
        <v>0</v>
      </c>
      <c r="T37">
        <v>25.16</v>
      </c>
      <c r="V37">
        <v>0</v>
      </c>
      <c r="W37">
        <v>3500</v>
      </c>
      <c r="X37">
        <v>0</v>
      </c>
      <c r="Y37">
        <v>25.24</v>
      </c>
      <c r="Z37">
        <v>0</v>
      </c>
      <c r="AA37">
        <v>25.24</v>
      </c>
    </row>
    <row r="38" spans="8:27" x14ac:dyDescent="0.25">
      <c r="H38" s="2">
        <v>0</v>
      </c>
      <c r="I38" s="2">
        <v>4000</v>
      </c>
      <c r="J38" s="2">
        <v>0</v>
      </c>
      <c r="K38" s="2">
        <v>28.64</v>
      </c>
      <c r="L38" s="2">
        <v>0</v>
      </c>
      <c r="M38" s="2">
        <v>28.64</v>
      </c>
      <c r="O38">
        <v>0</v>
      </c>
      <c r="P38">
        <v>4000</v>
      </c>
      <c r="Q38">
        <v>0</v>
      </c>
      <c r="R38">
        <v>28.57</v>
      </c>
      <c r="S38">
        <v>0</v>
      </c>
      <c r="T38">
        <v>28.57</v>
      </c>
      <c r="V38">
        <v>0</v>
      </c>
      <c r="W38">
        <v>4000</v>
      </c>
      <c r="X38">
        <v>0</v>
      </c>
      <c r="Y38">
        <v>28.76</v>
      </c>
      <c r="Z38">
        <v>0</v>
      </c>
      <c r="AA38">
        <v>28.76</v>
      </c>
    </row>
    <row r="39" spans="8:27" x14ac:dyDescent="0.25">
      <c r="H39" s="2">
        <v>0</v>
      </c>
      <c r="I39" s="2">
        <v>4500</v>
      </c>
      <c r="J39" s="2">
        <v>0</v>
      </c>
      <c r="K39" s="2">
        <v>32.270000000000003</v>
      </c>
      <c r="L39" s="2">
        <v>0</v>
      </c>
      <c r="M39" s="2">
        <v>32.270000000000003</v>
      </c>
      <c r="O39">
        <v>0</v>
      </c>
      <c r="P39">
        <v>4500</v>
      </c>
      <c r="Q39">
        <v>0</v>
      </c>
      <c r="R39">
        <v>32.18</v>
      </c>
      <c r="S39">
        <v>0</v>
      </c>
      <c r="T39">
        <v>32.18</v>
      </c>
      <c r="V39">
        <v>0</v>
      </c>
      <c r="W39">
        <v>4500</v>
      </c>
      <c r="X39">
        <v>0</v>
      </c>
      <c r="Y39">
        <v>32.33</v>
      </c>
      <c r="Z39">
        <v>0</v>
      </c>
      <c r="AA39">
        <v>32.340000000000003</v>
      </c>
    </row>
    <row r="40" spans="8:27" x14ac:dyDescent="0.25">
      <c r="H40" s="2">
        <v>0</v>
      </c>
      <c r="I40" s="2">
        <v>5000</v>
      </c>
      <c r="J40" s="2">
        <v>0</v>
      </c>
      <c r="K40" s="2">
        <v>35.9</v>
      </c>
      <c r="L40" s="2">
        <v>0</v>
      </c>
      <c r="M40" s="2">
        <v>35.9</v>
      </c>
      <c r="O40">
        <v>0</v>
      </c>
      <c r="P40">
        <v>5000</v>
      </c>
      <c r="Q40">
        <v>0</v>
      </c>
      <c r="R40">
        <v>35.75</v>
      </c>
      <c r="S40">
        <v>0</v>
      </c>
      <c r="T40">
        <v>35.76</v>
      </c>
      <c r="V40">
        <v>0</v>
      </c>
      <c r="W40">
        <v>5000</v>
      </c>
      <c r="X40">
        <v>0</v>
      </c>
      <c r="Y40">
        <v>35.880000000000003</v>
      </c>
      <c r="Z40">
        <v>0</v>
      </c>
      <c r="AA40">
        <v>35.880000000000003</v>
      </c>
    </row>
    <row r="41" spans="8:27" x14ac:dyDescent="0.25">
      <c r="H41" s="2">
        <v>0</v>
      </c>
      <c r="I41" s="2">
        <v>5500</v>
      </c>
      <c r="J41" s="2">
        <v>0</v>
      </c>
      <c r="K41" s="2">
        <v>39.42</v>
      </c>
      <c r="L41" s="2">
        <v>0</v>
      </c>
      <c r="M41" s="2">
        <v>39.43</v>
      </c>
      <c r="O41">
        <v>0</v>
      </c>
      <c r="P41">
        <v>5500</v>
      </c>
      <c r="Q41">
        <v>0</v>
      </c>
      <c r="R41">
        <v>39.409999999999997</v>
      </c>
      <c r="S41">
        <v>0</v>
      </c>
      <c r="T41">
        <v>39.409999999999997</v>
      </c>
      <c r="V41">
        <v>0</v>
      </c>
      <c r="W41">
        <v>5500</v>
      </c>
      <c r="X41">
        <v>0</v>
      </c>
      <c r="Y41">
        <v>39.51</v>
      </c>
      <c r="Z41">
        <v>0</v>
      </c>
      <c r="AA41">
        <v>39.51</v>
      </c>
    </row>
    <row r="42" spans="8:27" x14ac:dyDescent="0.25">
      <c r="H42" s="2">
        <v>0</v>
      </c>
      <c r="I42" s="2">
        <v>6000</v>
      </c>
      <c r="J42" s="2">
        <v>0</v>
      </c>
      <c r="K42" s="2">
        <v>43</v>
      </c>
      <c r="L42" s="2">
        <v>0</v>
      </c>
      <c r="M42" s="2">
        <v>43</v>
      </c>
      <c r="O42">
        <v>0</v>
      </c>
      <c r="P42">
        <v>6000</v>
      </c>
      <c r="Q42">
        <v>0</v>
      </c>
      <c r="R42">
        <v>42.95</v>
      </c>
      <c r="S42">
        <v>0</v>
      </c>
      <c r="T42">
        <v>42.95</v>
      </c>
      <c r="V42">
        <v>0</v>
      </c>
      <c r="W42">
        <v>6000</v>
      </c>
      <c r="X42">
        <v>0</v>
      </c>
      <c r="Y42">
        <v>43.16</v>
      </c>
      <c r="Z42">
        <v>0</v>
      </c>
      <c r="AA42">
        <v>43.16</v>
      </c>
    </row>
    <row r="43" spans="8:27" x14ac:dyDescent="0.25">
      <c r="H43" s="2">
        <v>0</v>
      </c>
      <c r="I43" s="2">
        <v>6500</v>
      </c>
      <c r="J43" s="2">
        <v>0</v>
      </c>
      <c r="K43" s="2">
        <v>46.57</v>
      </c>
      <c r="L43" s="2">
        <v>0</v>
      </c>
      <c r="M43" s="2">
        <v>46.57</v>
      </c>
      <c r="O43">
        <v>0</v>
      </c>
      <c r="P43">
        <v>6500</v>
      </c>
      <c r="Q43">
        <v>0</v>
      </c>
      <c r="R43">
        <v>46.45</v>
      </c>
      <c r="S43">
        <v>0</v>
      </c>
      <c r="T43">
        <v>46.45</v>
      </c>
      <c r="V43">
        <v>0</v>
      </c>
      <c r="W43">
        <v>6500</v>
      </c>
      <c r="X43">
        <v>0</v>
      </c>
      <c r="Y43">
        <v>46.82</v>
      </c>
      <c r="Z43">
        <v>0</v>
      </c>
      <c r="AA43">
        <v>46.82</v>
      </c>
    </row>
    <row r="44" spans="8:27" x14ac:dyDescent="0.25">
      <c r="H44" s="2">
        <v>0</v>
      </c>
      <c r="I44" s="2">
        <v>7000</v>
      </c>
      <c r="J44" s="2">
        <v>0</v>
      </c>
      <c r="K44" s="2">
        <v>50.4</v>
      </c>
      <c r="L44" s="2">
        <v>0</v>
      </c>
      <c r="M44" s="2">
        <v>50.4</v>
      </c>
      <c r="O44">
        <v>0</v>
      </c>
      <c r="P44">
        <v>7000</v>
      </c>
      <c r="Q44">
        <v>0</v>
      </c>
      <c r="R44">
        <v>50.07</v>
      </c>
      <c r="S44">
        <v>0</v>
      </c>
      <c r="T44">
        <v>50.07</v>
      </c>
      <c r="V44">
        <v>0</v>
      </c>
      <c r="W44">
        <v>7000</v>
      </c>
      <c r="X44">
        <v>0</v>
      </c>
      <c r="Y44">
        <v>50.36</v>
      </c>
      <c r="Z44">
        <v>0</v>
      </c>
      <c r="AA44">
        <v>50.36</v>
      </c>
    </row>
    <row r="45" spans="8:27" x14ac:dyDescent="0.25">
      <c r="H45" s="2">
        <v>0</v>
      </c>
      <c r="I45" s="2">
        <v>7500</v>
      </c>
      <c r="J45" s="2">
        <v>0</v>
      </c>
      <c r="K45" s="2">
        <v>53.92</v>
      </c>
      <c r="L45" s="2">
        <v>0</v>
      </c>
      <c r="M45" s="2">
        <v>53.92</v>
      </c>
      <c r="O45">
        <v>0</v>
      </c>
      <c r="P45">
        <v>7500</v>
      </c>
      <c r="Q45">
        <v>0</v>
      </c>
      <c r="R45">
        <v>53.72</v>
      </c>
      <c r="S45">
        <v>0</v>
      </c>
      <c r="T45">
        <v>53.72</v>
      </c>
      <c r="V45">
        <v>0</v>
      </c>
      <c r="W45">
        <v>7500</v>
      </c>
      <c r="X45">
        <v>0</v>
      </c>
      <c r="Y45">
        <v>53.93</v>
      </c>
      <c r="Z45">
        <v>0</v>
      </c>
      <c r="AA45">
        <v>53.93</v>
      </c>
    </row>
    <row r="46" spans="8:27" x14ac:dyDescent="0.25">
      <c r="H46" s="2">
        <v>0</v>
      </c>
      <c r="I46" s="2">
        <v>8000</v>
      </c>
      <c r="J46" s="2">
        <v>0</v>
      </c>
      <c r="K46" s="2">
        <v>57.33</v>
      </c>
      <c r="L46" s="2">
        <v>0</v>
      </c>
      <c r="M46" s="2">
        <v>57.33</v>
      </c>
      <c r="O46">
        <v>0</v>
      </c>
      <c r="P46">
        <v>8000</v>
      </c>
      <c r="Q46">
        <v>0</v>
      </c>
      <c r="R46">
        <v>57.31</v>
      </c>
      <c r="S46">
        <v>0</v>
      </c>
      <c r="T46">
        <v>57.31</v>
      </c>
      <c r="V46">
        <v>0</v>
      </c>
      <c r="W46">
        <v>8000</v>
      </c>
      <c r="X46">
        <v>0.01</v>
      </c>
      <c r="Y46">
        <v>57.67</v>
      </c>
      <c r="Z46">
        <v>0</v>
      </c>
      <c r="AA46">
        <v>57.68</v>
      </c>
    </row>
    <row r="47" spans="8:27" x14ac:dyDescent="0.25">
      <c r="H47" s="2">
        <v>0</v>
      </c>
      <c r="I47" s="2">
        <v>8500</v>
      </c>
      <c r="J47" s="2">
        <v>0</v>
      </c>
      <c r="K47" s="2">
        <v>61.1</v>
      </c>
      <c r="L47" s="2">
        <v>0</v>
      </c>
      <c r="M47" s="2">
        <v>61.1</v>
      </c>
      <c r="O47">
        <v>0</v>
      </c>
      <c r="P47">
        <v>8500</v>
      </c>
      <c r="Q47">
        <v>0</v>
      </c>
      <c r="R47">
        <v>60.81</v>
      </c>
      <c r="S47">
        <v>0</v>
      </c>
      <c r="T47">
        <v>60.82</v>
      </c>
      <c r="V47">
        <v>0</v>
      </c>
      <c r="W47">
        <v>8500</v>
      </c>
      <c r="X47">
        <v>0</v>
      </c>
      <c r="Y47">
        <v>61.09</v>
      </c>
      <c r="Z47">
        <v>0</v>
      </c>
      <c r="AA47">
        <v>61.09</v>
      </c>
    </row>
    <row r="48" spans="8:27" x14ac:dyDescent="0.25">
      <c r="H48" s="2">
        <v>0</v>
      </c>
      <c r="I48" s="2">
        <v>9000</v>
      </c>
      <c r="J48" s="2">
        <v>0</v>
      </c>
      <c r="K48" s="2">
        <v>64.540000000000006</v>
      </c>
      <c r="L48" s="2">
        <v>0</v>
      </c>
      <c r="M48" s="2">
        <v>64.540000000000006</v>
      </c>
      <c r="O48">
        <v>0</v>
      </c>
      <c r="P48">
        <v>9000</v>
      </c>
      <c r="Q48">
        <v>0</v>
      </c>
      <c r="R48">
        <v>64.44</v>
      </c>
      <c r="S48">
        <v>0</v>
      </c>
      <c r="T48">
        <v>64.44</v>
      </c>
      <c r="V48">
        <v>0</v>
      </c>
      <c r="W48">
        <v>9000</v>
      </c>
      <c r="X48">
        <v>0</v>
      </c>
      <c r="Y48">
        <v>64.91</v>
      </c>
      <c r="Z48">
        <v>0</v>
      </c>
      <c r="AA48">
        <v>64.91</v>
      </c>
    </row>
    <row r="49" spans="8:27" x14ac:dyDescent="0.25">
      <c r="H49" s="2">
        <v>0</v>
      </c>
      <c r="I49" s="2">
        <v>9500</v>
      </c>
      <c r="J49" s="2">
        <v>0</v>
      </c>
      <c r="K49" s="2">
        <v>68.25</v>
      </c>
      <c r="L49" s="2">
        <v>0</v>
      </c>
      <c r="M49" s="2">
        <v>68.25</v>
      </c>
      <c r="O49">
        <v>0</v>
      </c>
      <c r="P49">
        <v>9500</v>
      </c>
      <c r="Q49">
        <v>0</v>
      </c>
      <c r="R49">
        <v>67.989999999999995</v>
      </c>
      <c r="S49">
        <v>0</v>
      </c>
      <c r="T49">
        <v>68</v>
      </c>
      <c r="V49">
        <v>0</v>
      </c>
      <c r="W49">
        <v>9500</v>
      </c>
      <c r="X49">
        <v>0</v>
      </c>
      <c r="Y49">
        <v>68.25</v>
      </c>
      <c r="Z49">
        <v>0</v>
      </c>
      <c r="AA49">
        <v>68.25</v>
      </c>
    </row>
    <row r="50" spans="8:27" x14ac:dyDescent="0.25">
      <c r="H50" s="2">
        <v>0</v>
      </c>
      <c r="I50" s="2">
        <v>10000</v>
      </c>
      <c r="J50" s="2">
        <v>0.01</v>
      </c>
      <c r="K50" s="2">
        <v>71.78</v>
      </c>
      <c r="L50" s="2">
        <v>0</v>
      </c>
      <c r="M50" s="2">
        <v>71.78</v>
      </c>
      <c r="O50">
        <v>0</v>
      </c>
      <c r="P50">
        <v>10000</v>
      </c>
      <c r="Q50">
        <v>0</v>
      </c>
      <c r="R50">
        <v>71.61</v>
      </c>
      <c r="S50">
        <v>0</v>
      </c>
      <c r="T50">
        <v>71.61</v>
      </c>
      <c r="V50">
        <v>0</v>
      </c>
      <c r="W50">
        <v>10000</v>
      </c>
      <c r="X50">
        <v>0</v>
      </c>
      <c r="Y50">
        <v>71.900000000000006</v>
      </c>
      <c r="Z50">
        <v>0</v>
      </c>
      <c r="AA50">
        <v>71.900000000000006</v>
      </c>
    </row>
    <row r="51" spans="8:27" x14ac:dyDescent="0.25">
      <c r="H51" s="2">
        <v>0</v>
      </c>
      <c r="I51" s="2">
        <v>10500</v>
      </c>
      <c r="J51" s="2">
        <v>0.01</v>
      </c>
      <c r="K51" s="2">
        <v>75.42</v>
      </c>
      <c r="L51" s="2">
        <v>0</v>
      </c>
      <c r="M51" s="2">
        <v>75.430000000000007</v>
      </c>
      <c r="O51">
        <v>0</v>
      </c>
      <c r="P51">
        <v>10500</v>
      </c>
      <c r="Q51">
        <v>0</v>
      </c>
      <c r="R51">
        <v>75.28</v>
      </c>
      <c r="S51">
        <v>0</v>
      </c>
      <c r="T51">
        <v>75.290000000000006</v>
      </c>
      <c r="V51">
        <v>0</v>
      </c>
      <c r="W51">
        <v>10500</v>
      </c>
      <c r="X51">
        <v>0</v>
      </c>
      <c r="Y51">
        <v>75.59</v>
      </c>
      <c r="Z51">
        <v>0</v>
      </c>
      <c r="AA51">
        <v>75.599999999999994</v>
      </c>
    </row>
    <row r="52" spans="8:27" x14ac:dyDescent="0.25">
      <c r="H52" s="2">
        <v>0</v>
      </c>
      <c r="I52" s="2">
        <v>11000</v>
      </c>
      <c r="J52" s="2">
        <v>0</v>
      </c>
      <c r="K52" s="2">
        <v>78.89</v>
      </c>
      <c r="L52" s="2">
        <v>0</v>
      </c>
      <c r="M52" s="2">
        <v>78.89</v>
      </c>
      <c r="O52">
        <v>0</v>
      </c>
      <c r="P52">
        <v>11000</v>
      </c>
      <c r="Q52">
        <v>0</v>
      </c>
      <c r="R52">
        <v>78.72</v>
      </c>
      <c r="S52">
        <v>0</v>
      </c>
      <c r="T52">
        <v>78.72</v>
      </c>
      <c r="V52">
        <v>0</v>
      </c>
      <c r="W52">
        <v>11000</v>
      </c>
      <c r="X52">
        <v>0</v>
      </c>
      <c r="Y52">
        <v>79.14</v>
      </c>
      <c r="Z52">
        <v>0</v>
      </c>
      <c r="AA52">
        <v>79.14</v>
      </c>
    </row>
    <row r="53" spans="8:27" x14ac:dyDescent="0.25">
      <c r="H53" s="2">
        <v>0</v>
      </c>
      <c r="I53" s="2">
        <v>11500</v>
      </c>
      <c r="J53" s="2">
        <v>0</v>
      </c>
      <c r="K53" s="2">
        <v>82.62</v>
      </c>
      <c r="L53" s="2">
        <v>0</v>
      </c>
      <c r="M53" s="2">
        <v>82.63</v>
      </c>
      <c r="O53">
        <v>0</v>
      </c>
      <c r="P53">
        <v>11500</v>
      </c>
      <c r="Q53">
        <v>0</v>
      </c>
      <c r="R53">
        <v>82.27</v>
      </c>
      <c r="S53">
        <v>0</v>
      </c>
      <c r="T53">
        <v>82.27</v>
      </c>
      <c r="V53">
        <v>0</v>
      </c>
      <c r="W53">
        <v>11500</v>
      </c>
      <c r="X53">
        <v>0</v>
      </c>
      <c r="Y53">
        <v>82.7</v>
      </c>
      <c r="Z53">
        <v>0</v>
      </c>
      <c r="AA53">
        <v>82.7</v>
      </c>
    </row>
    <row r="54" spans="8:27" x14ac:dyDescent="0.25">
      <c r="H54" s="2">
        <v>0</v>
      </c>
      <c r="I54" s="2">
        <v>12000</v>
      </c>
      <c r="J54" s="2">
        <v>0.01</v>
      </c>
      <c r="K54" s="2">
        <v>86.29</v>
      </c>
      <c r="L54" s="2">
        <v>0</v>
      </c>
      <c r="M54" s="2">
        <v>86.3</v>
      </c>
      <c r="O54">
        <v>0</v>
      </c>
      <c r="P54">
        <v>12000</v>
      </c>
      <c r="Q54">
        <v>0</v>
      </c>
      <c r="R54">
        <v>85.96</v>
      </c>
      <c r="S54">
        <v>0</v>
      </c>
      <c r="T54">
        <v>85.96</v>
      </c>
    </row>
    <row r="55" spans="8:27" x14ac:dyDescent="0.25">
      <c r="H55" s="2">
        <v>0</v>
      </c>
      <c r="I55" s="2">
        <v>12500</v>
      </c>
      <c r="J55" s="2">
        <v>0</v>
      </c>
      <c r="K55" s="2">
        <v>89.63</v>
      </c>
      <c r="L55" s="2">
        <v>0</v>
      </c>
      <c r="M55" s="2">
        <v>89.63</v>
      </c>
      <c r="O55">
        <v>0</v>
      </c>
      <c r="P55">
        <v>12500</v>
      </c>
      <c r="Q55">
        <v>0</v>
      </c>
      <c r="R55">
        <v>89.46</v>
      </c>
      <c r="S55">
        <v>0</v>
      </c>
      <c r="T55">
        <v>89.46</v>
      </c>
    </row>
    <row r="56" spans="8:27" x14ac:dyDescent="0.25">
      <c r="O56">
        <v>0</v>
      </c>
      <c r="P56">
        <v>13000</v>
      </c>
      <c r="Q56">
        <v>0</v>
      </c>
      <c r="R56">
        <v>0</v>
      </c>
      <c r="S56">
        <v>0</v>
      </c>
      <c r="T56">
        <v>0</v>
      </c>
    </row>
    <row r="58" spans="8:27" x14ac:dyDescent="0.25">
      <c r="H58" s="1" t="s">
        <v>17</v>
      </c>
      <c r="I58" s="1"/>
      <c r="J58" s="1"/>
      <c r="K58" s="1"/>
      <c r="L58" s="1"/>
      <c r="M58" s="1"/>
      <c r="N58" s="1"/>
      <c r="O58" s="5">
        <v>2018</v>
      </c>
      <c r="V58" s="21">
        <v>2019</v>
      </c>
      <c r="W58" s="20"/>
      <c r="X58" s="20"/>
      <c r="Y58" s="20"/>
      <c r="Z58" s="20"/>
      <c r="AA58" s="20"/>
    </row>
    <row r="59" spans="8:27" x14ac:dyDescent="0.25">
      <c r="H59" s="17" t="s">
        <v>6</v>
      </c>
      <c r="I59" s="17" t="s">
        <v>7</v>
      </c>
      <c r="J59" s="17" t="s">
        <v>8</v>
      </c>
      <c r="K59" s="17" t="s">
        <v>9</v>
      </c>
      <c r="L59" s="17" t="s">
        <v>10</v>
      </c>
      <c r="M59" s="17" t="s">
        <v>11</v>
      </c>
      <c r="O59" s="1" t="s">
        <v>6</v>
      </c>
      <c r="P59" s="1" t="s">
        <v>7</v>
      </c>
      <c r="Q59" s="1" t="s">
        <v>8</v>
      </c>
      <c r="R59" s="1" t="s">
        <v>9</v>
      </c>
      <c r="S59" s="1" t="s">
        <v>10</v>
      </c>
      <c r="T59" s="1" t="s">
        <v>11</v>
      </c>
      <c r="V59" s="23" t="s">
        <v>6</v>
      </c>
      <c r="W59" s="23" t="s">
        <v>7</v>
      </c>
      <c r="X59" s="23" t="s">
        <v>8</v>
      </c>
      <c r="Y59" s="23" t="s">
        <v>9</v>
      </c>
      <c r="Z59" s="23" t="s">
        <v>10</v>
      </c>
      <c r="AA59" s="23" t="s">
        <v>11</v>
      </c>
    </row>
    <row r="60" spans="8:27" x14ac:dyDescent="0.25">
      <c r="H60" s="17">
        <v>0</v>
      </c>
      <c r="I60" s="17">
        <v>500</v>
      </c>
      <c r="J60" s="17">
        <v>0</v>
      </c>
      <c r="K60" s="17">
        <v>3.59</v>
      </c>
      <c r="L60" s="17">
        <v>0</v>
      </c>
      <c r="M60" s="17">
        <v>3.59</v>
      </c>
      <c r="O60">
        <v>0</v>
      </c>
      <c r="P60">
        <v>500</v>
      </c>
      <c r="Q60">
        <v>0</v>
      </c>
      <c r="R60">
        <v>3.64</v>
      </c>
      <c r="S60">
        <v>0</v>
      </c>
      <c r="T60">
        <v>3.64</v>
      </c>
      <c r="V60" s="20">
        <v>0</v>
      </c>
      <c r="W60" s="20">
        <v>500</v>
      </c>
      <c r="X60" s="20">
        <v>0</v>
      </c>
      <c r="Y60" s="20">
        <v>3.65</v>
      </c>
      <c r="Z60" s="20">
        <v>0</v>
      </c>
      <c r="AA60" s="20">
        <v>3.65</v>
      </c>
    </row>
    <row r="61" spans="8:27" x14ac:dyDescent="0.25">
      <c r="H61" s="17">
        <v>0</v>
      </c>
      <c r="I61" s="17">
        <v>1000</v>
      </c>
      <c r="J61" s="17">
        <v>0</v>
      </c>
      <c r="K61" s="17">
        <v>7.1</v>
      </c>
      <c r="L61" s="17">
        <v>0</v>
      </c>
      <c r="M61" s="17">
        <v>7.1</v>
      </c>
      <c r="O61">
        <v>0</v>
      </c>
      <c r="P61">
        <v>1000</v>
      </c>
      <c r="Q61">
        <v>0</v>
      </c>
      <c r="R61">
        <v>7.17</v>
      </c>
      <c r="S61">
        <v>0</v>
      </c>
      <c r="T61">
        <v>7.17</v>
      </c>
      <c r="V61" s="20">
        <v>0</v>
      </c>
      <c r="W61" s="20">
        <v>1000</v>
      </c>
      <c r="X61" s="20">
        <v>0</v>
      </c>
      <c r="Y61" s="20">
        <v>7.19</v>
      </c>
      <c r="Z61" s="20">
        <v>0</v>
      </c>
      <c r="AA61" s="20">
        <v>7.19</v>
      </c>
    </row>
    <row r="62" spans="8:27" x14ac:dyDescent="0.25">
      <c r="H62" s="17">
        <v>0</v>
      </c>
      <c r="I62" s="17">
        <v>1500</v>
      </c>
      <c r="J62" s="17">
        <v>0</v>
      </c>
      <c r="K62" s="17">
        <v>10.69</v>
      </c>
      <c r="L62" s="17">
        <v>0</v>
      </c>
      <c r="M62" s="17">
        <v>10.69</v>
      </c>
      <c r="O62">
        <v>0</v>
      </c>
      <c r="P62">
        <v>1500</v>
      </c>
      <c r="Q62">
        <v>0</v>
      </c>
      <c r="R62">
        <v>10.75</v>
      </c>
      <c r="S62">
        <v>0</v>
      </c>
      <c r="T62">
        <v>10.75</v>
      </c>
      <c r="V62" s="20">
        <v>0</v>
      </c>
      <c r="W62" s="20">
        <v>1500</v>
      </c>
      <c r="X62" s="20">
        <v>0</v>
      </c>
      <c r="Y62" s="20">
        <v>10.78</v>
      </c>
      <c r="Z62" s="20">
        <v>0</v>
      </c>
      <c r="AA62" s="20">
        <v>10.78</v>
      </c>
    </row>
    <row r="63" spans="8:27" x14ac:dyDescent="0.25">
      <c r="H63">
        <v>0</v>
      </c>
      <c r="I63">
        <v>2000</v>
      </c>
      <c r="J63">
        <v>0</v>
      </c>
      <c r="K63">
        <v>14.2</v>
      </c>
      <c r="L63">
        <v>0</v>
      </c>
      <c r="M63">
        <v>14.2</v>
      </c>
      <c r="O63">
        <v>0</v>
      </c>
      <c r="P63">
        <v>2000</v>
      </c>
      <c r="Q63">
        <v>0</v>
      </c>
      <c r="R63">
        <v>14.37</v>
      </c>
      <c r="S63">
        <v>0</v>
      </c>
      <c r="T63">
        <v>14.37</v>
      </c>
      <c r="V63" s="20">
        <v>0</v>
      </c>
      <c r="W63" s="20">
        <v>2000</v>
      </c>
      <c r="X63" s="20">
        <v>0</v>
      </c>
      <c r="Y63" s="20">
        <v>14.39</v>
      </c>
      <c r="Z63" s="20">
        <v>0</v>
      </c>
      <c r="AA63" s="20">
        <v>14.39</v>
      </c>
    </row>
    <row r="64" spans="8:27" x14ac:dyDescent="0.25">
      <c r="H64" s="17">
        <v>0</v>
      </c>
      <c r="I64" s="17">
        <v>2500</v>
      </c>
      <c r="J64" s="17">
        <v>0</v>
      </c>
      <c r="K64" s="17">
        <v>17.88</v>
      </c>
      <c r="L64" s="17">
        <v>0</v>
      </c>
      <c r="M64" s="17">
        <v>17.88</v>
      </c>
      <c r="O64">
        <v>0</v>
      </c>
      <c r="P64">
        <v>2500</v>
      </c>
      <c r="Q64">
        <v>0</v>
      </c>
      <c r="R64">
        <v>17.98</v>
      </c>
      <c r="S64">
        <v>0</v>
      </c>
      <c r="T64">
        <v>17.98</v>
      </c>
      <c r="V64" s="20">
        <v>0</v>
      </c>
      <c r="W64" s="20">
        <v>2500</v>
      </c>
      <c r="X64" s="20">
        <v>0</v>
      </c>
      <c r="Y64" s="20">
        <v>18</v>
      </c>
      <c r="Z64" s="20">
        <v>0</v>
      </c>
      <c r="AA64" s="20">
        <v>18</v>
      </c>
    </row>
    <row r="65" spans="8:27" x14ac:dyDescent="0.25">
      <c r="H65" s="17">
        <v>0</v>
      </c>
      <c r="I65" s="17">
        <v>3000</v>
      </c>
      <c r="J65" s="17">
        <v>0</v>
      </c>
      <c r="K65" s="17">
        <v>21.37</v>
      </c>
      <c r="L65" s="17">
        <v>0</v>
      </c>
      <c r="M65" s="17">
        <v>21.37</v>
      </c>
      <c r="O65">
        <v>0</v>
      </c>
      <c r="P65">
        <v>3000</v>
      </c>
      <c r="Q65">
        <v>0</v>
      </c>
      <c r="R65">
        <v>21.6</v>
      </c>
      <c r="S65">
        <v>0</v>
      </c>
      <c r="T65">
        <v>21.6</v>
      </c>
      <c r="V65" s="20">
        <v>0</v>
      </c>
      <c r="W65" s="20">
        <v>3000</v>
      </c>
      <c r="X65" s="20">
        <v>0</v>
      </c>
      <c r="Y65" s="20">
        <v>21.64</v>
      </c>
      <c r="Z65" s="20">
        <v>0</v>
      </c>
      <c r="AA65" s="20">
        <v>21.64</v>
      </c>
    </row>
    <row r="66" spans="8:27" x14ac:dyDescent="0.25">
      <c r="H66" s="17">
        <v>0</v>
      </c>
      <c r="I66" s="17">
        <v>3500</v>
      </c>
      <c r="J66" s="17">
        <v>0</v>
      </c>
      <c r="K66" s="17">
        <v>24.88</v>
      </c>
      <c r="L66" s="17">
        <v>0</v>
      </c>
      <c r="M66" s="17">
        <v>24.88</v>
      </c>
      <c r="O66">
        <v>0</v>
      </c>
      <c r="P66">
        <v>3500</v>
      </c>
      <c r="Q66">
        <v>0</v>
      </c>
      <c r="R66">
        <v>25.26</v>
      </c>
      <c r="S66">
        <v>0</v>
      </c>
      <c r="T66">
        <v>25.26</v>
      </c>
      <c r="V66" s="20">
        <v>0</v>
      </c>
      <c r="W66" s="20">
        <v>3500</v>
      </c>
      <c r="X66" s="20">
        <v>0</v>
      </c>
      <c r="Y66" s="20">
        <v>25.21</v>
      </c>
      <c r="Z66" s="20">
        <v>0</v>
      </c>
      <c r="AA66" s="20">
        <v>25.21</v>
      </c>
    </row>
    <row r="67" spans="8:27" x14ac:dyDescent="0.25">
      <c r="H67" s="17">
        <v>0</v>
      </c>
      <c r="I67" s="17">
        <v>4000</v>
      </c>
      <c r="J67" s="17">
        <v>0</v>
      </c>
      <c r="K67" s="17">
        <v>28.51</v>
      </c>
      <c r="L67" s="17">
        <v>0</v>
      </c>
      <c r="M67" s="17">
        <v>28.51</v>
      </c>
      <c r="O67">
        <v>0</v>
      </c>
      <c r="P67">
        <v>4000</v>
      </c>
      <c r="Q67">
        <v>0</v>
      </c>
      <c r="R67">
        <v>28.75</v>
      </c>
      <c r="S67">
        <v>0</v>
      </c>
      <c r="T67">
        <v>28.75</v>
      </c>
      <c r="V67" s="20">
        <v>0</v>
      </c>
      <c r="W67" s="20">
        <v>4000</v>
      </c>
      <c r="X67" s="20">
        <v>0</v>
      </c>
      <c r="Y67" s="20">
        <v>28.72</v>
      </c>
      <c r="Z67" s="20">
        <v>0</v>
      </c>
      <c r="AA67" s="20">
        <v>28.72</v>
      </c>
    </row>
    <row r="68" spans="8:27" x14ac:dyDescent="0.25">
      <c r="H68" s="17">
        <v>0</v>
      </c>
      <c r="I68" s="17">
        <v>4500</v>
      </c>
      <c r="J68" s="17">
        <v>0</v>
      </c>
      <c r="K68" s="17">
        <v>32.04</v>
      </c>
      <c r="L68" s="17">
        <v>0</v>
      </c>
      <c r="M68" s="17">
        <v>32.04</v>
      </c>
      <c r="O68">
        <v>0</v>
      </c>
      <c r="P68">
        <v>4500</v>
      </c>
      <c r="Q68">
        <v>0</v>
      </c>
      <c r="R68">
        <v>32.26</v>
      </c>
      <c r="S68">
        <v>0</v>
      </c>
      <c r="T68">
        <v>32.26</v>
      </c>
      <c r="V68" s="20">
        <v>0</v>
      </c>
      <c r="W68" s="20">
        <v>4500</v>
      </c>
      <c r="X68" s="20">
        <v>0</v>
      </c>
      <c r="Y68" s="20">
        <v>32.39</v>
      </c>
      <c r="Z68" s="20">
        <v>0</v>
      </c>
      <c r="AA68" s="20">
        <v>32.39</v>
      </c>
    </row>
    <row r="69" spans="8:27" x14ac:dyDescent="0.25">
      <c r="H69" s="17">
        <v>0</v>
      </c>
      <c r="I69" s="17">
        <v>5000</v>
      </c>
      <c r="J69" s="17">
        <v>0</v>
      </c>
      <c r="K69" s="17">
        <v>35.69</v>
      </c>
      <c r="L69" s="17">
        <v>0</v>
      </c>
      <c r="M69" s="17">
        <v>35.69</v>
      </c>
      <c r="O69">
        <v>0</v>
      </c>
      <c r="P69">
        <v>5000</v>
      </c>
      <c r="Q69">
        <v>0</v>
      </c>
      <c r="R69">
        <v>35.75</v>
      </c>
      <c r="S69">
        <v>0</v>
      </c>
      <c r="T69">
        <v>35.75</v>
      </c>
      <c r="V69" s="20">
        <v>0</v>
      </c>
      <c r="W69" s="20">
        <v>5000</v>
      </c>
      <c r="X69" s="20">
        <v>0</v>
      </c>
      <c r="Y69" s="20">
        <v>35.9</v>
      </c>
      <c r="Z69" s="20">
        <v>0</v>
      </c>
      <c r="AA69" s="20">
        <v>35.9</v>
      </c>
    </row>
    <row r="70" spans="8:27" x14ac:dyDescent="0.25">
      <c r="H70" s="17">
        <v>0</v>
      </c>
      <c r="I70" s="17">
        <v>5500</v>
      </c>
      <c r="J70" s="17">
        <v>0</v>
      </c>
      <c r="K70" s="17">
        <v>39.17</v>
      </c>
      <c r="L70" s="17">
        <v>0</v>
      </c>
      <c r="M70" s="17">
        <v>39.18</v>
      </c>
      <c r="O70">
        <v>0</v>
      </c>
      <c r="P70">
        <v>5500</v>
      </c>
      <c r="Q70">
        <v>0</v>
      </c>
      <c r="R70">
        <v>39.5</v>
      </c>
      <c r="S70">
        <v>0</v>
      </c>
      <c r="T70">
        <v>39.5</v>
      </c>
      <c r="V70" s="20">
        <v>0</v>
      </c>
      <c r="W70" s="20">
        <v>5500</v>
      </c>
      <c r="X70" s="20">
        <v>0</v>
      </c>
      <c r="Y70" s="20">
        <v>39.520000000000003</v>
      </c>
      <c r="Z70" s="20">
        <v>0</v>
      </c>
      <c r="AA70" s="20">
        <v>39.520000000000003</v>
      </c>
    </row>
    <row r="71" spans="8:27" x14ac:dyDescent="0.25">
      <c r="H71" s="17">
        <v>0</v>
      </c>
      <c r="I71" s="17">
        <v>6000</v>
      </c>
      <c r="J71" s="17">
        <v>0</v>
      </c>
      <c r="K71" s="17">
        <v>42.75</v>
      </c>
      <c r="L71" s="17">
        <v>0</v>
      </c>
      <c r="M71" s="17">
        <v>42.75</v>
      </c>
      <c r="O71">
        <v>0</v>
      </c>
      <c r="P71">
        <v>6000</v>
      </c>
      <c r="Q71">
        <v>0</v>
      </c>
      <c r="R71">
        <v>43.04</v>
      </c>
      <c r="S71">
        <v>0</v>
      </c>
      <c r="T71">
        <v>43.04</v>
      </c>
      <c r="V71" s="20">
        <v>0</v>
      </c>
      <c r="W71" s="20">
        <v>6000</v>
      </c>
      <c r="X71" s="20">
        <v>0</v>
      </c>
      <c r="Y71" s="20">
        <v>43.04</v>
      </c>
      <c r="Z71" s="20">
        <v>0</v>
      </c>
      <c r="AA71" s="20">
        <v>43.04</v>
      </c>
    </row>
    <row r="72" spans="8:27" x14ac:dyDescent="0.25">
      <c r="H72" s="17">
        <v>0</v>
      </c>
      <c r="I72" s="17">
        <v>6500</v>
      </c>
      <c r="J72" s="17">
        <v>0</v>
      </c>
      <c r="K72" s="17">
        <v>46.31</v>
      </c>
      <c r="L72" s="17">
        <v>0</v>
      </c>
      <c r="M72" s="17">
        <v>46.32</v>
      </c>
      <c r="O72">
        <v>0</v>
      </c>
      <c r="P72">
        <v>6500</v>
      </c>
      <c r="Q72">
        <v>0</v>
      </c>
      <c r="R72">
        <v>46.59</v>
      </c>
      <c r="S72">
        <v>0</v>
      </c>
      <c r="T72">
        <v>46.59</v>
      </c>
      <c r="V72" s="20">
        <v>0</v>
      </c>
      <c r="W72" s="20">
        <v>6500</v>
      </c>
      <c r="X72" s="20">
        <v>0</v>
      </c>
      <c r="Y72" s="20">
        <v>46.6</v>
      </c>
      <c r="Z72" s="20">
        <v>0</v>
      </c>
      <c r="AA72" s="20">
        <v>46.6</v>
      </c>
    </row>
    <row r="73" spans="8:27" x14ac:dyDescent="0.25">
      <c r="H73" s="17">
        <v>0</v>
      </c>
      <c r="I73" s="17">
        <v>7000</v>
      </c>
      <c r="J73" s="17">
        <v>0</v>
      </c>
      <c r="K73" s="17">
        <v>49.84</v>
      </c>
      <c r="L73" s="17">
        <v>0</v>
      </c>
      <c r="M73" s="17">
        <v>49.84</v>
      </c>
      <c r="O73">
        <v>0</v>
      </c>
      <c r="P73">
        <v>7000</v>
      </c>
      <c r="Q73">
        <v>0</v>
      </c>
      <c r="R73">
        <v>50.26</v>
      </c>
      <c r="S73">
        <v>0</v>
      </c>
      <c r="T73">
        <v>50.26</v>
      </c>
      <c r="V73" s="20">
        <v>0</v>
      </c>
      <c r="W73" s="20">
        <v>7000</v>
      </c>
      <c r="X73" s="20">
        <v>0</v>
      </c>
      <c r="Y73" s="20">
        <v>50.28</v>
      </c>
      <c r="Z73" s="20">
        <v>0</v>
      </c>
      <c r="AA73" s="20">
        <v>50.28</v>
      </c>
    </row>
    <row r="74" spans="8:27" x14ac:dyDescent="0.25">
      <c r="H74" s="17">
        <v>0</v>
      </c>
      <c r="I74" s="17">
        <v>7500</v>
      </c>
      <c r="J74" s="17">
        <v>0</v>
      </c>
      <c r="K74" s="17">
        <v>53.39</v>
      </c>
      <c r="L74" s="17">
        <v>0</v>
      </c>
      <c r="M74" s="17">
        <v>53.4</v>
      </c>
      <c r="O74">
        <v>0</v>
      </c>
      <c r="P74">
        <v>7500</v>
      </c>
      <c r="Q74">
        <v>0</v>
      </c>
      <c r="R74">
        <v>53.72</v>
      </c>
      <c r="S74">
        <v>0</v>
      </c>
      <c r="T74">
        <v>53.72</v>
      </c>
      <c r="V74" s="20">
        <v>0</v>
      </c>
      <c r="W74" s="20">
        <v>7500</v>
      </c>
      <c r="X74" s="20">
        <v>0</v>
      </c>
      <c r="Y74" s="20">
        <v>53.85</v>
      </c>
      <c r="Z74" s="20">
        <v>0</v>
      </c>
      <c r="AA74" s="20">
        <v>53.85</v>
      </c>
    </row>
    <row r="75" spans="8:27" x14ac:dyDescent="0.25">
      <c r="H75" s="17">
        <v>0</v>
      </c>
      <c r="I75" s="17">
        <v>8000</v>
      </c>
      <c r="J75" s="17">
        <v>0</v>
      </c>
      <c r="K75" s="17">
        <v>57.09</v>
      </c>
      <c r="L75" s="17">
        <v>0</v>
      </c>
      <c r="M75" s="17">
        <v>57.1</v>
      </c>
      <c r="O75">
        <v>0</v>
      </c>
      <c r="P75">
        <v>8000</v>
      </c>
      <c r="Q75">
        <v>0</v>
      </c>
      <c r="R75">
        <v>57.38</v>
      </c>
      <c r="S75">
        <v>0</v>
      </c>
      <c r="T75">
        <v>57.39</v>
      </c>
      <c r="V75" s="20">
        <v>0</v>
      </c>
      <c r="W75" s="20">
        <v>8000</v>
      </c>
      <c r="X75" s="20">
        <v>0</v>
      </c>
      <c r="Y75" s="20">
        <v>57.57</v>
      </c>
      <c r="Z75" s="20">
        <v>0</v>
      </c>
      <c r="AA75" s="20">
        <v>57.57</v>
      </c>
    </row>
    <row r="76" spans="8:27" x14ac:dyDescent="0.25">
      <c r="H76" s="17">
        <v>0</v>
      </c>
      <c r="I76" s="17">
        <v>8500</v>
      </c>
      <c r="J76" s="17">
        <v>0</v>
      </c>
      <c r="K76" s="17">
        <v>60.63</v>
      </c>
      <c r="L76" s="17">
        <v>0</v>
      </c>
      <c r="M76" s="17">
        <v>60.63</v>
      </c>
      <c r="O76">
        <v>0</v>
      </c>
      <c r="P76">
        <v>8500</v>
      </c>
      <c r="Q76">
        <v>0</v>
      </c>
      <c r="R76">
        <v>60.84</v>
      </c>
      <c r="S76">
        <v>0</v>
      </c>
      <c r="T76">
        <v>60.84</v>
      </c>
      <c r="V76" s="20">
        <v>0</v>
      </c>
      <c r="W76" s="20">
        <v>8500</v>
      </c>
      <c r="X76" s="20">
        <v>0</v>
      </c>
      <c r="Y76" s="20">
        <v>61.17</v>
      </c>
      <c r="Z76" s="20">
        <v>0</v>
      </c>
      <c r="AA76" s="20">
        <v>61.17</v>
      </c>
    </row>
    <row r="77" spans="8:27" x14ac:dyDescent="0.25">
      <c r="H77" s="17">
        <v>0</v>
      </c>
      <c r="I77" s="17">
        <v>9000</v>
      </c>
      <c r="J77" s="17">
        <v>0</v>
      </c>
      <c r="K77" s="17">
        <v>64.16</v>
      </c>
      <c r="L77" s="17">
        <v>0</v>
      </c>
      <c r="M77" s="17">
        <v>64.17</v>
      </c>
      <c r="O77">
        <v>0</v>
      </c>
      <c r="P77">
        <v>9000</v>
      </c>
      <c r="Q77">
        <v>0</v>
      </c>
      <c r="R77">
        <v>64.5</v>
      </c>
      <c r="S77">
        <v>0</v>
      </c>
      <c r="T77">
        <v>64.5</v>
      </c>
      <c r="V77" s="20">
        <v>0</v>
      </c>
      <c r="W77" s="20">
        <v>9000</v>
      </c>
      <c r="X77" s="20">
        <v>0</v>
      </c>
      <c r="Y77" s="20">
        <v>64.77</v>
      </c>
      <c r="Z77" s="20">
        <v>0</v>
      </c>
      <c r="AA77" s="20">
        <v>64.77</v>
      </c>
    </row>
    <row r="78" spans="8:27" x14ac:dyDescent="0.25">
      <c r="H78" s="17">
        <v>0</v>
      </c>
      <c r="I78" s="17">
        <v>9500</v>
      </c>
      <c r="J78" s="17">
        <v>0</v>
      </c>
      <c r="K78" s="17">
        <v>67.61</v>
      </c>
      <c r="L78" s="17">
        <v>0</v>
      </c>
      <c r="M78" s="17">
        <v>67.61</v>
      </c>
      <c r="O78">
        <v>0</v>
      </c>
      <c r="P78">
        <v>9500</v>
      </c>
      <c r="Q78">
        <v>0</v>
      </c>
      <c r="R78">
        <v>68.11</v>
      </c>
      <c r="S78">
        <v>0</v>
      </c>
      <c r="T78">
        <v>68.11</v>
      </c>
      <c r="V78" s="20">
        <v>0</v>
      </c>
      <c r="W78" s="20">
        <v>9500</v>
      </c>
      <c r="X78" s="20">
        <v>0</v>
      </c>
      <c r="Y78" s="20">
        <v>68.260000000000005</v>
      </c>
      <c r="Z78" s="20">
        <v>0</v>
      </c>
      <c r="AA78" s="20">
        <v>68.260000000000005</v>
      </c>
    </row>
    <row r="79" spans="8:27" x14ac:dyDescent="0.25">
      <c r="H79" s="17">
        <v>0</v>
      </c>
      <c r="I79" s="17">
        <v>10000</v>
      </c>
      <c r="J79" s="17">
        <v>0</v>
      </c>
      <c r="K79" s="17">
        <v>71.38</v>
      </c>
      <c r="L79" s="17">
        <v>0</v>
      </c>
      <c r="M79" s="17">
        <v>71.38</v>
      </c>
      <c r="O79">
        <v>0</v>
      </c>
      <c r="P79">
        <v>10000</v>
      </c>
      <c r="Q79">
        <v>0</v>
      </c>
      <c r="R79">
        <v>71.650000000000006</v>
      </c>
      <c r="S79">
        <v>0</v>
      </c>
      <c r="T79">
        <v>71.650000000000006</v>
      </c>
      <c r="V79" s="20">
        <v>0</v>
      </c>
      <c r="W79" s="20">
        <v>10000</v>
      </c>
      <c r="X79" s="20">
        <v>0</v>
      </c>
      <c r="Y79" s="20">
        <v>71.89</v>
      </c>
      <c r="Z79" s="20">
        <v>0</v>
      </c>
      <c r="AA79" s="20">
        <v>71.89</v>
      </c>
    </row>
    <row r="80" spans="8:27" x14ac:dyDescent="0.25">
      <c r="H80" s="17">
        <v>0</v>
      </c>
      <c r="I80" s="17">
        <v>10500</v>
      </c>
      <c r="J80" s="17">
        <v>0</v>
      </c>
      <c r="K80" s="17">
        <v>74.8</v>
      </c>
      <c r="L80" s="17">
        <v>0</v>
      </c>
      <c r="M80" s="17">
        <v>74.81</v>
      </c>
      <c r="O80">
        <v>0</v>
      </c>
      <c r="P80">
        <v>10500</v>
      </c>
      <c r="Q80">
        <v>0</v>
      </c>
      <c r="R80">
        <v>75.239999999999995</v>
      </c>
      <c r="S80">
        <v>0</v>
      </c>
      <c r="T80">
        <v>75.25</v>
      </c>
      <c r="V80" s="20">
        <v>0</v>
      </c>
      <c r="W80" s="20">
        <v>10500</v>
      </c>
      <c r="X80" s="20">
        <v>0.01</v>
      </c>
      <c r="Y80" s="20">
        <v>75.55</v>
      </c>
      <c r="Z80" s="20">
        <v>0</v>
      </c>
      <c r="AA80" s="20">
        <v>75.56</v>
      </c>
    </row>
    <row r="81" spans="8:27" x14ac:dyDescent="0.25">
      <c r="H81" s="17">
        <v>0</v>
      </c>
      <c r="I81" s="17">
        <v>11000</v>
      </c>
      <c r="J81" s="17">
        <v>0</v>
      </c>
      <c r="K81" s="17">
        <v>78.790000000000006</v>
      </c>
      <c r="L81" s="17">
        <v>0</v>
      </c>
      <c r="M81" s="17">
        <v>78.790000000000006</v>
      </c>
      <c r="O81">
        <v>0</v>
      </c>
      <c r="P81">
        <v>11000</v>
      </c>
      <c r="Q81">
        <v>0</v>
      </c>
      <c r="R81">
        <v>78.97</v>
      </c>
      <c r="S81">
        <v>0</v>
      </c>
      <c r="T81">
        <v>78.97</v>
      </c>
      <c r="V81" s="20">
        <v>0</v>
      </c>
      <c r="W81" s="20">
        <v>11000</v>
      </c>
      <c r="X81" s="20">
        <v>0</v>
      </c>
      <c r="Y81" s="20">
        <v>79.099999999999994</v>
      </c>
      <c r="Z81" s="20">
        <v>0</v>
      </c>
      <c r="AA81" s="20">
        <v>79.099999999999994</v>
      </c>
    </row>
    <row r="82" spans="8:27" x14ac:dyDescent="0.25">
      <c r="O82">
        <v>0</v>
      </c>
      <c r="P82">
        <v>11500</v>
      </c>
      <c r="Q82">
        <v>0</v>
      </c>
      <c r="R82">
        <v>82.52</v>
      </c>
      <c r="S82">
        <v>0</v>
      </c>
      <c r="T82">
        <v>82.52</v>
      </c>
      <c r="V82" s="20">
        <v>0</v>
      </c>
      <c r="W82" s="20">
        <v>11500</v>
      </c>
      <c r="X82" s="20">
        <v>0</v>
      </c>
      <c r="Y82" s="20">
        <v>82.71</v>
      </c>
      <c r="Z82" s="20">
        <v>0</v>
      </c>
      <c r="AA82" s="20">
        <v>82.71</v>
      </c>
    </row>
    <row r="83" spans="8:27" x14ac:dyDescent="0.25">
      <c r="O83">
        <v>0</v>
      </c>
      <c r="P83">
        <v>12000</v>
      </c>
      <c r="Q83">
        <v>0</v>
      </c>
      <c r="R83">
        <v>86.27</v>
      </c>
      <c r="S83">
        <v>0</v>
      </c>
      <c r="T83">
        <v>86.27</v>
      </c>
    </row>
    <row r="84" spans="8:27" x14ac:dyDescent="0.25">
      <c r="O84">
        <v>0</v>
      </c>
      <c r="P84">
        <v>12500</v>
      </c>
      <c r="Q84">
        <v>0</v>
      </c>
      <c r="R84">
        <v>90.01</v>
      </c>
      <c r="S84">
        <v>0</v>
      </c>
      <c r="T84">
        <v>90.01</v>
      </c>
    </row>
    <row r="86" spans="8:27" x14ac:dyDescent="0.25">
      <c r="H86" s="5" t="s">
        <v>19</v>
      </c>
      <c r="O86" s="21" t="s">
        <v>18</v>
      </c>
    </row>
    <row r="87" spans="8:27" x14ac:dyDescent="0.25">
      <c r="H87" s="5" t="s">
        <v>6</v>
      </c>
      <c r="I87" s="5" t="s">
        <v>7</v>
      </c>
      <c r="J87" s="5" t="s">
        <v>8</v>
      </c>
      <c r="K87" s="5" t="s">
        <v>9</v>
      </c>
      <c r="L87" s="5" t="s">
        <v>10</v>
      </c>
      <c r="M87" s="5" t="s">
        <v>11</v>
      </c>
      <c r="O87" s="21" t="s">
        <v>6</v>
      </c>
      <c r="P87" s="21" t="s">
        <v>7</v>
      </c>
      <c r="Q87" s="21" t="s">
        <v>8</v>
      </c>
      <c r="R87" s="21" t="s">
        <v>9</v>
      </c>
      <c r="S87" s="21" t="s">
        <v>10</v>
      </c>
      <c r="T87" s="21" t="s">
        <v>11</v>
      </c>
    </row>
    <row r="88" spans="8:27" x14ac:dyDescent="0.25">
      <c r="H88">
        <v>0</v>
      </c>
      <c r="I88">
        <v>500</v>
      </c>
      <c r="J88">
        <v>0</v>
      </c>
      <c r="K88">
        <v>3.68</v>
      </c>
      <c r="L88">
        <v>0</v>
      </c>
      <c r="M88">
        <v>3.68</v>
      </c>
      <c r="O88" s="20">
        <v>0</v>
      </c>
      <c r="P88" s="20">
        <v>500</v>
      </c>
      <c r="Q88" s="20">
        <v>0</v>
      </c>
      <c r="R88" s="20">
        <v>3.64</v>
      </c>
      <c r="S88" s="20">
        <v>0</v>
      </c>
      <c r="T88" s="20">
        <v>3.64</v>
      </c>
    </row>
    <row r="89" spans="8:27" x14ac:dyDescent="0.25">
      <c r="H89">
        <v>0</v>
      </c>
      <c r="I89">
        <v>1000</v>
      </c>
      <c r="J89">
        <v>0</v>
      </c>
      <c r="K89">
        <v>7.33</v>
      </c>
      <c r="L89">
        <v>0</v>
      </c>
      <c r="M89">
        <v>7.33</v>
      </c>
      <c r="O89" s="20">
        <v>0</v>
      </c>
      <c r="P89" s="20">
        <v>1000</v>
      </c>
      <c r="Q89" s="20">
        <v>0</v>
      </c>
      <c r="R89" s="20">
        <v>7.24</v>
      </c>
      <c r="S89" s="20">
        <v>0</v>
      </c>
      <c r="T89" s="20">
        <v>7.24</v>
      </c>
    </row>
    <row r="90" spans="8:27" x14ac:dyDescent="0.25">
      <c r="H90">
        <v>0</v>
      </c>
      <c r="I90">
        <v>1500</v>
      </c>
      <c r="J90">
        <v>0</v>
      </c>
      <c r="K90">
        <v>10.98</v>
      </c>
      <c r="L90">
        <v>0</v>
      </c>
      <c r="M90">
        <v>10.98</v>
      </c>
      <c r="O90" s="20">
        <v>0</v>
      </c>
      <c r="P90" s="20">
        <v>1500</v>
      </c>
      <c r="Q90" s="20">
        <v>0</v>
      </c>
      <c r="R90" s="20">
        <v>10.83</v>
      </c>
      <c r="S90" s="20">
        <v>0</v>
      </c>
      <c r="T90" s="20">
        <v>10.83</v>
      </c>
    </row>
    <row r="91" spans="8:27" x14ac:dyDescent="0.25">
      <c r="H91">
        <v>0</v>
      </c>
      <c r="I91">
        <v>2000</v>
      </c>
      <c r="J91">
        <v>0</v>
      </c>
      <c r="K91">
        <v>14.71</v>
      </c>
      <c r="L91">
        <v>0</v>
      </c>
      <c r="M91">
        <v>14.71</v>
      </c>
      <c r="O91" s="20">
        <v>0</v>
      </c>
      <c r="P91" s="20">
        <v>2000</v>
      </c>
      <c r="Q91" s="20">
        <v>0</v>
      </c>
      <c r="R91" s="20">
        <v>14.47</v>
      </c>
      <c r="S91" s="20">
        <v>0</v>
      </c>
      <c r="T91" s="20">
        <v>14.47</v>
      </c>
    </row>
    <row r="92" spans="8:27" x14ac:dyDescent="0.25">
      <c r="H92">
        <v>0</v>
      </c>
      <c r="I92">
        <v>2500</v>
      </c>
      <c r="J92">
        <v>0</v>
      </c>
      <c r="K92">
        <v>18.309999999999999</v>
      </c>
      <c r="L92">
        <v>0</v>
      </c>
      <c r="M92">
        <v>18.32</v>
      </c>
      <c r="O92" s="20">
        <v>0</v>
      </c>
      <c r="P92" s="20">
        <v>2500</v>
      </c>
      <c r="Q92" s="20">
        <v>0</v>
      </c>
      <c r="R92" s="20">
        <v>18.09</v>
      </c>
      <c r="S92" s="20">
        <v>0</v>
      </c>
      <c r="T92" s="20">
        <v>18.09</v>
      </c>
    </row>
    <row r="93" spans="8:27" x14ac:dyDescent="0.25">
      <c r="H93">
        <v>0</v>
      </c>
      <c r="I93">
        <v>3000</v>
      </c>
      <c r="J93">
        <v>0</v>
      </c>
      <c r="K93">
        <v>22.01</v>
      </c>
      <c r="L93">
        <v>0</v>
      </c>
      <c r="M93">
        <v>22.01</v>
      </c>
      <c r="O93" s="20">
        <v>0</v>
      </c>
      <c r="P93" s="20">
        <v>3000</v>
      </c>
      <c r="Q93" s="20">
        <v>0</v>
      </c>
      <c r="R93" s="20">
        <v>21.72</v>
      </c>
      <c r="S93" s="20">
        <v>0</v>
      </c>
      <c r="T93" s="20">
        <v>21.72</v>
      </c>
    </row>
    <row r="94" spans="8:27" x14ac:dyDescent="0.25">
      <c r="H94">
        <v>0</v>
      </c>
      <c r="I94">
        <v>3500</v>
      </c>
      <c r="J94">
        <v>0</v>
      </c>
      <c r="K94">
        <v>25.6</v>
      </c>
      <c r="L94">
        <v>0</v>
      </c>
      <c r="M94">
        <v>25.6</v>
      </c>
      <c r="O94" s="20">
        <v>0</v>
      </c>
      <c r="P94" s="20">
        <v>3500</v>
      </c>
      <c r="Q94" s="20">
        <v>0</v>
      </c>
      <c r="R94" s="20">
        <v>25.29</v>
      </c>
      <c r="S94" s="20">
        <v>0</v>
      </c>
      <c r="T94" s="20">
        <v>25.29</v>
      </c>
    </row>
    <row r="95" spans="8:27" x14ac:dyDescent="0.25">
      <c r="H95">
        <v>0</v>
      </c>
      <c r="I95">
        <v>4000</v>
      </c>
      <c r="J95">
        <v>0</v>
      </c>
      <c r="K95">
        <v>29.16</v>
      </c>
      <c r="L95">
        <v>0</v>
      </c>
      <c r="M95">
        <v>29.16</v>
      </c>
      <c r="O95" s="20">
        <v>0</v>
      </c>
      <c r="P95" s="20">
        <v>4000</v>
      </c>
      <c r="Q95" s="20">
        <v>0</v>
      </c>
      <c r="R95" s="20">
        <v>28.91</v>
      </c>
      <c r="S95" s="20">
        <v>0</v>
      </c>
      <c r="T95" s="20">
        <v>28.91</v>
      </c>
    </row>
    <row r="96" spans="8:27" x14ac:dyDescent="0.25">
      <c r="H96">
        <v>0</v>
      </c>
      <c r="I96">
        <v>4500</v>
      </c>
      <c r="J96">
        <v>0</v>
      </c>
      <c r="K96">
        <v>32.89</v>
      </c>
      <c r="L96">
        <v>0</v>
      </c>
      <c r="M96">
        <v>32.89</v>
      </c>
      <c r="O96" s="20">
        <v>0</v>
      </c>
      <c r="P96" s="20">
        <v>4500</v>
      </c>
      <c r="Q96" s="20">
        <v>0</v>
      </c>
      <c r="R96" s="20">
        <v>32.630000000000003</v>
      </c>
      <c r="S96" s="20">
        <v>0</v>
      </c>
      <c r="T96" s="20">
        <v>32.630000000000003</v>
      </c>
    </row>
    <row r="97" spans="8:20" x14ac:dyDescent="0.25">
      <c r="H97">
        <v>0</v>
      </c>
      <c r="I97">
        <v>5000</v>
      </c>
      <c r="J97">
        <v>0</v>
      </c>
      <c r="K97">
        <v>36.46</v>
      </c>
      <c r="L97">
        <v>0</v>
      </c>
      <c r="M97">
        <v>36.46</v>
      </c>
      <c r="O97" s="20">
        <v>0</v>
      </c>
      <c r="P97" s="20">
        <v>5000</v>
      </c>
      <c r="Q97" s="20">
        <v>0</v>
      </c>
      <c r="R97" s="20">
        <v>36.15</v>
      </c>
      <c r="S97" s="20">
        <v>0</v>
      </c>
      <c r="T97" s="20">
        <v>36.159999999999997</v>
      </c>
    </row>
    <row r="98" spans="8:20" x14ac:dyDescent="0.25">
      <c r="H98">
        <v>0</v>
      </c>
      <c r="I98">
        <v>5500</v>
      </c>
      <c r="J98">
        <v>0</v>
      </c>
      <c r="K98">
        <v>40.21</v>
      </c>
      <c r="L98">
        <v>0</v>
      </c>
      <c r="M98">
        <v>40.21</v>
      </c>
      <c r="O98" s="20">
        <v>0</v>
      </c>
      <c r="P98" s="20">
        <v>5500</v>
      </c>
      <c r="Q98" s="20">
        <v>0</v>
      </c>
      <c r="R98" s="20">
        <v>39.65</v>
      </c>
      <c r="S98" s="20">
        <v>0</v>
      </c>
      <c r="T98" s="20">
        <v>39.65</v>
      </c>
    </row>
    <row r="99" spans="8:20" x14ac:dyDescent="0.25">
      <c r="H99">
        <v>0</v>
      </c>
      <c r="I99">
        <v>6000</v>
      </c>
      <c r="J99">
        <v>0</v>
      </c>
      <c r="K99">
        <v>43.8</v>
      </c>
      <c r="L99">
        <v>0</v>
      </c>
      <c r="M99">
        <v>43.8</v>
      </c>
      <c r="O99" s="20">
        <v>0</v>
      </c>
      <c r="P99" s="20">
        <v>6000</v>
      </c>
      <c r="Q99" s="20">
        <v>0.01</v>
      </c>
      <c r="R99" s="20">
        <v>43.3</v>
      </c>
      <c r="S99" s="20">
        <v>0</v>
      </c>
      <c r="T99" s="20">
        <v>43.3</v>
      </c>
    </row>
    <row r="100" spans="8:20" x14ac:dyDescent="0.25">
      <c r="H100">
        <v>0</v>
      </c>
      <c r="I100">
        <v>6500</v>
      </c>
      <c r="J100">
        <v>0</v>
      </c>
      <c r="K100">
        <v>47.45</v>
      </c>
      <c r="L100">
        <v>0</v>
      </c>
      <c r="M100">
        <v>47.45</v>
      </c>
      <c r="O100" s="20">
        <v>0</v>
      </c>
      <c r="P100" s="20">
        <v>6500</v>
      </c>
      <c r="Q100" s="20">
        <v>0</v>
      </c>
      <c r="R100" s="20">
        <v>46.87</v>
      </c>
      <c r="S100" s="20">
        <v>0</v>
      </c>
      <c r="T100" s="20">
        <v>46.87</v>
      </c>
    </row>
    <row r="101" spans="8:20" x14ac:dyDescent="0.25">
      <c r="H101">
        <v>0</v>
      </c>
      <c r="I101">
        <v>7000</v>
      </c>
      <c r="J101">
        <v>0</v>
      </c>
      <c r="K101">
        <v>51.06</v>
      </c>
      <c r="L101">
        <v>0</v>
      </c>
      <c r="M101">
        <v>51.06</v>
      </c>
      <c r="O101" s="20">
        <v>0</v>
      </c>
      <c r="P101" s="20">
        <v>7000</v>
      </c>
      <c r="Q101" s="20">
        <v>0</v>
      </c>
      <c r="R101" s="20">
        <v>50.58</v>
      </c>
      <c r="S101" s="20">
        <v>0</v>
      </c>
      <c r="T101" s="20">
        <v>50.58</v>
      </c>
    </row>
    <row r="102" spans="8:20" x14ac:dyDescent="0.25">
      <c r="H102">
        <v>0</v>
      </c>
      <c r="I102">
        <v>7500</v>
      </c>
      <c r="J102">
        <v>0</v>
      </c>
      <c r="K102">
        <v>54.85</v>
      </c>
      <c r="L102">
        <v>0</v>
      </c>
      <c r="M102">
        <v>54.86</v>
      </c>
      <c r="O102" s="20">
        <v>0</v>
      </c>
      <c r="P102" s="20">
        <v>7500</v>
      </c>
      <c r="Q102" s="20">
        <v>0</v>
      </c>
      <c r="R102" s="20">
        <v>54.08</v>
      </c>
      <c r="S102" s="20">
        <v>0</v>
      </c>
      <c r="T102" s="20">
        <v>54.08</v>
      </c>
    </row>
    <row r="103" spans="8:20" x14ac:dyDescent="0.25">
      <c r="H103">
        <v>0</v>
      </c>
      <c r="I103">
        <v>8000</v>
      </c>
      <c r="J103">
        <v>0.01</v>
      </c>
      <c r="K103">
        <v>58.6</v>
      </c>
      <c r="L103">
        <v>0</v>
      </c>
      <c r="M103">
        <v>58.6</v>
      </c>
      <c r="O103" s="20">
        <v>0</v>
      </c>
      <c r="P103" s="20">
        <v>8000</v>
      </c>
      <c r="Q103" s="20">
        <v>0</v>
      </c>
      <c r="R103" s="20">
        <v>57.84</v>
      </c>
      <c r="S103" s="20">
        <v>0</v>
      </c>
      <c r="T103" s="20">
        <v>57.84</v>
      </c>
    </row>
    <row r="104" spans="8:20" x14ac:dyDescent="0.25">
      <c r="H104">
        <v>0</v>
      </c>
      <c r="I104">
        <v>8500</v>
      </c>
      <c r="J104">
        <v>0</v>
      </c>
      <c r="K104">
        <v>62.2</v>
      </c>
      <c r="L104">
        <v>0</v>
      </c>
      <c r="M104">
        <v>62.2</v>
      </c>
      <c r="O104" s="20">
        <v>0</v>
      </c>
      <c r="P104" s="20">
        <v>8500</v>
      </c>
      <c r="Q104" s="20">
        <v>0</v>
      </c>
      <c r="R104" s="20">
        <v>61.38</v>
      </c>
      <c r="S104" s="20">
        <v>0</v>
      </c>
      <c r="T104" s="20">
        <v>61.38</v>
      </c>
    </row>
    <row r="105" spans="8:20" x14ac:dyDescent="0.25">
      <c r="H105">
        <v>0</v>
      </c>
      <c r="I105">
        <v>9000</v>
      </c>
      <c r="J105">
        <v>0</v>
      </c>
      <c r="K105">
        <v>65.77</v>
      </c>
      <c r="L105">
        <v>0</v>
      </c>
      <c r="M105">
        <v>65.77</v>
      </c>
      <c r="O105" s="20">
        <v>0</v>
      </c>
      <c r="P105" s="20">
        <v>9000</v>
      </c>
      <c r="Q105" s="20">
        <v>0</v>
      </c>
      <c r="R105" s="20">
        <v>65.010000000000005</v>
      </c>
      <c r="S105" s="20">
        <v>0</v>
      </c>
      <c r="T105" s="20">
        <v>65.010000000000005</v>
      </c>
    </row>
    <row r="106" spans="8:20" x14ac:dyDescent="0.25">
      <c r="H106">
        <v>0</v>
      </c>
      <c r="I106">
        <v>9500</v>
      </c>
      <c r="J106">
        <v>0</v>
      </c>
      <c r="K106">
        <v>69.39</v>
      </c>
      <c r="L106">
        <v>0</v>
      </c>
      <c r="M106">
        <v>69.39</v>
      </c>
      <c r="O106" s="20">
        <v>0</v>
      </c>
      <c r="P106" s="20">
        <v>9500</v>
      </c>
      <c r="Q106" s="20">
        <v>0.01</v>
      </c>
      <c r="R106" s="20">
        <v>68.680000000000007</v>
      </c>
      <c r="S106" s="20">
        <v>0</v>
      </c>
      <c r="T106" s="20">
        <v>68.680000000000007</v>
      </c>
    </row>
    <row r="107" spans="8:20" x14ac:dyDescent="0.25">
      <c r="H107">
        <v>0</v>
      </c>
      <c r="I107">
        <v>10000</v>
      </c>
      <c r="J107">
        <v>0</v>
      </c>
      <c r="K107">
        <v>73.260000000000005</v>
      </c>
      <c r="L107">
        <v>0</v>
      </c>
      <c r="M107">
        <v>73.260000000000005</v>
      </c>
      <c r="O107" s="20">
        <v>0</v>
      </c>
      <c r="P107" s="20">
        <v>10000</v>
      </c>
      <c r="Q107" s="20">
        <v>0</v>
      </c>
      <c r="R107" s="20">
        <v>72.23</v>
      </c>
      <c r="S107" s="20">
        <v>0</v>
      </c>
      <c r="T107" s="20">
        <v>72.23</v>
      </c>
    </row>
    <row r="108" spans="8:20" x14ac:dyDescent="0.25">
      <c r="H108">
        <v>0</v>
      </c>
      <c r="I108">
        <v>10500</v>
      </c>
      <c r="J108">
        <v>0</v>
      </c>
      <c r="K108">
        <v>76.91</v>
      </c>
      <c r="L108">
        <v>0</v>
      </c>
      <c r="M108">
        <v>76.91</v>
      </c>
      <c r="O108" s="20">
        <v>0</v>
      </c>
      <c r="P108" s="20">
        <v>10500</v>
      </c>
      <c r="Q108" s="20">
        <v>0</v>
      </c>
      <c r="R108" s="20">
        <v>75.790000000000006</v>
      </c>
      <c r="S108" s="20">
        <v>0</v>
      </c>
      <c r="T108" s="20">
        <v>75.790000000000006</v>
      </c>
    </row>
    <row r="109" spans="8:20" x14ac:dyDescent="0.25">
      <c r="H109">
        <v>0</v>
      </c>
      <c r="I109">
        <v>11000</v>
      </c>
      <c r="J109">
        <v>0</v>
      </c>
      <c r="K109">
        <v>80.430000000000007</v>
      </c>
      <c r="L109">
        <v>0</v>
      </c>
      <c r="M109">
        <v>80.430000000000007</v>
      </c>
      <c r="O109" s="20">
        <v>0</v>
      </c>
      <c r="P109" s="20">
        <v>11000</v>
      </c>
      <c r="Q109" s="20">
        <v>0</v>
      </c>
      <c r="R109" s="20">
        <v>79.62</v>
      </c>
      <c r="S109" s="20">
        <v>0</v>
      </c>
      <c r="T109" s="20">
        <v>79.62</v>
      </c>
    </row>
    <row r="110" spans="8:20" x14ac:dyDescent="0.25">
      <c r="H110">
        <v>0</v>
      </c>
      <c r="I110">
        <v>11500</v>
      </c>
      <c r="J110">
        <v>0</v>
      </c>
      <c r="K110">
        <v>84.1</v>
      </c>
      <c r="L110">
        <v>0</v>
      </c>
      <c r="M110">
        <v>84.1</v>
      </c>
      <c r="O110" s="20">
        <v>0</v>
      </c>
      <c r="P110" s="20">
        <v>11500</v>
      </c>
      <c r="Q110" s="20">
        <v>0</v>
      </c>
      <c r="R110" s="20">
        <v>83.07</v>
      </c>
      <c r="S110" s="20">
        <v>0</v>
      </c>
      <c r="T110" s="20">
        <v>83.07</v>
      </c>
    </row>
    <row r="111" spans="8:20" x14ac:dyDescent="0.25">
      <c r="H111">
        <v>0</v>
      </c>
      <c r="I111">
        <v>12000</v>
      </c>
      <c r="J111">
        <v>0</v>
      </c>
      <c r="K111">
        <v>87.82</v>
      </c>
      <c r="L111">
        <v>0</v>
      </c>
      <c r="M111">
        <v>87.82</v>
      </c>
      <c r="O111" s="20">
        <v>0</v>
      </c>
      <c r="P111" s="20">
        <v>12000</v>
      </c>
      <c r="Q111" s="20">
        <v>0</v>
      </c>
      <c r="R111" s="20">
        <v>86.98</v>
      </c>
      <c r="S111" s="20">
        <v>0</v>
      </c>
      <c r="T111" s="20">
        <v>86.98</v>
      </c>
    </row>
    <row r="112" spans="8:20" x14ac:dyDescent="0.25">
      <c r="H112">
        <v>0</v>
      </c>
      <c r="I112">
        <v>12500</v>
      </c>
      <c r="J112">
        <v>0</v>
      </c>
      <c r="K112">
        <v>91.82</v>
      </c>
      <c r="L112">
        <v>0</v>
      </c>
      <c r="M112">
        <v>91.82</v>
      </c>
      <c r="O112" s="20">
        <v>0</v>
      </c>
      <c r="P112" s="20">
        <v>12500</v>
      </c>
      <c r="Q112" s="20">
        <v>0</v>
      </c>
      <c r="R112" s="20">
        <v>90.35</v>
      </c>
      <c r="S112" s="20">
        <v>0</v>
      </c>
      <c r="T112" s="20">
        <v>90.35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428FDFA-F94F-43CC-BCAD-D0B9FC3139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8108 Regression</vt:lpstr>
      <vt:lpstr>rawdata_8108</vt:lpstr>
      <vt:lpstr>rawdata_8108!_8108_1</vt:lpstr>
      <vt:lpstr>rawdata_8108!test</vt:lpstr>
    </vt:vector>
  </TitlesOfParts>
  <Company>National Instruments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inshethd</dc:creator>
  <cp:lastModifiedBy>Hemanth Kumar Kothari</cp:lastModifiedBy>
  <dcterms:created xsi:type="dcterms:W3CDTF">2015-02-25T12:22:00Z</dcterms:created>
  <dcterms:modified xsi:type="dcterms:W3CDTF">2020-02-25T05:37:16Z</dcterms:modified>
</cp:coreProperties>
</file>