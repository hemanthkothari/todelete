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\RT\NIC\Reports\Big App\"/>
    </mc:Choice>
  </mc:AlternateContent>
  <xr:revisionPtr revIDLastSave="0" documentId="13_ncr:1_{EA7E50CE-5147-4512-9D35-E635BEC8C6E7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x64_ui  Regression" sheetId="4" r:id="rId1"/>
    <sheet name="Test_Data_9033_UI_2020 B78" sheetId="13" r:id="rId2"/>
    <sheet name="Test_Data_9033_UI_2018rc1" sheetId="12" r:id="rId3"/>
    <sheet name="Test_Data_9033_UI_2018b10" sheetId="11" r:id="rId4"/>
    <sheet name="Test_Data_9033_UI_2017" sheetId="10" r:id="rId5"/>
    <sheet name="Test_Data_9033_UI_2017b6" sheetId="9" r:id="rId6"/>
    <sheet name="Test_Data_9033_UI_2017a17" sheetId="8" r:id="rId7"/>
    <sheet name="Test_Data_9033_UI_16.0" sheetId="7" r:id="rId8"/>
    <sheet name="Test_Data_9033_UI_2016.0b59" sheetId="6" r:id="rId9"/>
    <sheet name="Test_Data_9033_2015b64" sheetId="1" r:id="rId10"/>
    <sheet name="Test_Data_9033_UI_2015b26" sheetId="2" r:id="rId11"/>
    <sheet name="Test_Data_9033_UI_2015rc1" sheetId="5" r:id="rId12"/>
  </sheets>
  <definedNames>
    <definedName name="_9033_with_UI" localSheetId="6">Test_Data_9033_UI_2017a17!$A$1:$N$83</definedName>
    <definedName name="test" localSheetId="4">Test_Data_9033_UI_2017!$A$1:$N$85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4" i="4" l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3" i="4"/>
  <c r="N2" i="4"/>
  <c r="Q28" i="13"/>
  <c r="Q27" i="13"/>
  <c r="Q31" i="13"/>
  <c r="Q30" i="13"/>
  <c r="Q29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Q11" i="13"/>
  <c r="Q10" i="13"/>
  <c r="Q9" i="13"/>
  <c r="Q8" i="13"/>
  <c r="Q7" i="13"/>
  <c r="Q6" i="13"/>
  <c r="Q5" i="13"/>
  <c r="Q4" i="13"/>
  <c r="Q3" i="13"/>
  <c r="P3" i="13"/>
  <c r="P4" i="13" s="1"/>
  <c r="P5" i="13" s="1"/>
  <c r="P6" i="13" s="1"/>
  <c r="P7" i="13" s="1"/>
  <c r="P8" i="13" s="1"/>
  <c r="P9" i="13" s="1"/>
  <c r="P10" i="13" s="1"/>
  <c r="P11" i="13" s="1"/>
  <c r="P12" i="13" s="1"/>
  <c r="P13" i="13" s="1"/>
  <c r="P14" i="13" s="1"/>
  <c r="P15" i="13" s="1"/>
  <c r="P16" i="13" s="1"/>
  <c r="P17" i="13" s="1"/>
  <c r="P18" i="13" s="1"/>
  <c r="P19" i="13" s="1"/>
  <c r="P20" i="13" s="1"/>
  <c r="P21" i="13" s="1"/>
  <c r="P22" i="13" s="1"/>
  <c r="P23" i="13" s="1"/>
  <c r="P24" i="13" s="1"/>
  <c r="P25" i="13" s="1"/>
  <c r="P26" i="13" s="1"/>
  <c r="P27" i="13" s="1"/>
  <c r="P28" i="13" s="1"/>
  <c r="P29" i="13" s="1"/>
  <c r="Q2" i="13"/>
  <c r="Q29" i="10"/>
  <c r="Q15" i="10"/>
  <c r="Q19" i="12" l="1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P3" i="12"/>
  <c r="P4" i="12" s="1"/>
  <c r="P5" i="12" s="1"/>
  <c r="P6" i="12" s="1"/>
  <c r="P7" i="12" s="1"/>
  <c r="P8" i="12" s="1"/>
  <c r="P9" i="12" s="1"/>
  <c r="P10" i="12" s="1"/>
  <c r="P11" i="12" s="1"/>
  <c r="P12" i="12" s="1"/>
  <c r="P13" i="12" s="1"/>
  <c r="P14" i="12" s="1"/>
  <c r="P15" i="12" s="1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Q2" i="12"/>
  <c r="Q3" i="11" l="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2" i="11"/>
  <c r="P3" i="11"/>
  <c r="P4" i="11" s="1"/>
  <c r="P5" i="11" s="1"/>
  <c r="P6" i="11" s="1"/>
  <c r="P7" i="11" s="1"/>
  <c r="P8" i="11" s="1"/>
  <c r="P9" i="11" s="1"/>
  <c r="P10" i="11" s="1"/>
  <c r="P11" i="11" s="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Q31" i="10" l="1"/>
  <c r="Q30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4" i="10"/>
  <c r="Q13" i="10"/>
  <c r="Q12" i="10"/>
  <c r="Q11" i="10"/>
  <c r="Q10" i="10"/>
  <c r="Q9" i="10"/>
  <c r="Q8" i="10"/>
  <c r="Q7" i="10"/>
  <c r="Q6" i="10"/>
  <c r="Q5" i="10"/>
  <c r="Q4" i="10"/>
  <c r="Q3" i="10"/>
  <c r="P3" i="10"/>
  <c r="P4" i="10" s="1"/>
  <c r="P5" i="10" s="1"/>
  <c r="P6" i="10" s="1"/>
  <c r="P7" i="10" s="1"/>
  <c r="P8" i="10" s="1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Q2" i="10"/>
  <c r="Q31" i="9" l="1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5" i="9"/>
  <c r="Q4" i="9"/>
  <c r="Q3" i="9"/>
  <c r="P3" i="9"/>
  <c r="P4" i="9" s="1"/>
  <c r="P5" i="9" s="1"/>
  <c r="P6" i="9" s="1"/>
  <c r="P7" i="9" s="1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Q2" i="9"/>
  <c r="P28" i="8" l="1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P2" i="8"/>
  <c r="Q31" i="7" l="1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P3" i="7"/>
  <c r="P4" i="7" s="1"/>
  <c r="P5" i="7" s="1"/>
  <c r="P6" i="7" s="1"/>
  <c r="P7" i="7" s="1"/>
  <c r="P8" i="7" s="1"/>
  <c r="P9" i="7" s="1"/>
  <c r="P10" i="7" s="1"/>
  <c r="P11" i="7" s="1"/>
  <c r="P12" i="7" s="1"/>
  <c r="P13" i="7" s="1"/>
  <c r="P14" i="7" s="1"/>
  <c r="P15" i="7" s="1"/>
  <c r="P16" i="7" s="1"/>
  <c r="P17" i="7" s="1"/>
  <c r="P18" i="7" s="1"/>
  <c r="P19" i="7" s="1"/>
  <c r="P20" i="7" s="1"/>
  <c r="P21" i="7" s="1"/>
  <c r="P22" i="7" s="1"/>
  <c r="P23" i="7" s="1"/>
  <c r="P24" i="7" s="1"/>
  <c r="P25" i="7" s="1"/>
  <c r="P26" i="7" s="1"/>
  <c r="P27" i="7" s="1"/>
  <c r="P28" i="7" s="1"/>
  <c r="P29" i="7" s="1"/>
  <c r="Q2" i="7"/>
  <c r="Q31" i="6" l="1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P3" i="6"/>
  <c r="P4" i="6" s="1"/>
  <c r="P5" i="6" s="1"/>
  <c r="P6" i="6" s="1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Q2" i="6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P3" i="5"/>
  <c r="P4" i="5" s="1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Q2" i="5"/>
  <c r="A23" i="4"/>
  <c r="A24" i="4" s="1"/>
  <c r="A25" i="4" s="1"/>
  <c r="A26" i="4" s="1"/>
  <c r="A27" i="4" s="1"/>
  <c r="A28" i="4" s="1"/>
  <c r="A29" i="4" s="1"/>
  <c r="A30" i="4" s="1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Q2" i="2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Q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9033 with UI" type="6" refreshedVersion="6" background="1" saveData="1">
    <textPr codePage="437" sourceFile="C:\Users\kjois\Documents\Krupa Documents\Projects\LVRT\Impt\Perofrmance Testing\2017 Perf Results\Big App\17.0a17\9033\9033 with UI.csv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test" type="6" refreshedVersion="6" background="1" saveData="1">
    <textPr codePage="437" sourceFile="C:\Users\kjois\Desktop\test.txt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<sst xmlns="http://schemas.openxmlformats.org/spreadsheetml/2006/main" count="543" uniqueCount="64">
  <si>
    <t>Core</t>
  </si>
  <si>
    <t>Rate</t>
  </si>
  <si>
    <t>ISRs (Min)</t>
  </si>
  <si>
    <t>ISRs (Max)</t>
  </si>
  <si>
    <t>TL (min)</t>
  </si>
  <si>
    <t>TL (max)</t>
  </si>
  <si>
    <t>TL (Mean)</t>
  </si>
  <si>
    <t>Other (Min)</t>
  </si>
  <si>
    <t>Other (Max)</t>
  </si>
  <si>
    <t>Other (Mean)</t>
  </si>
  <si>
    <t>Total (min)</t>
  </si>
  <si>
    <t>Total (max)</t>
  </si>
  <si>
    <t>Total (Mean)</t>
  </si>
  <si>
    <t>Software</t>
  </si>
  <si>
    <t>Version</t>
  </si>
  <si>
    <t>CompactRIO Support</t>
  </si>
  <si>
    <t>LabVIEW Real-Time</t>
  </si>
  <si>
    <t>15.0.0</t>
  </si>
  <si>
    <t>Network Streams</t>
  </si>
  <si>
    <t>NI System Configuration</t>
  </si>
  <si>
    <t>NI System Configuration Remote Support</t>
  </si>
  <si>
    <t>NI-RIO</t>
  </si>
  <si>
    <t>NI-VISA</t>
  </si>
  <si>
    <t>NI-VISA Server</t>
  </si>
  <si>
    <t>Run-Time Engine for Web Services</t>
  </si>
  <si>
    <t>SSL Support for LabVIEW RT</t>
  </si>
  <si>
    <t>WebDAV Server</t>
  </si>
  <si>
    <t>Hardware</t>
  </si>
  <si>
    <t>NI cRIO-9033 (S/N:019DC34F  Slot:-1)</t>
  </si>
  <si>
    <t>Average CPU Usage (%)</t>
  </si>
  <si>
    <t>Loop Rate (Hz)</t>
  </si>
  <si>
    <t>2014rc</t>
  </si>
  <si>
    <t>2015b26</t>
  </si>
  <si>
    <t>2014a</t>
  </si>
  <si>
    <t>14.0.0</t>
  </si>
  <si>
    <t>2015b64</t>
  </si>
  <si>
    <t>2015rc1</t>
  </si>
  <si>
    <t>2016.0b59</t>
  </si>
  <si>
    <t>2017a17</t>
  </si>
  <si>
    <t>Hardware Configuration Web Support</t>
  </si>
  <si>
    <t>16.0.0</t>
  </si>
  <si>
    <t>17.0.0</t>
  </si>
  <si>
    <t>Network Configuration Web Support</t>
  </si>
  <si>
    <t>NI Web-based Configuration and Monitoring</t>
  </si>
  <si>
    <t>NI-VISA ENET Passport</t>
  </si>
  <si>
    <t>NI-VISA ENET-ASRL Passport</t>
  </si>
  <si>
    <t>NI-VISA PXI Passport</t>
  </si>
  <si>
    <t>NI-VISA Remote Passport</t>
  </si>
  <si>
    <t>NI-VISA USB Passport</t>
  </si>
  <si>
    <t>Remote Panel Server for LabVIEW RT</t>
  </si>
  <si>
    <t>Software Management Web Support</t>
  </si>
  <si>
    <t>Time Configuration Web Support</t>
  </si>
  <si>
    <t>NI cRIO-9033 (S/N:01A784F0  Slot:-1)</t>
  </si>
  <si>
    <t>2017b6</t>
  </si>
  <si>
    <t>18.0.0</t>
  </si>
  <si>
    <t>17.5.0</t>
  </si>
  <si>
    <t>2018b10</t>
  </si>
  <si>
    <t>NI-RIO Server</t>
  </si>
  <si>
    <t>2018rc1</t>
  </si>
  <si>
    <t>NaN</t>
  </si>
  <si>
    <t>20.0.0</t>
  </si>
  <si>
    <t>NI-VISA LXI Discovery Service</t>
  </si>
  <si>
    <t>NI cRIO-9033 (S/N:1A784F0  Slot:-1)</t>
  </si>
  <si>
    <t>2020 B78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</si>
</sst>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18" fillId="0" borderId="10" xfId="0" applyFont="1" applyBorder="1"/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Big RIO App - Average CPU Usage vs Loop Rate</a:t>
            </a:r>
          </a:p>
          <a:p>
            <a:pPr>
              <a:defRPr/>
            </a:pPr>
            <a:r>
              <a:rPr lang="en-US" sz="1400"/>
              <a:t>cRIO -9033 UI    Lower is better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5743840843424027E-2"/>
          <c:y val="8.8642726477372244E-2"/>
          <c:w val="0.7696857010520809"/>
          <c:h val="0.80264097669610779"/>
        </c:manualLayout>
      </c:layout>
      <c:scatterChart>
        <c:scatterStyle val="lineMarker"/>
        <c:varyColors val="0"/>
        <c:ser>
          <c:idx val="0"/>
          <c:order val="0"/>
          <c:tx>
            <c:strRef>
              <c:f>'x64_ui  Regression'!$B$2</c:f>
              <c:strCache>
                <c:ptCount val="1"/>
                <c:pt idx="0">
                  <c:v>2014rc</c:v>
                </c:pt>
              </c:strCache>
            </c:strRef>
          </c:tx>
          <c:marker>
            <c:symbol val="none"/>
          </c:marker>
          <c:xVal>
            <c:numRef>
              <c:f>'x64_ui  Regression'!$A$3:$A$22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'x64_ui  Regression'!$B$3:$B$22</c:f>
              <c:numCache>
                <c:formatCode>General</c:formatCode>
                <c:ptCount val="20"/>
                <c:pt idx="0">
                  <c:v>13.19</c:v>
                </c:pt>
                <c:pt idx="1">
                  <c:v>15.185</c:v>
                </c:pt>
                <c:pt idx="2">
                  <c:v>16.559999999999999</c:v>
                </c:pt>
                <c:pt idx="3">
                  <c:v>18.425000000000001</c:v>
                </c:pt>
                <c:pt idx="4">
                  <c:v>19.974999999999998</c:v>
                </c:pt>
                <c:pt idx="5">
                  <c:v>21.68</c:v>
                </c:pt>
                <c:pt idx="6">
                  <c:v>23.23</c:v>
                </c:pt>
                <c:pt idx="7">
                  <c:v>24.974999999999998</c:v>
                </c:pt>
                <c:pt idx="8">
                  <c:v>26.21</c:v>
                </c:pt>
                <c:pt idx="9">
                  <c:v>27.755000000000003</c:v>
                </c:pt>
                <c:pt idx="10">
                  <c:v>29.504999999999999</c:v>
                </c:pt>
                <c:pt idx="11">
                  <c:v>31.585000000000001</c:v>
                </c:pt>
                <c:pt idx="12">
                  <c:v>32.92</c:v>
                </c:pt>
                <c:pt idx="13">
                  <c:v>34.234999999999999</c:v>
                </c:pt>
                <c:pt idx="14">
                  <c:v>35.945</c:v>
                </c:pt>
                <c:pt idx="15">
                  <c:v>37.375</c:v>
                </c:pt>
                <c:pt idx="16">
                  <c:v>39.340000000000003</c:v>
                </c:pt>
                <c:pt idx="17">
                  <c:v>40.825000000000003</c:v>
                </c:pt>
                <c:pt idx="18">
                  <c:v>42.515000000000001</c:v>
                </c:pt>
                <c:pt idx="19">
                  <c:v>44.260000000000005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88-41A0-8C15-99FBA142AF15}"/>
            </c:ext>
          </c:extLst>
        </c:ser>
        <c:ser>
          <c:idx val="3"/>
          <c:order val="1"/>
          <c:tx>
            <c:strRef>
              <c:f>'x64_ui  Regression'!$F$2</c:f>
              <c:strCache>
                <c:ptCount val="1"/>
                <c:pt idx="0">
                  <c:v>2015rc1</c:v>
                </c:pt>
              </c:strCache>
            </c:strRef>
          </c:tx>
          <c:marker>
            <c:symbol val="none"/>
          </c:marker>
          <c:xVal>
            <c:numRef>
              <c:f>'x64_ui 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'x64_ui  Regression'!$F$3:$F$32</c:f>
              <c:numCache>
                <c:formatCode>General</c:formatCode>
                <c:ptCount val="30"/>
                <c:pt idx="0">
                  <c:v>0.995</c:v>
                </c:pt>
                <c:pt idx="1">
                  <c:v>13.280000000000001</c:v>
                </c:pt>
                <c:pt idx="2">
                  <c:v>14.35</c:v>
                </c:pt>
                <c:pt idx="3">
                  <c:v>16.18</c:v>
                </c:pt>
                <c:pt idx="4">
                  <c:v>17.585000000000001</c:v>
                </c:pt>
                <c:pt idx="5">
                  <c:v>19.350000000000001</c:v>
                </c:pt>
                <c:pt idx="6">
                  <c:v>21.47</c:v>
                </c:pt>
                <c:pt idx="7">
                  <c:v>22.055</c:v>
                </c:pt>
                <c:pt idx="8">
                  <c:v>23.11</c:v>
                </c:pt>
                <c:pt idx="9">
                  <c:v>24.36</c:v>
                </c:pt>
                <c:pt idx="10">
                  <c:v>25.78</c:v>
                </c:pt>
                <c:pt idx="11">
                  <c:v>27.729999999999997</c:v>
                </c:pt>
                <c:pt idx="12">
                  <c:v>28.825000000000003</c:v>
                </c:pt>
                <c:pt idx="13">
                  <c:v>29.954999999999998</c:v>
                </c:pt>
                <c:pt idx="14">
                  <c:v>31.83</c:v>
                </c:pt>
                <c:pt idx="15">
                  <c:v>33</c:v>
                </c:pt>
                <c:pt idx="16">
                  <c:v>34.285000000000004</c:v>
                </c:pt>
                <c:pt idx="17">
                  <c:v>35.35</c:v>
                </c:pt>
                <c:pt idx="18">
                  <c:v>37.204999999999998</c:v>
                </c:pt>
                <c:pt idx="19">
                  <c:v>39.07</c:v>
                </c:pt>
                <c:pt idx="20">
                  <c:v>40.08</c:v>
                </c:pt>
                <c:pt idx="21">
                  <c:v>41.03</c:v>
                </c:pt>
                <c:pt idx="22">
                  <c:v>41.56</c:v>
                </c:pt>
                <c:pt idx="23">
                  <c:v>44.25</c:v>
                </c:pt>
                <c:pt idx="24">
                  <c:v>45.995000000000005</c:v>
                </c:pt>
                <c:pt idx="25">
                  <c:v>47.14</c:v>
                </c:pt>
                <c:pt idx="26">
                  <c:v>48.14</c:v>
                </c:pt>
                <c:pt idx="27">
                  <c:v>50.424999999999997</c:v>
                </c:pt>
                <c:pt idx="28">
                  <c:v>51.805</c:v>
                </c:pt>
                <c:pt idx="29">
                  <c:v>52.905000000000001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88-41A0-8C15-99FBA142AF15}"/>
            </c:ext>
          </c:extLst>
        </c:ser>
        <c:ser>
          <c:idx val="1"/>
          <c:order val="2"/>
          <c:tx>
            <c:strRef>
              <c:f>'x64_ui  Regression'!$G$2</c:f>
              <c:strCache>
                <c:ptCount val="1"/>
                <c:pt idx="0">
                  <c:v>2016.0b59</c:v>
                </c:pt>
              </c:strCache>
            </c:strRef>
          </c:tx>
          <c:marker>
            <c:symbol val="none"/>
          </c:marker>
          <c:xVal>
            <c:numRef>
              <c:f>'x64_ui 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'x64_ui  Regression'!$G$3:$G$32</c:f>
              <c:numCache>
                <c:formatCode>General</c:formatCode>
                <c:ptCount val="30"/>
                <c:pt idx="0">
                  <c:v>11.43</c:v>
                </c:pt>
                <c:pt idx="1">
                  <c:v>13.185</c:v>
                </c:pt>
                <c:pt idx="2">
                  <c:v>14.525</c:v>
                </c:pt>
                <c:pt idx="3">
                  <c:v>16.16</c:v>
                </c:pt>
                <c:pt idx="4">
                  <c:v>17.895</c:v>
                </c:pt>
                <c:pt idx="5">
                  <c:v>18.89</c:v>
                </c:pt>
                <c:pt idx="6">
                  <c:v>20.43</c:v>
                </c:pt>
                <c:pt idx="7">
                  <c:v>21.73</c:v>
                </c:pt>
                <c:pt idx="8">
                  <c:v>23.145</c:v>
                </c:pt>
                <c:pt idx="9">
                  <c:v>25.04</c:v>
                </c:pt>
                <c:pt idx="10">
                  <c:v>26.17</c:v>
                </c:pt>
                <c:pt idx="11">
                  <c:v>27.75</c:v>
                </c:pt>
                <c:pt idx="12">
                  <c:v>29.035</c:v>
                </c:pt>
                <c:pt idx="13">
                  <c:v>30.384999999999998</c:v>
                </c:pt>
                <c:pt idx="14">
                  <c:v>32.004999999999995</c:v>
                </c:pt>
                <c:pt idx="15">
                  <c:v>33.335000000000001</c:v>
                </c:pt>
                <c:pt idx="16">
                  <c:v>34.994999999999997</c:v>
                </c:pt>
                <c:pt idx="17">
                  <c:v>36.394999999999996</c:v>
                </c:pt>
                <c:pt idx="18">
                  <c:v>37.6</c:v>
                </c:pt>
                <c:pt idx="19">
                  <c:v>39.31</c:v>
                </c:pt>
                <c:pt idx="20">
                  <c:v>41.010000000000005</c:v>
                </c:pt>
                <c:pt idx="21">
                  <c:v>42.204999999999998</c:v>
                </c:pt>
                <c:pt idx="22">
                  <c:v>43.664999999999999</c:v>
                </c:pt>
                <c:pt idx="23">
                  <c:v>45.325000000000003</c:v>
                </c:pt>
                <c:pt idx="24">
                  <c:v>47.164999999999999</c:v>
                </c:pt>
                <c:pt idx="25">
                  <c:v>48.06</c:v>
                </c:pt>
                <c:pt idx="26">
                  <c:v>49.575000000000003</c:v>
                </c:pt>
                <c:pt idx="27">
                  <c:v>51.355000000000004</c:v>
                </c:pt>
                <c:pt idx="28">
                  <c:v>53.055</c:v>
                </c:pt>
                <c:pt idx="29">
                  <c:v>54.010000000000005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88-41A0-8C15-99FBA142AF15}"/>
            </c:ext>
          </c:extLst>
        </c:ser>
        <c:ser>
          <c:idx val="2"/>
          <c:order val="3"/>
          <c:tx>
            <c:strRef>
              <c:f>'x64_ui  Regression'!$H$2</c:f>
              <c:strCache>
                <c:ptCount val="1"/>
                <c:pt idx="0">
                  <c:v>2016</c:v>
                </c:pt>
              </c:strCache>
            </c:strRef>
          </c:tx>
          <c:marker>
            <c:symbol val="none"/>
          </c:marker>
          <c:xVal>
            <c:numRef>
              <c:f>'x64_ui 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'x64_ui  Regression'!$H$3:$H$22</c:f>
              <c:numCache>
                <c:formatCode>General</c:formatCode>
                <c:ptCount val="20"/>
                <c:pt idx="0">
                  <c:v>11.965</c:v>
                </c:pt>
                <c:pt idx="1">
                  <c:v>13.024999999999999</c:v>
                </c:pt>
                <c:pt idx="2">
                  <c:v>14.49</c:v>
                </c:pt>
                <c:pt idx="3">
                  <c:v>15.864999999999998</c:v>
                </c:pt>
                <c:pt idx="4">
                  <c:v>17.414999999999999</c:v>
                </c:pt>
                <c:pt idx="5">
                  <c:v>18.66</c:v>
                </c:pt>
                <c:pt idx="6">
                  <c:v>19.98</c:v>
                </c:pt>
                <c:pt idx="7">
                  <c:v>22</c:v>
                </c:pt>
                <c:pt idx="8">
                  <c:v>22.5</c:v>
                </c:pt>
                <c:pt idx="9">
                  <c:v>24.29</c:v>
                </c:pt>
                <c:pt idx="10">
                  <c:v>26.344999999999999</c:v>
                </c:pt>
                <c:pt idx="11">
                  <c:v>29.075000000000003</c:v>
                </c:pt>
                <c:pt idx="12">
                  <c:v>29.335000000000001</c:v>
                </c:pt>
                <c:pt idx="13">
                  <c:v>30.16</c:v>
                </c:pt>
                <c:pt idx="14">
                  <c:v>32.115000000000002</c:v>
                </c:pt>
                <c:pt idx="15">
                  <c:v>33.08</c:v>
                </c:pt>
                <c:pt idx="16">
                  <c:v>34.344999999999999</c:v>
                </c:pt>
                <c:pt idx="17">
                  <c:v>35.615000000000002</c:v>
                </c:pt>
                <c:pt idx="18">
                  <c:v>37.299999999999997</c:v>
                </c:pt>
                <c:pt idx="19">
                  <c:v>38.914999999999999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88-41A0-8C15-99FBA142AF15}"/>
            </c:ext>
          </c:extLst>
        </c:ser>
        <c:ser>
          <c:idx val="4"/>
          <c:order val="4"/>
          <c:tx>
            <c:strRef>
              <c:f>'x64_ui  Regression'!$I$2</c:f>
              <c:strCache>
                <c:ptCount val="1"/>
                <c:pt idx="0">
                  <c:v>2017a17</c:v>
                </c:pt>
              </c:strCache>
            </c:strRef>
          </c:tx>
          <c:marker>
            <c:symbol val="none"/>
          </c:marker>
          <c:xVal>
            <c:numRef>
              <c:f>'x64_ui 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'x64_ui  Regression'!$I$3:$I$29</c:f>
              <c:numCache>
                <c:formatCode>General</c:formatCode>
                <c:ptCount val="27"/>
                <c:pt idx="0">
                  <c:v>12.14</c:v>
                </c:pt>
                <c:pt idx="1">
                  <c:v>13.72</c:v>
                </c:pt>
                <c:pt idx="2">
                  <c:v>14.765000000000001</c:v>
                </c:pt>
                <c:pt idx="3">
                  <c:v>16.715</c:v>
                </c:pt>
                <c:pt idx="4">
                  <c:v>18.285</c:v>
                </c:pt>
                <c:pt idx="5">
                  <c:v>19.475000000000001</c:v>
                </c:pt>
                <c:pt idx="6">
                  <c:v>20.79</c:v>
                </c:pt>
                <c:pt idx="7">
                  <c:v>22.7</c:v>
                </c:pt>
                <c:pt idx="8">
                  <c:v>23.2</c:v>
                </c:pt>
                <c:pt idx="9">
                  <c:v>24.645</c:v>
                </c:pt>
                <c:pt idx="10">
                  <c:v>25.91</c:v>
                </c:pt>
                <c:pt idx="11">
                  <c:v>27.344999999999999</c:v>
                </c:pt>
                <c:pt idx="12">
                  <c:v>28.875</c:v>
                </c:pt>
                <c:pt idx="13">
                  <c:v>30.25</c:v>
                </c:pt>
                <c:pt idx="14">
                  <c:v>30.57</c:v>
                </c:pt>
                <c:pt idx="15">
                  <c:v>32.774999999999999</c:v>
                </c:pt>
                <c:pt idx="16">
                  <c:v>34.26</c:v>
                </c:pt>
                <c:pt idx="17">
                  <c:v>35.884999999999998</c:v>
                </c:pt>
                <c:pt idx="18">
                  <c:v>37.225000000000001</c:v>
                </c:pt>
                <c:pt idx="19">
                  <c:v>38.505000000000003</c:v>
                </c:pt>
                <c:pt idx="20">
                  <c:v>39.155000000000001</c:v>
                </c:pt>
                <c:pt idx="21">
                  <c:v>41.244999999999997</c:v>
                </c:pt>
                <c:pt idx="22">
                  <c:v>42.704999999999998</c:v>
                </c:pt>
                <c:pt idx="23">
                  <c:v>43.93</c:v>
                </c:pt>
                <c:pt idx="24">
                  <c:v>43.585000000000001</c:v>
                </c:pt>
                <c:pt idx="25">
                  <c:v>47.24</c:v>
                </c:pt>
                <c:pt idx="26">
                  <c:v>45.725000000000001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EA-45AD-B213-8A9C2DF994C3}"/>
            </c:ext>
          </c:extLst>
        </c:ser>
        <c:ser>
          <c:idx val="5"/>
          <c:order val="5"/>
          <c:tx>
            <c:v>2017b6</c:v>
          </c:tx>
          <c:marker>
            <c:symbol val="none"/>
          </c:marker>
          <c:xVal>
            <c:numRef>
              <c:f>'x64_ui 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'x64_ui  Regression'!$J$3:$J$27</c:f>
              <c:numCache>
                <c:formatCode>General</c:formatCode>
                <c:ptCount val="25"/>
                <c:pt idx="0">
                  <c:v>11.725</c:v>
                </c:pt>
                <c:pt idx="1">
                  <c:v>13.255000000000001</c:v>
                </c:pt>
                <c:pt idx="2">
                  <c:v>14.71</c:v>
                </c:pt>
                <c:pt idx="3">
                  <c:v>16.245000000000001</c:v>
                </c:pt>
                <c:pt idx="4">
                  <c:v>17.585000000000001</c:v>
                </c:pt>
                <c:pt idx="5">
                  <c:v>18.829999999999998</c:v>
                </c:pt>
                <c:pt idx="6">
                  <c:v>19.760000000000002</c:v>
                </c:pt>
                <c:pt idx="7">
                  <c:v>20.795000000000002</c:v>
                </c:pt>
                <c:pt idx="8">
                  <c:v>22.24</c:v>
                </c:pt>
                <c:pt idx="9">
                  <c:v>23.41</c:v>
                </c:pt>
                <c:pt idx="10">
                  <c:v>24.395</c:v>
                </c:pt>
                <c:pt idx="11">
                  <c:v>26.08</c:v>
                </c:pt>
                <c:pt idx="12">
                  <c:v>27.61</c:v>
                </c:pt>
                <c:pt idx="13">
                  <c:v>28.815000000000001</c:v>
                </c:pt>
                <c:pt idx="14">
                  <c:v>29.914999999999999</c:v>
                </c:pt>
                <c:pt idx="15">
                  <c:v>31.335000000000001</c:v>
                </c:pt>
                <c:pt idx="16">
                  <c:v>32.604999999999997</c:v>
                </c:pt>
                <c:pt idx="17">
                  <c:v>33.805</c:v>
                </c:pt>
                <c:pt idx="18">
                  <c:v>36.155000000000001</c:v>
                </c:pt>
                <c:pt idx="19">
                  <c:v>36.865000000000002</c:v>
                </c:pt>
                <c:pt idx="20">
                  <c:v>38.1</c:v>
                </c:pt>
                <c:pt idx="21">
                  <c:v>38.844999999999999</c:v>
                </c:pt>
                <c:pt idx="22">
                  <c:v>40.68</c:v>
                </c:pt>
                <c:pt idx="23">
                  <c:v>42.335000000000001</c:v>
                </c:pt>
                <c:pt idx="24">
                  <c:v>43.395000000000003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7E-4B49-B10F-F92D790A1CB8}"/>
            </c:ext>
          </c:extLst>
        </c:ser>
        <c:ser>
          <c:idx val="6"/>
          <c:order val="6"/>
          <c:tx>
            <c:v>2017</c:v>
          </c:tx>
          <c:marker>
            <c:symbol val="none"/>
          </c:marker>
          <c:xVal>
            <c:numRef>
              <c:f>'x64_ui 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'x64_ui  Regression'!$K$3:$K$30</c:f>
              <c:numCache>
                <c:formatCode>General</c:formatCode>
                <c:ptCount val="28"/>
                <c:pt idx="0">
                  <c:v>11.42</c:v>
                </c:pt>
                <c:pt idx="1">
                  <c:v>13.025</c:v>
                </c:pt>
                <c:pt idx="2">
                  <c:v>13.93</c:v>
                </c:pt>
                <c:pt idx="3">
                  <c:v>15.65</c:v>
                </c:pt>
                <c:pt idx="4">
                  <c:v>16.925000000000001</c:v>
                </c:pt>
                <c:pt idx="5">
                  <c:v>18.04</c:v>
                </c:pt>
                <c:pt idx="6">
                  <c:v>19.605</c:v>
                </c:pt>
                <c:pt idx="7">
                  <c:v>20.785</c:v>
                </c:pt>
                <c:pt idx="8">
                  <c:v>22.135000000000002</c:v>
                </c:pt>
                <c:pt idx="9">
                  <c:v>23.234999999999999</c:v>
                </c:pt>
                <c:pt idx="10">
                  <c:v>24.51</c:v>
                </c:pt>
                <c:pt idx="11">
                  <c:v>25.984999999999999</c:v>
                </c:pt>
                <c:pt idx="12">
                  <c:v>27.105</c:v>
                </c:pt>
                <c:pt idx="13">
                  <c:v>28.614999999999998</c:v>
                </c:pt>
                <c:pt idx="14">
                  <c:v>29.715</c:v>
                </c:pt>
                <c:pt idx="15">
                  <c:v>31.164999999999999</c:v>
                </c:pt>
                <c:pt idx="16">
                  <c:v>32.43</c:v>
                </c:pt>
                <c:pt idx="17">
                  <c:v>34.005000000000003</c:v>
                </c:pt>
                <c:pt idx="18">
                  <c:v>34.945</c:v>
                </c:pt>
                <c:pt idx="19">
                  <c:v>35.314999999999998</c:v>
                </c:pt>
                <c:pt idx="20">
                  <c:v>37.585000000000001</c:v>
                </c:pt>
                <c:pt idx="21">
                  <c:v>37.805</c:v>
                </c:pt>
                <c:pt idx="22">
                  <c:v>40.19</c:v>
                </c:pt>
                <c:pt idx="23">
                  <c:v>41.84</c:v>
                </c:pt>
                <c:pt idx="24">
                  <c:v>42.594999999999999</c:v>
                </c:pt>
                <c:pt idx="25">
                  <c:v>42.97</c:v>
                </c:pt>
                <c:pt idx="26">
                  <c:v>46.03</c:v>
                </c:pt>
                <c:pt idx="27">
                  <c:v>45.55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D2-442D-A500-022D770E1118}"/>
            </c:ext>
          </c:extLst>
        </c:ser>
        <c:ser>
          <c:idx val="7"/>
          <c:order val="7"/>
          <c:tx>
            <c:v>2018b10</c:v>
          </c:tx>
          <c:marker>
            <c:symbol val="none"/>
          </c:marker>
          <c:xVal>
            <c:numRef>
              <c:f>'x64_ui 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'x64_ui  Regression'!$L$3:$L$20</c:f>
              <c:numCache>
                <c:formatCode>General</c:formatCode>
                <c:ptCount val="18"/>
                <c:pt idx="0">
                  <c:v>10.8</c:v>
                </c:pt>
                <c:pt idx="1">
                  <c:v>12.635</c:v>
                </c:pt>
                <c:pt idx="2">
                  <c:v>14.035</c:v>
                </c:pt>
                <c:pt idx="3">
                  <c:v>15.234999999999999</c:v>
                </c:pt>
                <c:pt idx="4">
                  <c:v>16.309999999999999</c:v>
                </c:pt>
                <c:pt idx="5">
                  <c:v>17.27</c:v>
                </c:pt>
                <c:pt idx="6">
                  <c:v>18.88</c:v>
                </c:pt>
                <c:pt idx="7">
                  <c:v>20.7</c:v>
                </c:pt>
                <c:pt idx="8">
                  <c:v>22.015000000000001</c:v>
                </c:pt>
                <c:pt idx="9">
                  <c:v>22.8</c:v>
                </c:pt>
                <c:pt idx="10">
                  <c:v>24.39</c:v>
                </c:pt>
                <c:pt idx="11">
                  <c:v>25.844999999999999</c:v>
                </c:pt>
                <c:pt idx="12">
                  <c:v>27.094999999999999</c:v>
                </c:pt>
                <c:pt idx="13">
                  <c:v>28.454999999999998</c:v>
                </c:pt>
                <c:pt idx="14">
                  <c:v>29.81</c:v>
                </c:pt>
                <c:pt idx="15">
                  <c:v>31.37</c:v>
                </c:pt>
                <c:pt idx="16">
                  <c:v>32.69</c:v>
                </c:pt>
                <c:pt idx="17">
                  <c:v>33.784999999999997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9E-4EF7-AAB0-548FFB4AB853}"/>
            </c:ext>
          </c:extLst>
        </c:ser>
        <c:ser>
          <c:idx val="8"/>
          <c:order val="8"/>
          <c:tx>
            <c:v>2018rc1</c:v>
          </c:tx>
          <c:marker>
            <c:symbol val="none"/>
          </c:marker>
          <c:xVal>
            <c:numRef>
              <c:f>'x64_ui 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'x64_ui  Regression'!$M$3:$M$20</c:f>
              <c:numCache>
                <c:formatCode>General</c:formatCode>
                <c:ptCount val="18"/>
                <c:pt idx="0">
                  <c:v>10.955</c:v>
                </c:pt>
                <c:pt idx="1">
                  <c:v>12.48</c:v>
                </c:pt>
                <c:pt idx="2">
                  <c:v>13.64</c:v>
                </c:pt>
                <c:pt idx="3">
                  <c:v>15.11</c:v>
                </c:pt>
                <c:pt idx="4">
                  <c:v>16.45</c:v>
                </c:pt>
                <c:pt idx="5">
                  <c:v>17.765000000000001</c:v>
                </c:pt>
                <c:pt idx="6">
                  <c:v>19.195</c:v>
                </c:pt>
                <c:pt idx="7">
                  <c:v>20.25</c:v>
                </c:pt>
                <c:pt idx="8">
                  <c:v>21.605</c:v>
                </c:pt>
                <c:pt idx="9">
                  <c:v>22.785</c:v>
                </c:pt>
                <c:pt idx="10">
                  <c:v>24.51</c:v>
                </c:pt>
                <c:pt idx="11">
                  <c:v>25.92</c:v>
                </c:pt>
                <c:pt idx="12">
                  <c:v>27.234999999999999</c:v>
                </c:pt>
                <c:pt idx="13">
                  <c:v>28.605</c:v>
                </c:pt>
                <c:pt idx="14">
                  <c:v>30.11</c:v>
                </c:pt>
                <c:pt idx="15">
                  <c:v>31.805</c:v>
                </c:pt>
                <c:pt idx="16">
                  <c:v>33.055</c:v>
                </c:pt>
                <c:pt idx="17">
                  <c:v>33.994999999999997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E4-4DDD-9081-AFF82F8B7468}"/>
            </c:ext>
          </c:extLst>
        </c:ser>
        <c:ser>
          <c:idx val="9"/>
          <c:order val="9"/>
          <c:tx>
            <c:strRef>
              <c:f>'x64_ui  Regression'!$N$2</c:f>
              <c:strCache>
                <c:ptCount val="1"/>
                <c:pt idx="0">
                  <c:v>2020 B78</c:v>
                </c:pt>
              </c:strCache>
            </c:strRef>
          </c:tx>
          <c:marker>
            <c:symbol val="none"/>
          </c:marker>
          <c:xVal>
            <c:numRef>
              <c:f>'x64_ui  Regression'!$A$3:$A$32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xVal>
          <c:yVal>
            <c:numRef>
              <c:f>'x64_ui  Regression'!$N$3:$N$28</c:f>
              <c:numCache>
                <c:formatCode>General</c:formatCode>
                <c:ptCount val="26"/>
                <c:pt idx="0">
                  <c:v>13.95</c:v>
                </c:pt>
                <c:pt idx="1">
                  <c:v>15.39</c:v>
                </c:pt>
                <c:pt idx="2">
                  <c:v>16.305</c:v>
                </c:pt>
                <c:pt idx="3">
                  <c:v>17.89</c:v>
                </c:pt>
                <c:pt idx="4">
                  <c:v>19.285</c:v>
                </c:pt>
                <c:pt idx="5">
                  <c:v>20.5</c:v>
                </c:pt>
                <c:pt idx="6">
                  <c:v>21.950000000000003</c:v>
                </c:pt>
                <c:pt idx="7">
                  <c:v>23.21</c:v>
                </c:pt>
                <c:pt idx="8">
                  <c:v>25.064999999999998</c:v>
                </c:pt>
                <c:pt idx="9">
                  <c:v>26.619999999999997</c:v>
                </c:pt>
                <c:pt idx="10">
                  <c:v>28.115000000000002</c:v>
                </c:pt>
                <c:pt idx="11">
                  <c:v>29.704999999999998</c:v>
                </c:pt>
                <c:pt idx="12">
                  <c:v>30.854999999999997</c:v>
                </c:pt>
                <c:pt idx="13">
                  <c:v>32.244999999999997</c:v>
                </c:pt>
                <c:pt idx="14">
                  <c:v>33.68</c:v>
                </c:pt>
                <c:pt idx="15">
                  <c:v>34.975000000000001</c:v>
                </c:pt>
                <c:pt idx="16">
                  <c:v>35.03</c:v>
                </c:pt>
                <c:pt idx="17">
                  <c:v>36.825000000000003</c:v>
                </c:pt>
                <c:pt idx="18">
                  <c:v>38.51</c:v>
                </c:pt>
                <c:pt idx="19">
                  <c:v>40.46</c:v>
                </c:pt>
                <c:pt idx="20">
                  <c:v>41.11</c:v>
                </c:pt>
                <c:pt idx="21">
                  <c:v>43.575000000000003</c:v>
                </c:pt>
                <c:pt idx="22">
                  <c:v>45.489999999999995</c:v>
                </c:pt>
                <c:pt idx="23">
                  <c:v>45.024999999999999</c:v>
                </c:pt>
                <c:pt idx="24">
                  <c:v>47.18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1D-4657-B076-ACC7152AF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70864"/>
        <c:axId val="94756864"/>
      </c:scatterChart>
      <c:valAx>
        <c:axId val="947708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Loop Rate (Hz)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4756864"/>
        <c:crosses val="autoZero"/>
        <c:crossBetween val="midCat"/>
        <c:majorUnit val="200"/>
      </c:valAx>
      <c:valAx>
        <c:axId val="94756864"/>
        <c:scaling>
          <c:orientation val="minMax"/>
          <c:max val="1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CPU Usage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47708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1</xdr:row>
      <xdr:rowOff>76201</xdr:rowOff>
    </xdr:from>
    <xdr:to>
      <xdr:col>27</xdr:col>
      <xdr:colOff>581025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" connectionId="2" xr16:uid="{00000000-0016-0000-02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9033 with UI" connectionId="1" xr16:uid="{00000000-0016-0000-04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C1" workbookViewId="0">
      <selection activeCell="N5" sqref="N5"/>
    </sheetView>
  </sheetViews>
  <sheetFormatPr defaultRowHeight="15" x14ac:dyDescent="0.25"/>
  <cols>
    <col min="1" max="1" width="21.140625" style="4" bestFit="1" customWidth="1"/>
    <col min="2" max="2" width="18.7109375" style="4" bestFit="1" customWidth="1"/>
    <col min="3" max="3" width="9.140625" style="4"/>
    <col min="4" max="4" width="0" style="4" hidden="1" customWidth="1"/>
    <col min="5" max="5" width="9.140625" style="4"/>
    <col min="6" max="6" width="10" style="4" bestFit="1" customWidth="1"/>
    <col min="7" max="8" width="12" style="4" bestFit="1" customWidth="1"/>
    <col min="9" max="16384" width="9.140625" style="4"/>
  </cols>
  <sheetData>
    <row r="1" spans="1:14" x14ac:dyDescent="0.25">
      <c r="B1" s="9" t="s">
        <v>29</v>
      </c>
      <c r="C1" s="9"/>
      <c r="D1" s="9"/>
      <c r="E1" s="9"/>
    </row>
    <row r="2" spans="1:14" x14ac:dyDescent="0.25">
      <c r="A2" s="5" t="s">
        <v>30</v>
      </c>
      <c r="B2" s="5" t="s">
        <v>31</v>
      </c>
      <c r="C2" s="5" t="s">
        <v>32</v>
      </c>
      <c r="D2" s="5" t="s">
        <v>33</v>
      </c>
      <c r="E2" s="5" t="s">
        <v>35</v>
      </c>
      <c r="F2" s="5" t="s">
        <v>36</v>
      </c>
      <c r="G2" s="5" t="s">
        <v>37</v>
      </c>
      <c r="H2" s="6">
        <v>2016</v>
      </c>
      <c r="I2" s="7" t="s">
        <v>38</v>
      </c>
      <c r="J2" s="5" t="s">
        <v>53</v>
      </c>
      <c r="K2" s="5">
        <v>2017</v>
      </c>
      <c r="L2" s="5" t="s">
        <v>56</v>
      </c>
      <c r="M2" s="1" t="s">
        <v>58</v>
      </c>
      <c r="N2" s="10" t="str">
        <f>'Test_Data_9033_UI_2020 B78'!P1</f>
        <v>2020 B78</v>
      </c>
    </row>
    <row r="3" spans="1:14" x14ac:dyDescent="0.25">
      <c r="A3" s="4">
        <v>100</v>
      </c>
      <c r="B3" s="4">
        <v>13.19</v>
      </c>
      <c r="C3" s="4">
        <v>12.82</v>
      </c>
      <c r="D3" s="4">
        <v>5.3049999999999997</v>
      </c>
      <c r="E3" s="4">
        <v>12.34</v>
      </c>
      <c r="F3" s="4">
        <v>0.995</v>
      </c>
      <c r="G3" s="4">
        <v>11.43</v>
      </c>
      <c r="H3" s="4">
        <v>11.965</v>
      </c>
      <c r="I3" s="4">
        <v>12.14</v>
      </c>
      <c r="J3" s="4">
        <v>11.725</v>
      </c>
      <c r="K3" s="4">
        <v>11.42</v>
      </c>
      <c r="L3" s="4">
        <v>10.8</v>
      </c>
      <c r="M3" s="4">
        <v>10.955</v>
      </c>
      <c r="N3" s="4">
        <f>'Test_Data_9033_UI_2020 B78'!Q2</f>
        <v>13.95</v>
      </c>
    </row>
    <row r="4" spans="1:14" x14ac:dyDescent="0.25">
      <c r="A4" s="4">
        <v>200</v>
      </c>
      <c r="B4" s="4">
        <v>15.185</v>
      </c>
      <c r="C4" s="4">
        <v>14.705</v>
      </c>
      <c r="D4" s="4">
        <v>7.95</v>
      </c>
      <c r="E4" s="4">
        <v>14.305</v>
      </c>
      <c r="F4" s="4">
        <v>13.280000000000001</v>
      </c>
      <c r="G4" s="4">
        <v>13.185</v>
      </c>
      <c r="H4" s="4">
        <v>13.024999999999999</v>
      </c>
      <c r="I4" s="4">
        <v>13.72</v>
      </c>
      <c r="J4" s="4">
        <v>13.255000000000001</v>
      </c>
      <c r="K4" s="4">
        <v>13.025</v>
      </c>
      <c r="L4" s="4">
        <v>12.635</v>
      </c>
      <c r="M4" s="4">
        <v>12.48</v>
      </c>
      <c r="N4" s="4">
        <f>'Test_Data_9033_UI_2020 B78'!Q3</f>
        <v>15.39</v>
      </c>
    </row>
    <row r="5" spans="1:14" x14ac:dyDescent="0.25">
      <c r="A5" s="4">
        <v>300</v>
      </c>
      <c r="B5" s="4">
        <v>16.559999999999999</v>
      </c>
      <c r="C5" s="4">
        <v>16.204999999999998</v>
      </c>
      <c r="D5" s="4">
        <v>10.755000000000001</v>
      </c>
      <c r="E5" s="4">
        <v>16.155000000000001</v>
      </c>
      <c r="F5" s="4">
        <v>14.35</v>
      </c>
      <c r="G5" s="4">
        <v>14.525</v>
      </c>
      <c r="H5" s="4">
        <v>14.49</v>
      </c>
      <c r="I5" s="4">
        <v>14.765000000000001</v>
      </c>
      <c r="J5" s="4">
        <v>14.71</v>
      </c>
      <c r="K5" s="4">
        <v>13.93</v>
      </c>
      <c r="L5" s="4">
        <v>14.035</v>
      </c>
      <c r="M5" s="4">
        <v>13.64</v>
      </c>
      <c r="N5" s="4">
        <f>'Test_Data_9033_UI_2020 B78'!Q4</f>
        <v>16.305</v>
      </c>
    </row>
    <row r="6" spans="1:14" x14ac:dyDescent="0.25">
      <c r="A6" s="4">
        <v>400</v>
      </c>
      <c r="B6" s="4">
        <v>18.425000000000001</v>
      </c>
      <c r="C6" s="4">
        <v>18.835000000000001</v>
      </c>
      <c r="D6" s="4">
        <v>13.615</v>
      </c>
      <c r="E6" s="4">
        <v>18.13</v>
      </c>
      <c r="F6" s="4">
        <v>16.18</v>
      </c>
      <c r="G6" s="4">
        <v>16.16</v>
      </c>
      <c r="H6" s="4">
        <v>15.864999999999998</v>
      </c>
      <c r="I6" s="4">
        <v>16.715</v>
      </c>
      <c r="J6" s="4">
        <v>16.245000000000001</v>
      </c>
      <c r="K6" s="4">
        <v>15.65</v>
      </c>
      <c r="L6" s="4">
        <v>15.234999999999999</v>
      </c>
      <c r="M6" s="4">
        <v>15.11</v>
      </c>
      <c r="N6" s="4">
        <f>'Test_Data_9033_UI_2020 B78'!Q5</f>
        <v>17.89</v>
      </c>
    </row>
    <row r="7" spans="1:14" x14ac:dyDescent="0.25">
      <c r="A7" s="4">
        <v>500</v>
      </c>
      <c r="B7" s="4">
        <v>19.974999999999998</v>
      </c>
      <c r="C7" s="4">
        <v>20.074999999999999</v>
      </c>
      <c r="D7" s="4">
        <v>16.579999999999998</v>
      </c>
      <c r="E7" s="4">
        <v>19.75</v>
      </c>
      <c r="F7" s="4">
        <v>17.585000000000001</v>
      </c>
      <c r="G7" s="4">
        <v>17.895</v>
      </c>
      <c r="H7" s="4">
        <v>17.414999999999999</v>
      </c>
      <c r="I7" s="4">
        <v>18.285</v>
      </c>
      <c r="J7" s="4">
        <v>17.585000000000001</v>
      </c>
      <c r="K7" s="4">
        <v>16.925000000000001</v>
      </c>
      <c r="L7" s="4">
        <v>16.309999999999999</v>
      </c>
      <c r="M7" s="4">
        <v>16.45</v>
      </c>
      <c r="N7" s="4">
        <f>'Test_Data_9033_UI_2020 B78'!Q6</f>
        <v>19.285</v>
      </c>
    </row>
    <row r="8" spans="1:14" x14ac:dyDescent="0.25">
      <c r="A8" s="4">
        <v>600</v>
      </c>
      <c r="B8" s="4">
        <v>21.68</v>
      </c>
      <c r="C8" s="4">
        <v>21.580000000000002</v>
      </c>
      <c r="D8" s="4">
        <v>18.995000000000001</v>
      </c>
      <c r="E8" s="4">
        <v>20.754999999999999</v>
      </c>
      <c r="F8" s="4">
        <v>19.350000000000001</v>
      </c>
      <c r="G8" s="4">
        <v>18.89</v>
      </c>
      <c r="H8" s="4">
        <v>18.66</v>
      </c>
      <c r="I8" s="4">
        <v>19.475000000000001</v>
      </c>
      <c r="J8" s="4">
        <v>18.829999999999998</v>
      </c>
      <c r="K8" s="4">
        <v>18.04</v>
      </c>
      <c r="L8" s="4">
        <v>17.27</v>
      </c>
      <c r="M8" s="4">
        <v>17.765000000000001</v>
      </c>
      <c r="N8" s="4">
        <f>'Test_Data_9033_UI_2020 B78'!Q7</f>
        <v>20.5</v>
      </c>
    </row>
    <row r="9" spans="1:14" x14ac:dyDescent="0.25">
      <c r="A9" s="4">
        <v>700</v>
      </c>
      <c r="B9" s="4">
        <v>23.23</v>
      </c>
      <c r="C9" s="4">
        <v>23.32</v>
      </c>
      <c r="D9" s="4">
        <v>21.715</v>
      </c>
      <c r="E9" s="4">
        <v>22.66</v>
      </c>
      <c r="F9" s="4">
        <v>21.47</v>
      </c>
      <c r="G9" s="4">
        <v>20.43</v>
      </c>
      <c r="H9" s="4">
        <v>19.98</v>
      </c>
      <c r="I9" s="4">
        <v>20.79</v>
      </c>
      <c r="J9" s="4">
        <v>19.760000000000002</v>
      </c>
      <c r="K9" s="4">
        <v>19.605</v>
      </c>
      <c r="L9" s="4">
        <v>18.88</v>
      </c>
      <c r="M9" s="4">
        <v>19.195</v>
      </c>
      <c r="N9" s="4">
        <f>'Test_Data_9033_UI_2020 B78'!Q8</f>
        <v>21.950000000000003</v>
      </c>
    </row>
    <row r="10" spans="1:14" x14ac:dyDescent="0.25">
      <c r="A10" s="4">
        <v>800</v>
      </c>
      <c r="B10" s="4">
        <v>24.974999999999998</v>
      </c>
      <c r="C10" s="4">
        <v>24.9</v>
      </c>
      <c r="D10" s="4">
        <v>23.42</v>
      </c>
      <c r="E10" s="4">
        <v>24.525000000000002</v>
      </c>
      <c r="F10" s="4">
        <v>22.055</v>
      </c>
      <c r="G10" s="4">
        <v>21.73</v>
      </c>
      <c r="H10" s="4">
        <v>22</v>
      </c>
      <c r="I10" s="4">
        <v>22.7</v>
      </c>
      <c r="J10" s="4">
        <v>20.795000000000002</v>
      </c>
      <c r="K10" s="4">
        <v>20.785</v>
      </c>
      <c r="L10" s="4">
        <v>20.7</v>
      </c>
      <c r="M10" s="4">
        <v>20.25</v>
      </c>
      <c r="N10" s="4">
        <f>'Test_Data_9033_UI_2020 B78'!Q9</f>
        <v>23.21</v>
      </c>
    </row>
    <row r="11" spans="1:14" x14ac:dyDescent="0.25">
      <c r="A11" s="4">
        <v>900</v>
      </c>
      <c r="B11" s="4">
        <v>26.21</v>
      </c>
      <c r="C11" s="4">
        <v>26.445</v>
      </c>
      <c r="D11" s="4">
        <v>27.545000000000002</v>
      </c>
      <c r="E11" s="4">
        <v>25.685000000000002</v>
      </c>
      <c r="F11" s="4">
        <v>23.11</v>
      </c>
      <c r="G11" s="4">
        <v>23.145</v>
      </c>
      <c r="H11" s="4">
        <v>22.5</v>
      </c>
      <c r="I11" s="4">
        <v>23.2</v>
      </c>
      <c r="J11" s="4">
        <v>22.24</v>
      </c>
      <c r="K11" s="4">
        <v>22.135000000000002</v>
      </c>
      <c r="L11" s="4">
        <v>22.015000000000001</v>
      </c>
      <c r="M11" s="4">
        <v>21.605</v>
      </c>
      <c r="N11" s="4">
        <f>'Test_Data_9033_UI_2020 B78'!Q10</f>
        <v>25.064999999999998</v>
      </c>
    </row>
    <row r="12" spans="1:14" x14ac:dyDescent="0.25">
      <c r="A12" s="4">
        <v>1000</v>
      </c>
      <c r="B12" s="4">
        <v>27.755000000000003</v>
      </c>
      <c r="C12" s="4">
        <v>27.625</v>
      </c>
      <c r="D12" s="4">
        <v>30.295000000000002</v>
      </c>
      <c r="E12" s="4">
        <v>27.234999999999999</v>
      </c>
      <c r="F12" s="4">
        <v>24.36</v>
      </c>
      <c r="G12" s="4">
        <v>25.04</v>
      </c>
      <c r="H12" s="4">
        <v>24.29</v>
      </c>
      <c r="I12" s="4">
        <v>24.645</v>
      </c>
      <c r="J12" s="4">
        <v>23.41</v>
      </c>
      <c r="K12" s="4">
        <v>23.234999999999999</v>
      </c>
      <c r="L12" s="4">
        <v>22.8</v>
      </c>
      <c r="M12" s="4">
        <v>22.785</v>
      </c>
      <c r="N12" s="4">
        <f>'Test_Data_9033_UI_2020 B78'!Q11</f>
        <v>26.619999999999997</v>
      </c>
    </row>
    <row r="13" spans="1:14" x14ac:dyDescent="0.25">
      <c r="A13" s="4">
        <v>1100</v>
      </c>
      <c r="B13" s="4">
        <v>29.504999999999999</v>
      </c>
      <c r="C13" s="4">
        <v>29.22</v>
      </c>
      <c r="D13" s="4">
        <v>29.14</v>
      </c>
      <c r="E13" s="4">
        <v>28.72</v>
      </c>
      <c r="F13" s="4">
        <v>25.78</v>
      </c>
      <c r="G13" s="4">
        <v>26.17</v>
      </c>
      <c r="H13" s="4">
        <v>26.344999999999999</v>
      </c>
      <c r="I13" s="4">
        <v>25.91</v>
      </c>
      <c r="J13" s="4">
        <v>24.395</v>
      </c>
      <c r="K13" s="4">
        <v>24.51</v>
      </c>
      <c r="L13" s="4">
        <v>24.39</v>
      </c>
      <c r="M13" s="4">
        <v>24.51</v>
      </c>
      <c r="N13" s="4">
        <f>'Test_Data_9033_UI_2020 B78'!Q12</f>
        <v>28.115000000000002</v>
      </c>
    </row>
    <row r="14" spans="1:14" x14ac:dyDescent="0.25">
      <c r="A14" s="4">
        <v>1200</v>
      </c>
      <c r="B14" s="4">
        <v>31.585000000000001</v>
      </c>
      <c r="C14" s="4">
        <v>31.32</v>
      </c>
      <c r="D14" s="4">
        <v>32.115000000000002</v>
      </c>
      <c r="E14" s="4">
        <v>30.72</v>
      </c>
      <c r="F14" s="4">
        <v>27.729999999999997</v>
      </c>
      <c r="G14" s="4">
        <v>27.75</v>
      </c>
      <c r="H14" s="4">
        <v>29.075000000000003</v>
      </c>
      <c r="I14" s="4">
        <v>27.344999999999999</v>
      </c>
      <c r="J14" s="4">
        <v>26.08</v>
      </c>
      <c r="K14" s="4">
        <v>25.984999999999999</v>
      </c>
      <c r="L14" s="4">
        <v>25.844999999999999</v>
      </c>
      <c r="M14" s="4">
        <v>25.92</v>
      </c>
      <c r="N14" s="4">
        <f>'Test_Data_9033_UI_2020 B78'!Q13</f>
        <v>29.704999999999998</v>
      </c>
    </row>
    <row r="15" spans="1:14" x14ac:dyDescent="0.25">
      <c r="A15" s="4">
        <v>1300</v>
      </c>
      <c r="B15" s="4">
        <v>32.92</v>
      </c>
      <c r="C15" s="4">
        <v>32.995000000000005</v>
      </c>
      <c r="D15" s="4">
        <v>34.68</v>
      </c>
      <c r="E15" s="4">
        <v>32.54</v>
      </c>
      <c r="F15" s="4">
        <v>28.825000000000003</v>
      </c>
      <c r="G15" s="4">
        <v>29.035</v>
      </c>
      <c r="H15" s="4">
        <v>29.335000000000001</v>
      </c>
      <c r="I15" s="4">
        <v>28.875</v>
      </c>
      <c r="J15" s="4">
        <v>27.61</v>
      </c>
      <c r="K15" s="4">
        <v>27.105</v>
      </c>
      <c r="L15" s="4">
        <v>27.094999999999999</v>
      </c>
      <c r="M15" s="4">
        <v>27.234999999999999</v>
      </c>
      <c r="N15" s="4">
        <f>'Test_Data_9033_UI_2020 B78'!Q14</f>
        <v>30.854999999999997</v>
      </c>
    </row>
    <row r="16" spans="1:14" x14ac:dyDescent="0.25">
      <c r="A16" s="4">
        <v>1400</v>
      </c>
      <c r="B16" s="4">
        <v>34.234999999999999</v>
      </c>
      <c r="C16" s="4">
        <v>34.56</v>
      </c>
      <c r="D16" s="4">
        <v>36.384999999999998</v>
      </c>
      <c r="E16" s="4">
        <v>34.5</v>
      </c>
      <c r="F16" s="4">
        <v>29.954999999999998</v>
      </c>
      <c r="G16" s="4">
        <v>30.384999999999998</v>
      </c>
      <c r="H16" s="4">
        <v>30.16</v>
      </c>
      <c r="I16" s="4">
        <v>30.25</v>
      </c>
      <c r="J16" s="4">
        <v>28.815000000000001</v>
      </c>
      <c r="K16" s="4">
        <v>28.614999999999998</v>
      </c>
      <c r="L16" s="4">
        <v>28.454999999999998</v>
      </c>
      <c r="M16" s="4">
        <v>28.605</v>
      </c>
      <c r="N16" s="4">
        <f>'Test_Data_9033_UI_2020 B78'!Q15</f>
        <v>32.244999999999997</v>
      </c>
    </row>
    <row r="17" spans="1:14" x14ac:dyDescent="0.25">
      <c r="A17" s="4">
        <v>1500</v>
      </c>
      <c r="B17" s="4">
        <v>35.945</v>
      </c>
      <c r="C17" s="4">
        <v>36.105000000000004</v>
      </c>
      <c r="D17" s="4">
        <v>37.774999999999999</v>
      </c>
      <c r="E17" s="4">
        <v>36.034999999999997</v>
      </c>
      <c r="F17" s="4">
        <v>31.83</v>
      </c>
      <c r="G17" s="4">
        <v>32.004999999999995</v>
      </c>
      <c r="H17" s="4">
        <v>32.115000000000002</v>
      </c>
      <c r="I17" s="4">
        <v>30.57</v>
      </c>
      <c r="J17" s="4">
        <v>29.914999999999999</v>
      </c>
      <c r="K17" s="4">
        <v>29.715</v>
      </c>
      <c r="L17" s="4">
        <v>29.81</v>
      </c>
      <c r="M17" s="4">
        <v>30.11</v>
      </c>
      <c r="N17" s="4">
        <f>'Test_Data_9033_UI_2020 B78'!Q16</f>
        <v>33.68</v>
      </c>
    </row>
    <row r="18" spans="1:14" x14ac:dyDescent="0.25">
      <c r="A18" s="4">
        <v>1600</v>
      </c>
      <c r="B18" s="4">
        <v>37.375</v>
      </c>
      <c r="C18" s="4">
        <v>38.049999999999997</v>
      </c>
      <c r="D18" s="4">
        <v>41.27</v>
      </c>
      <c r="E18" s="4">
        <v>37.700000000000003</v>
      </c>
      <c r="F18" s="4">
        <v>33</v>
      </c>
      <c r="G18" s="4">
        <v>33.335000000000001</v>
      </c>
      <c r="H18" s="4">
        <v>33.08</v>
      </c>
      <c r="I18" s="4">
        <v>32.774999999999999</v>
      </c>
      <c r="J18" s="4">
        <v>31.335000000000001</v>
      </c>
      <c r="K18" s="4">
        <v>31.164999999999999</v>
      </c>
      <c r="L18" s="4">
        <v>31.37</v>
      </c>
      <c r="M18" s="4">
        <v>31.805</v>
      </c>
      <c r="N18" s="4">
        <f>'Test_Data_9033_UI_2020 B78'!Q17</f>
        <v>34.975000000000001</v>
      </c>
    </row>
    <row r="19" spans="1:14" x14ac:dyDescent="0.25">
      <c r="A19" s="4">
        <v>1700</v>
      </c>
      <c r="B19" s="4">
        <v>39.340000000000003</v>
      </c>
      <c r="C19" s="4">
        <v>39.725000000000001</v>
      </c>
      <c r="D19" s="4">
        <v>45.274999999999999</v>
      </c>
      <c r="E19" s="4">
        <v>39.6</v>
      </c>
      <c r="F19" s="4">
        <v>34.285000000000004</v>
      </c>
      <c r="G19" s="4">
        <v>34.994999999999997</v>
      </c>
      <c r="H19" s="4">
        <v>34.344999999999999</v>
      </c>
      <c r="I19" s="4">
        <v>34.26</v>
      </c>
      <c r="J19" s="4">
        <v>32.604999999999997</v>
      </c>
      <c r="K19" s="4">
        <v>32.43</v>
      </c>
      <c r="L19" s="4">
        <v>32.69</v>
      </c>
      <c r="M19" s="4">
        <v>33.055</v>
      </c>
      <c r="N19" s="4">
        <f>'Test_Data_9033_UI_2020 B78'!Q18</f>
        <v>35.03</v>
      </c>
    </row>
    <row r="20" spans="1:14" x14ac:dyDescent="0.25">
      <c r="A20" s="4">
        <v>1800</v>
      </c>
      <c r="B20" s="4">
        <v>40.825000000000003</v>
      </c>
      <c r="C20" s="4">
        <v>41.16</v>
      </c>
      <c r="D20" s="4">
        <v>45.865000000000002</v>
      </c>
      <c r="E20" s="4">
        <v>40.914999999999999</v>
      </c>
      <c r="F20" s="4">
        <v>35.35</v>
      </c>
      <c r="G20" s="4">
        <v>36.394999999999996</v>
      </c>
      <c r="H20" s="4">
        <v>35.615000000000002</v>
      </c>
      <c r="I20" s="4">
        <v>35.884999999999998</v>
      </c>
      <c r="J20" s="4">
        <v>33.805</v>
      </c>
      <c r="K20" s="4">
        <v>34.005000000000003</v>
      </c>
      <c r="L20" s="4">
        <v>33.784999999999997</v>
      </c>
      <c r="M20" s="4">
        <v>33.994999999999997</v>
      </c>
      <c r="N20" s="4">
        <f>'Test_Data_9033_UI_2020 B78'!Q19</f>
        <v>36.825000000000003</v>
      </c>
    </row>
    <row r="21" spans="1:14" x14ac:dyDescent="0.25">
      <c r="A21" s="4">
        <v>1900</v>
      </c>
      <c r="B21" s="4">
        <v>42.515000000000001</v>
      </c>
      <c r="C21" s="4">
        <v>42.725000000000001</v>
      </c>
      <c r="D21" s="4">
        <v>44.11</v>
      </c>
      <c r="E21" s="4">
        <v>42.765000000000001</v>
      </c>
      <c r="F21" s="4">
        <v>37.204999999999998</v>
      </c>
      <c r="G21" s="4">
        <v>37.6</v>
      </c>
      <c r="H21" s="4">
        <v>37.299999999999997</v>
      </c>
      <c r="I21" s="4">
        <v>37.225000000000001</v>
      </c>
      <c r="J21" s="4">
        <v>36.155000000000001</v>
      </c>
      <c r="K21" s="4">
        <v>34.945</v>
      </c>
      <c r="N21" s="4">
        <f>'Test_Data_9033_UI_2020 B78'!Q20</f>
        <v>38.51</v>
      </c>
    </row>
    <row r="22" spans="1:14" x14ac:dyDescent="0.25">
      <c r="A22" s="4">
        <v>2000</v>
      </c>
      <c r="B22" s="4">
        <v>44.260000000000005</v>
      </c>
      <c r="C22" s="4">
        <v>44.325000000000003</v>
      </c>
      <c r="D22" s="4">
        <v>49.93</v>
      </c>
      <c r="E22" s="4">
        <v>44.480000000000004</v>
      </c>
      <c r="F22" s="4">
        <v>39.07</v>
      </c>
      <c r="G22" s="4">
        <v>39.31</v>
      </c>
      <c r="H22" s="4">
        <v>38.914999999999999</v>
      </c>
      <c r="I22" s="4">
        <v>38.505000000000003</v>
      </c>
      <c r="J22" s="4">
        <v>36.865000000000002</v>
      </c>
      <c r="K22" s="4">
        <v>35.314999999999998</v>
      </c>
      <c r="N22" s="4">
        <f>'Test_Data_9033_UI_2020 B78'!Q21</f>
        <v>40.46</v>
      </c>
    </row>
    <row r="23" spans="1:14" x14ac:dyDescent="0.25">
      <c r="A23" s="4">
        <f>A22+100</f>
        <v>2100</v>
      </c>
      <c r="B23" s="4">
        <v>46.510000000000005</v>
      </c>
      <c r="C23" s="4">
        <v>46.045000000000002</v>
      </c>
      <c r="E23" s="4">
        <v>45.685000000000002</v>
      </c>
      <c r="F23" s="4">
        <v>40.08</v>
      </c>
      <c r="G23" s="4">
        <v>41.010000000000005</v>
      </c>
      <c r="I23" s="4">
        <v>39.155000000000001</v>
      </c>
      <c r="J23" s="4">
        <v>38.1</v>
      </c>
      <c r="K23" s="4">
        <v>37.585000000000001</v>
      </c>
      <c r="N23" s="4">
        <f>'Test_Data_9033_UI_2020 B78'!Q22</f>
        <v>41.11</v>
      </c>
    </row>
    <row r="24" spans="1:14" x14ac:dyDescent="0.25">
      <c r="A24" s="4">
        <f t="shared" ref="A24:A30" si="0">A23+100</f>
        <v>2200</v>
      </c>
      <c r="B24" s="4">
        <v>47.59</v>
      </c>
      <c r="C24" s="4">
        <v>46.995000000000005</v>
      </c>
      <c r="E24" s="4">
        <v>46.94</v>
      </c>
      <c r="F24" s="4">
        <v>41.03</v>
      </c>
      <c r="G24" s="4">
        <v>42.204999999999998</v>
      </c>
      <c r="I24" s="4">
        <v>41.244999999999997</v>
      </c>
      <c r="J24" s="4">
        <v>38.844999999999999</v>
      </c>
      <c r="K24" s="4">
        <v>37.805</v>
      </c>
      <c r="N24" s="4">
        <f>'Test_Data_9033_UI_2020 B78'!Q23</f>
        <v>43.575000000000003</v>
      </c>
    </row>
    <row r="25" spans="1:14" x14ac:dyDescent="0.25">
      <c r="A25" s="4">
        <f t="shared" si="0"/>
        <v>2300</v>
      </c>
      <c r="B25" s="4">
        <v>49.484999999999999</v>
      </c>
      <c r="C25" s="4">
        <v>50.225000000000001</v>
      </c>
      <c r="E25" s="4">
        <v>48.81</v>
      </c>
      <c r="F25" s="4">
        <v>41.56</v>
      </c>
      <c r="G25" s="4">
        <v>43.664999999999999</v>
      </c>
      <c r="I25" s="4">
        <v>42.704999999999998</v>
      </c>
      <c r="J25" s="4">
        <v>40.68</v>
      </c>
      <c r="K25" s="4">
        <v>40.19</v>
      </c>
      <c r="N25" s="4">
        <f>'Test_Data_9033_UI_2020 B78'!Q24</f>
        <v>45.489999999999995</v>
      </c>
    </row>
    <row r="26" spans="1:14" x14ac:dyDescent="0.25">
      <c r="A26" s="4">
        <f t="shared" si="0"/>
        <v>2400</v>
      </c>
      <c r="B26" s="4">
        <v>51.234999999999999</v>
      </c>
      <c r="C26" s="4">
        <v>52.21</v>
      </c>
      <c r="E26" s="4">
        <v>50.634999999999998</v>
      </c>
      <c r="F26" s="4">
        <v>44.25</v>
      </c>
      <c r="G26" s="4">
        <v>45.325000000000003</v>
      </c>
      <c r="I26" s="4">
        <v>43.93</v>
      </c>
      <c r="J26" s="4">
        <v>42.335000000000001</v>
      </c>
      <c r="K26" s="4">
        <v>41.84</v>
      </c>
      <c r="N26" s="4">
        <f>'Test_Data_9033_UI_2020 B78'!Q25</f>
        <v>45.024999999999999</v>
      </c>
    </row>
    <row r="27" spans="1:14" x14ac:dyDescent="0.25">
      <c r="A27" s="4">
        <f t="shared" si="0"/>
        <v>2500</v>
      </c>
      <c r="B27" s="4">
        <v>53.02</v>
      </c>
      <c r="C27" s="4">
        <v>52.709999999999994</v>
      </c>
      <c r="E27" s="4">
        <v>52.344999999999999</v>
      </c>
      <c r="F27" s="4">
        <v>45.995000000000005</v>
      </c>
      <c r="G27" s="4">
        <v>47.164999999999999</v>
      </c>
      <c r="I27" s="4">
        <v>43.585000000000001</v>
      </c>
      <c r="J27" s="4">
        <v>43.395000000000003</v>
      </c>
      <c r="K27" s="4">
        <v>42.594999999999999</v>
      </c>
      <c r="N27" s="4">
        <f>'Test_Data_9033_UI_2020 B78'!Q26</f>
        <v>47.18</v>
      </c>
    </row>
    <row r="28" spans="1:14" x14ac:dyDescent="0.25">
      <c r="A28" s="4">
        <f t="shared" si="0"/>
        <v>2600</v>
      </c>
      <c r="B28" s="4">
        <v>54.540000000000006</v>
      </c>
      <c r="C28" s="4">
        <v>54.045000000000002</v>
      </c>
      <c r="E28" s="4">
        <v>53.68</v>
      </c>
      <c r="F28" s="4">
        <v>47.14</v>
      </c>
      <c r="G28" s="4">
        <v>48.06</v>
      </c>
      <c r="I28" s="4">
        <v>47.24</v>
      </c>
      <c r="K28" s="4">
        <v>42.97</v>
      </c>
    </row>
    <row r="29" spans="1:14" x14ac:dyDescent="0.25">
      <c r="A29" s="4">
        <f t="shared" si="0"/>
        <v>2700</v>
      </c>
      <c r="B29" s="4">
        <v>55.83</v>
      </c>
      <c r="C29" s="4">
        <v>55.585000000000001</v>
      </c>
      <c r="E29" s="4">
        <v>55.314999999999998</v>
      </c>
      <c r="F29" s="4">
        <v>48.14</v>
      </c>
      <c r="G29" s="4">
        <v>49.575000000000003</v>
      </c>
      <c r="I29" s="4">
        <v>45.725000000000001</v>
      </c>
      <c r="K29" s="4">
        <v>46.03</v>
      </c>
    </row>
    <row r="30" spans="1:14" x14ac:dyDescent="0.25">
      <c r="A30" s="4">
        <f t="shared" si="0"/>
        <v>2800</v>
      </c>
      <c r="B30" s="4">
        <v>57.08</v>
      </c>
      <c r="C30" s="4">
        <v>57.185000000000002</v>
      </c>
      <c r="E30" s="4">
        <v>56.984999999999999</v>
      </c>
      <c r="F30" s="4">
        <v>50.424999999999997</v>
      </c>
      <c r="G30" s="4">
        <v>51.355000000000004</v>
      </c>
      <c r="K30" s="4">
        <v>45.55</v>
      </c>
    </row>
    <row r="31" spans="1:14" x14ac:dyDescent="0.25">
      <c r="A31" s="8">
        <v>2900</v>
      </c>
      <c r="C31" s="4">
        <v>59.534999999999997</v>
      </c>
      <c r="E31" s="4">
        <v>59.435000000000002</v>
      </c>
      <c r="F31" s="4">
        <v>51.805</v>
      </c>
      <c r="G31" s="4">
        <v>53.055</v>
      </c>
    </row>
    <row r="32" spans="1:14" x14ac:dyDescent="0.25">
      <c r="A32" s="4">
        <v>3000</v>
      </c>
      <c r="C32" s="4">
        <v>61.664999999999999</v>
      </c>
      <c r="E32" s="4">
        <v>61.24</v>
      </c>
      <c r="F32" s="4">
        <v>52.905000000000001</v>
      </c>
      <c r="G32" s="4">
        <v>54.010000000000005</v>
      </c>
    </row>
  </sheetData>
  <mergeCells count="1">
    <mergeCell ref="B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BDA4-E068-4AA6-B904-C11AB2935380}">
  <dimension ref="A1:Q82"/>
  <sheetViews>
    <sheetView workbookViewId="0">
      <selection activeCell="P2" sqref="P2"/>
    </sheetView>
  </sheetViews>
  <sheetFormatPr defaultRowHeight="15" x14ac:dyDescent="0.25"/>
  <cols>
    <col min="3" max="3" width="9.85546875" bestFit="1" customWidth="1"/>
    <col min="4" max="5" width="10.140625" bestFit="1" customWidth="1"/>
    <col min="6" max="6" width="8.140625" bestFit="1" customWidth="1"/>
    <col min="7" max="7" width="8.42578125" bestFit="1" customWidth="1"/>
    <col min="8" max="8" width="9.7109375" bestFit="1" customWidth="1"/>
    <col min="9" max="9" width="11.42578125" bestFit="1" customWidth="1"/>
    <col min="10" max="10" width="11.7109375" bestFit="1" customWidth="1"/>
    <col min="11" max="11" width="13.140625" bestFit="1" customWidth="1"/>
    <col min="12" max="12" width="10.7109375" bestFit="1" customWidth="1"/>
    <col min="13" max="13" width="11" bestFit="1" customWidth="1"/>
    <col min="14" max="14" width="12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P1" t="s">
        <v>63</v>
      </c>
      <c r="Q1" s="1" t="s">
        <v>12</v>
      </c>
    </row>
    <row r="2" spans="1:17" x14ac:dyDescent="0.25">
      <c r="A2">
        <v>0</v>
      </c>
      <c r="B2">
        <v>100</v>
      </c>
      <c r="C2">
        <v>1.56</v>
      </c>
      <c r="D2">
        <v>1.85</v>
      </c>
      <c r="E2">
        <v>1.68</v>
      </c>
      <c r="F2">
        <v>1.01</v>
      </c>
      <c r="G2">
        <v>1.07</v>
      </c>
      <c r="H2">
        <v>1.04</v>
      </c>
      <c r="I2">
        <v>17.98</v>
      </c>
      <c r="J2">
        <v>29.01</v>
      </c>
      <c r="K2">
        <v>23.47</v>
      </c>
      <c r="L2">
        <v>20.85</v>
      </c>
      <c r="M2">
        <v>31.84</v>
      </c>
      <c r="N2">
        <v>26.2</v>
      </c>
      <c r="P2">
        <v>100</v>
      </c>
      <c r="Q2">
        <f>AVERAGE(N2:N3)</f>
        <v>13.95</v>
      </c>
    </row>
    <row r="3" spans="1:17" x14ac:dyDescent="0.25">
      <c r="A3">
        <v>1</v>
      </c>
      <c r="B3">
        <v>100</v>
      </c>
      <c r="C3">
        <v>7.0000000000000007E-2</v>
      </c>
      <c r="D3">
        <v>0.39</v>
      </c>
      <c r="E3">
        <v>0.14000000000000001</v>
      </c>
      <c r="F3">
        <v>1.55</v>
      </c>
      <c r="G3">
        <v>1.59</v>
      </c>
      <c r="H3">
        <v>1.56</v>
      </c>
      <c r="I3">
        <v>0</v>
      </c>
      <c r="J3">
        <v>0.02</v>
      </c>
      <c r="K3">
        <v>0</v>
      </c>
      <c r="L3">
        <v>1.62</v>
      </c>
      <c r="M3">
        <v>1.95</v>
      </c>
      <c r="N3">
        <v>1.7</v>
      </c>
      <c r="P3">
        <f>P2+100</f>
        <v>200</v>
      </c>
      <c r="Q3">
        <f>AVERAGE(N4:N5)</f>
        <v>15.39</v>
      </c>
    </row>
    <row r="4" spans="1:17" x14ac:dyDescent="0.25">
      <c r="A4">
        <v>0</v>
      </c>
      <c r="B4">
        <v>200</v>
      </c>
      <c r="C4">
        <v>1.66</v>
      </c>
      <c r="D4">
        <v>2.06</v>
      </c>
      <c r="E4">
        <v>1.77</v>
      </c>
      <c r="F4">
        <v>1.57</v>
      </c>
      <c r="G4">
        <v>1.61</v>
      </c>
      <c r="H4">
        <v>1.59</v>
      </c>
      <c r="I4">
        <v>20.41</v>
      </c>
      <c r="J4">
        <v>28.71</v>
      </c>
      <c r="K4">
        <v>24.09</v>
      </c>
      <c r="L4">
        <v>23.64</v>
      </c>
      <c r="M4">
        <v>32.090000000000003</v>
      </c>
      <c r="N4">
        <v>27.45</v>
      </c>
      <c r="P4">
        <f t="shared" ref="P4:P29" si="0">P3+100</f>
        <v>300</v>
      </c>
      <c r="Q4">
        <f>AVERAGE(N6:N7)</f>
        <v>16.305</v>
      </c>
    </row>
    <row r="5" spans="1:17" x14ac:dyDescent="0.25">
      <c r="A5">
        <v>1</v>
      </c>
      <c r="B5">
        <v>200</v>
      </c>
      <c r="C5">
        <v>0.09</v>
      </c>
      <c r="D5">
        <v>0.4</v>
      </c>
      <c r="E5">
        <v>0.16</v>
      </c>
      <c r="F5">
        <v>3.15</v>
      </c>
      <c r="G5">
        <v>3.22</v>
      </c>
      <c r="H5">
        <v>3.17</v>
      </c>
      <c r="I5">
        <v>0</v>
      </c>
      <c r="J5">
        <v>0.06</v>
      </c>
      <c r="K5">
        <v>0</v>
      </c>
      <c r="L5">
        <v>3.26</v>
      </c>
      <c r="M5">
        <v>3.68</v>
      </c>
      <c r="N5">
        <v>3.33</v>
      </c>
      <c r="P5">
        <f t="shared" si="0"/>
        <v>400</v>
      </c>
      <c r="Q5">
        <f>AVERAGE(N8:N9)</f>
        <v>17.89</v>
      </c>
    </row>
    <row r="6" spans="1:17" x14ac:dyDescent="0.25">
      <c r="A6">
        <v>0</v>
      </c>
      <c r="B6">
        <v>300</v>
      </c>
      <c r="C6">
        <v>1.68</v>
      </c>
      <c r="D6">
        <v>1.99</v>
      </c>
      <c r="E6">
        <v>1.78</v>
      </c>
      <c r="F6">
        <v>2.0699999999999998</v>
      </c>
      <c r="G6">
        <v>2.1800000000000002</v>
      </c>
      <c r="H6">
        <v>2.13</v>
      </c>
      <c r="I6">
        <v>19.96</v>
      </c>
      <c r="J6">
        <v>31.13</v>
      </c>
      <c r="K6">
        <v>23.88</v>
      </c>
      <c r="L6">
        <v>23.88</v>
      </c>
      <c r="M6">
        <v>35.130000000000003</v>
      </c>
      <c r="N6">
        <v>27.78</v>
      </c>
      <c r="P6">
        <f t="shared" si="0"/>
        <v>500</v>
      </c>
      <c r="Q6">
        <f>AVERAGE(N10:N11)</f>
        <v>19.285</v>
      </c>
    </row>
    <row r="7" spans="1:17" x14ac:dyDescent="0.25">
      <c r="A7">
        <v>1</v>
      </c>
      <c r="B7">
        <v>300</v>
      </c>
      <c r="C7">
        <v>0.08</v>
      </c>
      <c r="D7">
        <v>0.45</v>
      </c>
      <c r="E7">
        <v>0.17</v>
      </c>
      <c r="F7">
        <v>4.6399999999999997</v>
      </c>
      <c r="G7">
        <v>4.6900000000000004</v>
      </c>
      <c r="H7">
        <v>4.66</v>
      </c>
      <c r="I7">
        <v>0</v>
      </c>
      <c r="J7">
        <v>0</v>
      </c>
      <c r="K7">
        <v>0</v>
      </c>
      <c r="L7">
        <v>4.7300000000000004</v>
      </c>
      <c r="M7">
        <v>5.13</v>
      </c>
      <c r="N7">
        <v>4.83</v>
      </c>
      <c r="P7">
        <f t="shared" si="0"/>
        <v>600</v>
      </c>
      <c r="Q7">
        <f>AVERAGE(N12:N13)</f>
        <v>20.5</v>
      </c>
    </row>
    <row r="8" spans="1:17" x14ac:dyDescent="0.25">
      <c r="A8">
        <v>0</v>
      </c>
      <c r="B8">
        <v>400</v>
      </c>
      <c r="C8">
        <v>1.76</v>
      </c>
      <c r="D8">
        <v>2.2000000000000002</v>
      </c>
      <c r="E8">
        <v>1.86</v>
      </c>
      <c r="F8">
        <v>2.65</v>
      </c>
      <c r="G8">
        <v>2.75</v>
      </c>
      <c r="H8">
        <v>2.71</v>
      </c>
      <c r="I8">
        <v>21.13</v>
      </c>
      <c r="J8">
        <v>34.01</v>
      </c>
      <c r="K8">
        <v>24.83</v>
      </c>
      <c r="L8">
        <v>25.66</v>
      </c>
      <c r="M8">
        <v>38.94</v>
      </c>
      <c r="N8">
        <v>29.4</v>
      </c>
      <c r="P8">
        <f t="shared" si="0"/>
        <v>700</v>
      </c>
      <c r="Q8">
        <f>AVERAGE(N14:N15)</f>
        <v>21.950000000000003</v>
      </c>
    </row>
    <row r="9" spans="1:17" x14ac:dyDescent="0.25">
      <c r="A9">
        <v>1</v>
      </c>
      <c r="B9">
        <v>400</v>
      </c>
      <c r="C9">
        <v>0.1</v>
      </c>
      <c r="D9">
        <v>0.43</v>
      </c>
      <c r="E9">
        <v>0.19</v>
      </c>
      <c r="F9">
        <v>6.16</v>
      </c>
      <c r="G9">
        <v>6.25</v>
      </c>
      <c r="H9">
        <v>6.19</v>
      </c>
      <c r="I9">
        <v>0</v>
      </c>
      <c r="J9">
        <v>7.0000000000000007E-2</v>
      </c>
      <c r="K9">
        <v>0</v>
      </c>
      <c r="L9">
        <v>6.27</v>
      </c>
      <c r="M9">
        <v>6.63</v>
      </c>
      <c r="N9">
        <v>6.38</v>
      </c>
      <c r="P9">
        <f t="shared" si="0"/>
        <v>800</v>
      </c>
      <c r="Q9">
        <f>AVERAGE(N16:N17)</f>
        <v>23.21</v>
      </c>
    </row>
    <row r="10" spans="1:17" x14ac:dyDescent="0.25">
      <c r="A10">
        <v>0</v>
      </c>
      <c r="B10">
        <v>500</v>
      </c>
      <c r="C10">
        <v>1.86</v>
      </c>
      <c r="D10">
        <v>2.27</v>
      </c>
      <c r="E10">
        <v>1.95</v>
      </c>
      <c r="F10">
        <v>3.2</v>
      </c>
      <c r="G10">
        <v>3.35</v>
      </c>
      <c r="H10">
        <v>3.27</v>
      </c>
      <c r="I10">
        <v>21.77</v>
      </c>
      <c r="J10">
        <v>32.479999999999997</v>
      </c>
      <c r="K10">
        <v>25.45</v>
      </c>
      <c r="L10">
        <v>26.98</v>
      </c>
      <c r="M10">
        <v>37.82</v>
      </c>
      <c r="N10">
        <v>30.66</v>
      </c>
      <c r="P10">
        <f t="shared" si="0"/>
        <v>900</v>
      </c>
      <c r="Q10">
        <f>AVERAGE(N18:N19)</f>
        <v>25.064999999999998</v>
      </c>
    </row>
    <row r="11" spans="1:17" x14ac:dyDescent="0.25">
      <c r="A11">
        <v>1</v>
      </c>
      <c r="B11">
        <v>500</v>
      </c>
      <c r="C11">
        <v>0.1</v>
      </c>
      <c r="D11">
        <v>0.43</v>
      </c>
      <c r="E11">
        <v>0.19</v>
      </c>
      <c r="F11">
        <v>7.7</v>
      </c>
      <c r="G11">
        <v>7.8</v>
      </c>
      <c r="H11">
        <v>7.72</v>
      </c>
      <c r="I11">
        <v>0</v>
      </c>
      <c r="J11">
        <v>0.01</v>
      </c>
      <c r="K11">
        <v>0</v>
      </c>
      <c r="L11">
        <v>7.8</v>
      </c>
      <c r="M11">
        <v>8.16</v>
      </c>
      <c r="N11">
        <v>7.91</v>
      </c>
      <c r="P11">
        <f t="shared" si="0"/>
        <v>1000</v>
      </c>
      <c r="Q11">
        <f>AVERAGE(N20:N21)</f>
        <v>26.619999999999997</v>
      </c>
    </row>
    <row r="12" spans="1:17" x14ac:dyDescent="0.25">
      <c r="A12">
        <v>0</v>
      </c>
      <c r="B12">
        <v>600</v>
      </c>
      <c r="C12">
        <v>1.91</v>
      </c>
      <c r="D12">
        <v>2.35</v>
      </c>
      <c r="E12">
        <v>2.02</v>
      </c>
      <c r="F12">
        <v>3.73</v>
      </c>
      <c r="G12">
        <v>3.88</v>
      </c>
      <c r="H12">
        <v>3.82</v>
      </c>
      <c r="I12">
        <v>21.53</v>
      </c>
      <c r="J12">
        <v>33.51</v>
      </c>
      <c r="K12">
        <v>25.69</v>
      </c>
      <c r="L12">
        <v>27.28</v>
      </c>
      <c r="M12">
        <v>39.409999999999997</v>
      </c>
      <c r="N12">
        <v>31.53</v>
      </c>
      <c r="P12">
        <f t="shared" si="0"/>
        <v>1100</v>
      </c>
      <c r="Q12">
        <f>AVERAGE(N22:N23)</f>
        <v>28.115000000000002</v>
      </c>
    </row>
    <row r="13" spans="1:17" x14ac:dyDescent="0.25">
      <c r="A13">
        <v>1</v>
      </c>
      <c r="B13">
        <v>600</v>
      </c>
      <c r="C13">
        <v>0.09</v>
      </c>
      <c r="D13">
        <v>0.44</v>
      </c>
      <c r="E13">
        <v>0.19</v>
      </c>
      <c r="F13">
        <v>9.25</v>
      </c>
      <c r="G13">
        <v>9.34</v>
      </c>
      <c r="H13">
        <v>9.2799999999999994</v>
      </c>
      <c r="I13">
        <v>0</v>
      </c>
      <c r="J13">
        <v>0.01</v>
      </c>
      <c r="K13">
        <v>0</v>
      </c>
      <c r="L13">
        <v>9.35</v>
      </c>
      <c r="M13">
        <v>9.73</v>
      </c>
      <c r="N13">
        <v>9.4700000000000006</v>
      </c>
      <c r="P13">
        <f t="shared" si="0"/>
        <v>1200</v>
      </c>
      <c r="Q13">
        <f>AVERAGE(N24:N25)</f>
        <v>29.704999999999998</v>
      </c>
    </row>
    <row r="14" spans="1:17" x14ac:dyDescent="0.25">
      <c r="A14">
        <v>0</v>
      </c>
      <c r="B14">
        <v>700</v>
      </c>
      <c r="C14">
        <v>1.99</v>
      </c>
      <c r="D14">
        <v>2.41</v>
      </c>
      <c r="E14">
        <v>2.11</v>
      </c>
      <c r="F14">
        <v>4.3600000000000003</v>
      </c>
      <c r="G14">
        <v>4.49</v>
      </c>
      <c r="H14">
        <v>4.41</v>
      </c>
      <c r="I14">
        <v>22.42</v>
      </c>
      <c r="J14">
        <v>32.659999999999997</v>
      </c>
      <c r="K14">
        <v>26.32</v>
      </c>
      <c r="L14">
        <v>28.84</v>
      </c>
      <c r="M14">
        <v>39.299999999999997</v>
      </c>
      <c r="N14">
        <v>32.840000000000003</v>
      </c>
      <c r="P14">
        <f t="shared" si="0"/>
        <v>1300</v>
      </c>
      <c r="Q14">
        <f>AVERAGE(N26:N27)</f>
        <v>30.854999999999997</v>
      </c>
    </row>
    <row r="15" spans="1:17" x14ac:dyDescent="0.25">
      <c r="A15">
        <v>1</v>
      </c>
      <c r="B15">
        <v>700</v>
      </c>
      <c r="C15">
        <v>0.1</v>
      </c>
      <c r="D15">
        <v>0.43</v>
      </c>
      <c r="E15">
        <v>0.19</v>
      </c>
      <c r="F15">
        <v>10.82</v>
      </c>
      <c r="G15">
        <v>10.91</v>
      </c>
      <c r="H15">
        <v>10.86</v>
      </c>
      <c r="I15">
        <v>0</v>
      </c>
      <c r="J15">
        <v>0.06</v>
      </c>
      <c r="K15">
        <v>0</v>
      </c>
      <c r="L15">
        <v>10.94</v>
      </c>
      <c r="M15">
        <v>11.35</v>
      </c>
      <c r="N15">
        <v>11.06</v>
      </c>
      <c r="P15">
        <f t="shared" si="0"/>
        <v>1400</v>
      </c>
      <c r="Q15">
        <f>AVERAGE(N28:N29)</f>
        <v>32.244999999999997</v>
      </c>
    </row>
    <row r="16" spans="1:17" x14ac:dyDescent="0.25">
      <c r="A16">
        <v>0</v>
      </c>
      <c r="B16">
        <v>800</v>
      </c>
      <c r="C16">
        <v>2.04</v>
      </c>
      <c r="D16">
        <v>2.46</v>
      </c>
      <c r="E16">
        <v>2.2000000000000002</v>
      </c>
      <c r="F16">
        <v>4.91</v>
      </c>
      <c r="G16">
        <v>5.0599999999999996</v>
      </c>
      <c r="H16">
        <v>4.97</v>
      </c>
      <c r="I16">
        <v>22.42</v>
      </c>
      <c r="J16">
        <v>34.049999999999997</v>
      </c>
      <c r="K16">
        <v>26.7</v>
      </c>
      <c r="L16">
        <v>29.49</v>
      </c>
      <c r="M16">
        <v>41.3</v>
      </c>
      <c r="N16">
        <v>33.869999999999997</v>
      </c>
      <c r="P16">
        <f t="shared" si="0"/>
        <v>1500</v>
      </c>
      <c r="Q16">
        <f>AVERAGE(N30:N31)</f>
        <v>33.68</v>
      </c>
    </row>
    <row r="17" spans="1:17" x14ac:dyDescent="0.25">
      <c r="A17">
        <v>1</v>
      </c>
      <c r="B17">
        <v>800</v>
      </c>
      <c r="C17">
        <v>0.09</v>
      </c>
      <c r="D17">
        <v>0.44</v>
      </c>
      <c r="E17">
        <v>0.2</v>
      </c>
      <c r="F17">
        <v>12.3</v>
      </c>
      <c r="G17">
        <v>12.42</v>
      </c>
      <c r="H17">
        <v>12.35</v>
      </c>
      <c r="I17">
        <v>0</v>
      </c>
      <c r="J17">
        <v>0.08</v>
      </c>
      <c r="K17">
        <v>0</v>
      </c>
      <c r="L17">
        <v>12.41</v>
      </c>
      <c r="M17">
        <v>12.87</v>
      </c>
      <c r="N17">
        <v>12.55</v>
      </c>
      <c r="P17">
        <f t="shared" si="0"/>
        <v>1600</v>
      </c>
      <c r="Q17">
        <f>AVERAGE(N32:N33)</f>
        <v>34.975000000000001</v>
      </c>
    </row>
    <row r="18" spans="1:17" x14ac:dyDescent="0.25">
      <c r="A18">
        <v>0</v>
      </c>
      <c r="B18">
        <v>900</v>
      </c>
      <c r="C18">
        <v>2.12</v>
      </c>
      <c r="D18">
        <v>2.52</v>
      </c>
      <c r="E18">
        <v>2.21</v>
      </c>
      <c r="F18">
        <v>5.45</v>
      </c>
      <c r="G18">
        <v>5.6</v>
      </c>
      <c r="H18">
        <v>5.52</v>
      </c>
      <c r="I18">
        <v>24.28</v>
      </c>
      <c r="J18">
        <v>36.44</v>
      </c>
      <c r="K18">
        <v>28.19</v>
      </c>
      <c r="L18">
        <v>31.91</v>
      </c>
      <c r="M18">
        <v>44.26</v>
      </c>
      <c r="N18">
        <v>35.93</v>
      </c>
      <c r="P18">
        <f t="shared" si="0"/>
        <v>1700</v>
      </c>
      <c r="Q18">
        <f>AVERAGE(N34:N35)</f>
        <v>35.03</v>
      </c>
    </row>
    <row r="19" spans="1:17" x14ac:dyDescent="0.25">
      <c r="A19">
        <v>1</v>
      </c>
      <c r="B19">
        <v>900</v>
      </c>
      <c r="C19">
        <v>0.1</v>
      </c>
      <c r="D19">
        <v>0.43</v>
      </c>
      <c r="E19">
        <v>0.2</v>
      </c>
      <c r="F19">
        <v>13.97</v>
      </c>
      <c r="G19">
        <v>14.06</v>
      </c>
      <c r="H19">
        <v>14.01</v>
      </c>
      <c r="I19">
        <v>0</v>
      </c>
      <c r="J19">
        <v>0.01</v>
      </c>
      <c r="K19">
        <v>0</v>
      </c>
      <c r="L19">
        <v>14.07</v>
      </c>
      <c r="M19">
        <v>14.47</v>
      </c>
      <c r="N19">
        <v>14.2</v>
      </c>
      <c r="P19">
        <f t="shared" si="0"/>
        <v>1800</v>
      </c>
      <c r="Q19">
        <f>AVERAGE(N36:N37)</f>
        <v>36.825000000000003</v>
      </c>
    </row>
    <row r="20" spans="1:17" x14ac:dyDescent="0.25">
      <c r="A20">
        <v>0</v>
      </c>
      <c r="B20">
        <v>1000</v>
      </c>
      <c r="C20">
        <v>2.13</v>
      </c>
      <c r="D20">
        <v>2.5299999999999998</v>
      </c>
      <c r="E20">
        <v>2.2799999999999998</v>
      </c>
      <c r="F20">
        <v>5.96</v>
      </c>
      <c r="G20">
        <v>6.21</v>
      </c>
      <c r="H20">
        <v>6.09</v>
      </c>
      <c r="I20">
        <v>24.53</v>
      </c>
      <c r="J20">
        <v>34.67</v>
      </c>
      <c r="K20">
        <v>29.35</v>
      </c>
      <c r="L20">
        <v>32.72</v>
      </c>
      <c r="M20">
        <v>43.08</v>
      </c>
      <c r="N20">
        <v>37.72</v>
      </c>
      <c r="P20">
        <f t="shared" si="0"/>
        <v>1900</v>
      </c>
      <c r="Q20">
        <f>AVERAGE(N38:N39)</f>
        <v>38.51</v>
      </c>
    </row>
    <row r="21" spans="1:17" x14ac:dyDescent="0.25">
      <c r="A21">
        <v>1</v>
      </c>
      <c r="B21">
        <v>1000</v>
      </c>
      <c r="C21">
        <v>0.01</v>
      </c>
      <c r="D21">
        <v>0.31</v>
      </c>
      <c r="E21">
        <v>0.1</v>
      </c>
      <c r="F21">
        <v>15.37</v>
      </c>
      <c r="G21">
        <v>15.52</v>
      </c>
      <c r="H21">
        <v>15.43</v>
      </c>
      <c r="I21">
        <v>0</v>
      </c>
      <c r="J21">
        <v>0.02</v>
      </c>
      <c r="K21">
        <v>0</v>
      </c>
      <c r="L21">
        <v>15.4</v>
      </c>
      <c r="M21">
        <v>15.78</v>
      </c>
      <c r="N21">
        <v>15.52</v>
      </c>
      <c r="P21">
        <f t="shared" si="0"/>
        <v>2000</v>
      </c>
      <c r="Q21">
        <f>AVERAGE(N40:N41)</f>
        <v>40.46</v>
      </c>
    </row>
    <row r="22" spans="1:17" x14ac:dyDescent="0.25">
      <c r="A22">
        <v>0</v>
      </c>
      <c r="B22">
        <v>1100</v>
      </c>
      <c r="C22">
        <v>2.2200000000000002</v>
      </c>
      <c r="D22">
        <v>2.61</v>
      </c>
      <c r="E22">
        <v>2.34</v>
      </c>
      <c r="F22">
        <v>6.63</v>
      </c>
      <c r="G22">
        <v>6.79</v>
      </c>
      <c r="H22">
        <v>6.7</v>
      </c>
      <c r="I22">
        <v>26.39</v>
      </c>
      <c r="J22">
        <v>39.06</v>
      </c>
      <c r="K22">
        <v>30.21</v>
      </c>
      <c r="L22">
        <v>35.4</v>
      </c>
      <c r="M22">
        <v>48.22</v>
      </c>
      <c r="N22">
        <v>39.25</v>
      </c>
      <c r="P22">
        <f t="shared" si="0"/>
        <v>2100</v>
      </c>
      <c r="Q22">
        <f>AVERAGE(N42:N43)</f>
        <v>41.11</v>
      </c>
    </row>
    <row r="23" spans="1:17" x14ac:dyDescent="0.25">
      <c r="A23">
        <v>1</v>
      </c>
      <c r="B23">
        <v>1100</v>
      </c>
      <c r="C23">
        <v>0.01</v>
      </c>
      <c r="D23">
        <v>0.32</v>
      </c>
      <c r="E23">
        <v>7.0000000000000007E-2</v>
      </c>
      <c r="F23">
        <v>16.87</v>
      </c>
      <c r="G23">
        <v>16.97</v>
      </c>
      <c r="H23">
        <v>16.91</v>
      </c>
      <c r="I23">
        <v>0</v>
      </c>
      <c r="J23">
        <v>0.01</v>
      </c>
      <c r="K23">
        <v>0</v>
      </c>
      <c r="L23">
        <v>16.88</v>
      </c>
      <c r="M23">
        <v>17.29</v>
      </c>
      <c r="N23">
        <v>16.98</v>
      </c>
      <c r="P23">
        <f t="shared" si="0"/>
        <v>2200</v>
      </c>
      <c r="Q23">
        <f>AVERAGE(N44:N45)</f>
        <v>43.575000000000003</v>
      </c>
    </row>
    <row r="24" spans="1:17" x14ac:dyDescent="0.25">
      <c r="A24">
        <v>0</v>
      </c>
      <c r="B24">
        <v>1200</v>
      </c>
      <c r="C24">
        <v>2.2400000000000002</v>
      </c>
      <c r="D24">
        <v>2.62</v>
      </c>
      <c r="E24">
        <v>2.39</v>
      </c>
      <c r="F24">
        <v>7.23</v>
      </c>
      <c r="G24">
        <v>7.4</v>
      </c>
      <c r="H24">
        <v>7.3</v>
      </c>
      <c r="I24">
        <v>27.11</v>
      </c>
      <c r="J24">
        <v>39.46</v>
      </c>
      <c r="K24">
        <v>31.07</v>
      </c>
      <c r="L24">
        <v>36.76</v>
      </c>
      <c r="M24">
        <v>49.29</v>
      </c>
      <c r="N24">
        <v>40.76</v>
      </c>
      <c r="P24">
        <f t="shared" si="0"/>
        <v>2300</v>
      </c>
      <c r="Q24">
        <f>AVERAGE(N46:N47)</f>
        <v>45.489999999999995</v>
      </c>
    </row>
    <row r="25" spans="1:17" x14ac:dyDescent="0.25">
      <c r="A25">
        <v>1</v>
      </c>
      <c r="B25">
        <v>1200</v>
      </c>
      <c r="C25">
        <v>0.01</v>
      </c>
      <c r="D25">
        <v>0.33</v>
      </c>
      <c r="E25">
        <v>0.1</v>
      </c>
      <c r="F25">
        <v>18.510000000000002</v>
      </c>
      <c r="G25">
        <v>18.61</v>
      </c>
      <c r="H25">
        <v>18.55</v>
      </c>
      <c r="I25">
        <v>0</v>
      </c>
      <c r="J25">
        <v>0.01</v>
      </c>
      <c r="K25">
        <v>0</v>
      </c>
      <c r="L25">
        <v>18.53</v>
      </c>
      <c r="M25">
        <v>18.91</v>
      </c>
      <c r="N25">
        <v>18.649999999999999</v>
      </c>
      <c r="P25">
        <f t="shared" si="0"/>
        <v>2400</v>
      </c>
      <c r="Q25">
        <f>AVERAGE(N48:N49)</f>
        <v>45.024999999999999</v>
      </c>
    </row>
    <row r="26" spans="1:17" x14ac:dyDescent="0.25">
      <c r="A26">
        <v>0</v>
      </c>
      <c r="B26">
        <v>1300</v>
      </c>
      <c r="C26">
        <v>2.3199999999999998</v>
      </c>
      <c r="D26">
        <v>2.79</v>
      </c>
      <c r="E26">
        <v>2.46</v>
      </c>
      <c r="F26">
        <v>7.72</v>
      </c>
      <c r="G26">
        <v>7.92</v>
      </c>
      <c r="H26">
        <v>7.79</v>
      </c>
      <c r="I26">
        <v>27.41</v>
      </c>
      <c r="J26">
        <v>38.65</v>
      </c>
      <c r="K26">
        <v>31.4</v>
      </c>
      <c r="L26">
        <v>37.58</v>
      </c>
      <c r="M26">
        <v>49.01</v>
      </c>
      <c r="N26">
        <v>41.65</v>
      </c>
      <c r="P26">
        <f t="shared" si="0"/>
        <v>2500</v>
      </c>
      <c r="Q26">
        <f>AVERAGE(N50:N51)</f>
        <v>47.18</v>
      </c>
    </row>
    <row r="27" spans="1:17" x14ac:dyDescent="0.25">
      <c r="A27">
        <v>1</v>
      </c>
      <c r="B27">
        <v>1300</v>
      </c>
      <c r="C27">
        <v>0</v>
      </c>
      <c r="D27">
        <v>0.27</v>
      </c>
      <c r="E27">
        <v>0.05</v>
      </c>
      <c r="F27">
        <v>19.96</v>
      </c>
      <c r="G27">
        <v>20.059999999999999</v>
      </c>
      <c r="H27">
        <v>20.010000000000002</v>
      </c>
      <c r="I27">
        <v>0</v>
      </c>
      <c r="J27">
        <v>0</v>
      </c>
      <c r="K27">
        <v>0</v>
      </c>
      <c r="L27">
        <v>19.97</v>
      </c>
      <c r="M27">
        <v>20.3</v>
      </c>
      <c r="N27">
        <v>20.059999999999999</v>
      </c>
      <c r="P27">
        <f t="shared" si="0"/>
        <v>2600</v>
      </c>
      <c r="Q27" t="e">
        <f>AVERAGE(N52:N53)</f>
        <v>#DIV/0!</v>
      </c>
    </row>
    <row r="28" spans="1:17" x14ac:dyDescent="0.25">
      <c r="A28">
        <v>0</v>
      </c>
      <c r="B28">
        <v>1400</v>
      </c>
      <c r="C28">
        <v>2.38</v>
      </c>
      <c r="D28">
        <v>2.77</v>
      </c>
      <c r="E28">
        <v>2.52</v>
      </c>
      <c r="F28">
        <v>8.35</v>
      </c>
      <c r="G28">
        <v>8.57</v>
      </c>
      <c r="H28">
        <v>8.4499999999999993</v>
      </c>
      <c r="I28">
        <v>27.6</v>
      </c>
      <c r="J28">
        <v>37.659999999999997</v>
      </c>
      <c r="K28">
        <v>31.83</v>
      </c>
      <c r="L28">
        <v>38.53</v>
      </c>
      <c r="M28">
        <v>48.67</v>
      </c>
      <c r="N28">
        <v>42.8</v>
      </c>
      <c r="P28">
        <f t="shared" si="0"/>
        <v>2700</v>
      </c>
      <c r="Q28" t="e">
        <f>AVERAGE(N54:N55)</f>
        <v>#DIV/0!</v>
      </c>
    </row>
    <row r="29" spans="1:17" x14ac:dyDescent="0.25">
      <c r="A29">
        <v>1</v>
      </c>
      <c r="B29">
        <v>1400</v>
      </c>
      <c r="C29">
        <v>0</v>
      </c>
      <c r="D29">
        <v>0.42</v>
      </c>
      <c r="E29">
        <v>0.09</v>
      </c>
      <c r="F29">
        <v>21.54</v>
      </c>
      <c r="G29">
        <v>21.71</v>
      </c>
      <c r="H29">
        <v>21.6</v>
      </c>
      <c r="I29">
        <v>0</v>
      </c>
      <c r="J29">
        <v>0.02</v>
      </c>
      <c r="K29">
        <v>0</v>
      </c>
      <c r="L29">
        <v>21.56</v>
      </c>
      <c r="M29">
        <v>22.05</v>
      </c>
      <c r="N29">
        <v>21.69</v>
      </c>
      <c r="P29">
        <f t="shared" si="0"/>
        <v>2800</v>
      </c>
      <c r="Q29" t="e">
        <f>AVERAGE(N56:N57)</f>
        <v>#DIV/0!</v>
      </c>
    </row>
    <row r="30" spans="1:17" x14ac:dyDescent="0.25">
      <c r="A30">
        <v>0</v>
      </c>
      <c r="B30">
        <v>1500</v>
      </c>
      <c r="C30">
        <v>2.46</v>
      </c>
      <c r="D30">
        <v>2.84</v>
      </c>
      <c r="E30">
        <v>2.61</v>
      </c>
      <c r="F30">
        <v>8.8000000000000007</v>
      </c>
      <c r="G30">
        <v>9.08</v>
      </c>
      <c r="H30">
        <v>8.94</v>
      </c>
      <c r="I30">
        <v>28.45</v>
      </c>
      <c r="J30">
        <v>40.04</v>
      </c>
      <c r="K30">
        <v>32.590000000000003</v>
      </c>
      <c r="L30">
        <v>40.090000000000003</v>
      </c>
      <c r="M30">
        <v>51.63</v>
      </c>
      <c r="N30">
        <v>44.13</v>
      </c>
      <c r="P30">
        <v>2900</v>
      </c>
      <c r="Q30" t="e">
        <f>AVERAGE(N58:N59)</f>
        <v>#DIV/0!</v>
      </c>
    </row>
    <row r="31" spans="1:17" x14ac:dyDescent="0.25">
      <c r="A31">
        <v>1</v>
      </c>
      <c r="B31">
        <v>1500</v>
      </c>
      <c r="C31">
        <v>0.01</v>
      </c>
      <c r="D31">
        <v>0.32</v>
      </c>
      <c r="E31">
        <v>0.09</v>
      </c>
      <c r="F31">
        <v>23.09</v>
      </c>
      <c r="G31">
        <v>23.22</v>
      </c>
      <c r="H31">
        <v>23.14</v>
      </c>
      <c r="I31">
        <v>0</v>
      </c>
      <c r="J31">
        <v>0.02</v>
      </c>
      <c r="K31">
        <v>0</v>
      </c>
      <c r="L31">
        <v>23.1</v>
      </c>
      <c r="M31">
        <v>23.47</v>
      </c>
      <c r="N31">
        <v>23.23</v>
      </c>
      <c r="P31">
        <v>3000</v>
      </c>
      <c r="Q31" t="e">
        <f>AVERAGE(N60:N61)</f>
        <v>#DIV/0!</v>
      </c>
    </row>
    <row r="32" spans="1:17" x14ac:dyDescent="0.25">
      <c r="A32">
        <v>0</v>
      </c>
      <c r="B32">
        <v>1600</v>
      </c>
      <c r="C32">
        <v>2.5499999999999998</v>
      </c>
      <c r="D32">
        <v>2.92</v>
      </c>
      <c r="E32">
        <v>2.68</v>
      </c>
      <c r="F32">
        <v>9.49</v>
      </c>
      <c r="G32">
        <v>9.77</v>
      </c>
      <c r="H32">
        <v>9.6199999999999992</v>
      </c>
      <c r="I32">
        <v>28.79</v>
      </c>
      <c r="J32">
        <v>38.71</v>
      </c>
      <c r="K32">
        <v>32.92</v>
      </c>
      <c r="L32">
        <v>40.950000000000003</v>
      </c>
      <c r="M32">
        <v>51.38</v>
      </c>
      <c r="N32">
        <v>45.22</v>
      </c>
    </row>
    <row r="33" spans="1:14" x14ac:dyDescent="0.25">
      <c r="A33">
        <v>1</v>
      </c>
      <c r="B33">
        <v>1600</v>
      </c>
      <c r="C33">
        <v>0</v>
      </c>
      <c r="D33">
        <v>0.41</v>
      </c>
      <c r="E33">
        <v>0.08</v>
      </c>
      <c r="F33">
        <v>24.6</v>
      </c>
      <c r="G33">
        <v>24.73</v>
      </c>
      <c r="H33">
        <v>24.65</v>
      </c>
      <c r="I33">
        <v>0</v>
      </c>
      <c r="J33">
        <v>0.01</v>
      </c>
      <c r="K33">
        <v>0</v>
      </c>
      <c r="L33">
        <v>24.63</v>
      </c>
      <c r="M33">
        <v>25.14</v>
      </c>
      <c r="N33">
        <v>24.73</v>
      </c>
    </row>
    <row r="34" spans="1:14" x14ac:dyDescent="0.25">
      <c r="A34">
        <v>0</v>
      </c>
      <c r="B34">
        <v>1700</v>
      </c>
      <c r="C34">
        <v>2.56</v>
      </c>
      <c r="D34">
        <v>2.95</v>
      </c>
      <c r="E34">
        <v>2.75</v>
      </c>
      <c r="F34">
        <v>9.83</v>
      </c>
      <c r="G34">
        <v>10.11</v>
      </c>
      <c r="H34">
        <v>9.9700000000000006</v>
      </c>
      <c r="I34">
        <v>27.73</v>
      </c>
      <c r="J34">
        <v>38.770000000000003</v>
      </c>
      <c r="K34">
        <v>31.5</v>
      </c>
      <c r="L34">
        <v>40.43</v>
      </c>
      <c r="M34">
        <v>51.59</v>
      </c>
      <c r="N34">
        <v>44.22</v>
      </c>
    </row>
    <row r="35" spans="1:14" x14ac:dyDescent="0.25">
      <c r="A35">
        <v>1</v>
      </c>
      <c r="B35">
        <v>1700</v>
      </c>
      <c r="C35">
        <v>0</v>
      </c>
      <c r="D35">
        <v>0.33</v>
      </c>
      <c r="E35">
        <v>0.09</v>
      </c>
      <c r="F35">
        <v>25.67</v>
      </c>
      <c r="G35">
        <v>25.83</v>
      </c>
      <c r="H35">
        <v>25.75</v>
      </c>
      <c r="I35">
        <v>0</v>
      </c>
      <c r="J35">
        <v>0.05</v>
      </c>
      <c r="K35">
        <v>0</v>
      </c>
      <c r="L35">
        <v>25.69</v>
      </c>
      <c r="M35">
        <v>26.14</v>
      </c>
      <c r="N35">
        <v>25.84</v>
      </c>
    </row>
    <row r="36" spans="1:14" x14ac:dyDescent="0.25">
      <c r="A36">
        <v>0</v>
      </c>
      <c r="B36">
        <v>1800</v>
      </c>
      <c r="C36">
        <v>2.66</v>
      </c>
      <c r="D36">
        <v>3.07</v>
      </c>
      <c r="E36">
        <v>2.81</v>
      </c>
      <c r="F36">
        <v>10.43</v>
      </c>
      <c r="G36">
        <v>10.69</v>
      </c>
      <c r="H36">
        <v>10.59</v>
      </c>
      <c r="I36">
        <v>28.31</v>
      </c>
      <c r="J36">
        <v>39.340000000000003</v>
      </c>
      <c r="K36">
        <v>32.67</v>
      </c>
      <c r="L36">
        <v>41.65</v>
      </c>
      <c r="M36">
        <v>52.87</v>
      </c>
      <c r="N36">
        <v>46.07</v>
      </c>
    </row>
    <row r="37" spans="1:14" x14ac:dyDescent="0.25">
      <c r="A37">
        <v>1</v>
      </c>
      <c r="B37">
        <v>1800</v>
      </c>
      <c r="C37">
        <v>0.02</v>
      </c>
      <c r="D37">
        <v>0.44</v>
      </c>
      <c r="E37">
        <v>0.14000000000000001</v>
      </c>
      <c r="F37">
        <v>27.33</v>
      </c>
      <c r="G37">
        <v>27.52</v>
      </c>
      <c r="H37">
        <v>27.44</v>
      </c>
      <c r="I37">
        <v>0</v>
      </c>
      <c r="J37">
        <v>0</v>
      </c>
      <c r="K37">
        <v>0</v>
      </c>
      <c r="L37">
        <v>27.37</v>
      </c>
      <c r="M37">
        <v>27.93</v>
      </c>
      <c r="N37">
        <v>27.58</v>
      </c>
    </row>
    <row r="38" spans="1:14" x14ac:dyDescent="0.25">
      <c r="A38">
        <v>0</v>
      </c>
      <c r="B38">
        <v>1900</v>
      </c>
      <c r="C38">
        <v>2.7</v>
      </c>
      <c r="D38">
        <v>3.12</v>
      </c>
      <c r="E38">
        <v>2.86</v>
      </c>
      <c r="F38">
        <v>11.24</v>
      </c>
      <c r="G38">
        <v>11.55</v>
      </c>
      <c r="H38">
        <v>11.38</v>
      </c>
      <c r="I38">
        <v>29.16</v>
      </c>
      <c r="J38">
        <v>46.53</v>
      </c>
      <c r="K38">
        <v>33.24</v>
      </c>
      <c r="L38">
        <v>43.3</v>
      </c>
      <c r="M38">
        <v>60.9</v>
      </c>
      <c r="N38">
        <v>47.47</v>
      </c>
    </row>
    <row r="39" spans="1:14" x14ac:dyDescent="0.25">
      <c r="A39">
        <v>1</v>
      </c>
      <c r="B39">
        <v>1900</v>
      </c>
      <c r="C39">
        <v>0.01</v>
      </c>
      <c r="D39">
        <v>0.44</v>
      </c>
      <c r="E39">
        <v>0.11</v>
      </c>
      <c r="F39">
        <v>29.34</v>
      </c>
      <c r="G39">
        <v>29.61</v>
      </c>
      <c r="H39">
        <v>29.44</v>
      </c>
      <c r="I39">
        <v>0</v>
      </c>
      <c r="J39">
        <v>0.01</v>
      </c>
      <c r="K39">
        <v>0</v>
      </c>
      <c r="L39">
        <v>29.38</v>
      </c>
      <c r="M39">
        <v>29.98</v>
      </c>
      <c r="N39">
        <v>29.55</v>
      </c>
    </row>
    <row r="40" spans="1:14" x14ac:dyDescent="0.25">
      <c r="A40">
        <v>0</v>
      </c>
      <c r="B40">
        <v>2000</v>
      </c>
      <c r="C40">
        <v>2.8</v>
      </c>
      <c r="D40">
        <v>3.2</v>
      </c>
      <c r="E40">
        <v>2.94</v>
      </c>
      <c r="F40">
        <v>11.59</v>
      </c>
      <c r="G40">
        <v>12.05</v>
      </c>
      <c r="H40">
        <v>11.81</v>
      </c>
      <c r="I40">
        <v>30.5</v>
      </c>
      <c r="J40">
        <v>57.7</v>
      </c>
      <c r="K40">
        <v>35.43</v>
      </c>
      <c r="L40">
        <v>45.11</v>
      </c>
      <c r="M40">
        <v>72.64</v>
      </c>
      <c r="N40">
        <v>50.18</v>
      </c>
    </row>
    <row r="41" spans="1:14" x14ac:dyDescent="0.25">
      <c r="A41">
        <v>1</v>
      </c>
      <c r="B41">
        <v>2000</v>
      </c>
      <c r="C41">
        <v>0.03</v>
      </c>
      <c r="D41">
        <v>0.39</v>
      </c>
      <c r="E41">
        <v>0.14000000000000001</v>
      </c>
      <c r="F41">
        <v>30.52</v>
      </c>
      <c r="G41">
        <v>30.74</v>
      </c>
      <c r="H41">
        <v>30.59</v>
      </c>
      <c r="I41">
        <v>0</v>
      </c>
      <c r="J41">
        <v>0.02</v>
      </c>
      <c r="K41">
        <v>0</v>
      </c>
      <c r="L41">
        <v>30.58</v>
      </c>
      <c r="M41">
        <v>30.98</v>
      </c>
      <c r="N41">
        <v>30.74</v>
      </c>
    </row>
    <row r="42" spans="1:14" x14ac:dyDescent="0.25">
      <c r="A42">
        <v>0</v>
      </c>
      <c r="B42">
        <v>2100</v>
      </c>
      <c r="C42">
        <v>2.88</v>
      </c>
      <c r="D42">
        <v>3.37</v>
      </c>
      <c r="E42">
        <v>3.02</v>
      </c>
      <c r="F42">
        <v>12.11</v>
      </c>
      <c r="G42">
        <v>12.42</v>
      </c>
      <c r="H42">
        <v>12.26</v>
      </c>
      <c r="I42">
        <v>31.13</v>
      </c>
      <c r="J42">
        <v>43.53</v>
      </c>
      <c r="K42">
        <v>34.78</v>
      </c>
      <c r="L42">
        <v>46.2</v>
      </c>
      <c r="M42">
        <v>59.01</v>
      </c>
      <c r="N42">
        <v>50.05</v>
      </c>
    </row>
    <row r="43" spans="1:14" x14ac:dyDescent="0.25">
      <c r="A43">
        <v>1</v>
      </c>
      <c r="B43">
        <v>2100</v>
      </c>
      <c r="C43">
        <v>0.03</v>
      </c>
      <c r="D43">
        <v>0.41</v>
      </c>
      <c r="E43">
        <v>0.15</v>
      </c>
      <c r="F43">
        <v>31.95</v>
      </c>
      <c r="G43">
        <v>32.090000000000003</v>
      </c>
      <c r="H43">
        <v>32.020000000000003</v>
      </c>
      <c r="I43">
        <v>0</v>
      </c>
      <c r="J43">
        <v>0.01</v>
      </c>
      <c r="K43">
        <v>0</v>
      </c>
      <c r="L43">
        <v>32.01</v>
      </c>
      <c r="M43">
        <v>32.4</v>
      </c>
      <c r="N43">
        <v>32.17</v>
      </c>
    </row>
    <row r="44" spans="1:14" x14ac:dyDescent="0.25">
      <c r="A44">
        <v>0</v>
      </c>
      <c r="B44">
        <v>2200</v>
      </c>
      <c r="C44">
        <v>2.88</v>
      </c>
      <c r="D44">
        <v>3.43</v>
      </c>
      <c r="E44">
        <v>3.02</v>
      </c>
      <c r="F44">
        <v>12.83</v>
      </c>
      <c r="G44">
        <v>13.15</v>
      </c>
      <c r="H44">
        <v>12.99</v>
      </c>
      <c r="I44">
        <v>32.47</v>
      </c>
      <c r="J44">
        <v>44.37</v>
      </c>
      <c r="K44">
        <v>36.979999999999997</v>
      </c>
      <c r="L44">
        <v>48.47</v>
      </c>
      <c r="M44">
        <v>60.59</v>
      </c>
      <c r="N44">
        <v>52.99</v>
      </c>
    </row>
    <row r="45" spans="1:14" x14ac:dyDescent="0.25">
      <c r="A45">
        <v>1</v>
      </c>
      <c r="B45">
        <v>2200</v>
      </c>
      <c r="C45">
        <v>0.02</v>
      </c>
      <c r="D45">
        <v>0.38</v>
      </c>
      <c r="E45">
        <v>0.15</v>
      </c>
      <c r="F45">
        <v>33.93</v>
      </c>
      <c r="G45">
        <v>34.1</v>
      </c>
      <c r="H45">
        <v>34.01</v>
      </c>
      <c r="I45">
        <v>0</v>
      </c>
      <c r="J45">
        <v>0</v>
      </c>
      <c r="K45">
        <v>0</v>
      </c>
      <c r="L45">
        <v>33.979999999999997</v>
      </c>
      <c r="M45">
        <v>34.43</v>
      </c>
      <c r="N45">
        <v>34.159999999999997</v>
      </c>
    </row>
    <row r="46" spans="1:14" x14ac:dyDescent="0.25">
      <c r="A46">
        <v>0</v>
      </c>
      <c r="B46">
        <v>2300</v>
      </c>
      <c r="C46">
        <v>3</v>
      </c>
      <c r="D46">
        <v>3.43</v>
      </c>
      <c r="E46">
        <v>3.14</v>
      </c>
      <c r="F46">
        <v>14.1</v>
      </c>
      <c r="G46">
        <v>14.47</v>
      </c>
      <c r="H46">
        <v>14.28</v>
      </c>
      <c r="I46">
        <v>32.549999999999997</v>
      </c>
      <c r="J46">
        <v>53.97</v>
      </c>
      <c r="K46">
        <v>37.49</v>
      </c>
      <c r="L46">
        <v>49.9</v>
      </c>
      <c r="M46">
        <v>71.650000000000006</v>
      </c>
      <c r="N46">
        <v>54.91</v>
      </c>
    </row>
    <row r="47" spans="1:14" x14ac:dyDescent="0.25">
      <c r="A47">
        <v>1</v>
      </c>
      <c r="B47">
        <v>2300</v>
      </c>
      <c r="C47">
        <v>0.03</v>
      </c>
      <c r="D47">
        <v>0.39</v>
      </c>
      <c r="E47">
        <v>0.14000000000000001</v>
      </c>
      <c r="F47">
        <v>35.770000000000003</v>
      </c>
      <c r="G47">
        <v>36.17</v>
      </c>
      <c r="H47">
        <v>35.93</v>
      </c>
      <c r="I47">
        <v>0</v>
      </c>
      <c r="J47">
        <v>0.01</v>
      </c>
      <c r="K47">
        <v>0</v>
      </c>
      <c r="L47">
        <v>35.83</v>
      </c>
      <c r="M47">
        <v>36.43</v>
      </c>
      <c r="N47">
        <v>36.07</v>
      </c>
    </row>
    <row r="48" spans="1:14" x14ac:dyDescent="0.25">
      <c r="A48">
        <v>0</v>
      </c>
      <c r="B48">
        <v>2400</v>
      </c>
      <c r="C48">
        <v>3.08</v>
      </c>
      <c r="D48">
        <v>3.52</v>
      </c>
      <c r="E48">
        <v>3.19</v>
      </c>
      <c r="F48">
        <v>14.09</v>
      </c>
      <c r="G48">
        <v>14.47</v>
      </c>
      <c r="H48">
        <v>14.28</v>
      </c>
      <c r="I48">
        <v>32.22</v>
      </c>
      <c r="J48">
        <v>41.96</v>
      </c>
      <c r="K48">
        <v>35.53</v>
      </c>
      <c r="L48">
        <v>49.65</v>
      </c>
      <c r="M48">
        <v>59.55</v>
      </c>
      <c r="N48">
        <v>53.01</v>
      </c>
    </row>
    <row r="49" spans="1:14" x14ac:dyDescent="0.25">
      <c r="A49">
        <v>1</v>
      </c>
      <c r="B49">
        <v>2400</v>
      </c>
      <c r="C49">
        <v>0.06</v>
      </c>
      <c r="D49">
        <v>0.44</v>
      </c>
      <c r="E49">
        <v>0.19</v>
      </c>
      <c r="F49">
        <v>36.74</v>
      </c>
      <c r="G49">
        <v>37</v>
      </c>
      <c r="H49">
        <v>36.85</v>
      </c>
      <c r="I49">
        <v>0</v>
      </c>
      <c r="J49">
        <v>0.02</v>
      </c>
      <c r="K49">
        <v>0</v>
      </c>
      <c r="L49">
        <v>36.840000000000003</v>
      </c>
      <c r="M49">
        <v>37.369999999999997</v>
      </c>
      <c r="N49">
        <v>37.04</v>
      </c>
    </row>
    <row r="50" spans="1:14" x14ac:dyDescent="0.25">
      <c r="A50">
        <v>0</v>
      </c>
      <c r="B50">
        <v>2500</v>
      </c>
      <c r="C50">
        <v>3.13</v>
      </c>
      <c r="D50">
        <v>3.67</v>
      </c>
      <c r="E50">
        <v>3.26</v>
      </c>
      <c r="F50">
        <v>14.87</v>
      </c>
      <c r="G50">
        <v>15.34</v>
      </c>
      <c r="H50">
        <v>15.1</v>
      </c>
      <c r="I50">
        <v>32.340000000000003</v>
      </c>
      <c r="J50">
        <v>44.45</v>
      </c>
      <c r="K50">
        <v>37</v>
      </c>
      <c r="L50">
        <v>50.43</v>
      </c>
      <c r="M50">
        <v>63.19</v>
      </c>
      <c r="N50">
        <v>55.36</v>
      </c>
    </row>
    <row r="51" spans="1:14" x14ac:dyDescent="0.25">
      <c r="A51">
        <v>1</v>
      </c>
      <c r="B51">
        <v>2500</v>
      </c>
      <c r="C51">
        <v>0.06</v>
      </c>
      <c r="D51">
        <v>0.37</v>
      </c>
      <c r="E51">
        <v>0.14000000000000001</v>
      </c>
      <c r="F51">
        <v>38.57</v>
      </c>
      <c r="G51">
        <v>39.090000000000003</v>
      </c>
      <c r="H51">
        <v>38.86</v>
      </c>
      <c r="I51">
        <v>0</v>
      </c>
      <c r="J51">
        <v>0</v>
      </c>
      <c r="K51">
        <v>0</v>
      </c>
      <c r="L51">
        <v>38.700000000000003</v>
      </c>
      <c r="M51">
        <v>39.32</v>
      </c>
      <c r="N51">
        <v>39</v>
      </c>
    </row>
    <row r="52" spans="1:14" x14ac:dyDescent="0.25">
      <c r="A52">
        <v>0</v>
      </c>
      <c r="B52">
        <v>2600</v>
      </c>
      <c r="C52">
        <v>0</v>
      </c>
      <c r="D52">
        <v>0</v>
      </c>
      <c r="E52" t="s">
        <v>59</v>
      </c>
      <c r="F52">
        <v>0</v>
      </c>
      <c r="G52">
        <v>0</v>
      </c>
      <c r="H52" t="s">
        <v>59</v>
      </c>
      <c r="I52">
        <v>0</v>
      </c>
      <c r="J52">
        <v>0</v>
      </c>
      <c r="K52" t="s">
        <v>59</v>
      </c>
      <c r="L52">
        <v>0</v>
      </c>
      <c r="M52">
        <v>0</v>
      </c>
      <c r="N52" t="s">
        <v>59</v>
      </c>
    </row>
    <row r="53" spans="1:14" x14ac:dyDescent="0.25">
      <c r="A53">
        <v>1</v>
      </c>
      <c r="B53">
        <v>2600</v>
      </c>
      <c r="C53">
        <v>0</v>
      </c>
      <c r="D53">
        <v>0</v>
      </c>
      <c r="E53" t="s">
        <v>59</v>
      </c>
      <c r="F53">
        <v>0</v>
      </c>
      <c r="G53">
        <v>0</v>
      </c>
      <c r="H53" t="s">
        <v>59</v>
      </c>
      <c r="I53">
        <v>0</v>
      </c>
      <c r="J53">
        <v>0</v>
      </c>
      <c r="K53" t="s">
        <v>59</v>
      </c>
      <c r="L53">
        <v>0</v>
      </c>
      <c r="M53">
        <v>0</v>
      </c>
      <c r="N53" t="s">
        <v>59</v>
      </c>
    </row>
    <row r="56" spans="1:14" x14ac:dyDescent="0.25">
      <c r="A56" t="s">
        <v>13</v>
      </c>
      <c r="B56" t="s">
        <v>14</v>
      </c>
    </row>
    <row r="57" spans="1:14" x14ac:dyDescent="0.25">
      <c r="A57" t="s">
        <v>15</v>
      </c>
      <c r="B57">
        <v>20</v>
      </c>
    </row>
    <row r="58" spans="1:14" x14ac:dyDescent="0.25">
      <c r="A58" t="s">
        <v>39</v>
      </c>
      <c r="B58" t="s">
        <v>60</v>
      </c>
    </row>
    <row r="59" spans="1:14" x14ac:dyDescent="0.25">
      <c r="A59" t="s">
        <v>16</v>
      </c>
      <c r="B59" t="s">
        <v>60</v>
      </c>
    </row>
    <row r="60" spans="1:14" x14ac:dyDescent="0.25">
      <c r="A60" t="s">
        <v>42</v>
      </c>
      <c r="B60" t="s">
        <v>60</v>
      </c>
    </row>
    <row r="61" spans="1:14" x14ac:dyDescent="0.25">
      <c r="A61" t="s">
        <v>18</v>
      </c>
      <c r="B61">
        <v>20</v>
      </c>
    </row>
    <row r="62" spans="1:14" x14ac:dyDescent="0.25">
      <c r="A62" t="s">
        <v>19</v>
      </c>
      <c r="B62" t="s">
        <v>60</v>
      </c>
    </row>
    <row r="63" spans="1:14" x14ac:dyDescent="0.25">
      <c r="A63" t="s">
        <v>20</v>
      </c>
      <c r="B63" t="s">
        <v>60</v>
      </c>
    </row>
    <row r="64" spans="1:14" x14ac:dyDescent="0.25">
      <c r="A64" t="s">
        <v>43</v>
      </c>
      <c r="B64" t="s">
        <v>60</v>
      </c>
    </row>
    <row r="65" spans="1:2" x14ac:dyDescent="0.25">
      <c r="A65" t="s">
        <v>21</v>
      </c>
      <c r="B65">
        <v>20</v>
      </c>
    </row>
    <row r="66" spans="1:2" x14ac:dyDescent="0.25">
      <c r="A66" t="s">
        <v>57</v>
      </c>
      <c r="B66">
        <v>20</v>
      </c>
    </row>
    <row r="67" spans="1:2" x14ac:dyDescent="0.25">
      <c r="A67" t="s">
        <v>22</v>
      </c>
      <c r="B67" t="s">
        <v>60</v>
      </c>
    </row>
    <row r="68" spans="1:2" x14ac:dyDescent="0.25">
      <c r="A68" t="s">
        <v>44</v>
      </c>
      <c r="B68" t="s">
        <v>60</v>
      </c>
    </row>
    <row r="69" spans="1:2" x14ac:dyDescent="0.25">
      <c r="A69" t="s">
        <v>45</v>
      </c>
      <c r="B69" t="s">
        <v>60</v>
      </c>
    </row>
    <row r="70" spans="1:2" x14ac:dyDescent="0.25">
      <c r="A70" t="s">
        <v>61</v>
      </c>
      <c r="B70" t="s">
        <v>60</v>
      </c>
    </row>
    <row r="71" spans="1:2" x14ac:dyDescent="0.25">
      <c r="A71" t="s">
        <v>47</v>
      </c>
      <c r="B71" t="s">
        <v>60</v>
      </c>
    </row>
    <row r="72" spans="1:2" x14ac:dyDescent="0.25">
      <c r="A72" t="s">
        <v>23</v>
      </c>
      <c r="B72" t="s">
        <v>60</v>
      </c>
    </row>
    <row r="73" spans="1:2" x14ac:dyDescent="0.25">
      <c r="A73" t="s">
        <v>48</v>
      </c>
      <c r="B73" t="s">
        <v>60</v>
      </c>
    </row>
    <row r="74" spans="1:2" x14ac:dyDescent="0.25">
      <c r="A74" t="s">
        <v>49</v>
      </c>
      <c r="B74" t="s">
        <v>60</v>
      </c>
    </row>
    <row r="75" spans="1:2" x14ac:dyDescent="0.25">
      <c r="A75" t="s">
        <v>24</v>
      </c>
      <c r="B75" t="s">
        <v>60</v>
      </c>
    </row>
    <row r="76" spans="1:2" x14ac:dyDescent="0.25">
      <c r="A76" t="s">
        <v>50</v>
      </c>
      <c r="B76" t="s">
        <v>60</v>
      </c>
    </row>
    <row r="77" spans="1:2" x14ac:dyDescent="0.25">
      <c r="A77" t="s">
        <v>25</v>
      </c>
      <c r="B77" t="s">
        <v>60</v>
      </c>
    </row>
    <row r="78" spans="1:2" x14ac:dyDescent="0.25">
      <c r="A78" t="s">
        <v>51</v>
      </c>
      <c r="B78" t="s">
        <v>60</v>
      </c>
    </row>
    <row r="79" spans="1:2" x14ac:dyDescent="0.25">
      <c r="A79" t="s">
        <v>26</v>
      </c>
      <c r="B79" t="s">
        <v>60</v>
      </c>
    </row>
    <row r="81" spans="1:1" x14ac:dyDescent="0.25">
      <c r="A81" t="s">
        <v>27</v>
      </c>
    </row>
    <row r="82" spans="1:1" x14ac:dyDescent="0.25">
      <c r="A8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0271-F4ED-4BBD-ADA5-8202A5CA3409}">
  <dimension ref="A1:Q82"/>
  <sheetViews>
    <sheetView workbookViewId="0">
      <selection activeCell="H32" sqref="A1:XFD1048576"/>
    </sheetView>
  </sheetViews>
  <sheetFormatPr defaultRowHeight="15" x14ac:dyDescent="0.25"/>
  <cols>
    <col min="3" max="3" width="9.85546875" bestFit="1" customWidth="1"/>
    <col min="4" max="5" width="10.140625" bestFit="1" customWidth="1"/>
    <col min="6" max="6" width="8.140625" bestFit="1" customWidth="1"/>
    <col min="7" max="7" width="8.42578125" bestFit="1" customWidth="1"/>
    <col min="8" max="8" width="9.7109375" bestFit="1" customWidth="1"/>
    <col min="9" max="9" width="11.42578125" bestFit="1" customWidth="1"/>
    <col min="10" max="10" width="11.7109375" bestFit="1" customWidth="1"/>
    <col min="11" max="11" width="13.140625" bestFit="1" customWidth="1"/>
    <col min="12" max="12" width="10.7109375" bestFit="1" customWidth="1"/>
    <col min="13" max="13" width="11" bestFit="1" customWidth="1"/>
    <col min="14" max="14" width="12.28515625" bestFit="1" customWidth="1"/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0.17</v>
      </c>
      <c r="D2">
        <v>0.21</v>
      </c>
      <c r="E2">
        <v>0.19</v>
      </c>
      <c r="F2">
        <v>1.08</v>
      </c>
      <c r="G2">
        <v>1.1399999999999999</v>
      </c>
      <c r="H2">
        <v>1.1100000000000001</v>
      </c>
      <c r="I2">
        <v>14.39</v>
      </c>
      <c r="J2">
        <v>23.06</v>
      </c>
      <c r="K2">
        <v>18.93</v>
      </c>
      <c r="L2">
        <v>15.69</v>
      </c>
      <c r="M2">
        <v>24.4</v>
      </c>
      <c r="N2">
        <v>20.23</v>
      </c>
      <c r="P2">
        <v>100</v>
      </c>
      <c r="Q2">
        <f>AVERAGE(N2:N3)</f>
        <v>10.955</v>
      </c>
    </row>
    <row r="3" spans="1:17" x14ac:dyDescent="0.25">
      <c r="A3">
        <v>1</v>
      </c>
      <c r="B3">
        <v>100</v>
      </c>
      <c r="C3">
        <v>0.08</v>
      </c>
      <c r="D3">
        <v>0.13</v>
      </c>
      <c r="E3">
        <v>0.1</v>
      </c>
      <c r="F3">
        <v>1.56</v>
      </c>
      <c r="G3">
        <v>1.58</v>
      </c>
      <c r="H3">
        <v>1.57</v>
      </c>
      <c r="I3">
        <v>0</v>
      </c>
      <c r="J3">
        <v>0</v>
      </c>
      <c r="K3">
        <v>0</v>
      </c>
      <c r="L3">
        <v>1.65</v>
      </c>
      <c r="M3">
        <v>1.72</v>
      </c>
      <c r="N3">
        <v>1.68</v>
      </c>
      <c r="P3">
        <f>P2+100</f>
        <v>200</v>
      </c>
      <c r="Q3">
        <f>AVERAGE(N4:N5)</f>
        <v>12.48</v>
      </c>
    </row>
    <row r="4" spans="1:17" x14ac:dyDescent="0.25">
      <c r="A4">
        <v>0</v>
      </c>
      <c r="B4">
        <v>200</v>
      </c>
      <c r="C4">
        <v>0.18</v>
      </c>
      <c r="D4">
        <v>0.22</v>
      </c>
      <c r="E4">
        <v>0.2</v>
      </c>
      <c r="F4">
        <v>1.71</v>
      </c>
      <c r="G4">
        <v>1.75</v>
      </c>
      <c r="H4">
        <v>1.73</v>
      </c>
      <c r="I4">
        <v>17.82</v>
      </c>
      <c r="J4">
        <v>25.91</v>
      </c>
      <c r="K4">
        <v>19.8</v>
      </c>
      <c r="L4">
        <v>19.73</v>
      </c>
      <c r="M4">
        <v>27.84</v>
      </c>
      <c r="N4">
        <v>21.72</v>
      </c>
      <c r="P4">
        <f t="shared" ref="P4:P29" si="0">P3+100</f>
        <v>300</v>
      </c>
      <c r="Q4">
        <f>AVERAGE(N6:N7)</f>
        <v>13.64</v>
      </c>
    </row>
    <row r="5" spans="1:17" x14ac:dyDescent="0.25">
      <c r="A5">
        <v>1</v>
      </c>
      <c r="B5">
        <v>200</v>
      </c>
      <c r="C5">
        <v>0.09</v>
      </c>
      <c r="D5">
        <v>0.16</v>
      </c>
      <c r="E5">
        <v>0.11</v>
      </c>
      <c r="F5">
        <v>3.11</v>
      </c>
      <c r="G5">
        <v>3.14</v>
      </c>
      <c r="H5">
        <v>3.13</v>
      </c>
      <c r="I5">
        <v>0</v>
      </c>
      <c r="J5">
        <v>0</v>
      </c>
      <c r="K5">
        <v>0</v>
      </c>
      <c r="L5">
        <v>3.21</v>
      </c>
      <c r="M5">
        <v>3.29</v>
      </c>
      <c r="N5">
        <v>3.24</v>
      </c>
      <c r="P5">
        <f t="shared" si="0"/>
        <v>400</v>
      </c>
      <c r="Q5">
        <f>AVERAGE(N8:N9)</f>
        <v>15.11</v>
      </c>
    </row>
    <row r="6" spans="1:17" x14ac:dyDescent="0.25">
      <c r="A6">
        <v>0</v>
      </c>
      <c r="B6">
        <v>300</v>
      </c>
      <c r="C6">
        <v>0.18</v>
      </c>
      <c r="D6">
        <v>0.23</v>
      </c>
      <c r="E6">
        <v>0.2</v>
      </c>
      <c r="F6">
        <v>2.36</v>
      </c>
      <c r="G6">
        <v>2.41</v>
      </c>
      <c r="H6">
        <v>2.38</v>
      </c>
      <c r="I6">
        <v>17.88</v>
      </c>
      <c r="J6">
        <v>22.58</v>
      </c>
      <c r="K6">
        <v>19.95</v>
      </c>
      <c r="L6">
        <v>20.47</v>
      </c>
      <c r="M6">
        <v>25.16</v>
      </c>
      <c r="N6">
        <v>22.54</v>
      </c>
      <c r="P6">
        <f t="shared" si="0"/>
        <v>500</v>
      </c>
      <c r="Q6">
        <f>AVERAGE(N10:N11)</f>
        <v>16.45</v>
      </c>
    </row>
    <row r="7" spans="1:17" x14ac:dyDescent="0.25">
      <c r="A7">
        <v>1</v>
      </c>
      <c r="B7">
        <v>300</v>
      </c>
      <c r="C7">
        <v>0.09</v>
      </c>
      <c r="D7">
        <v>0.14000000000000001</v>
      </c>
      <c r="E7">
        <v>0.11</v>
      </c>
      <c r="F7">
        <v>4.62</v>
      </c>
      <c r="G7">
        <v>4.66</v>
      </c>
      <c r="H7">
        <v>4.6399999999999997</v>
      </c>
      <c r="I7">
        <v>0</v>
      </c>
      <c r="J7">
        <v>0</v>
      </c>
      <c r="K7">
        <v>0</v>
      </c>
      <c r="L7">
        <v>4.71</v>
      </c>
      <c r="M7">
        <v>4.78</v>
      </c>
      <c r="N7">
        <v>4.74</v>
      </c>
      <c r="P7">
        <f t="shared" si="0"/>
        <v>600</v>
      </c>
      <c r="Q7">
        <f>AVERAGE(N12:N13)</f>
        <v>17.765000000000001</v>
      </c>
    </row>
    <row r="8" spans="1:17" x14ac:dyDescent="0.25">
      <c r="A8">
        <v>0</v>
      </c>
      <c r="B8">
        <v>400</v>
      </c>
      <c r="C8">
        <v>0.17</v>
      </c>
      <c r="D8">
        <v>0.26</v>
      </c>
      <c r="E8">
        <v>0.21</v>
      </c>
      <c r="F8">
        <v>2.92</v>
      </c>
      <c r="G8">
        <v>2.98</v>
      </c>
      <c r="H8">
        <v>2.95</v>
      </c>
      <c r="I8">
        <v>18.64</v>
      </c>
      <c r="J8">
        <v>23.77</v>
      </c>
      <c r="K8">
        <v>20.79</v>
      </c>
      <c r="L8">
        <v>21.78</v>
      </c>
      <c r="M8">
        <v>26.93</v>
      </c>
      <c r="N8">
        <v>23.95</v>
      </c>
      <c r="P8">
        <f t="shared" si="0"/>
        <v>700</v>
      </c>
      <c r="Q8">
        <f>AVERAGE(N14:N15)</f>
        <v>19.195</v>
      </c>
    </row>
    <row r="9" spans="1:17" x14ac:dyDescent="0.25">
      <c r="A9">
        <v>1</v>
      </c>
      <c r="B9">
        <v>400</v>
      </c>
      <c r="C9">
        <v>0.09</v>
      </c>
      <c r="D9">
        <v>0.15</v>
      </c>
      <c r="E9">
        <v>0.11</v>
      </c>
      <c r="F9">
        <v>6.14</v>
      </c>
      <c r="G9">
        <v>6.27</v>
      </c>
      <c r="H9">
        <v>6.16</v>
      </c>
      <c r="I9">
        <v>0</v>
      </c>
      <c r="J9">
        <v>0</v>
      </c>
      <c r="K9">
        <v>0</v>
      </c>
      <c r="L9">
        <v>6.23</v>
      </c>
      <c r="M9">
        <v>6.38</v>
      </c>
      <c r="N9">
        <v>6.27</v>
      </c>
      <c r="P9">
        <f t="shared" si="0"/>
        <v>800</v>
      </c>
      <c r="Q9">
        <f>AVERAGE(N16:N17)</f>
        <v>20.25</v>
      </c>
    </row>
    <row r="10" spans="1:17" x14ac:dyDescent="0.25">
      <c r="A10">
        <v>0</v>
      </c>
      <c r="B10">
        <v>500</v>
      </c>
      <c r="C10">
        <v>0.2</v>
      </c>
      <c r="D10">
        <v>0.24</v>
      </c>
      <c r="E10">
        <v>0.22</v>
      </c>
      <c r="F10">
        <v>3.55</v>
      </c>
      <c r="G10">
        <v>3.61</v>
      </c>
      <c r="H10">
        <v>3.58</v>
      </c>
      <c r="I10">
        <v>19.260000000000002</v>
      </c>
      <c r="J10">
        <v>27.88</v>
      </c>
      <c r="K10">
        <v>21.31</v>
      </c>
      <c r="L10">
        <v>23.04</v>
      </c>
      <c r="M10">
        <v>31.7</v>
      </c>
      <c r="N10">
        <v>25.1</v>
      </c>
      <c r="P10">
        <f t="shared" si="0"/>
        <v>900</v>
      </c>
      <c r="Q10">
        <f>AVERAGE(N18:N19)</f>
        <v>21.605</v>
      </c>
    </row>
    <row r="11" spans="1:17" x14ac:dyDescent="0.25">
      <c r="A11">
        <v>1</v>
      </c>
      <c r="B11">
        <v>500</v>
      </c>
      <c r="C11">
        <v>0.08</v>
      </c>
      <c r="D11">
        <v>0.14000000000000001</v>
      </c>
      <c r="E11">
        <v>0.11</v>
      </c>
      <c r="F11">
        <v>7.68</v>
      </c>
      <c r="G11">
        <v>7.74</v>
      </c>
      <c r="H11">
        <v>7.7</v>
      </c>
      <c r="I11">
        <v>0</v>
      </c>
      <c r="J11">
        <v>0</v>
      </c>
      <c r="K11">
        <v>0</v>
      </c>
      <c r="L11">
        <v>7.77</v>
      </c>
      <c r="M11">
        <v>7.83</v>
      </c>
      <c r="N11">
        <v>7.8</v>
      </c>
      <c r="P11">
        <f t="shared" si="0"/>
        <v>1000</v>
      </c>
      <c r="Q11">
        <f>AVERAGE(N20:N21)</f>
        <v>22.785</v>
      </c>
    </row>
    <row r="12" spans="1:17" x14ac:dyDescent="0.25">
      <c r="A12">
        <v>0</v>
      </c>
      <c r="B12">
        <v>600</v>
      </c>
      <c r="C12">
        <v>0.18</v>
      </c>
      <c r="D12">
        <v>0.27</v>
      </c>
      <c r="E12">
        <v>0.23</v>
      </c>
      <c r="F12">
        <v>4.12</v>
      </c>
      <c r="G12">
        <v>4.22</v>
      </c>
      <c r="H12">
        <v>4.17</v>
      </c>
      <c r="I12">
        <v>19.91</v>
      </c>
      <c r="J12">
        <v>25.73</v>
      </c>
      <c r="K12">
        <v>21.8</v>
      </c>
      <c r="L12">
        <v>24.28</v>
      </c>
      <c r="M12">
        <v>30.15</v>
      </c>
      <c r="N12">
        <v>26.2</v>
      </c>
      <c r="P12">
        <f t="shared" si="0"/>
        <v>1100</v>
      </c>
      <c r="Q12">
        <f>AVERAGE(N22:N23)</f>
        <v>24.509999999999998</v>
      </c>
    </row>
    <row r="13" spans="1:17" x14ac:dyDescent="0.25">
      <c r="A13">
        <v>1</v>
      </c>
      <c r="B13">
        <v>600</v>
      </c>
      <c r="C13">
        <v>0.08</v>
      </c>
      <c r="D13">
        <v>0.13</v>
      </c>
      <c r="E13">
        <v>0.1</v>
      </c>
      <c r="F13">
        <v>9.17</v>
      </c>
      <c r="G13">
        <v>9.35</v>
      </c>
      <c r="H13">
        <v>9.23</v>
      </c>
      <c r="I13">
        <v>0</v>
      </c>
      <c r="J13">
        <v>0</v>
      </c>
      <c r="K13">
        <v>0</v>
      </c>
      <c r="L13">
        <v>9.27</v>
      </c>
      <c r="M13">
        <v>9.4499999999999993</v>
      </c>
      <c r="N13">
        <v>9.33</v>
      </c>
      <c r="P13">
        <f t="shared" si="0"/>
        <v>1200</v>
      </c>
      <c r="Q13">
        <f>AVERAGE(N24:N25)</f>
        <v>25.92</v>
      </c>
    </row>
    <row r="14" spans="1:17" x14ac:dyDescent="0.25">
      <c r="A14">
        <v>0</v>
      </c>
      <c r="B14">
        <v>700</v>
      </c>
      <c r="C14">
        <v>0.19</v>
      </c>
      <c r="D14">
        <v>0.26</v>
      </c>
      <c r="E14">
        <v>0.23</v>
      </c>
      <c r="F14">
        <v>4.75</v>
      </c>
      <c r="G14">
        <v>4.87</v>
      </c>
      <c r="H14">
        <v>4.8</v>
      </c>
      <c r="I14">
        <v>20.56</v>
      </c>
      <c r="J14">
        <v>25.25</v>
      </c>
      <c r="K14">
        <v>22.51</v>
      </c>
      <c r="L14">
        <v>25.62</v>
      </c>
      <c r="M14">
        <v>30.28</v>
      </c>
      <c r="N14">
        <v>27.54</v>
      </c>
      <c r="P14">
        <f t="shared" si="0"/>
        <v>1300</v>
      </c>
      <c r="Q14">
        <f>AVERAGE(N26:N27)</f>
        <v>27.234999999999999</v>
      </c>
    </row>
    <row r="15" spans="1:17" x14ac:dyDescent="0.25">
      <c r="A15">
        <v>1</v>
      </c>
      <c r="B15">
        <v>700</v>
      </c>
      <c r="C15">
        <v>0.08</v>
      </c>
      <c r="D15">
        <v>0.15</v>
      </c>
      <c r="E15">
        <v>0.1</v>
      </c>
      <c r="F15">
        <v>10.71</v>
      </c>
      <c r="G15">
        <v>10.84</v>
      </c>
      <c r="H15">
        <v>10.75</v>
      </c>
      <c r="I15">
        <v>0</v>
      </c>
      <c r="J15">
        <v>0.01</v>
      </c>
      <c r="K15">
        <v>0</v>
      </c>
      <c r="L15">
        <v>10.8</v>
      </c>
      <c r="M15">
        <v>10.95</v>
      </c>
      <c r="N15">
        <v>10.85</v>
      </c>
      <c r="P15">
        <f t="shared" si="0"/>
        <v>1400</v>
      </c>
      <c r="Q15">
        <f>AVERAGE(N28:N29)</f>
        <v>28.605</v>
      </c>
    </row>
    <row r="16" spans="1:17" x14ac:dyDescent="0.25">
      <c r="A16">
        <v>0</v>
      </c>
      <c r="B16">
        <v>800</v>
      </c>
      <c r="C16">
        <v>0.19</v>
      </c>
      <c r="D16">
        <v>0.3</v>
      </c>
      <c r="E16">
        <v>0.24</v>
      </c>
      <c r="F16">
        <v>5.38</v>
      </c>
      <c r="G16">
        <v>5.49</v>
      </c>
      <c r="H16">
        <v>5.43</v>
      </c>
      <c r="I16">
        <v>20.29</v>
      </c>
      <c r="J16">
        <v>25.82</v>
      </c>
      <c r="K16">
        <v>22.46</v>
      </c>
      <c r="L16">
        <v>25.94</v>
      </c>
      <c r="M16">
        <v>31.49</v>
      </c>
      <c r="N16">
        <v>28.13</v>
      </c>
      <c r="P16">
        <f t="shared" si="0"/>
        <v>1500</v>
      </c>
      <c r="Q16">
        <f>AVERAGE(N30:N31)</f>
        <v>30.11</v>
      </c>
    </row>
    <row r="17" spans="1:17" x14ac:dyDescent="0.25">
      <c r="A17">
        <v>1</v>
      </c>
      <c r="B17">
        <v>800</v>
      </c>
      <c r="C17">
        <v>0.08</v>
      </c>
      <c r="D17">
        <v>0.13</v>
      </c>
      <c r="E17">
        <v>0.1</v>
      </c>
      <c r="F17">
        <v>12.22</v>
      </c>
      <c r="G17">
        <v>12.38</v>
      </c>
      <c r="H17">
        <v>12.27</v>
      </c>
      <c r="I17">
        <v>0</v>
      </c>
      <c r="J17">
        <v>0.01</v>
      </c>
      <c r="K17">
        <v>0</v>
      </c>
      <c r="L17">
        <v>12.31</v>
      </c>
      <c r="M17">
        <v>12.51</v>
      </c>
      <c r="N17">
        <v>12.37</v>
      </c>
      <c r="P17">
        <f t="shared" si="0"/>
        <v>1600</v>
      </c>
      <c r="Q17">
        <f>AVERAGE(N32:N33)</f>
        <v>31.805</v>
      </c>
    </row>
    <row r="18" spans="1:17" x14ac:dyDescent="0.25">
      <c r="A18">
        <v>0</v>
      </c>
      <c r="B18">
        <v>900</v>
      </c>
      <c r="C18">
        <v>0.17</v>
      </c>
      <c r="D18">
        <v>0.23</v>
      </c>
      <c r="E18">
        <v>0.2</v>
      </c>
      <c r="F18">
        <v>6</v>
      </c>
      <c r="G18">
        <v>6.1</v>
      </c>
      <c r="H18">
        <v>6.05</v>
      </c>
      <c r="I18">
        <v>20.75</v>
      </c>
      <c r="J18">
        <v>31.48</v>
      </c>
      <c r="K18">
        <v>22.97</v>
      </c>
      <c r="L18">
        <v>27.02</v>
      </c>
      <c r="M18">
        <v>37.799999999999997</v>
      </c>
      <c r="N18">
        <v>29.23</v>
      </c>
      <c r="P18">
        <f t="shared" si="0"/>
        <v>1700</v>
      </c>
      <c r="Q18">
        <f>AVERAGE(N34:N35)</f>
        <v>33.055</v>
      </c>
    </row>
    <row r="19" spans="1:17" x14ac:dyDescent="0.25">
      <c r="A19">
        <v>1</v>
      </c>
      <c r="B19">
        <v>900</v>
      </c>
      <c r="C19">
        <v>0.08</v>
      </c>
      <c r="D19">
        <v>0.14000000000000001</v>
      </c>
      <c r="E19">
        <v>0.11</v>
      </c>
      <c r="F19">
        <v>13.77</v>
      </c>
      <c r="G19">
        <v>13.94</v>
      </c>
      <c r="H19">
        <v>13.87</v>
      </c>
      <c r="I19">
        <v>0</v>
      </c>
      <c r="J19">
        <v>0.02</v>
      </c>
      <c r="K19">
        <v>0</v>
      </c>
      <c r="L19">
        <v>13.88</v>
      </c>
      <c r="M19">
        <v>14.06</v>
      </c>
      <c r="N19">
        <v>13.98</v>
      </c>
      <c r="P19">
        <f t="shared" si="0"/>
        <v>1800</v>
      </c>
      <c r="Q19">
        <f>AVERAGE(N36:N37)</f>
        <v>33.995000000000005</v>
      </c>
    </row>
    <row r="20" spans="1:17" x14ac:dyDescent="0.25">
      <c r="A20">
        <v>0</v>
      </c>
      <c r="B20">
        <v>1000</v>
      </c>
      <c r="C20">
        <v>0.15</v>
      </c>
      <c r="D20">
        <v>0.24</v>
      </c>
      <c r="E20">
        <v>0.19</v>
      </c>
      <c r="F20">
        <v>6.59</v>
      </c>
      <c r="G20">
        <v>6.78</v>
      </c>
      <c r="H20">
        <v>6.67</v>
      </c>
      <c r="I20">
        <v>21.23</v>
      </c>
      <c r="J20">
        <v>26.02</v>
      </c>
      <c r="K20">
        <v>23.34</v>
      </c>
      <c r="L20">
        <v>28.05</v>
      </c>
      <c r="M20">
        <v>32.89</v>
      </c>
      <c r="N20">
        <v>30.19</v>
      </c>
      <c r="P20">
        <f t="shared" si="0"/>
        <v>1900</v>
      </c>
    </row>
    <row r="21" spans="1:17" x14ac:dyDescent="0.25">
      <c r="A21">
        <v>1</v>
      </c>
      <c r="B21">
        <v>1000</v>
      </c>
      <c r="C21">
        <v>0.09</v>
      </c>
      <c r="D21">
        <v>0.12</v>
      </c>
      <c r="E21">
        <v>0.1</v>
      </c>
      <c r="F21">
        <v>15.22</v>
      </c>
      <c r="G21">
        <v>15.37</v>
      </c>
      <c r="H21">
        <v>15.28</v>
      </c>
      <c r="I21">
        <v>0</v>
      </c>
      <c r="J21">
        <v>0</v>
      </c>
      <c r="K21">
        <v>0</v>
      </c>
      <c r="L21">
        <v>15.32</v>
      </c>
      <c r="M21">
        <v>15.49</v>
      </c>
      <c r="N21">
        <v>15.38</v>
      </c>
      <c r="P21">
        <f t="shared" si="0"/>
        <v>2000</v>
      </c>
    </row>
    <row r="22" spans="1:17" x14ac:dyDescent="0.25">
      <c r="A22">
        <v>0</v>
      </c>
      <c r="B22">
        <v>1100</v>
      </c>
      <c r="C22">
        <v>0.14000000000000001</v>
      </c>
      <c r="D22">
        <v>0.22</v>
      </c>
      <c r="E22">
        <v>0.19</v>
      </c>
      <c r="F22">
        <v>7.18</v>
      </c>
      <c r="G22">
        <v>7.31</v>
      </c>
      <c r="H22">
        <v>7.24</v>
      </c>
      <c r="I22">
        <v>22.54</v>
      </c>
      <c r="J22">
        <v>28.24</v>
      </c>
      <c r="K22">
        <v>24.52</v>
      </c>
      <c r="L22">
        <v>29.96</v>
      </c>
      <c r="M22">
        <v>35.700000000000003</v>
      </c>
      <c r="N22">
        <v>31.95</v>
      </c>
      <c r="P22">
        <f t="shared" si="0"/>
        <v>2100</v>
      </c>
    </row>
    <row r="23" spans="1:17" x14ac:dyDescent="0.25">
      <c r="A23">
        <v>1</v>
      </c>
      <c r="B23">
        <v>1100</v>
      </c>
      <c r="C23">
        <v>7.0000000000000007E-2</v>
      </c>
      <c r="D23">
        <v>0.13</v>
      </c>
      <c r="E23">
        <v>0.1</v>
      </c>
      <c r="F23">
        <v>16.920000000000002</v>
      </c>
      <c r="G23">
        <v>17.059999999999999</v>
      </c>
      <c r="H23">
        <v>16.97</v>
      </c>
      <c r="I23">
        <v>0</v>
      </c>
      <c r="J23">
        <v>0.02</v>
      </c>
      <c r="K23">
        <v>0</v>
      </c>
      <c r="L23">
        <v>17.010000000000002</v>
      </c>
      <c r="M23">
        <v>17.170000000000002</v>
      </c>
      <c r="N23">
        <v>17.07</v>
      </c>
      <c r="P23">
        <f t="shared" si="0"/>
        <v>2200</v>
      </c>
    </row>
    <row r="24" spans="1:17" x14ac:dyDescent="0.25">
      <c r="A24">
        <v>0</v>
      </c>
      <c r="B24">
        <v>1200</v>
      </c>
      <c r="C24">
        <v>0.13</v>
      </c>
      <c r="D24">
        <v>0.24</v>
      </c>
      <c r="E24">
        <v>0.18</v>
      </c>
      <c r="F24">
        <v>7.93</v>
      </c>
      <c r="G24">
        <v>8.09</v>
      </c>
      <c r="H24">
        <v>7.98</v>
      </c>
      <c r="I24">
        <v>23.4</v>
      </c>
      <c r="J24">
        <v>31.77</v>
      </c>
      <c r="K24">
        <v>25.55</v>
      </c>
      <c r="L24">
        <v>31.51</v>
      </c>
      <c r="M24">
        <v>40.049999999999997</v>
      </c>
      <c r="N24">
        <v>33.71</v>
      </c>
      <c r="P24">
        <f t="shared" si="0"/>
        <v>2300</v>
      </c>
    </row>
    <row r="25" spans="1:17" x14ac:dyDescent="0.25">
      <c r="A25">
        <v>1</v>
      </c>
      <c r="B25">
        <v>1200</v>
      </c>
      <c r="C25">
        <v>0.05</v>
      </c>
      <c r="D25">
        <v>0.1</v>
      </c>
      <c r="E25">
        <v>7.0000000000000007E-2</v>
      </c>
      <c r="F25">
        <v>18.02</v>
      </c>
      <c r="G25">
        <v>18.14</v>
      </c>
      <c r="H25">
        <v>18.059999999999999</v>
      </c>
      <c r="I25">
        <v>0</v>
      </c>
      <c r="J25">
        <v>0</v>
      </c>
      <c r="K25">
        <v>0</v>
      </c>
      <c r="L25">
        <v>18.079999999999998</v>
      </c>
      <c r="M25">
        <v>18.22</v>
      </c>
      <c r="N25">
        <v>18.13</v>
      </c>
      <c r="P25">
        <f t="shared" si="0"/>
        <v>2400</v>
      </c>
    </row>
    <row r="26" spans="1:17" x14ac:dyDescent="0.25">
      <c r="A26">
        <v>0</v>
      </c>
      <c r="B26">
        <v>1300</v>
      </c>
      <c r="C26">
        <v>0.15</v>
      </c>
      <c r="D26">
        <v>0.22</v>
      </c>
      <c r="E26">
        <v>0.19</v>
      </c>
      <c r="F26">
        <v>8.43</v>
      </c>
      <c r="G26">
        <v>8.5500000000000007</v>
      </c>
      <c r="H26">
        <v>8.49</v>
      </c>
      <c r="I26">
        <v>23.76</v>
      </c>
      <c r="J26">
        <v>29.83</v>
      </c>
      <c r="K26">
        <v>26.21</v>
      </c>
      <c r="L26">
        <v>32.4</v>
      </c>
      <c r="M26">
        <v>38.53</v>
      </c>
      <c r="N26">
        <v>34.880000000000003</v>
      </c>
      <c r="P26">
        <f t="shared" si="0"/>
        <v>2500</v>
      </c>
    </row>
    <row r="27" spans="1:17" x14ac:dyDescent="0.25">
      <c r="A27">
        <v>1</v>
      </c>
      <c r="B27">
        <v>1300</v>
      </c>
      <c r="C27">
        <v>0.05</v>
      </c>
      <c r="D27">
        <v>0.11</v>
      </c>
      <c r="E27">
        <v>7.0000000000000007E-2</v>
      </c>
      <c r="F27">
        <v>19.489999999999998</v>
      </c>
      <c r="G27">
        <v>19.579999999999998</v>
      </c>
      <c r="H27">
        <v>19.52</v>
      </c>
      <c r="I27">
        <v>0</v>
      </c>
      <c r="J27">
        <v>0</v>
      </c>
      <c r="K27">
        <v>0</v>
      </c>
      <c r="L27">
        <v>19.55</v>
      </c>
      <c r="M27">
        <v>19.670000000000002</v>
      </c>
      <c r="N27">
        <v>19.59</v>
      </c>
      <c r="P27">
        <f t="shared" si="0"/>
        <v>2600</v>
      </c>
    </row>
    <row r="28" spans="1:17" x14ac:dyDescent="0.25">
      <c r="A28">
        <v>0</v>
      </c>
      <c r="B28">
        <v>1400</v>
      </c>
      <c r="C28">
        <v>0.12</v>
      </c>
      <c r="D28">
        <v>0.24</v>
      </c>
      <c r="E28">
        <v>0.18</v>
      </c>
      <c r="F28">
        <v>9.1199999999999992</v>
      </c>
      <c r="G28">
        <v>9.2799999999999994</v>
      </c>
      <c r="H28">
        <v>9.19</v>
      </c>
      <c r="I28">
        <v>24.78</v>
      </c>
      <c r="J28">
        <v>33.68</v>
      </c>
      <c r="K28">
        <v>26.69</v>
      </c>
      <c r="L28">
        <v>34.11</v>
      </c>
      <c r="M28">
        <v>43.08</v>
      </c>
      <c r="N28">
        <v>36.06</v>
      </c>
      <c r="P28">
        <f t="shared" si="0"/>
        <v>2700</v>
      </c>
    </row>
    <row r="29" spans="1:17" x14ac:dyDescent="0.25">
      <c r="A29">
        <v>1</v>
      </c>
      <c r="B29">
        <v>1400</v>
      </c>
      <c r="C29">
        <v>0.05</v>
      </c>
      <c r="D29">
        <v>0.12</v>
      </c>
      <c r="E29">
        <v>0.08</v>
      </c>
      <c r="F29">
        <v>21</v>
      </c>
      <c r="G29">
        <v>21.2</v>
      </c>
      <c r="H29">
        <v>21.07</v>
      </c>
      <c r="I29">
        <v>0</v>
      </c>
      <c r="J29">
        <v>0</v>
      </c>
      <c r="K29">
        <v>0</v>
      </c>
      <c r="L29">
        <v>21.06</v>
      </c>
      <c r="M29">
        <v>21.3</v>
      </c>
      <c r="N29">
        <v>21.15</v>
      </c>
      <c r="P29">
        <f t="shared" si="0"/>
        <v>2800</v>
      </c>
    </row>
    <row r="30" spans="1:17" x14ac:dyDescent="0.25">
      <c r="A30">
        <v>0</v>
      </c>
      <c r="B30">
        <v>1500</v>
      </c>
      <c r="C30">
        <v>0.14000000000000001</v>
      </c>
      <c r="D30">
        <v>0.22</v>
      </c>
      <c r="E30">
        <v>0.18</v>
      </c>
      <c r="F30">
        <v>9.6199999999999992</v>
      </c>
      <c r="G30">
        <v>9.94</v>
      </c>
      <c r="H30">
        <v>9.76</v>
      </c>
      <c r="I30">
        <v>24.87</v>
      </c>
      <c r="J30">
        <v>36.24</v>
      </c>
      <c r="K30">
        <v>27.62</v>
      </c>
      <c r="L30">
        <v>34.81</v>
      </c>
      <c r="M30">
        <v>46.22</v>
      </c>
      <c r="N30">
        <v>37.56</v>
      </c>
      <c r="P30">
        <v>2900</v>
      </c>
    </row>
    <row r="31" spans="1:17" x14ac:dyDescent="0.25">
      <c r="A31">
        <v>1</v>
      </c>
      <c r="B31">
        <v>1500</v>
      </c>
      <c r="C31">
        <v>0.05</v>
      </c>
      <c r="D31">
        <v>0.12</v>
      </c>
      <c r="E31">
        <v>0.08</v>
      </c>
      <c r="F31">
        <v>22.51</v>
      </c>
      <c r="G31">
        <v>22.72</v>
      </c>
      <c r="H31">
        <v>22.59</v>
      </c>
      <c r="I31">
        <v>0</v>
      </c>
      <c r="J31">
        <v>0.01</v>
      </c>
      <c r="K31">
        <v>0</v>
      </c>
      <c r="L31">
        <v>22.56</v>
      </c>
      <c r="M31">
        <v>22.83</v>
      </c>
      <c r="N31">
        <v>22.66</v>
      </c>
      <c r="P31">
        <v>3000</v>
      </c>
    </row>
    <row r="32" spans="1:17" x14ac:dyDescent="0.25">
      <c r="A32">
        <v>0</v>
      </c>
      <c r="B32">
        <v>1600</v>
      </c>
      <c r="C32">
        <v>0.13</v>
      </c>
      <c r="D32">
        <v>0.25</v>
      </c>
      <c r="E32">
        <v>0.18</v>
      </c>
      <c r="F32">
        <v>10.44</v>
      </c>
      <c r="G32">
        <v>10.62</v>
      </c>
      <c r="H32">
        <v>10.52</v>
      </c>
      <c r="I32">
        <v>26.22</v>
      </c>
      <c r="J32">
        <v>36.869999999999997</v>
      </c>
      <c r="K32">
        <v>28.75</v>
      </c>
      <c r="L32">
        <v>36.92</v>
      </c>
      <c r="M32">
        <v>47.65</v>
      </c>
      <c r="N32">
        <v>39.450000000000003</v>
      </c>
    </row>
    <row r="33" spans="1:14" x14ac:dyDescent="0.25">
      <c r="A33">
        <v>1</v>
      </c>
      <c r="B33">
        <v>1600</v>
      </c>
      <c r="C33">
        <v>0.05</v>
      </c>
      <c r="D33">
        <v>0.15</v>
      </c>
      <c r="E33">
        <v>0.09</v>
      </c>
      <c r="F33">
        <v>23.99</v>
      </c>
      <c r="G33">
        <v>24.21</v>
      </c>
      <c r="H33">
        <v>24.07</v>
      </c>
      <c r="I33">
        <v>0</v>
      </c>
      <c r="J33">
        <v>0.01</v>
      </c>
      <c r="K33">
        <v>0</v>
      </c>
      <c r="L33">
        <v>24.06</v>
      </c>
      <c r="M33">
        <v>24.31</v>
      </c>
      <c r="N33">
        <v>24.16</v>
      </c>
    </row>
    <row r="34" spans="1:14" x14ac:dyDescent="0.25">
      <c r="A34">
        <v>0</v>
      </c>
      <c r="B34">
        <v>1700</v>
      </c>
      <c r="C34">
        <v>0.14000000000000001</v>
      </c>
      <c r="D34">
        <v>0.24</v>
      </c>
      <c r="E34">
        <v>0.18</v>
      </c>
      <c r="F34">
        <v>10.91</v>
      </c>
      <c r="G34">
        <v>11.11</v>
      </c>
      <c r="H34">
        <v>11.01</v>
      </c>
      <c r="I34">
        <v>25.81</v>
      </c>
      <c r="J34">
        <v>36.49</v>
      </c>
      <c r="K34">
        <v>29.2</v>
      </c>
      <c r="L34">
        <v>36.89</v>
      </c>
      <c r="M34">
        <v>47.79</v>
      </c>
      <c r="N34">
        <v>40.39</v>
      </c>
    </row>
    <row r="35" spans="1:14" x14ac:dyDescent="0.25">
      <c r="A35">
        <v>1</v>
      </c>
      <c r="B35">
        <v>1700</v>
      </c>
      <c r="C35">
        <v>0.05</v>
      </c>
      <c r="D35">
        <v>0.14000000000000001</v>
      </c>
      <c r="E35">
        <v>0.1</v>
      </c>
      <c r="F35">
        <v>25.56</v>
      </c>
      <c r="G35">
        <v>25.78</v>
      </c>
      <c r="H35">
        <v>25.63</v>
      </c>
      <c r="I35">
        <v>0</v>
      </c>
      <c r="J35">
        <v>0</v>
      </c>
      <c r="K35">
        <v>0</v>
      </c>
      <c r="L35">
        <v>25.64</v>
      </c>
      <c r="M35">
        <v>25.89</v>
      </c>
      <c r="N35">
        <v>25.72</v>
      </c>
    </row>
    <row r="36" spans="1:14" x14ac:dyDescent="0.25">
      <c r="A36">
        <v>0</v>
      </c>
      <c r="B36">
        <v>1800</v>
      </c>
      <c r="C36">
        <v>0.15</v>
      </c>
      <c r="D36">
        <v>0.23</v>
      </c>
      <c r="E36">
        <v>0.19</v>
      </c>
      <c r="F36">
        <v>11.52</v>
      </c>
      <c r="G36">
        <v>11.73</v>
      </c>
      <c r="H36">
        <v>11.61</v>
      </c>
      <c r="I36">
        <v>27.41</v>
      </c>
      <c r="J36">
        <v>35.520000000000003</v>
      </c>
      <c r="K36">
        <v>29.48</v>
      </c>
      <c r="L36">
        <v>39.21</v>
      </c>
      <c r="M36">
        <v>47.4</v>
      </c>
      <c r="N36">
        <v>41.28</v>
      </c>
    </row>
    <row r="37" spans="1:14" x14ac:dyDescent="0.25">
      <c r="A37">
        <v>1</v>
      </c>
      <c r="B37">
        <v>1800</v>
      </c>
      <c r="C37">
        <v>0.04</v>
      </c>
      <c r="D37">
        <v>0.09</v>
      </c>
      <c r="E37">
        <v>7.0000000000000007E-2</v>
      </c>
      <c r="F37">
        <v>26.59</v>
      </c>
      <c r="G37">
        <v>26.68</v>
      </c>
      <c r="H37">
        <v>26.64</v>
      </c>
      <c r="I37">
        <v>0</v>
      </c>
      <c r="J37">
        <v>0</v>
      </c>
      <c r="K37">
        <v>0</v>
      </c>
      <c r="L37">
        <v>26.66</v>
      </c>
      <c r="M37">
        <v>26.77</v>
      </c>
      <c r="N37">
        <v>26.71</v>
      </c>
    </row>
    <row r="38" spans="1:14" x14ac:dyDescent="0.25">
      <c r="A38">
        <v>0</v>
      </c>
      <c r="B38">
        <v>1900</v>
      </c>
      <c r="C38">
        <v>0.14000000000000001</v>
      </c>
      <c r="D38">
        <v>0.22</v>
      </c>
      <c r="E38">
        <v>0.18</v>
      </c>
      <c r="F38">
        <v>12.17</v>
      </c>
      <c r="G38">
        <v>12.48</v>
      </c>
      <c r="H38">
        <v>12.31</v>
      </c>
      <c r="I38">
        <v>27.08</v>
      </c>
      <c r="J38">
        <v>34.89</v>
      </c>
      <c r="K38">
        <v>29.72</v>
      </c>
      <c r="L38">
        <v>39.51</v>
      </c>
      <c r="M38">
        <v>47.48</v>
      </c>
      <c r="N38">
        <v>42.22</v>
      </c>
    </row>
    <row r="39" spans="1:14" x14ac:dyDescent="0.25">
      <c r="A39">
        <v>1</v>
      </c>
      <c r="B39">
        <v>1900</v>
      </c>
      <c r="C39">
        <v>0.06</v>
      </c>
      <c r="D39">
        <v>0.15</v>
      </c>
      <c r="E39">
        <v>0.1</v>
      </c>
      <c r="F39">
        <v>28.49</v>
      </c>
      <c r="G39">
        <v>28.72</v>
      </c>
      <c r="H39">
        <v>28.58</v>
      </c>
      <c r="I39">
        <v>0</v>
      </c>
      <c r="J39">
        <v>0.01</v>
      </c>
      <c r="K39">
        <v>0</v>
      </c>
      <c r="L39">
        <v>28.58</v>
      </c>
      <c r="M39">
        <v>28.82</v>
      </c>
      <c r="N39">
        <v>28.68</v>
      </c>
    </row>
    <row r="40" spans="1:14" x14ac:dyDescent="0.25">
      <c r="A40">
        <v>0</v>
      </c>
      <c r="B40">
        <v>2000</v>
      </c>
      <c r="C40">
        <v>0.15</v>
      </c>
      <c r="D40">
        <v>0.23</v>
      </c>
      <c r="E40">
        <v>0.19</v>
      </c>
      <c r="F40">
        <v>12.64</v>
      </c>
      <c r="G40">
        <v>12.98</v>
      </c>
      <c r="H40">
        <v>12.77</v>
      </c>
      <c r="I40">
        <v>27</v>
      </c>
      <c r="J40">
        <v>34.5</v>
      </c>
      <c r="K40">
        <v>29.59</v>
      </c>
      <c r="L40">
        <v>39.909999999999997</v>
      </c>
      <c r="M40">
        <v>47.55</v>
      </c>
      <c r="N40">
        <v>42.55</v>
      </c>
    </row>
    <row r="41" spans="1:14" x14ac:dyDescent="0.25">
      <c r="A41">
        <v>1</v>
      </c>
      <c r="B41">
        <v>2000</v>
      </c>
      <c r="C41">
        <v>0.05</v>
      </c>
      <c r="D41">
        <v>0.11</v>
      </c>
      <c r="E41">
        <v>7.0000000000000007E-2</v>
      </c>
      <c r="F41">
        <v>29.8</v>
      </c>
      <c r="G41">
        <v>30.06</v>
      </c>
      <c r="H41">
        <v>29.91</v>
      </c>
      <c r="I41">
        <v>0</v>
      </c>
      <c r="J41">
        <v>0</v>
      </c>
      <c r="K41">
        <v>0</v>
      </c>
      <c r="L41">
        <v>29.86</v>
      </c>
      <c r="M41">
        <v>30.14</v>
      </c>
      <c r="N41">
        <v>29.98</v>
      </c>
    </row>
    <row r="42" spans="1:14" x14ac:dyDescent="0.25">
      <c r="A42">
        <v>0</v>
      </c>
      <c r="B42">
        <v>2100</v>
      </c>
      <c r="C42">
        <v>0.14000000000000001</v>
      </c>
      <c r="D42">
        <v>0.23</v>
      </c>
      <c r="E42">
        <v>0.19</v>
      </c>
      <c r="F42">
        <v>13.36</v>
      </c>
      <c r="G42">
        <v>13.71</v>
      </c>
      <c r="H42">
        <v>13.52</v>
      </c>
      <c r="I42">
        <v>28.99</v>
      </c>
      <c r="J42">
        <v>38.44</v>
      </c>
      <c r="K42">
        <v>31.33</v>
      </c>
      <c r="L42">
        <v>42.6</v>
      </c>
      <c r="M42">
        <v>52.29</v>
      </c>
      <c r="N42">
        <v>45.03</v>
      </c>
    </row>
    <row r="43" spans="1:14" x14ac:dyDescent="0.25">
      <c r="A43">
        <v>1</v>
      </c>
      <c r="B43">
        <v>2100</v>
      </c>
      <c r="C43">
        <v>0.06</v>
      </c>
      <c r="D43">
        <v>0.12</v>
      </c>
      <c r="E43">
        <v>0.1</v>
      </c>
      <c r="F43">
        <v>31.41</v>
      </c>
      <c r="G43">
        <v>31.64</v>
      </c>
      <c r="H43">
        <v>31.51</v>
      </c>
      <c r="I43">
        <v>0</v>
      </c>
      <c r="J43">
        <v>0.01</v>
      </c>
      <c r="K43">
        <v>0</v>
      </c>
      <c r="L43">
        <v>31.5</v>
      </c>
      <c r="M43">
        <v>31.74</v>
      </c>
      <c r="N43">
        <v>31.6</v>
      </c>
    </row>
    <row r="44" spans="1:14" x14ac:dyDescent="0.25">
      <c r="A44">
        <v>0</v>
      </c>
      <c r="B44">
        <v>2200</v>
      </c>
      <c r="C44">
        <v>0.12</v>
      </c>
      <c r="D44">
        <v>0.22</v>
      </c>
      <c r="E44">
        <v>0.19</v>
      </c>
      <c r="F44">
        <v>13.97</v>
      </c>
      <c r="G44">
        <v>14.49</v>
      </c>
      <c r="H44">
        <v>14.24</v>
      </c>
      <c r="I44">
        <v>29.61</v>
      </c>
      <c r="J44">
        <v>40.44</v>
      </c>
      <c r="K44">
        <v>32.04</v>
      </c>
      <c r="L44">
        <v>43.84</v>
      </c>
      <c r="M44">
        <v>55.04</v>
      </c>
      <c r="N44">
        <v>46.47</v>
      </c>
    </row>
    <row r="45" spans="1:14" x14ac:dyDescent="0.25">
      <c r="A45">
        <v>1</v>
      </c>
      <c r="B45">
        <v>2200</v>
      </c>
      <c r="C45">
        <v>0.06</v>
      </c>
      <c r="D45">
        <v>0.12</v>
      </c>
      <c r="E45">
        <v>0.09</v>
      </c>
      <c r="F45">
        <v>33.08</v>
      </c>
      <c r="G45">
        <v>33.49</v>
      </c>
      <c r="H45">
        <v>33.22</v>
      </c>
      <c r="I45">
        <v>0</v>
      </c>
      <c r="J45">
        <v>0.01</v>
      </c>
      <c r="K45">
        <v>0</v>
      </c>
      <c r="L45">
        <v>33.15</v>
      </c>
      <c r="M45">
        <v>33.61</v>
      </c>
      <c r="N45">
        <v>33.31</v>
      </c>
    </row>
    <row r="46" spans="1:14" x14ac:dyDescent="0.25">
      <c r="A46">
        <v>0</v>
      </c>
      <c r="B46">
        <v>2300</v>
      </c>
      <c r="C46">
        <v>0.13</v>
      </c>
      <c r="D46">
        <v>0.23</v>
      </c>
      <c r="E46">
        <v>0.19</v>
      </c>
      <c r="F46">
        <v>14.87</v>
      </c>
      <c r="G46">
        <v>15.22</v>
      </c>
      <c r="H46">
        <v>14.98</v>
      </c>
      <c r="I46">
        <v>29.64</v>
      </c>
      <c r="J46">
        <v>37.54</v>
      </c>
      <c r="K46">
        <v>31.63</v>
      </c>
      <c r="L46">
        <v>44.8</v>
      </c>
      <c r="M46">
        <v>52.99</v>
      </c>
      <c r="N46">
        <v>46.8</v>
      </c>
    </row>
    <row r="47" spans="1:14" x14ac:dyDescent="0.25">
      <c r="A47">
        <v>1</v>
      </c>
      <c r="B47">
        <v>2300</v>
      </c>
      <c r="C47">
        <v>0.06</v>
      </c>
      <c r="D47">
        <v>0.12</v>
      </c>
      <c r="E47">
        <v>0.1</v>
      </c>
      <c r="F47">
        <v>34.43</v>
      </c>
      <c r="G47">
        <v>34.67</v>
      </c>
      <c r="H47">
        <v>34.53</v>
      </c>
      <c r="I47">
        <v>0</v>
      </c>
      <c r="J47">
        <v>0.01</v>
      </c>
      <c r="K47">
        <v>0</v>
      </c>
      <c r="L47">
        <v>34.53</v>
      </c>
      <c r="M47">
        <v>34.76</v>
      </c>
      <c r="N47">
        <v>34.630000000000003</v>
      </c>
    </row>
    <row r="48" spans="1:14" x14ac:dyDescent="0.25">
      <c r="A48">
        <v>0</v>
      </c>
      <c r="B48">
        <v>2400</v>
      </c>
      <c r="C48">
        <v>0.12</v>
      </c>
      <c r="D48">
        <v>0.22</v>
      </c>
      <c r="E48">
        <v>0.18</v>
      </c>
      <c r="F48">
        <v>15.49</v>
      </c>
      <c r="G48">
        <v>15.91</v>
      </c>
      <c r="H48">
        <v>15.69</v>
      </c>
      <c r="I48">
        <v>30.82</v>
      </c>
      <c r="J48">
        <v>37.47</v>
      </c>
      <c r="K48">
        <v>33.130000000000003</v>
      </c>
      <c r="L48">
        <v>46.58</v>
      </c>
      <c r="M48">
        <v>53.3</v>
      </c>
      <c r="N48">
        <v>48.99</v>
      </c>
    </row>
    <row r="49" spans="1:14" x14ac:dyDescent="0.25">
      <c r="A49">
        <v>1</v>
      </c>
      <c r="B49">
        <v>2400</v>
      </c>
      <c r="C49">
        <v>0.05</v>
      </c>
      <c r="D49">
        <v>0.13</v>
      </c>
      <c r="E49">
        <v>0.09</v>
      </c>
      <c r="F49">
        <v>36.1</v>
      </c>
      <c r="G49">
        <v>36.33</v>
      </c>
      <c r="H49">
        <v>36.200000000000003</v>
      </c>
      <c r="I49">
        <v>0</v>
      </c>
      <c r="J49">
        <v>0.01</v>
      </c>
      <c r="K49">
        <v>0</v>
      </c>
      <c r="L49">
        <v>36.17</v>
      </c>
      <c r="M49">
        <v>36.44</v>
      </c>
      <c r="N49">
        <v>36.29</v>
      </c>
    </row>
    <row r="50" spans="1:14" x14ac:dyDescent="0.25">
      <c r="A50">
        <v>0</v>
      </c>
      <c r="B50">
        <v>2500</v>
      </c>
      <c r="C50">
        <v>0.11</v>
      </c>
      <c r="D50">
        <v>0.21</v>
      </c>
      <c r="E50">
        <v>0.17</v>
      </c>
      <c r="F50">
        <v>16.649999999999999</v>
      </c>
      <c r="G50">
        <v>17.21</v>
      </c>
      <c r="H50">
        <v>16.91</v>
      </c>
      <c r="I50">
        <v>31.01</v>
      </c>
      <c r="J50">
        <v>39.65</v>
      </c>
      <c r="K50">
        <v>33.869999999999997</v>
      </c>
      <c r="L50">
        <v>48.04</v>
      </c>
      <c r="M50">
        <v>56.91</v>
      </c>
      <c r="N50">
        <v>50.95</v>
      </c>
    </row>
    <row r="51" spans="1:14" x14ac:dyDescent="0.25">
      <c r="A51">
        <v>1</v>
      </c>
      <c r="B51">
        <v>2500</v>
      </c>
      <c r="C51">
        <v>0.05</v>
      </c>
      <c r="D51">
        <v>0.15</v>
      </c>
      <c r="E51">
        <v>0.08</v>
      </c>
      <c r="F51">
        <v>37.46</v>
      </c>
      <c r="G51">
        <v>38.14</v>
      </c>
      <c r="H51">
        <v>37.85</v>
      </c>
      <c r="I51">
        <v>0</v>
      </c>
      <c r="J51">
        <v>0</v>
      </c>
      <c r="K51">
        <v>0</v>
      </c>
      <c r="L51">
        <v>37.520000000000003</v>
      </c>
      <c r="M51">
        <v>38.24</v>
      </c>
      <c r="N51">
        <v>37.93</v>
      </c>
    </row>
    <row r="52" spans="1:14" x14ac:dyDescent="0.25">
      <c r="A52">
        <v>0</v>
      </c>
      <c r="B52">
        <v>2600</v>
      </c>
      <c r="C52">
        <v>0.14000000000000001</v>
      </c>
      <c r="D52">
        <v>0.21</v>
      </c>
      <c r="E52">
        <v>0.18</v>
      </c>
      <c r="F52">
        <v>16.739999999999998</v>
      </c>
      <c r="G52">
        <v>16.98</v>
      </c>
      <c r="H52">
        <v>16.86</v>
      </c>
      <c r="I52">
        <v>31.36</v>
      </c>
      <c r="J52">
        <v>35.18</v>
      </c>
      <c r="K52">
        <v>32.79</v>
      </c>
      <c r="L52">
        <v>48.34</v>
      </c>
      <c r="M52">
        <v>52.26</v>
      </c>
      <c r="N52">
        <v>49.83</v>
      </c>
    </row>
    <row r="53" spans="1:14" x14ac:dyDescent="0.25">
      <c r="A53">
        <v>1</v>
      </c>
      <c r="B53">
        <v>2600</v>
      </c>
      <c r="C53">
        <v>0.06</v>
      </c>
      <c r="D53">
        <v>0.13</v>
      </c>
      <c r="E53">
        <v>0.1</v>
      </c>
      <c r="F53">
        <v>39.06</v>
      </c>
      <c r="G53">
        <v>39.26</v>
      </c>
      <c r="H53">
        <v>39.15</v>
      </c>
      <c r="I53">
        <v>0</v>
      </c>
      <c r="J53">
        <v>0</v>
      </c>
      <c r="K53">
        <v>0</v>
      </c>
      <c r="L53">
        <v>39.14</v>
      </c>
      <c r="M53">
        <v>39.36</v>
      </c>
      <c r="N53">
        <v>39.25</v>
      </c>
    </row>
    <row r="56" spans="1:14" x14ac:dyDescent="0.25">
      <c r="A56" t="s">
        <v>13</v>
      </c>
      <c r="B56" t="s">
        <v>14</v>
      </c>
    </row>
    <row r="57" spans="1:14" x14ac:dyDescent="0.25">
      <c r="A57" t="s">
        <v>15</v>
      </c>
      <c r="B57">
        <v>18</v>
      </c>
    </row>
    <row r="58" spans="1:14" x14ac:dyDescent="0.25">
      <c r="A58" t="s">
        <v>39</v>
      </c>
      <c r="B58" t="s">
        <v>54</v>
      </c>
    </row>
    <row r="59" spans="1:14" x14ac:dyDescent="0.25">
      <c r="A59" t="s">
        <v>16</v>
      </c>
      <c r="B59" t="s">
        <v>54</v>
      </c>
    </row>
    <row r="60" spans="1:14" x14ac:dyDescent="0.25">
      <c r="A60" t="s">
        <v>42</v>
      </c>
      <c r="B60" t="s">
        <v>54</v>
      </c>
    </row>
    <row r="61" spans="1:14" x14ac:dyDescent="0.25">
      <c r="A61" t="s">
        <v>18</v>
      </c>
      <c r="B61">
        <v>18</v>
      </c>
    </row>
    <row r="62" spans="1:14" x14ac:dyDescent="0.25">
      <c r="A62" t="s">
        <v>19</v>
      </c>
      <c r="B62" t="s">
        <v>54</v>
      </c>
    </row>
    <row r="63" spans="1:14" x14ac:dyDescent="0.25">
      <c r="A63" t="s">
        <v>20</v>
      </c>
      <c r="B63" t="s">
        <v>54</v>
      </c>
    </row>
    <row r="64" spans="1:14" x14ac:dyDescent="0.25">
      <c r="A64" t="s">
        <v>43</v>
      </c>
      <c r="B64" t="s">
        <v>54</v>
      </c>
    </row>
    <row r="65" spans="1:2" x14ac:dyDescent="0.25">
      <c r="A65" t="s">
        <v>21</v>
      </c>
      <c r="B65">
        <v>18</v>
      </c>
    </row>
    <row r="66" spans="1:2" x14ac:dyDescent="0.25">
      <c r="A66" t="s">
        <v>57</v>
      </c>
      <c r="B66">
        <v>18</v>
      </c>
    </row>
    <row r="67" spans="1:2" x14ac:dyDescent="0.25">
      <c r="A67" t="s">
        <v>22</v>
      </c>
      <c r="B67" t="s">
        <v>54</v>
      </c>
    </row>
    <row r="68" spans="1:2" x14ac:dyDescent="0.25">
      <c r="A68" t="s">
        <v>44</v>
      </c>
      <c r="B68" t="s">
        <v>54</v>
      </c>
    </row>
    <row r="69" spans="1:2" x14ac:dyDescent="0.25">
      <c r="A69" t="s">
        <v>45</v>
      </c>
      <c r="B69" t="s">
        <v>54</v>
      </c>
    </row>
    <row r="70" spans="1:2" x14ac:dyDescent="0.25">
      <c r="A70" t="s">
        <v>46</v>
      </c>
      <c r="B70" t="s">
        <v>54</v>
      </c>
    </row>
    <row r="71" spans="1:2" x14ac:dyDescent="0.25">
      <c r="A71" t="s">
        <v>47</v>
      </c>
      <c r="B71" t="s">
        <v>54</v>
      </c>
    </row>
    <row r="72" spans="1:2" x14ac:dyDescent="0.25">
      <c r="A72" t="s">
        <v>23</v>
      </c>
      <c r="B72" t="s">
        <v>54</v>
      </c>
    </row>
    <row r="73" spans="1:2" x14ac:dyDescent="0.25">
      <c r="A73" t="s">
        <v>48</v>
      </c>
      <c r="B73" t="s">
        <v>54</v>
      </c>
    </row>
    <row r="74" spans="1:2" x14ac:dyDescent="0.25">
      <c r="A74" t="s">
        <v>49</v>
      </c>
      <c r="B74" t="s">
        <v>54</v>
      </c>
    </row>
    <row r="75" spans="1:2" x14ac:dyDescent="0.25">
      <c r="A75" t="s">
        <v>24</v>
      </c>
      <c r="B75" t="s">
        <v>54</v>
      </c>
    </row>
    <row r="76" spans="1:2" x14ac:dyDescent="0.25">
      <c r="A76" t="s">
        <v>50</v>
      </c>
      <c r="B76" t="s">
        <v>54</v>
      </c>
    </row>
    <row r="77" spans="1:2" x14ac:dyDescent="0.25">
      <c r="A77" t="s">
        <v>25</v>
      </c>
      <c r="B77" t="s">
        <v>54</v>
      </c>
    </row>
    <row r="78" spans="1:2" x14ac:dyDescent="0.25">
      <c r="A78" t="s">
        <v>51</v>
      </c>
      <c r="B78" t="s">
        <v>54</v>
      </c>
    </row>
    <row r="79" spans="1:2" x14ac:dyDescent="0.25">
      <c r="A79" t="s">
        <v>26</v>
      </c>
      <c r="B79" t="s">
        <v>54</v>
      </c>
    </row>
    <row r="81" spans="1:1" x14ac:dyDescent="0.25">
      <c r="A81" t="s">
        <v>27</v>
      </c>
    </row>
    <row r="82" spans="1:1" x14ac:dyDescent="0.25">
      <c r="A82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DD8F-96C9-4B59-AAE4-748D32260134}">
  <dimension ref="A1:Q65"/>
  <sheetViews>
    <sheetView workbookViewId="0">
      <selection activeCell="P1" sqref="P1:Q31"/>
    </sheetView>
  </sheetViews>
  <sheetFormatPr defaultRowHeight="15" x14ac:dyDescent="0.25"/>
  <cols>
    <col min="17" max="17" width="1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0.16</v>
      </c>
      <c r="D2">
        <v>0.2</v>
      </c>
      <c r="E2">
        <v>0.17</v>
      </c>
      <c r="F2">
        <v>1.0900000000000001</v>
      </c>
      <c r="G2">
        <v>1.1499999999999999</v>
      </c>
      <c r="H2">
        <v>1.1299999999999999</v>
      </c>
      <c r="I2">
        <v>15.45</v>
      </c>
      <c r="J2">
        <v>26.79</v>
      </c>
      <c r="K2">
        <v>18.62</v>
      </c>
      <c r="L2">
        <v>16.77</v>
      </c>
      <c r="M2">
        <v>28.07</v>
      </c>
      <c r="N2">
        <v>19.93</v>
      </c>
      <c r="P2">
        <v>100</v>
      </c>
      <c r="Q2">
        <f>AVERAGE(N2:N3)</f>
        <v>10.8</v>
      </c>
    </row>
    <row r="3" spans="1:17" x14ac:dyDescent="0.25">
      <c r="A3">
        <v>1</v>
      </c>
      <c r="B3">
        <v>100</v>
      </c>
      <c r="C3">
        <v>0.08</v>
      </c>
      <c r="D3">
        <v>0.26</v>
      </c>
      <c r="E3">
        <v>0.11</v>
      </c>
      <c r="F3">
        <v>1.54</v>
      </c>
      <c r="G3">
        <v>1.57</v>
      </c>
      <c r="H3">
        <v>1.56</v>
      </c>
      <c r="I3">
        <v>0</v>
      </c>
      <c r="J3">
        <v>0</v>
      </c>
      <c r="K3">
        <v>0</v>
      </c>
      <c r="L3">
        <v>1.63</v>
      </c>
      <c r="M3">
        <v>1.82</v>
      </c>
      <c r="N3">
        <v>1.67</v>
      </c>
      <c r="P3">
        <f>P2+100</f>
        <v>200</v>
      </c>
      <c r="Q3">
        <f>AVERAGE(N4:N5)</f>
        <v>12.635</v>
      </c>
    </row>
    <row r="4" spans="1:17" x14ac:dyDescent="0.25">
      <c r="A4">
        <v>0</v>
      </c>
      <c r="B4">
        <v>200</v>
      </c>
      <c r="C4">
        <v>0.17</v>
      </c>
      <c r="D4">
        <v>0.19</v>
      </c>
      <c r="E4">
        <v>0.18</v>
      </c>
      <c r="F4">
        <v>1.74</v>
      </c>
      <c r="G4">
        <v>1.78</v>
      </c>
      <c r="H4">
        <v>1.76</v>
      </c>
      <c r="I4">
        <v>17.29</v>
      </c>
      <c r="J4">
        <v>31.54</v>
      </c>
      <c r="K4">
        <v>20.12</v>
      </c>
      <c r="L4">
        <v>19.239999999999998</v>
      </c>
      <c r="M4">
        <v>33.49</v>
      </c>
      <c r="N4">
        <v>22.06</v>
      </c>
      <c r="P4">
        <f t="shared" ref="P4:P29" si="0">P3+100</f>
        <v>300</v>
      </c>
      <c r="Q4">
        <f>AVERAGE(N6:N7)</f>
        <v>14.035</v>
      </c>
    </row>
    <row r="5" spans="1:17" x14ac:dyDescent="0.25">
      <c r="A5">
        <v>1</v>
      </c>
      <c r="B5">
        <v>200</v>
      </c>
      <c r="C5">
        <v>0.09</v>
      </c>
      <c r="D5">
        <v>0.27</v>
      </c>
      <c r="E5">
        <v>0.12</v>
      </c>
      <c r="F5">
        <v>3.08</v>
      </c>
      <c r="G5">
        <v>3.11</v>
      </c>
      <c r="H5">
        <v>3.09</v>
      </c>
      <c r="I5">
        <v>0</v>
      </c>
      <c r="J5">
        <v>0</v>
      </c>
      <c r="K5">
        <v>0</v>
      </c>
      <c r="L5">
        <v>3.18</v>
      </c>
      <c r="M5">
        <v>3.37</v>
      </c>
      <c r="N5">
        <v>3.21</v>
      </c>
      <c r="P5">
        <f t="shared" si="0"/>
        <v>400</v>
      </c>
      <c r="Q5">
        <f>AVERAGE(N8:N9)</f>
        <v>15.234999999999999</v>
      </c>
    </row>
    <row r="6" spans="1:17" x14ac:dyDescent="0.25">
      <c r="A6">
        <v>0</v>
      </c>
      <c r="B6">
        <v>300</v>
      </c>
      <c r="C6">
        <v>0.17</v>
      </c>
      <c r="D6">
        <v>0.2</v>
      </c>
      <c r="E6">
        <v>0.19</v>
      </c>
      <c r="F6">
        <v>2.35</v>
      </c>
      <c r="G6">
        <v>2.41</v>
      </c>
      <c r="H6">
        <v>2.38</v>
      </c>
      <c r="I6">
        <v>17.329999999999998</v>
      </c>
      <c r="J6">
        <v>30.92</v>
      </c>
      <c r="K6">
        <v>20.75</v>
      </c>
      <c r="L6">
        <v>19.89</v>
      </c>
      <c r="M6">
        <v>33.520000000000003</v>
      </c>
      <c r="N6">
        <v>23.32</v>
      </c>
      <c r="P6">
        <f t="shared" si="0"/>
        <v>500</v>
      </c>
      <c r="Q6">
        <f>AVERAGE(N10:N11)</f>
        <v>16.310000000000002</v>
      </c>
    </row>
    <row r="7" spans="1:17" x14ac:dyDescent="0.25">
      <c r="A7">
        <v>1</v>
      </c>
      <c r="B7">
        <v>300</v>
      </c>
      <c r="C7">
        <v>0.08</v>
      </c>
      <c r="D7">
        <v>0.27</v>
      </c>
      <c r="E7">
        <v>0.12</v>
      </c>
      <c r="F7">
        <v>4.6100000000000003</v>
      </c>
      <c r="G7">
        <v>4.6500000000000004</v>
      </c>
      <c r="H7">
        <v>4.63</v>
      </c>
      <c r="I7">
        <v>0</v>
      </c>
      <c r="J7">
        <v>0</v>
      </c>
      <c r="K7">
        <v>0</v>
      </c>
      <c r="L7">
        <v>4.7</v>
      </c>
      <c r="M7">
        <v>4.92</v>
      </c>
      <c r="N7">
        <v>4.75</v>
      </c>
      <c r="P7">
        <f t="shared" si="0"/>
        <v>600</v>
      </c>
      <c r="Q7">
        <f>AVERAGE(N12:N13)</f>
        <v>17.27</v>
      </c>
    </row>
    <row r="8" spans="1:17" x14ac:dyDescent="0.25">
      <c r="A8">
        <v>0</v>
      </c>
      <c r="B8">
        <v>400</v>
      </c>
      <c r="C8">
        <v>0.11</v>
      </c>
      <c r="D8">
        <v>0.22</v>
      </c>
      <c r="E8">
        <v>0.19</v>
      </c>
      <c r="F8">
        <v>2.96</v>
      </c>
      <c r="G8">
        <v>3.04</v>
      </c>
      <c r="H8">
        <v>2.99</v>
      </c>
      <c r="I8">
        <v>18.329999999999998</v>
      </c>
      <c r="J8">
        <v>31.33</v>
      </c>
      <c r="K8">
        <v>21.08</v>
      </c>
      <c r="L8">
        <v>21.51</v>
      </c>
      <c r="M8">
        <v>34.549999999999997</v>
      </c>
      <c r="N8">
        <v>24.27</v>
      </c>
      <c r="P8">
        <f t="shared" si="0"/>
        <v>700</v>
      </c>
      <c r="Q8">
        <f>AVERAGE(N14:N15)</f>
        <v>18.88</v>
      </c>
    </row>
    <row r="9" spans="1:17" x14ac:dyDescent="0.25">
      <c r="A9">
        <v>1</v>
      </c>
      <c r="B9">
        <v>400</v>
      </c>
      <c r="C9">
        <v>0.09</v>
      </c>
      <c r="D9">
        <v>0.28000000000000003</v>
      </c>
      <c r="E9">
        <v>0.12</v>
      </c>
      <c r="F9">
        <v>6.05</v>
      </c>
      <c r="G9">
        <v>6.17</v>
      </c>
      <c r="H9">
        <v>6.08</v>
      </c>
      <c r="I9">
        <v>0</v>
      </c>
      <c r="J9">
        <v>0.01</v>
      </c>
      <c r="K9">
        <v>0</v>
      </c>
      <c r="L9">
        <v>6.15</v>
      </c>
      <c r="M9">
        <v>6.39</v>
      </c>
      <c r="N9">
        <v>6.2</v>
      </c>
      <c r="P9">
        <f t="shared" si="0"/>
        <v>800</v>
      </c>
      <c r="Q9">
        <f>AVERAGE(N16:N17)</f>
        <v>20.7</v>
      </c>
    </row>
    <row r="10" spans="1:17" x14ac:dyDescent="0.25">
      <c r="A10">
        <v>0</v>
      </c>
      <c r="B10">
        <v>500</v>
      </c>
      <c r="C10">
        <v>0.19</v>
      </c>
      <c r="D10">
        <v>0.23</v>
      </c>
      <c r="E10">
        <v>0.2</v>
      </c>
      <c r="F10">
        <v>3.62</v>
      </c>
      <c r="G10">
        <v>3.69</v>
      </c>
      <c r="H10">
        <v>3.66</v>
      </c>
      <c r="I10">
        <v>18.63</v>
      </c>
      <c r="J10">
        <v>28.29</v>
      </c>
      <c r="K10">
        <v>21.03</v>
      </c>
      <c r="L10">
        <v>22.49</v>
      </c>
      <c r="M10">
        <v>32.159999999999997</v>
      </c>
      <c r="N10">
        <v>24.89</v>
      </c>
      <c r="P10">
        <f t="shared" si="0"/>
        <v>900</v>
      </c>
      <c r="Q10">
        <f>AVERAGE(N18:N19)</f>
        <v>22.015000000000001</v>
      </c>
    </row>
    <row r="11" spans="1:17" x14ac:dyDescent="0.25">
      <c r="A11">
        <v>1</v>
      </c>
      <c r="B11">
        <v>500</v>
      </c>
      <c r="C11">
        <v>0.09</v>
      </c>
      <c r="D11">
        <v>0.26</v>
      </c>
      <c r="E11">
        <v>0.12</v>
      </c>
      <c r="F11">
        <v>7.59</v>
      </c>
      <c r="G11">
        <v>7.64</v>
      </c>
      <c r="H11">
        <v>7.61</v>
      </c>
      <c r="I11">
        <v>0</v>
      </c>
      <c r="J11">
        <v>0.01</v>
      </c>
      <c r="K11">
        <v>0</v>
      </c>
      <c r="L11">
        <v>7.68</v>
      </c>
      <c r="M11">
        <v>7.89</v>
      </c>
      <c r="N11">
        <v>7.73</v>
      </c>
      <c r="P11">
        <f t="shared" si="0"/>
        <v>1000</v>
      </c>
      <c r="Q11">
        <f>AVERAGE(N20:N21)</f>
        <v>22.799999999999997</v>
      </c>
    </row>
    <row r="12" spans="1:17" x14ac:dyDescent="0.25">
      <c r="A12">
        <v>0</v>
      </c>
      <c r="B12">
        <v>600</v>
      </c>
      <c r="C12">
        <v>0.17</v>
      </c>
      <c r="D12">
        <v>0.24</v>
      </c>
      <c r="E12">
        <v>0.21</v>
      </c>
      <c r="F12">
        <v>4.18</v>
      </c>
      <c r="G12">
        <v>4.26</v>
      </c>
      <c r="H12">
        <v>4.22</v>
      </c>
      <c r="I12">
        <v>18.7</v>
      </c>
      <c r="J12">
        <v>24.7</v>
      </c>
      <c r="K12">
        <v>20.87</v>
      </c>
      <c r="L12">
        <v>23.14</v>
      </c>
      <c r="M12">
        <v>29.16</v>
      </c>
      <c r="N12">
        <v>25.3</v>
      </c>
      <c r="P12">
        <f t="shared" si="0"/>
        <v>1100</v>
      </c>
      <c r="Q12">
        <f>AVERAGE(N22:N23)</f>
        <v>24.39</v>
      </c>
    </row>
    <row r="13" spans="1:17" x14ac:dyDescent="0.25">
      <c r="A13">
        <v>1</v>
      </c>
      <c r="B13">
        <v>600</v>
      </c>
      <c r="C13">
        <v>0.08</v>
      </c>
      <c r="D13">
        <v>0.26</v>
      </c>
      <c r="E13">
        <v>0.12</v>
      </c>
      <c r="F13">
        <v>9.1</v>
      </c>
      <c r="G13">
        <v>9.19</v>
      </c>
      <c r="H13">
        <v>9.1199999999999992</v>
      </c>
      <c r="I13">
        <v>0</v>
      </c>
      <c r="J13">
        <v>0</v>
      </c>
      <c r="K13">
        <v>0</v>
      </c>
      <c r="L13">
        <v>9.19</v>
      </c>
      <c r="M13">
        <v>9.42</v>
      </c>
      <c r="N13">
        <v>9.24</v>
      </c>
      <c r="P13">
        <f t="shared" si="0"/>
        <v>1200</v>
      </c>
      <c r="Q13">
        <f>AVERAGE(N24:N25)</f>
        <v>25.844999999999999</v>
      </c>
    </row>
    <row r="14" spans="1:17" x14ac:dyDescent="0.25">
      <c r="A14">
        <v>0</v>
      </c>
      <c r="B14">
        <v>700</v>
      </c>
      <c r="C14">
        <v>0.17</v>
      </c>
      <c r="D14">
        <v>0.26</v>
      </c>
      <c r="E14">
        <v>0.22</v>
      </c>
      <c r="F14">
        <v>4.8499999999999996</v>
      </c>
      <c r="G14">
        <v>4.93</v>
      </c>
      <c r="H14">
        <v>4.88</v>
      </c>
      <c r="I14">
        <v>19.75</v>
      </c>
      <c r="J14">
        <v>31.39</v>
      </c>
      <c r="K14">
        <v>21.92</v>
      </c>
      <c r="L14">
        <v>24.85</v>
      </c>
      <c r="M14">
        <v>36.54</v>
      </c>
      <c r="N14">
        <v>27.02</v>
      </c>
      <c r="P14">
        <f t="shared" si="0"/>
        <v>1300</v>
      </c>
      <c r="Q14">
        <f>AVERAGE(N26:N27)</f>
        <v>27.094999999999999</v>
      </c>
    </row>
    <row r="15" spans="1:17" x14ac:dyDescent="0.25">
      <c r="A15">
        <v>1</v>
      </c>
      <c r="B15">
        <v>700</v>
      </c>
      <c r="C15">
        <v>0.08</v>
      </c>
      <c r="D15">
        <v>0.27</v>
      </c>
      <c r="E15">
        <v>0.12</v>
      </c>
      <c r="F15">
        <v>10.59</v>
      </c>
      <c r="G15">
        <v>10.7</v>
      </c>
      <c r="H15">
        <v>10.62</v>
      </c>
      <c r="I15">
        <v>0</v>
      </c>
      <c r="J15">
        <v>0</v>
      </c>
      <c r="K15">
        <v>0</v>
      </c>
      <c r="L15">
        <v>10.68</v>
      </c>
      <c r="M15">
        <v>10.96</v>
      </c>
      <c r="N15">
        <v>10.74</v>
      </c>
      <c r="P15">
        <f t="shared" si="0"/>
        <v>1400</v>
      </c>
      <c r="Q15">
        <f>AVERAGE(N28:N29)</f>
        <v>28.454999999999998</v>
      </c>
    </row>
    <row r="16" spans="1:17" x14ac:dyDescent="0.25">
      <c r="A16">
        <v>0</v>
      </c>
      <c r="B16">
        <v>800</v>
      </c>
      <c r="C16">
        <v>0.16</v>
      </c>
      <c r="D16">
        <v>0.27</v>
      </c>
      <c r="E16">
        <v>0.22</v>
      </c>
      <c r="F16">
        <v>5.47</v>
      </c>
      <c r="G16">
        <v>5.61</v>
      </c>
      <c r="H16">
        <v>5.54</v>
      </c>
      <c r="I16">
        <v>21.27</v>
      </c>
      <c r="J16">
        <v>25.66</v>
      </c>
      <c r="K16">
        <v>23.29</v>
      </c>
      <c r="L16">
        <v>27.02</v>
      </c>
      <c r="M16">
        <v>31.47</v>
      </c>
      <c r="N16">
        <v>29.06</v>
      </c>
      <c r="P16">
        <f t="shared" si="0"/>
        <v>1500</v>
      </c>
      <c r="Q16">
        <f>AVERAGE(N30:N31)</f>
        <v>29.81</v>
      </c>
    </row>
    <row r="17" spans="1:17" x14ac:dyDescent="0.25">
      <c r="A17">
        <v>1</v>
      </c>
      <c r="B17">
        <v>800</v>
      </c>
      <c r="C17">
        <v>0.08</v>
      </c>
      <c r="D17">
        <v>0.28000000000000003</v>
      </c>
      <c r="E17">
        <v>0.12</v>
      </c>
      <c r="F17">
        <v>12.18</v>
      </c>
      <c r="G17">
        <v>12.36</v>
      </c>
      <c r="H17">
        <v>12.22</v>
      </c>
      <c r="I17">
        <v>0</v>
      </c>
      <c r="J17">
        <v>0</v>
      </c>
      <c r="K17">
        <v>0</v>
      </c>
      <c r="L17">
        <v>12.28</v>
      </c>
      <c r="M17">
        <v>12.62</v>
      </c>
      <c r="N17">
        <v>12.34</v>
      </c>
      <c r="P17">
        <f t="shared" si="0"/>
        <v>1600</v>
      </c>
      <c r="Q17">
        <f>AVERAGE(N32:N33)</f>
        <v>31.369999999999997</v>
      </c>
    </row>
    <row r="18" spans="1:17" x14ac:dyDescent="0.25">
      <c r="A18">
        <v>0</v>
      </c>
      <c r="B18">
        <v>900</v>
      </c>
      <c r="C18">
        <v>0.19</v>
      </c>
      <c r="D18">
        <v>0.22</v>
      </c>
      <c r="E18">
        <v>0.2</v>
      </c>
      <c r="F18">
        <v>6.18</v>
      </c>
      <c r="G18">
        <v>6.27</v>
      </c>
      <c r="H18">
        <v>6.21</v>
      </c>
      <c r="I18">
        <v>21.59</v>
      </c>
      <c r="J18">
        <v>27.31</v>
      </c>
      <c r="K18">
        <v>23.91</v>
      </c>
      <c r="L18">
        <v>27.99</v>
      </c>
      <c r="M18">
        <v>33.72</v>
      </c>
      <c r="N18">
        <v>30.32</v>
      </c>
      <c r="P18">
        <f t="shared" si="0"/>
        <v>1700</v>
      </c>
      <c r="Q18">
        <f>AVERAGE(N34:N35)</f>
        <v>32.69</v>
      </c>
    </row>
    <row r="19" spans="1:17" x14ac:dyDescent="0.25">
      <c r="A19">
        <v>1</v>
      </c>
      <c r="B19">
        <v>900</v>
      </c>
      <c r="C19">
        <v>0.06</v>
      </c>
      <c r="D19">
        <v>0.27</v>
      </c>
      <c r="E19">
        <v>0.1</v>
      </c>
      <c r="F19">
        <v>13.58</v>
      </c>
      <c r="G19">
        <v>13.63</v>
      </c>
      <c r="H19">
        <v>13.6</v>
      </c>
      <c r="I19">
        <v>0</v>
      </c>
      <c r="J19">
        <v>0.02</v>
      </c>
      <c r="K19">
        <v>0</v>
      </c>
      <c r="L19">
        <v>13.65</v>
      </c>
      <c r="M19">
        <v>13.88</v>
      </c>
      <c r="N19">
        <v>13.71</v>
      </c>
      <c r="P19">
        <f t="shared" si="0"/>
        <v>1800</v>
      </c>
      <c r="Q19">
        <f>AVERAGE(N36:N37)</f>
        <v>33.785000000000004</v>
      </c>
    </row>
    <row r="20" spans="1:17" x14ac:dyDescent="0.25">
      <c r="A20">
        <v>0</v>
      </c>
      <c r="B20">
        <v>1000</v>
      </c>
      <c r="C20">
        <v>0.14000000000000001</v>
      </c>
      <c r="D20">
        <v>0.2</v>
      </c>
      <c r="E20">
        <v>0.17</v>
      </c>
      <c r="F20">
        <v>6.73</v>
      </c>
      <c r="G20">
        <v>6.91</v>
      </c>
      <c r="H20">
        <v>6.81</v>
      </c>
      <c r="I20">
        <v>20.96</v>
      </c>
      <c r="J20">
        <v>40.17</v>
      </c>
      <c r="K20">
        <v>23.25</v>
      </c>
      <c r="L20">
        <v>27.92</v>
      </c>
      <c r="M20">
        <v>47.26</v>
      </c>
      <c r="N20">
        <v>30.24</v>
      </c>
      <c r="P20">
        <f t="shared" si="0"/>
        <v>1900</v>
      </c>
    </row>
    <row r="21" spans="1:17" x14ac:dyDescent="0.25">
      <c r="A21">
        <v>1</v>
      </c>
      <c r="B21">
        <v>1000</v>
      </c>
      <c r="C21">
        <v>0.08</v>
      </c>
      <c r="D21">
        <v>0.28000000000000003</v>
      </c>
      <c r="E21">
        <v>0.11</v>
      </c>
      <c r="F21">
        <v>15.2</v>
      </c>
      <c r="G21">
        <v>15.35</v>
      </c>
      <c r="H21">
        <v>15.25</v>
      </c>
      <c r="I21">
        <v>0</v>
      </c>
      <c r="J21">
        <v>0</v>
      </c>
      <c r="K21">
        <v>0</v>
      </c>
      <c r="L21">
        <v>15.3</v>
      </c>
      <c r="M21">
        <v>15.57</v>
      </c>
      <c r="N21">
        <v>15.36</v>
      </c>
      <c r="P21">
        <f t="shared" si="0"/>
        <v>2000</v>
      </c>
    </row>
    <row r="22" spans="1:17" x14ac:dyDescent="0.25">
      <c r="A22">
        <v>0</v>
      </c>
      <c r="B22">
        <v>1100</v>
      </c>
      <c r="C22">
        <v>0.12</v>
      </c>
      <c r="D22">
        <v>0.21</v>
      </c>
      <c r="E22">
        <v>0.18</v>
      </c>
      <c r="F22">
        <v>7.35</v>
      </c>
      <c r="G22">
        <v>7.44</v>
      </c>
      <c r="H22">
        <v>7.39</v>
      </c>
      <c r="I22">
        <v>22.08</v>
      </c>
      <c r="J22">
        <v>27.85</v>
      </c>
      <c r="K22">
        <v>24.2</v>
      </c>
      <c r="L22">
        <v>29.62</v>
      </c>
      <c r="M22">
        <v>35.42</v>
      </c>
      <c r="N22">
        <v>31.76</v>
      </c>
      <c r="P22">
        <f t="shared" si="0"/>
        <v>2100</v>
      </c>
    </row>
    <row r="23" spans="1:17" x14ac:dyDescent="0.25">
      <c r="A23">
        <v>1</v>
      </c>
      <c r="B23">
        <v>1100</v>
      </c>
      <c r="C23">
        <v>0.08</v>
      </c>
      <c r="D23">
        <v>0.28000000000000003</v>
      </c>
      <c r="E23">
        <v>0.12</v>
      </c>
      <c r="F23">
        <v>16.87</v>
      </c>
      <c r="G23">
        <v>16.98</v>
      </c>
      <c r="H23">
        <v>16.899999999999999</v>
      </c>
      <c r="I23">
        <v>0</v>
      </c>
      <c r="J23">
        <v>0.02</v>
      </c>
      <c r="K23">
        <v>0</v>
      </c>
      <c r="L23">
        <v>16.97</v>
      </c>
      <c r="M23">
        <v>17.25</v>
      </c>
      <c r="N23">
        <v>17.02</v>
      </c>
      <c r="P23">
        <f t="shared" si="0"/>
        <v>2200</v>
      </c>
    </row>
    <row r="24" spans="1:17" x14ac:dyDescent="0.25">
      <c r="A24">
        <v>0</v>
      </c>
      <c r="B24">
        <v>1200</v>
      </c>
      <c r="C24">
        <v>0.17</v>
      </c>
      <c r="D24">
        <v>0.2</v>
      </c>
      <c r="E24">
        <v>0.18</v>
      </c>
      <c r="F24">
        <v>8.02</v>
      </c>
      <c r="G24">
        <v>8.23</v>
      </c>
      <c r="H24">
        <v>8.11</v>
      </c>
      <c r="I24">
        <v>22.98</v>
      </c>
      <c r="J24">
        <v>28.7</v>
      </c>
      <c r="K24">
        <v>25.06</v>
      </c>
      <c r="L24">
        <v>31.22</v>
      </c>
      <c r="M24">
        <v>37</v>
      </c>
      <c r="N24">
        <v>33.35</v>
      </c>
      <c r="P24">
        <f t="shared" si="0"/>
        <v>2300</v>
      </c>
    </row>
    <row r="25" spans="1:17" x14ac:dyDescent="0.25">
      <c r="A25">
        <v>1</v>
      </c>
      <c r="B25">
        <v>1200</v>
      </c>
      <c r="C25">
        <v>0.09</v>
      </c>
      <c r="D25">
        <v>0.27</v>
      </c>
      <c r="E25">
        <v>0.12</v>
      </c>
      <c r="F25">
        <v>18.16</v>
      </c>
      <c r="G25">
        <v>18.3</v>
      </c>
      <c r="H25">
        <v>18.22</v>
      </c>
      <c r="I25">
        <v>0</v>
      </c>
      <c r="J25">
        <v>0</v>
      </c>
      <c r="K25">
        <v>0</v>
      </c>
      <c r="L25">
        <v>18.260000000000002</v>
      </c>
      <c r="M25">
        <v>18.510000000000002</v>
      </c>
      <c r="N25">
        <v>18.34</v>
      </c>
      <c r="P25">
        <f t="shared" si="0"/>
        <v>2400</v>
      </c>
    </row>
    <row r="26" spans="1:17" x14ac:dyDescent="0.25">
      <c r="A26">
        <v>0</v>
      </c>
      <c r="B26">
        <v>1300</v>
      </c>
      <c r="C26">
        <v>0.12</v>
      </c>
      <c r="D26">
        <v>0.22</v>
      </c>
      <c r="E26">
        <v>0.17</v>
      </c>
      <c r="F26">
        <v>8.56</v>
      </c>
      <c r="G26">
        <v>8.7799999999999994</v>
      </c>
      <c r="H26">
        <v>8.66</v>
      </c>
      <c r="I26">
        <v>23.67</v>
      </c>
      <c r="J26">
        <v>28.4</v>
      </c>
      <c r="K26">
        <v>25.73</v>
      </c>
      <c r="L26">
        <v>32.479999999999997</v>
      </c>
      <c r="M26">
        <v>37.21</v>
      </c>
      <c r="N26">
        <v>34.56</v>
      </c>
      <c r="P26">
        <f t="shared" si="0"/>
        <v>2500</v>
      </c>
    </row>
    <row r="27" spans="1:17" x14ac:dyDescent="0.25">
      <c r="A27">
        <v>1</v>
      </c>
      <c r="B27">
        <v>1300</v>
      </c>
      <c r="C27">
        <v>0.06</v>
      </c>
      <c r="D27">
        <v>0.24</v>
      </c>
      <c r="E27">
        <v>0.09</v>
      </c>
      <c r="F27">
        <v>19.48</v>
      </c>
      <c r="G27">
        <v>19.64</v>
      </c>
      <c r="H27">
        <v>19.54</v>
      </c>
      <c r="I27">
        <v>0</v>
      </c>
      <c r="J27">
        <v>0.01</v>
      </c>
      <c r="K27">
        <v>0</v>
      </c>
      <c r="L27">
        <v>19.55</v>
      </c>
      <c r="M27">
        <v>19.829999999999998</v>
      </c>
      <c r="N27">
        <v>19.63</v>
      </c>
      <c r="P27">
        <f t="shared" si="0"/>
        <v>2600</v>
      </c>
    </row>
    <row r="28" spans="1:17" x14ac:dyDescent="0.25">
      <c r="A28">
        <v>0</v>
      </c>
      <c r="B28">
        <v>1400</v>
      </c>
      <c r="C28">
        <v>0.12</v>
      </c>
      <c r="D28">
        <v>0.2</v>
      </c>
      <c r="E28">
        <v>0.17</v>
      </c>
      <c r="F28">
        <v>9.23</v>
      </c>
      <c r="G28">
        <v>9.42</v>
      </c>
      <c r="H28">
        <v>9.33</v>
      </c>
      <c r="I28">
        <v>24.18</v>
      </c>
      <c r="J28">
        <v>29.03</v>
      </c>
      <c r="K28">
        <v>26.32</v>
      </c>
      <c r="L28">
        <v>33.68</v>
      </c>
      <c r="M28">
        <v>38.53</v>
      </c>
      <c r="N28">
        <v>35.82</v>
      </c>
      <c r="P28">
        <f t="shared" si="0"/>
        <v>2700</v>
      </c>
    </row>
    <row r="29" spans="1:17" x14ac:dyDescent="0.25">
      <c r="A29">
        <v>1</v>
      </c>
      <c r="B29">
        <v>1400</v>
      </c>
      <c r="C29">
        <v>0.05</v>
      </c>
      <c r="D29">
        <v>0.25</v>
      </c>
      <c r="E29">
        <v>0.09</v>
      </c>
      <c r="F29">
        <v>20.92</v>
      </c>
      <c r="G29">
        <v>21.13</v>
      </c>
      <c r="H29">
        <v>21</v>
      </c>
      <c r="I29">
        <v>0</v>
      </c>
      <c r="J29">
        <v>0.01</v>
      </c>
      <c r="K29">
        <v>0</v>
      </c>
      <c r="L29">
        <v>20.98</v>
      </c>
      <c r="M29">
        <v>21.38</v>
      </c>
      <c r="N29">
        <v>21.09</v>
      </c>
      <c r="P29">
        <f t="shared" si="0"/>
        <v>2800</v>
      </c>
    </row>
    <row r="30" spans="1:17" x14ac:dyDescent="0.25">
      <c r="A30">
        <v>0</v>
      </c>
      <c r="B30">
        <v>1500</v>
      </c>
      <c r="C30">
        <v>0.11</v>
      </c>
      <c r="D30">
        <v>0.2</v>
      </c>
      <c r="E30">
        <v>0.17</v>
      </c>
      <c r="F30">
        <v>9.74</v>
      </c>
      <c r="G30">
        <v>10.11</v>
      </c>
      <c r="H30">
        <v>9.92</v>
      </c>
      <c r="I30">
        <v>24.38</v>
      </c>
      <c r="J30">
        <v>32.04</v>
      </c>
      <c r="K30">
        <v>26.92</v>
      </c>
      <c r="L30">
        <v>34.479999999999997</v>
      </c>
      <c r="M30">
        <v>42.24</v>
      </c>
      <c r="N30">
        <v>37.01</v>
      </c>
      <c r="P30">
        <v>2900</v>
      </c>
    </row>
    <row r="31" spans="1:17" x14ac:dyDescent="0.25">
      <c r="A31">
        <v>1</v>
      </c>
      <c r="B31">
        <v>1500</v>
      </c>
      <c r="C31">
        <v>0.05</v>
      </c>
      <c r="D31">
        <v>0.26</v>
      </c>
      <c r="E31">
        <v>0.1</v>
      </c>
      <c r="F31">
        <v>22.45</v>
      </c>
      <c r="G31">
        <v>22.65</v>
      </c>
      <c r="H31">
        <v>22.51</v>
      </c>
      <c r="I31">
        <v>0</v>
      </c>
      <c r="J31">
        <v>0.01</v>
      </c>
      <c r="K31">
        <v>0</v>
      </c>
      <c r="L31">
        <v>22.5</v>
      </c>
      <c r="M31">
        <v>22.86</v>
      </c>
      <c r="N31">
        <v>22.61</v>
      </c>
      <c r="P31">
        <v>3000</v>
      </c>
    </row>
    <row r="32" spans="1:17" x14ac:dyDescent="0.25">
      <c r="A32">
        <v>0</v>
      </c>
      <c r="B32">
        <v>1600</v>
      </c>
      <c r="C32">
        <v>0.13</v>
      </c>
      <c r="D32">
        <v>0.22</v>
      </c>
      <c r="E32">
        <v>0.17</v>
      </c>
      <c r="F32">
        <v>10.58</v>
      </c>
      <c r="G32">
        <v>10.74</v>
      </c>
      <c r="H32">
        <v>10.65</v>
      </c>
      <c r="I32">
        <v>25.06</v>
      </c>
      <c r="J32">
        <v>31.6</v>
      </c>
      <c r="K32">
        <v>27.76</v>
      </c>
      <c r="L32">
        <v>35.840000000000003</v>
      </c>
      <c r="M32">
        <v>42.51</v>
      </c>
      <c r="N32">
        <v>38.58</v>
      </c>
    </row>
    <row r="33" spans="1:14" x14ac:dyDescent="0.25">
      <c r="A33">
        <v>1</v>
      </c>
      <c r="B33">
        <v>1600</v>
      </c>
      <c r="C33">
        <v>0.05</v>
      </c>
      <c r="D33">
        <v>0.24</v>
      </c>
      <c r="E33">
        <v>0.09</v>
      </c>
      <c r="F33">
        <v>23.99</v>
      </c>
      <c r="G33">
        <v>24.19</v>
      </c>
      <c r="H33">
        <v>24.07</v>
      </c>
      <c r="I33">
        <v>0</v>
      </c>
      <c r="J33">
        <v>0.01</v>
      </c>
      <c r="K33">
        <v>0</v>
      </c>
      <c r="L33">
        <v>24.07</v>
      </c>
      <c r="M33">
        <v>24.38</v>
      </c>
      <c r="N33">
        <v>24.16</v>
      </c>
    </row>
    <row r="34" spans="1:14" x14ac:dyDescent="0.25">
      <c r="A34">
        <v>0</v>
      </c>
      <c r="B34">
        <v>1700</v>
      </c>
      <c r="C34">
        <v>0.11</v>
      </c>
      <c r="D34">
        <v>0.21</v>
      </c>
      <c r="E34">
        <v>0.17</v>
      </c>
      <c r="F34">
        <v>11.17</v>
      </c>
      <c r="G34">
        <v>11.39</v>
      </c>
      <c r="H34">
        <v>11.27</v>
      </c>
      <c r="I34">
        <v>25.73</v>
      </c>
      <c r="J34">
        <v>31.89</v>
      </c>
      <c r="K34">
        <v>28.16</v>
      </c>
      <c r="L34">
        <v>37.200000000000003</v>
      </c>
      <c r="M34">
        <v>43.42</v>
      </c>
      <c r="N34">
        <v>39.6</v>
      </c>
    </row>
    <row r="35" spans="1:14" x14ac:dyDescent="0.25">
      <c r="A35">
        <v>1</v>
      </c>
      <c r="B35">
        <v>1700</v>
      </c>
      <c r="C35">
        <v>0.05</v>
      </c>
      <c r="D35">
        <v>0.22</v>
      </c>
      <c r="E35">
        <v>0.09</v>
      </c>
      <c r="F35">
        <v>25.61</v>
      </c>
      <c r="G35">
        <v>25.78</v>
      </c>
      <c r="H35">
        <v>25.69</v>
      </c>
      <c r="I35">
        <v>0</v>
      </c>
      <c r="J35">
        <v>0.02</v>
      </c>
      <c r="K35">
        <v>0</v>
      </c>
      <c r="L35">
        <v>25.68</v>
      </c>
      <c r="M35">
        <v>26</v>
      </c>
      <c r="N35">
        <v>25.78</v>
      </c>
    </row>
    <row r="36" spans="1:14" x14ac:dyDescent="0.25">
      <c r="A36">
        <v>0</v>
      </c>
      <c r="B36">
        <v>1800</v>
      </c>
      <c r="C36">
        <v>0.14000000000000001</v>
      </c>
      <c r="D36">
        <v>0.18</v>
      </c>
      <c r="E36">
        <v>0.17</v>
      </c>
      <c r="F36">
        <v>11.86</v>
      </c>
      <c r="G36">
        <v>12</v>
      </c>
      <c r="H36">
        <v>11.93</v>
      </c>
      <c r="I36">
        <v>26.17</v>
      </c>
      <c r="J36">
        <v>31.04</v>
      </c>
      <c r="K36">
        <v>28.22</v>
      </c>
      <c r="L36">
        <v>38.229999999999997</v>
      </c>
      <c r="M36">
        <v>43.16</v>
      </c>
      <c r="N36">
        <v>40.31</v>
      </c>
    </row>
    <row r="37" spans="1:14" x14ac:dyDescent="0.25">
      <c r="A37">
        <v>1</v>
      </c>
      <c r="B37">
        <v>1800</v>
      </c>
      <c r="C37">
        <v>0.06</v>
      </c>
      <c r="D37">
        <v>0.25</v>
      </c>
      <c r="E37">
        <v>0.1</v>
      </c>
      <c r="F37">
        <v>27.11</v>
      </c>
      <c r="G37">
        <v>27.24</v>
      </c>
      <c r="H37">
        <v>27.16</v>
      </c>
      <c r="I37">
        <v>0</v>
      </c>
      <c r="J37">
        <v>0</v>
      </c>
      <c r="K37">
        <v>0</v>
      </c>
      <c r="L37">
        <v>27.18</v>
      </c>
      <c r="M37">
        <v>27.49</v>
      </c>
      <c r="N37">
        <v>27.26</v>
      </c>
    </row>
    <row r="40" spans="1:14" x14ac:dyDescent="0.25">
      <c r="A40" t="s">
        <v>13</v>
      </c>
      <c r="B40" t="s">
        <v>14</v>
      </c>
    </row>
    <row r="41" spans="1:14" x14ac:dyDescent="0.25">
      <c r="A41" t="s">
        <v>15</v>
      </c>
      <c r="B41">
        <v>18</v>
      </c>
    </row>
    <row r="42" spans="1:14" x14ac:dyDescent="0.25">
      <c r="A42" t="s">
        <v>39</v>
      </c>
      <c r="B42" t="s">
        <v>40</v>
      </c>
    </row>
    <row r="43" spans="1:14" x14ac:dyDescent="0.25">
      <c r="A43" t="s">
        <v>16</v>
      </c>
      <c r="B43" t="s">
        <v>54</v>
      </c>
    </row>
    <row r="44" spans="1:14" x14ac:dyDescent="0.25">
      <c r="A44" t="s">
        <v>42</v>
      </c>
      <c r="B44" t="s">
        <v>40</v>
      </c>
    </row>
    <row r="45" spans="1:14" x14ac:dyDescent="0.25">
      <c r="A45" t="s">
        <v>18</v>
      </c>
      <c r="B45">
        <v>18</v>
      </c>
    </row>
    <row r="46" spans="1:14" x14ac:dyDescent="0.25">
      <c r="A46" t="s">
        <v>19</v>
      </c>
      <c r="B46" t="s">
        <v>55</v>
      </c>
    </row>
    <row r="47" spans="1:14" x14ac:dyDescent="0.25">
      <c r="A47" t="s">
        <v>20</v>
      </c>
      <c r="B47" t="s">
        <v>55</v>
      </c>
    </row>
    <row r="48" spans="1:14" x14ac:dyDescent="0.25">
      <c r="A48" t="s">
        <v>43</v>
      </c>
      <c r="B48" t="s">
        <v>54</v>
      </c>
    </row>
    <row r="49" spans="1:2" x14ac:dyDescent="0.25">
      <c r="A49" t="s">
        <v>21</v>
      </c>
      <c r="B49">
        <v>18</v>
      </c>
    </row>
    <row r="50" spans="1:2" x14ac:dyDescent="0.25">
      <c r="A50" t="s">
        <v>22</v>
      </c>
      <c r="B50" t="s">
        <v>55</v>
      </c>
    </row>
    <row r="51" spans="1:2" x14ac:dyDescent="0.25">
      <c r="A51" t="s">
        <v>44</v>
      </c>
      <c r="B51" t="s">
        <v>55</v>
      </c>
    </row>
    <row r="52" spans="1:2" x14ac:dyDescent="0.25">
      <c r="A52" t="s">
        <v>45</v>
      </c>
      <c r="B52" t="s">
        <v>55</v>
      </c>
    </row>
    <row r="53" spans="1:2" x14ac:dyDescent="0.25">
      <c r="A53" t="s">
        <v>46</v>
      </c>
      <c r="B53" t="s">
        <v>55</v>
      </c>
    </row>
    <row r="54" spans="1:2" x14ac:dyDescent="0.25">
      <c r="A54" t="s">
        <v>47</v>
      </c>
      <c r="B54" t="s">
        <v>55</v>
      </c>
    </row>
    <row r="55" spans="1:2" x14ac:dyDescent="0.25">
      <c r="A55" t="s">
        <v>23</v>
      </c>
      <c r="B55" t="s">
        <v>55</v>
      </c>
    </row>
    <row r="56" spans="1:2" x14ac:dyDescent="0.25">
      <c r="A56" t="s">
        <v>48</v>
      </c>
      <c r="B56" t="s">
        <v>55</v>
      </c>
    </row>
    <row r="57" spans="1:2" x14ac:dyDescent="0.25">
      <c r="A57" t="s">
        <v>49</v>
      </c>
      <c r="B57" t="s">
        <v>54</v>
      </c>
    </row>
    <row r="58" spans="1:2" x14ac:dyDescent="0.25">
      <c r="A58" t="s">
        <v>24</v>
      </c>
      <c r="B58" t="s">
        <v>54</v>
      </c>
    </row>
    <row r="59" spans="1:2" x14ac:dyDescent="0.25">
      <c r="A59" t="s">
        <v>50</v>
      </c>
      <c r="B59" t="s">
        <v>40</v>
      </c>
    </row>
    <row r="60" spans="1:2" x14ac:dyDescent="0.25">
      <c r="A60" t="s">
        <v>25</v>
      </c>
      <c r="B60" t="s">
        <v>54</v>
      </c>
    </row>
    <row r="61" spans="1:2" x14ac:dyDescent="0.25">
      <c r="A61" t="s">
        <v>51</v>
      </c>
      <c r="B61" t="s">
        <v>40</v>
      </c>
    </row>
    <row r="62" spans="1:2" x14ac:dyDescent="0.25">
      <c r="A62" t="s">
        <v>26</v>
      </c>
      <c r="B62" t="s">
        <v>54</v>
      </c>
    </row>
    <row r="64" spans="1:2" x14ac:dyDescent="0.25">
      <c r="A64" t="s">
        <v>27</v>
      </c>
    </row>
    <row r="65" spans="1:1" x14ac:dyDescent="0.25">
      <c r="A65" t="s">
        <v>52</v>
      </c>
    </row>
  </sheetData>
  <pageMargins left="0.7" right="0.7" top="0.75" bottom="0.75" header="0.3" footer="0.3"/>
  <ignoredErrors>
    <ignoredError sqref="Q2:Q5 Q6:Q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5"/>
  <sheetViews>
    <sheetView topLeftCell="B1" workbookViewId="0">
      <selection activeCell="Q26" sqref="P1:Q31"/>
    </sheetView>
  </sheetViews>
  <sheetFormatPr defaultRowHeight="15" x14ac:dyDescent="0.25"/>
  <cols>
    <col min="1" max="1" width="6.42578125" customWidth="1"/>
    <col min="2" max="2" width="7.85546875" bestFit="1" customWidth="1"/>
    <col min="3" max="3" width="9.85546875" bestFit="1" customWidth="1"/>
    <col min="4" max="5" width="10.140625" bestFit="1" customWidth="1"/>
    <col min="6" max="6" width="8.140625" bestFit="1" customWidth="1"/>
    <col min="7" max="7" width="8.42578125" bestFit="1" customWidth="1"/>
    <col min="8" max="8" width="9.7109375" bestFit="1" customWidth="1"/>
    <col min="9" max="9" width="11.42578125" bestFit="1" customWidth="1"/>
    <col min="10" max="10" width="11.7109375" bestFit="1" customWidth="1"/>
    <col min="11" max="11" width="13.140625" bestFit="1" customWidth="1"/>
    <col min="12" max="12" width="10.7109375" bestFit="1" customWidth="1"/>
    <col min="13" max="13" width="11" bestFit="1" customWidth="1"/>
    <col min="14" max="14" width="12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0.13</v>
      </c>
      <c r="D2">
        <v>0.28999999999999998</v>
      </c>
      <c r="E2">
        <v>0.19</v>
      </c>
      <c r="F2">
        <v>1.05</v>
      </c>
      <c r="G2">
        <v>1.1100000000000001</v>
      </c>
      <c r="H2">
        <v>1.1000000000000001</v>
      </c>
      <c r="I2">
        <v>16.61</v>
      </c>
      <c r="J2">
        <v>23.92</v>
      </c>
      <c r="K2">
        <v>19.899999999999999</v>
      </c>
      <c r="L2">
        <v>17.88</v>
      </c>
      <c r="M2">
        <v>25.17</v>
      </c>
      <c r="N2">
        <v>21.19</v>
      </c>
      <c r="P2">
        <v>100</v>
      </c>
      <c r="Q2">
        <f>AVERAGE(N2:N3)</f>
        <v>11.42</v>
      </c>
    </row>
    <row r="3" spans="1:17" x14ac:dyDescent="0.25">
      <c r="A3">
        <v>1</v>
      </c>
      <c r="B3">
        <v>100</v>
      </c>
      <c r="C3">
        <v>0.08</v>
      </c>
      <c r="D3">
        <v>0.22</v>
      </c>
      <c r="E3">
        <v>0.13</v>
      </c>
      <c r="F3">
        <v>1.5</v>
      </c>
      <c r="G3">
        <v>1.53</v>
      </c>
      <c r="H3">
        <v>1.52</v>
      </c>
      <c r="I3">
        <v>0</v>
      </c>
      <c r="J3">
        <v>0.01</v>
      </c>
      <c r="K3">
        <v>0</v>
      </c>
      <c r="L3">
        <v>1.58</v>
      </c>
      <c r="M3">
        <v>1.75</v>
      </c>
      <c r="N3">
        <v>1.65</v>
      </c>
      <c r="P3">
        <f>P2+100</f>
        <v>200</v>
      </c>
      <c r="Q3">
        <f>AVERAGE(N4:N5)</f>
        <v>13.025</v>
      </c>
    </row>
    <row r="4" spans="1:17" x14ac:dyDescent="0.25">
      <c r="A4">
        <v>0</v>
      </c>
      <c r="B4">
        <v>200</v>
      </c>
      <c r="C4">
        <v>0.13</v>
      </c>
      <c r="D4">
        <v>0.28999999999999998</v>
      </c>
      <c r="E4">
        <v>0.19</v>
      </c>
      <c r="F4">
        <v>1.67</v>
      </c>
      <c r="G4">
        <v>1.71</v>
      </c>
      <c r="H4">
        <v>1.68</v>
      </c>
      <c r="I4">
        <v>18.87</v>
      </c>
      <c r="J4">
        <v>24.57</v>
      </c>
      <c r="K4">
        <v>21.02</v>
      </c>
      <c r="L4">
        <v>20.76</v>
      </c>
      <c r="M4">
        <v>26.43</v>
      </c>
      <c r="N4">
        <v>22.89</v>
      </c>
      <c r="P4">
        <f t="shared" ref="P4:P29" si="0">P3+100</f>
        <v>300</v>
      </c>
      <c r="Q4">
        <f>AVERAGE(N6:N7)</f>
        <v>13.93</v>
      </c>
    </row>
    <row r="5" spans="1:17" x14ac:dyDescent="0.25">
      <c r="A5">
        <v>1</v>
      </c>
      <c r="B5">
        <v>200</v>
      </c>
      <c r="C5">
        <v>0.08</v>
      </c>
      <c r="D5">
        <v>0.22</v>
      </c>
      <c r="E5">
        <v>0.15</v>
      </c>
      <c r="F5">
        <v>2.99</v>
      </c>
      <c r="G5">
        <v>3.03</v>
      </c>
      <c r="H5">
        <v>3.01</v>
      </c>
      <c r="I5">
        <v>0</v>
      </c>
      <c r="J5">
        <v>0.03</v>
      </c>
      <c r="K5">
        <v>0</v>
      </c>
      <c r="L5">
        <v>3.09</v>
      </c>
      <c r="M5">
        <v>3.24</v>
      </c>
      <c r="N5">
        <v>3.16</v>
      </c>
      <c r="P5">
        <f t="shared" si="0"/>
        <v>400</v>
      </c>
      <c r="Q5">
        <f>AVERAGE(N8:N9)</f>
        <v>15.649999999999999</v>
      </c>
    </row>
    <row r="6" spans="1:17" x14ac:dyDescent="0.25">
      <c r="A6">
        <v>0</v>
      </c>
      <c r="B6">
        <v>300</v>
      </c>
      <c r="C6">
        <v>0.14000000000000001</v>
      </c>
      <c r="D6">
        <v>0.27</v>
      </c>
      <c r="E6">
        <v>0.19</v>
      </c>
      <c r="F6">
        <v>2.2599999999999998</v>
      </c>
      <c r="G6">
        <v>2.31</v>
      </c>
      <c r="H6">
        <v>2.2799999999999998</v>
      </c>
      <c r="I6">
        <v>18.03</v>
      </c>
      <c r="J6">
        <v>23</v>
      </c>
      <c r="K6">
        <v>20.73</v>
      </c>
      <c r="L6">
        <v>20.52</v>
      </c>
      <c r="M6">
        <v>25.45</v>
      </c>
      <c r="N6">
        <v>23.19</v>
      </c>
      <c r="P6">
        <f t="shared" si="0"/>
        <v>500</v>
      </c>
      <c r="Q6">
        <f>AVERAGE(N10:N11)</f>
        <v>16.925000000000001</v>
      </c>
    </row>
    <row r="7" spans="1:17" x14ac:dyDescent="0.25">
      <c r="A7">
        <v>1</v>
      </c>
      <c r="B7">
        <v>300</v>
      </c>
      <c r="C7">
        <v>0.09</v>
      </c>
      <c r="D7">
        <v>0.23</v>
      </c>
      <c r="E7">
        <v>0.16</v>
      </c>
      <c r="F7">
        <v>4.4800000000000004</v>
      </c>
      <c r="G7">
        <v>4.62</v>
      </c>
      <c r="H7">
        <v>4.51</v>
      </c>
      <c r="I7">
        <v>0</v>
      </c>
      <c r="J7">
        <v>7.0000000000000007E-2</v>
      </c>
      <c r="K7">
        <v>0</v>
      </c>
      <c r="L7">
        <v>4.57</v>
      </c>
      <c r="M7">
        <v>4.79</v>
      </c>
      <c r="N7">
        <v>4.67</v>
      </c>
      <c r="P7">
        <f t="shared" si="0"/>
        <v>600</v>
      </c>
      <c r="Q7">
        <f>AVERAGE(N12:N13)</f>
        <v>18.04</v>
      </c>
    </row>
    <row r="8" spans="1:17" x14ac:dyDescent="0.25">
      <c r="A8">
        <v>0</v>
      </c>
      <c r="B8">
        <v>400</v>
      </c>
      <c r="C8">
        <v>0.16</v>
      </c>
      <c r="D8">
        <v>0.25</v>
      </c>
      <c r="E8">
        <v>0.19</v>
      </c>
      <c r="F8">
        <v>2.87</v>
      </c>
      <c r="G8">
        <v>2.94</v>
      </c>
      <c r="H8">
        <v>2.89</v>
      </c>
      <c r="I8">
        <v>19.91</v>
      </c>
      <c r="J8">
        <v>24.89</v>
      </c>
      <c r="K8">
        <v>22.07</v>
      </c>
      <c r="L8">
        <v>23.03</v>
      </c>
      <c r="M8">
        <v>28.02</v>
      </c>
      <c r="N8">
        <v>25.15</v>
      </c>
      <c r="P8">
        <f t="shared" si="0"/>
        <v>700</v>
      </c>
      <c r="Q8">
        <f>AVERAGE(N14:N15)</f>
        <v>19.605</v>
      </c>
    </row>
    <row r="9" spans="1:17" x14ac:dyDescent="0.25">
      <c r="A9">
        <v>1</v>
      </c>
      <c r="B9">
        <v>400</v>
      </c>
      <c r="C9">
        <v>0.1</v>
      </c>
      <c r="D9">
        <v>0.23</v>
      </c>
      <c r="E9">
        <v>0.17</v>
      </c>
      <c r="F9">
        <v>5.96</v>
      </c>
      <c r="G9">
        <v>6.02</v>
      </c>
      <c r="H9">
        <v>5.98</v>
      </c>
      <c r="I9">
        <v>0</v>
      </c>
      <c r="J9">
        <v>0.01</v>
      </c>
      <c r="K9">
        <v>0</v>
      </c>
      <c r="L9">
        <v>6.07</v>
      </c>
      <c r="M9">
        <v>6.23</v>
      </c>
      <c r="N9">
        <v>6.15</v>
      </c>
      <c r="P9">
        <f t="shared" si="0"/>
        <v>800</v>
      </c>
      <c r="Q9">
        <f>AVERAGE(N16:N17)</f>
        <v>20.785</v>
      </c>
    </row>
    <row r="10" spans="1:17" x14ac:dyDescent="0.25">
      <c r="A10">
        <v>0</v>
      </c>
      <c r="B10">
        <v>500</v>
      </c>
      <c r="C10">
        <v>0.15</v>
      </c>
      <c r="D10">
        <v>0.28999999999999998</v>
      </c>
      <c r="E10">
        <v>0.2</v>
      </c>
      <c r="F10">
        <v>3.44</v>
      </c>
      <c r="G10">
        <v>3.55</v>
      </c>
      <c r="H10">
        <v>3.49</v>
      </c>
      <c r="I10">
        <v>20.13</v>
      </c>
      <c r="J10">
        <v>25.71</v>
      </c>
      <c r="K10">
        <v>22.55</v>
      </c>
      <c r="L10">
        <v>23.78</v>
      </c>
      <c r="M10">
        <v>29.42</v>
      </c>
      <c r="N10">
        <v>26.24</v>
      </c>
      <c r="P10">
        <f t="shared" si="0"/>
        <v>900</v>
      </c>
      <c r="Q10">
        <f>AVERAGE(N18:N19)</f>
        <v>22.135000000000002</v>
      </c>
    </row>
    <row r="11" spans="1:17" x14ac:dyDescent="0.25">
      <c r="A11">
        <v>1</v>
      </c>
      <c r="B11">
        <v>500</v>
      </c>
      <c r="C11">
        <v>0.08</v>
      </c>
      <c r="D11">
        <v>0.22</v>
      </c>
      <c r="E11">
        <v>0.16</v>
      </c>
      <c r="F11">
        <v>7.42</v>
      </c>
      <c r="G11">
        <v>7.5</v>
      </c>
      <c r="H11">
        <v>7.45</v>
      </c>
      <c r="I11">
        <v>0</v>
      </c>
      <c r="J11">
        <v>0.06</v>
      </c>
      <c r="K11">
        <v>0</v>
      </c>
      <c r="L11">
        <v>7.51</v>
      </c>
      <c r="M11">
        <v>7.71</v>
      </c>
      <c r="N11">
        <v>7.61</v>
      </c>
      <c r="P11">
        <f t="shared" si="0"/>
        <v>1000</v>
      </c>
      <c r="Q11">
        <f>AVERAGE(N20:N21)</f>
        <v>23.234999999999999</v>
      </c>
    </row>
    <row r="12" spans="1:17" x14ac:dyDescent="0.25">
      <c r="A12">
        <v>0</v>
      </c>
      <c r="B12">
        <v>600</v>
      </c>
      <c r="C12">
        <v>0.17</v>
      </c>
      <c r="D12">
        <v>0.27</v>
      </c>
      <c r="E12">
        <v>0.2</v>
      </c>
      <c r="F12">
        <v>4.09</v>
      </c>
      <c r="G12">
        <v>4.16</v>
      </c>
      <c r="H12">
        <v>4.12</v>
      </c>
      <c r="I12">
        <v>20.51</v>
      </c>
      <c r="J12">
        <v>26.65</v>
      </c>
      <c r="K12">
        <v>22.65</v>
      </c>
      <c r="L12">
        <v>24.8</v>
      </c>
      <c r="M12">
        <v>31.02</v>
      </c>
      <c r="N12">
        <v>26.97</v>
      </c>
      <c r="P12">
        <f t="shared" si="0"/>
        <v>1100</v>
      </c>
      <c r="Q12">
        <f>AVERAGE(N22:N23)</f>
        <v>24.509999999999998</v>
      </c>
    </row>
    <row r="13" spans="1:17" x14ac:dyDescent="0.25">
      <c r="A13">
        <v>1</v>
      </c>
      <c r="B13">
        <v>600</v>
      </c>
      <c r="C13">
        <v>0.1</v>
      </c>
      <c r="D13">
        <v>0.24</v>
      </c>
      <c r="E13">
        <v>0.16</v>
      </c>
      <c r="F13">
        <v>8.93</v>
      </c>
      <c r="G13">
        <v>8.9700000000000006</v>
      </c>
      <c r="H13">
        <v>8.9499999999999993</v>
      </c>
      <c r="I13">
        <v>0</v>
      </c>
      <c r="J13">
        <v>0.01</v>
      </c>
      <c r="K13">
        <v>0</v>
      </c>
      <c r="L13">
        <v>9.0399999999999991</v>
      </c>
      <c r="M13">
        <v>9.2100000000000009</v>
      </c>
      <c r="N13">
        <v>9.11</v>
      </c>
      <c r="P13">
        <f t="shared" si="0"/>
        <v>1200</v>
      </c>
      <c r="Q13">
        <f>AVERAGE(N24:N25)</f>
        <v>25.984999999999999</v>
      </c>
    </row>
    <row r="14" spans="1:17" x14ac:dyDescent="0.25">
      <c r="A14">
        <v>0</v>
      </c>
      <c r="B14">
        <v>700</v>
      </c>
      <c r="C14">
        <v>0.17</v>
      </c>
      <c r="D14">
        <v>0.26</v>
      </c>
      <c r="E14">
        <v>0.21</v>
      </c>
      <c r="F14">
        <v>4.68</v>
      </c>
      <c r="G14">
        <v>4.79</v>
      </c>
      <c r="H14">
        <v>4.72</v>
      </c>
      <c r="I14">
        <v>21.54</v>
      </c>
      <c r="J14">
        <v>28.69</v>
      </c>
      <c r="K14">
        <v>23.64</v>
      </c>
      <c r="L14">
        <v>26.45</v>
      </c>
      <c r="M14">
        <v>33.630000000000003</v>
      </c>
      <c r="N14">
        <v>28.57</v>
      </c>
      <c r="P14">
        <f t="shared" si="0"/>
        <v>1300</v>
      </c>
      <c r="Q14">
        <f>AVERAGE(N26:N27)</f>
        <v>27.104999999999997</v>
      </c>
    </row>
    <row r="15" spans="1:17" x14ac:dyDescent="0.25">
      <c r="A15">
        <v>1</v>
      </c>
      <c r="B15">
        <v>700</v>
      </c>
      <c r="C15">
        <v>0.11</v>
      </c>
      <c r="D15">
        <v>0.24</v>
      </c>
      <c r="E15">
        <v>0.17</v>
      </c>
      <c r="F15">
        <v>10.45</v>
      </c>
      <c r="G15">
        <v>10.51</v>
      </c>
      <c r="H15">
        <v>10.47</v>
      </c>
      <c r="I15">
        <v>0</v>
      </c>
      <c r="J15">
        <v>0.05</v>
      </c>
      <c r="K15">
        <v>0</v>
      </c>
      <c r="L15">
        <v>10.56</v>
      </c>
      <c r="M15">
        <v>10.73</v>
      </c>
      <c r="N15">
        <v>10.64</v>
      </c>
      <c r="P15">
        <f t="shared" si="0"/>
        <v>1400</v>
      </c>
      <c r="Q15">
        <f>AVERAGE(N28:N29)</f>
        <v>28.614999999999998</v>
      </c>
    </row>
    <row r="16" spans="1:17" x14ac:dyDescent="0.25">
      <c r="A16">
        <v>0</v>
      </c>
      <c r="B16">
        <v>800</v>
      </c>
      <c r="C16">
        <v>0.15</v>
      </c>
      <c r="D16">
        <v>0.32</v>
      </c>
      <c r="E16">
        <v>0.21</v>
      </c>
      <c r="F16">
        <v>5.3</v>
      </c>
      <c r="G16">
        <v>5.43</v>
      </c>
      <c r="H16">
        <v>5.37</v>
      </c>
      <c r="I16">
        <v>21.59</v>
      </c>
      <c r="J16">
        <v>29.64</v>
      </c>
      <c r="K16">
        <v>23.9</v>
      </c>
      <c r="L16">
        <v>27.1</v>
      </c>
      <c r="M16">
        <v>35.24</v>
      </c>
      <c r="N16">
        <v>29.48</v>
      </c>
      <c r="P16">
        <f t="shared" si="0"/>
        <v>1500</v>
      </c>
      <c r="Q16">
        <f>AVERAGE(N30:N31)</f>
        <v>29.715000000000003</v>
      </c>
    </row>
    <row r="17" spans="1:17" x14ac:dyDescent="0.25">
      <c r="A17">
        <v>1</v>
      </c>
      <c r="B17">
        <v>800</v>
      </c>
      <c r="C17">
        <v>0.1</v>
      </c>
      <c r="D17">
        <v>0.23</v>
      </c>
      <c r="E17">
        <v>0.16</v>
      </c>
      <c r="F17">
        <v>11.89</v>
      </c>
      <c r="G17">
        <v>12.1</v>
      </c>
      <c r="H17">
        <v>11.92</v>
      </c>
      <c r="I17">
        <v>0</v>
      </c>
      <c r="J17">
        <v>0.01</v>
      </c>
      <c r="K17">
        <v>0</v>
      </c>
      <c r="L17">
        <v>12.01</v>
      </c>
      <c r="M17">
        <v>12.32</v>
      </c>
      <c r="N17">
        <v>12.09</v>
      </c>
      <c r="P17">
        <f t="shared" si="0"/>
        <v>1600</v>
      </c>
      <c r="Q17">
        <f>AVERAGE(N32:N33)</f>
        <v>31.164999999999999</v>
      </c>
    </row>
    <row r="18" spans="1:17" x14ac:dyDescent="0.25">
      <c r="A18">
        <v>0</v>
      </c>
      <c r="B18">
        <v>900</v>
      </c>
      <c r="C18">
        <v>0.18</v>
      </c>
      <c r="D18">
        <v>0.3</v>
      </c>
      <c r="E18">
        <v>0.24</v>
      </c>
      <c r="F18">
        <v>5.94</v>
      </c>
      <c r="G18">
        <v>6.01</v>
      </c>
      <c r="H18">
        <v>5.97</v>
      </c>
      <c r="I18">
        <v>22.53</v>
      </c>
      <c r="J18">
        <v>31.72</v>
      </c>
      <c r="K18">
        <v>24.79</v>
      </c>
      <c r="L18">
        <v>28.73</v>
      </c>
      <c r="M18">
        <v>37.979999999999997</v>
      </c>
      <c r="N18">
        <v>31.01</v>
      </c>
      <c r="P18">
        <f t="shared" si="0"/>
        <v>1700</v>
      </c>
      <c r="Q18">
        <f>AVERAGE(N34:N35)</f>
        <v>32.43</v>
      </c>
    </row>
    <row r="19" spans="1:17" x14ac:dyDescent="0.25">
      <c r="A19">
        <v>1</v>
      </c>
      <c r="B19">
        <v>900</v>
      </c>
      <c r="C19">
        <v>0.05</v>
      </c>
      <c r="D19">
        <v>0.1</v>
      </c>
      <c r="E19">
        <v>7.0000000000000007E-2</v>
      </c>
      <c r="F19">
        <v>13.15</v>
      </c>
      <c r="G19">
        <v>13.3</v>
      </c>
      <c r="H19">
        <v>13.18</v>
      </c>
      <c r="I19">
        <v>0</v>
      </c>
      <c r="J19">
        <v>0</v>
      </c>
      <c r="K19">
        <v>0</v>
      </c>
      <c r="L19">
        <v>13.21</v>
      </c>
      <c r="M19">
        <v>13.39</v>
      </c>
      <c r="N19">
        <v>13.26</v>
      </c>
      <c r="P19">
        <f t="shared" si="0"/>
        <v>1800</v>
      </c>
      <c r="Q19">
        <f>AVERAGE(N36:N37)</f>
        <v>34.005000000000003</v>
      </c>
    </row>
    <row r="20" spans="1:17" x14ac:dyDescent="0.25">
      <c r="A20">
        <v>0</v>
      </c>
      <c r="B20">
        <v>1000</v>
      </c>
      <c r="C20">
        <v>0.15</v>
      </c>
      <c r="D20">
        <v>0.28000000000000003</v>
      </c>
      <c r="E20">
        <v>0.22</v>
      </c>
      <c r="F20">
        <v>6.41</v>
      </c>
      <c r="G20">
        <v>6.57</v>
      </c>
      <c r="H20">
        <v>6.47</v>
      </c>
      <c r="I20">
        <v>22.58</v>
      </c>
      <c r="J20">
        <v>28.97</v>
      </c>
      <c r="K20">
        <v>25.03</v>
      </c>
      <c r="L20">
        <v>29.24</v>
      </c>
      <c r="M20">
        <v>35.72</v>
      </c>
      <c r="N20">
        <v>31.72</v>
      </c>
      <c r="P20">
        <f t="shared" si="0"/>
        <v>1900</v>
      </c>
      <c r="Q20">
        <f>AVERAGE(N38:N39)</f>
        <v>34.945</v>
      </c>
    </row>
    <row r="21" spans="1:17" x14ac:dyDescent="0.25">
      <c r="A21">
        <v>1</v>
      </c>
      <c r="B21">
        <v>1000</v>
      </c>
      <c r="C21">
        <v>0.06</v>
      </c>
      <c r="D21">
        <v>0.22</v>
      </c>
      <c r="E21">
        <v>0.1</v>
      </c>
      <c r="F21">
        <v>14.61</v>
      </c>
      <c r="G21">
        <v>14.76</v>
      </c>
      <c r="H21">
        <v>14.65</v>
      </c>
      <c r="I21">
        <v>0</v>
      </c>
      <c r="J21">
        <v>0.01</v>
      </c>
      <c r="K21">
        <v>0</v>
      </c>
      <c r="L21">
        <v>14.7</v>
      </c>
      <c r="M21">
        <v>14.95</v>
      </c>
      <c r="N21">
        <v>14.75</v>
      </c>
      <c r="P21">
        <f t="shared" si="0"/>
        <v>2000</v>
      </c>
      <c r="Q21">
        <f>AVERAGE(N40:N41)</f>
        <v>35.314999999999998</v>
      </c>
    </row>
    <row r="22" spans="1:17" x14ac:dyDescent="0.25">
      <c r="A22">
        <v>0</v>
      </c>
      <c r="B22">
        <v>1100</v>
      </c>
      <c r="C22">
        <v>0.14000000000000001</v>
      </c>
      <c r="D22">
        <v>0.31</v>
      </c>
      <c r="E22">
        <v>0.22</v>
      </c>
      <c r="F22">
        <v>7.07</v>
      </c>
      <c r="G22">
        <v>7.18</v>
      </c>
      <c r="H22">
        <v>7.12</v>
      </c>
      <c r="I22">
        <v>23.36</v>
      </c>
      <c r="J22">
        <v>29.49</v>
      </c>
      <c r="K22">
        <v>25.49</v>
      </c>
      <c r="L22">
        <v>30.66</v>
      </c>
      <c r="M22">
        <v>36.9</v>
      </c>
      <c r="N22">
        <v>32.83</v>
      </c>
      <c r="P22">
        <f t="shared" si="0"/>
        <v>2100</v>
      </c>
      <c r="Q22">
        <f>AVERAGE(N42:N43)</f>
        <v>37.585000000000001</v>
      </c>
    </row>
    <row r="23" spans="1:17" x14ac:dyDescent="0.25">
      <c r="A23">
        <v>1</v>
      </c>
      <c r="B23">
        <v>1100</v>
      </c>
      <c r="C23">
        <v>0.04</v>
      </c>
      <c r="D23">
        <v>0.18</v>
      </c>
      <c r="E23">
        <v>0.08</v>
      </c>
      <c r="F23">
        <v>16.059999999999999</v>
      </c>
      <c r="G23">
        <v>16.21</v>
      </c>
      <c r="H23">
        <v>16.11</v>
      </c>
      <c r="I23">
        <v>0</v>
      </c>
      <c r="J23">
        <v>0</v>
      </c>
      <c r="K23">
        <v>0</v>
      </c>
      <c r="L23">
        <v>16.12</v>
      </c>
      <c r="M23">
        <v>16.329999999999998</v>
      </c>
      <c r="N23">
        <v>16.190000000000001</v>
      </c>
      <c r="P23">
        <f t="shared" si="0"/>
        <v>2200</v>
      </c>
      <c r="Q23">
        <f>AVERAGE(N44:N45)</f>
        <v>37.805</v>
      </c>
    </row>
    <row r="24" spans="1:17" x14ac:dyDescent="0.25">
      <c r="A24">
        <v>0</v>
      </c>
      <c r="B24">
        <v>1200</v>
      </c>
      <c r="C24">
        <v>0.14000000000000001</v>
      </c>
      <c r="D24">
        <v>0.3</v>
      </c>
      <c r="E24">
        <v>0.22</v>
      </c>
      <c r="F24">
        <v>7.77</v>
      </c>
      <c r="G24">
        <v>7.92</v>
      </c>
      <c r="H24">
        <v>7.86</v>
      </c>
      <c r="I24">
        <v>23.65</v>
      </c>
      <c r="J24">
        <v>30.57</v>
      </c>
      <c r="K24">
        <v>26.16</v>
      </c>
      <c r="L24">
        <v>31.69</v>
      </c>
      <c r="M24">
        <v>38.64</v>
      </c>
      <c r="N24">
        <v>34.24</v>
      </c>
      <c r="P24">
        <f t="shared" si="0"/>
        <v>2300</v>
      </c>
      <c r="Q24">
        <f>AVERAGE(N46:N47)</f>
        <v>40.19</v>
      </c>
    </row>
    <row r="25" spans="1:17" x14ac:dyDescent="0.25">
      <c r="A25">
        <v>1</v>
      </c>
      <c r="B25">
        <v>1200</v>
      </c>
      <c r="C25">
        <v>0.05</v>
      </c>
      <c r="D25">
        <v>0.18</v>
      </c>
      <c r="E25">
        <v>0.08</v>
      </c>
      <c r="F25">
        <v>17.600000000000001</v>
      </c>
      <c r="G25">
        <v>17.77</v>
      </c>
      <c r="H25">
        <v>17.649999999999999</v>
      </c>
      <c r="I25">
        <v>0</v>
      </c>
      <c r="J25">
        <v>0</v>
      </c>
      <c r="K25">
        <v>0</v>
      </c>
      <c r="L25">
        <v>17.670000000000002</v>
      </c>
      <c r="M25">
        <v>17.95</v>
      </c>
      <c r="N25">
        <v>17.73</v>
      </c>
      <c r="P25">
        <f t="shared" si="0"/>
        <v>2400</v>
      </c>
      <c r="Q25">
        <f>AVERAGE(N48:N49)</f>
        <v>41.84</v>
      </c>
    </row>
    <row r="26" spans="1:17" x14ac:dyDescent="0.25">
      <c r="A26">
        <v>0</v>
      </c>
      <c r="B26">
        <v>1300</v>
      </c>
      <c r="C26">
        <v>0.13</v>
      </c>
      <c r="D26">
        <v>0.28000000000000003</v>
      </c>
      <c r="E26">
        <v>0.21</v>
      </c>
      <c r="F26">
        <v>8.26</v>
      </c>
      <c r="G26">
        <v>8.4499999999999993</v>
      </c>
      <c r="H26">
        <v>8.35</v>
      </c>
      <c r="I26">
        <v>24.31</v>
      </c>
      <c r="J26">
        <v>29.26</v>
      </c>
      <c r="K26">
        <v>26.45</v>
      </c>
      <c r="L26">
        <v>32.950000000000003</v>
      </c>
      <c r="M26">
        <v>37.86</v>
      </c>
      <c r="N26">
        <v>35.01</v>
      </c>
      <c r="P26">
        <f t="shared" si="0"/>
        <v>2500</v>
      </c>
      <c r="Q26">
        <f>AVERAGE(N50:N51)</f>
        <v>42.594999999999999</v>
      </c>
    </row>
    <row r="27" spans="1:17" x14ac:dyDescent="0.25">
      <c r="A27">
        <v>1</v>
      </c>
      <c r="B27">
        <v>1300</v>
      </c>
      <c r="C27">
        <v>0.05</v>
      </c>
      <c r="D27">
        <v>0.21</v>
      </c>
      <c r="E27">
        <v>0.1</v>
      </c>
      <c r="F27">
        <v>19.059999999999999</v>
      </c>
      <c r="G27">
        <v>19.23</v>
      </c>
      <c r="H27">
        <v>19.100000000000001</v>
      </c>
      <c r="I27">
        <v>0</v>
      </c>
      <c r="J27">
        <v>0</v>
      </c>
      <c r="K27">
        <v>0</v>
      </c>
      <c r="L27">
        <v>19.12</v>
      </c>
      <c r="M27">
        <v>19.43</v>
      </c>
      <c r="N27">
        <v>19.2</v>
      </c>
      <c r="P27">
        <f t="shared" si="0"/>
        <v>2600</v>
      </c>
      <c r="Q27">
        <f>AVERAGE(N52:N53)</f>
        <v>42.97</v>
      </c>
    </row>
    <row r="28" spans="1:17" x14ac:dyDescent="0.25">
      <c r="A28">
        <v>0</v>
      </c>
      <c r="B28">
        <v>1400</v>
      </c>
      <c r="C28">
        <v>0.15</v>
      </c>
      <c r="D28">
        <v>0.28999999999999998</v>
      </c>
      <c r="E28">
        <v>0.22</v>
      </c>
      <c r="F28">
        <v>8.91</v>
      </c>
      <c r="G28">
        <v>9.09</v>
      </c>
      <c r="H28">
        <v>9</v>
      </c>
      <c r="I28">
        <v>25.36</v>
      </c>
      <c r="J28">
        <v>30.91</v>
      </c>
      <c r="K28">
        <v>27.44</v>
      </c>
      <c r="L28">
        <v>34.6</v>
      </c>
      <c r="M28">
        <v>40.159999999999997</v>
      </c>
      <c r="N28">
        <v>36.659999999999997</v>
      </c>
      <c r="P28">
        <f t="shared" si="0"/>
        <v>2700</v>
      </c>
      <c r="Q28">
        <f>AVERAGE(N54:N55)</f>
        <v>46.03</v>
      </c>
    </row>
    <row r="29" spans="1:17" x14ac:dyDescent="0.25">
      <c r="A29">
        <v>1</v>
      </c>
      <c r="B29">
        <v>1400</v>
      </c>
      <c r="C29">
        <v>0.06</v>
      </c>
      <c r="D29">
        <v>0.16</v>
      </c>
      <c r="E29">
        <v>0.08</v>
      </c>
      <c r="F29">
        <v>20.440000000000001</v>
      </c>
      <c r="G29">
        <v>20.58</v>
      </c>
      <c r="H29">
        <v>20.49</v>
      </c>
      <c r="I29">
        <v>0</v>
      </c>
      <c r="J29">
        <v>0</v>
      </c>
      <c r="K29">
        <v>0</v>
      </c>
      <c r="L29">
        <v>20.51</v>
      </c>
      <c r="M29">
        <v>20.68</v>
      </c>
      <c r="N29">
        <v>20.57</v>
      </c>
      <c r="P29">
        <f t="shared" si="0"/>
        <v>2800</v>
      </c>
      <c r="Q29">
        <f>AVERAGE(N56:N57)</f>
        <v>45.55</v>
      </c>
    </row>
    <row r="30" spans="1:17" x14ac:dyDescent="0.25">
      <c r="A30">
        <v>0</v>
      </c>
      <c r="B30">
        <v>1500</v>
      </c>
      <c r="C30">
        <v>0.08</v>
      </c>
      <c r="D30">
        <v>0.28000000000000003</v>
      </c>
      <c r="E30">
        <v>0.21</v>
      </c>
      <c r="F30">
        <v>9.4499999999999993</v>
      </c>
      <c r="G30">
        <v>9.73</v>
      </c>
      <c r="H30">
        <v>9.59</v>
      </c>
      <c r="I30">
        <v>25.22</v>
      </c>
      <c r="J30">
        <v>33.549999999999997</v>
      </c>
      <c r="K30">
        <v>27.58</v>
      </c>
      <c r="L30">
        <v>35.18</v>
      </c>
      <c r="M30">
        <v>43.43</v>
      </c>
      <c r="N30">
        <v>37.380000000000003</v>
      </c>
      <c r="P30">
        <v>2900</v>
      </c>
      <c r="Q30" t="e">
        <f>AVERAGE(N58:N59)</f>
        <v>#DIV/0!</v>
      </c>
    </row>
    <row r="31" spans="1:17" x14ac:dyDescent="0.25">
      <c r="A31">
        <v>1</v>
      </c>
      <c r="B31">
        <v>1500</v>
      </c>
      <c r="C31">
        <v>0.05</v>
      </c>
      <c r="D31">
        <v>0.19</v>
      </c>
      <c r="E31">
        <v>0.08</v>
      </c>
      <c r="F31">
        <v>21.9</v>
      </c>
      <c r="G31">
        <v>22.09</v>
      </c>
      <c r="H31">
        <v>21.97</v>
      </c>
      <c r="I31">
        <v>0</v>
      </c>
      <c r="J31">
        <v>0.01</v>
      </c>
      <c r="K31">
        <v>0</v>
      </c>
      <c r="L31">
        <v>21.95</v>
      </c>
      <c r="M31">
        <v>22.26</v>
      </c>
      <c r="N31">
        <v>22.05</v>
      </c>
      <c r="P31">
        <v>3000</v>
      </c>
      <c r="Q31" t="e">
        <f>AVERAGE(N60:N61)</f>
        <v>#DIV/0!</v>
      </c>
    </row>
    <row r="32" spans="1:17" x14ac:dyDescent="0.25">
      <c r="A32">
        <v>0</v>
      </c>
      <c r="B32">
        <v>1600</v>
      </c>
      <c r="C32">
        <v>0.16</v>
      </c>
      <c r="D32">
        <v>0.3</v>
      </c>
      <c r="E32">
        <v>0.22</v>
      </c>
      <c r="F32">
        <v>10.17</v>
      </c>
      <c r="G32">
        <v>10.38</v>
      </c>
      <c r="H32">
        <v>10.25</v>
      </c>
      <c r="I32">
        <v>25.92</v>
      </c>
      <c r="J32">
        <v>37.69</v>
      </c>
      <c r="K32">
        <v>28.27</v>
      </c>
      <c r="L32">
        <v>36.340000000000003</v>
      </c>
      <c r="M32">
        <v>48.34</v>
      </c>
      <c r="N32">
        <v>38.74</v>
      </c>
    </row>
    <row r="33" spans="1:14" x14ac:dyDescent="0.25">
      <c r="A33">
        <v>1</v>
      </c>
      <c r="B33">
        <v>1600</v>
      </c>
      <c r="C33">
        <v>0.05</v>
      </c>
      <c r="D33">
        <v>0.12</v>
      </c>
      <c r="E33">
        <v>0.08</v>
      </c>
      <c r="F33">
        <v>23.41</v>
      </c>
      <c r="G33">
        <v>23.63</v>
      </c>
      <c r="H33">
        <v>23.51</v>
      </c>
      <c r="I33">
        <v>0</v>
      </c>
      <c r="J33">
        <v>0</v>
      </c>
      <c r="K33">
        <v>0</v>
      </c>
      <c r="L33">
        <v>23.48</v>
      </c>
      <c r="M33">
        <v>23.71</v>
      </c>
      <c r="N33">
        <v>23.59</v>
      </c>
    </row>
    <row r="34" spans="1:14" x14ac:dyDescent="0.25">
      <c r="A34">
        <v>0</v>
      </c>
      <c r="B34">
        <v>1700</v>
      </c>
      <c r="C34">
        <v>0.15</v>
      </c>
      <c r="D34">
        <v>0.3</v>
      </c>
      <c r="E34">
        <v>0.22</v>
      </c>
      <c r="F34">
        <v>10.75</v>
      </c>
      <c r="G34">
        <v>11.02</v>
      </c>
      <c r="H34">
        <v>10.9</v>
      </c>
      <c r="I34">
        <v>25.56</v>
      </c>
      <c r="J34">
        <v>32.85</v>
      </c>
      <c r="K34">
        <v>28.61</v>
      </c>
      <c r="L34">
        <v>36.65</v>
      </c>
      <c r="M34">
        <v>44.08</v>
      </c>
      <c r="N34">
        <v>39.729999999999997</v>
      </c>
    </row>
    <row r="35" spans="1:14" x14ac:dyDescent="0.25">
      <c r="A35">
        <v>1</v>
      </c>
      <c r="B35">
        <v>1700</v>
      </c>
      <c r="C35">
        <v>0.04</v>
      </c>
      <c r="D35">
        <v>0.2</v>
      </c>
      <c r="E35">
        <v>0.09</v>
      </c>
      <c r="F35">
        <v>24.95</v>
      </c>
      <c r="G35">
        <v>25.18</v>
      </c>
      <c r="H35">
        <v>25.04</v>
      </c>
      <c r="I35">
        <v>0</v>
      </c>
      <c r="J35">
        <v>0</v>
      </c>
      <c r="K35">
        <v>0</v>
      </c>
      <c r="L35">
        <v>25.02</v>
      </c>
      <c r="M35">
        <v>25.27</v>
      </c>
      <c r="N35">
        <v>25.13</v>
      </c>
    </row>
    <row r="36" spans="1:14" x14ac:dyDescent="0.25">
      <c r="A36">
        <v>0</v>
      </c>
      <c r="B36">
        <v>1800</v>
      </c>
      <c r="C36">
        <v>0.15</v>
      </c>
      <c r="D36">
        <v>0.3</v>
      </c>
      <c r="E36">
        <v>0.22</v>
      </c>
      <c r="F36">
        <v>11.54</v>
      </c>
      <c r="G36">
        <v>11.81</v>
      </c>
      <c r="H36">
        <v>11.7</v>
      </c>
      <c r="I36">
        <v>27.02</v>
      </c>
      <c r="J36">
        <v>34.82</v>
      </c>
      <c r="K36">
        <v>29.37</v>
      </c>
      <c r="L36">
        <v>39.04</v>
      </c>
      <c r="M36">
        <v>46.88</v>
      </c>
      <c r="N36">
        <v>41.28</v>
      </c>
    </row>
    <row r="37" spans="1:14" x14ac:dyDescent="0.25">
      <c r="A37">
        <v>1</v>
      </c>
      <c r="B37">
        <v>1800</v>
      </c>
      <c r="C37">
        <v>0.05</v>
      </c>
      <c r="D37">
        <v>0.24</v>
      </c>
      <c r="E37">
        <v>0.1</v>
      </c>
      <c r="F37">
        <v>26.54</v>
      </c>
      <c r="G37">
        <v>26.78</v>
      </c>
      <c r="H37">
        <v>26.64</v>
      </c>
      <c r="I37">
        <v>0</v>
      </c>
      <c r="J37">
        <v>0</v>
      </c>
      <c r="K37">
        <v>0</v>
      </c>
      <c r="L37">
        <v>26.62</v>
      </c>
      <c r="M37">
        <v>26.94</v>
      </c>
      <c r="N37">
        <v>26.73</v>
      </c>
    </row>
    <row r="38" spans="1:14" x14ac:dyDescent="0.25">
      <c r="A38">
        <v>0</v>
      </c>
      <c r="B38">
        <v>1900</v>
      </c>
      <c r="C38">
        <v>0.13</v>
      </c>
      <c r="D38">
        <v>0.3</v>
      </c>
      <c r="E38">
        <v>0.22</v>
      </c>
      <c r="F38">
        <v>12.14</v>
      </c>
      <c r="G38">
        <v>12.38</v>
      </c>
      <c r="H38">
        <v>12.24</v>
      </c>
      <c r="I38">
        <v>27.79</v>
      </c>
      <c r="J38">
        <v>33.72</v>
      </c>
      <c r="K38">
        <v>29.81</v>
      </c>
      <c r="L38">
        <v>40.17</v>
      </c>
      <c r="M38">
        <v>46.21</v>
      </c>
      <c r="N38">
        <v>42.27</v>
      </c>
    </row>
    <row r="39" spans="1:14" x14ac:dyDescent="0.25">
      <c r="A39">
        <v>1</v>
      </c>
      <c r="B39">
        <v>1900</v>
      </c>
      <c r="C39">
        <v>0.06</v>
      </c>
      <c r="D39">
        <v>0.2</v>
      </c>
      <c r="E39">
        <v>0.09</v>
      </c>
      <c r="F39">
        <v>27.45</v>
      </c>
      <c r="G39">
        <v>27.64</v>
      </c>
      <c r="H39">
        <v>27.53</v>
      </c>
      <c r="I39">
        <v>0</v>
      </c>
      <c r="J39">
        <v>0</v>
      </c>
      <c r="K39">
        <v>0</v>
      </c>
      <c r="L39">
        <v>27.53</v>
      </c>
      <c r="M39">
        <v>27.83</v>
      </c>
      <c r="N39">
        <v>27.62</v>
      </c>
    </row>
    <row r="40" spans="1:14" x14ac:dyDescent="0.25">
      <c r="A40">
        <v>0</v>
      </c>
      <c r="B40">
        <v>2000</v>
      </c>
      <c r="C40">
        <v>0.13</v>
      </c>
      <c r="D40">
        <v>0.3</v>
      </c>
      <c r="E40">
        <v>0.23</v>
      </c>
      <c r="F40">
        <v>12.19</v>
      </c>
      <c r="G40">
        <v>12.49</v>
      </c>
      <c r="H40">
        <v>12.34</v>
      </c>
      <c r="I40">
        <v>26.66</v>
      </c>
      <c r="J40">
        <v>40.65</v>
      </c>
      <c r="K40">
        <v>28.9</v>
      </c>
      <c r="L40">
        <v>39.18</v>
      </c>
      <c r="M40">
        <v>53.32</v>
      </c>
      <c r="N40">
        <v>41.46</v>
      </c>
    </row>
    <row r="41" spans="1:14" x14ac:dyDescent="0.25">
      <c r="A41">
        <v>1</v>
      </c>
      <c r="B41">
        <v>2000</v>
      </c>
      <c r="C41">
        <v>0.05</v>
      </c>
      <c r="D41">
        <v>0.17</v>
      </c>
      <c r="E41">
        <v>0.08</v>
      </c>
      <c r="F41">
        <v>28.94</v>
      </c>
      <c r="G41">
        <v>29.31</v>
      </c>
      <c r="H41">
        <v>29.09</v>
      </c>
      <c r="I41">
        <v>0</v>
      </c>
      <c r="J41">
        <v>0</v>
      </c>
      <c r="K41">
        <v>0</v>
      </c>
      <c r="L41">
        <v>29.01</v>
      </c>
      <c r="M41">
        <v>29.4</v>
      </c>
      <c r="N41">
        <v>29.17</v>
      </c>
    </row>
    <row r="42" spans="1:14" x14ac:dyDescent="0.25">
      <c r="A42">
        <v>0</v>
      </c>
      <c r="B42">
        <v>2100</v>
      </c>
      <c r="C42">
        <v>0.17</v>
      </c>
      <c r="D42">
        <v>0.3</v>
      </c>
      <c r="E42">
        <v>0.22</v>
      </c>
      <c r="F42">
        <v>13.24</v>
      </c>
      <c r="G42">
        <v>13.62</v>
      </c>
      <c r="H42">
        <v>13.38</v>
      </c>
      <c r="I42">
        <v>28.18</v>
      </c>
      <c r="J42">
        <v>36.93</v>
      </c>
      <c r="K42">
        <v>30.66</v>
      </c>
      <c r="L42">
        <v>41.81</v>
      </c>
      <c r="M42">
        <v>50.57</v>
      </c>
      <c r="N42">
        <v>44.26</v>
      </c>
    </row>
    <row r="43" spans="1:14" x14ac:dyDescent="0.25">
      <c r="A43">
        <v>1</v>
      </c>
      <c r="B43">
        <v>2100</v>
      </c>
      <c r="C43">
        <v>0.05</v>
      </c>
      <c r="D43">
        <v>0.11</v>
      </c>
      <c r="E43">
        <v>0.08</v>
      </c>
      <c r="F43">
        <v>30.75</v>
      </c>
      <c r="G43">
        <v>30.92</v>
      </c>
      <c r="H43">
        <v>30.83</v>
      </c>
      <c r="I43">
        <v>0</v>
      </c>
      <c r="J43">
        <v>0</v>
      </c>
      <c r="K43">
        <v>0</v>
      </c>
      <c r="L43">
        <v>30.8</v>
      </c>
      <c r="M43">
        <v>31.01</v>
      </c>
      <c r="N43">
        <v>30.91</v>
      </c>
    </row>
    <row r="44" spans="1:14" x14ac:dyDescent="0.25">
      <c r="A44">
        <v>0</v>
      </c>
      <c r="B44">
        <v>2200</v>
      </c>
      <c r="C44">
        <v>0.15</v>
      </c>
      <c r="D44">
        <v>0.28000000000000003</v>
      </c>
      <c r="E44">
        <v>0.22</v>
      </c>
      <c r="F44">
        <v>13.68</v>
      </c>
      <c r="G44">
        <v>14</v>
      </c>
      <c r="H44">
        <v>13.79</v>
      </c>
      <c r="I44">
        <v>26.84</v>
      </c>
      <c r="J44">
        <v>32.44</v>
      </c>
      <c r="K44">
        <v>29.37</v>
      </c>
      <c r="L44">
        <v>40.81</v>
      </c>
      <c r="M44">
        <v>46.54</v>
      </c>
      <c r="N44">
        <v>43.38</v>
      </c>
    </row>
    <row r="45" spans="1:14" x14ac:dyDescent="0.25">
      <c r="A45">
        <v>1</v>
      </c>
      <c r="B45">
        <v>2200</v>
      </c>
      <c r="C45">
        <v>0.06</v>
      </c>
      <c r="D45">
        <v>0.12</v>
      </c>
      <c r="E45">
        <v>0.09</v>
      </c>
      <c r="F45">
        <v>32.01</v>
      </c>
      <c r="G45">
        <v>32.36</v>
      </c>
      <c r="H45">
        <v>32.14</v>
      </c>
      <c r="I45">
        <v>0</v>
      </c>
      <c r="J45">
        <v>0</v>
      </c>
      <c r="K45">
        <v>0</v>
      </c>
      <c r="L45">
        <v>32.090000000000003</v>
      </c>
      <c r="M45">
        <v>32.46</v>
      </c>
      <c r="N45">
        <v>32.229999999999997</v>
      </c>
    </row>
    <row r="46" spans="1:14" x14ac:dyDescent="0.25">
      <c r="A46">
        <v>0</v>
      </c>
      <c r="B46">
        <v>2300</v>
      </c>
      <c r="C46">
        <v>0.11</v>
      </c>
      <c r="D46">
        <v>0.3</v>
      </c>
      <c r="E46">
        <v>0.23</v>
      </c>
      <c r="F46">
        <v>14.7</v>
      </c>
      <c r="G46">
        <v>15</v>
      </c>
      <c r="H46">
        <v>14.83</v>
      </c>
      <c r="I46">
        <v>29.36</v>
      </c>
      <c r="J46">
        <v>36.42</v>
      </c>
      <c r="K46">
        <v>31.91</v>
      </c>
      <c r="L46">
        <v>44.34</v>
      </c>
      <c r="M46">
        <v>51.62</v>
      </c>
      <c r="N46">
        <v>46.96</v>
      </c>
    </row>
    <row r="47" spans="1:14" x14ac:dyDescent="0.25">
      <c r="A47">
        <v>1</v>
      </c>
      <c r="B47">
        <v>2300</v>
      </c>
      <c r="C47">
        <v>0.06</v>
      </c>
      <c r="D47">
        <v>0.22</v>
      </c>
      <c r="E47">
        <v>0.09</v>
      </c>
      <c r="F47">
        <v>33.24</v>
      </c>
      <c r="G47">
        <v>33.479999999999997</v>
      </c>
      <c r="H47">
        <v>33.33</v>
      </c>
      <c r="I47">
        <v>0</v>
      </c>
      <c r="J47">
        <v>0.01</v>
      </c>
      <c r="K47">
        <v>0</v>
      </c>
      <c r="L47">
        <v>33.32</v>
      </c>
      <c r="M47">
        <v>33.590000000000003</v>
      </c>
      <c r="N47">
        <v>33.42</v>
      </c>
    </row>
    <row r="48" spans="1:14" x14ac:dyDescent="0.25">
      <c r="A48">
        <v>0</v>
      </c>
      <c r="B48">
        <v>2400</v>
      </c>
      <c r="C48">
        <v>0.12</v>
      </c>
      <c r="D48">
        <v>0.28999999999999998</v>
      </c>
      <c r="E48">
        <v>0.22</v>
      </c>
      <c r="F48">
        <v>15.19</v>
      </c>
      <c r="G48">
        <v>15.6</v>
      </c>
      <c r="H48">
        <v>15.43</v>
      </c>
      <c r="I48">
        <v>30.37</v>
      </c>
      <c r="J48">
        <v>36.299999999999997</v>
      </c>
      <c r="K48">
        <v>32.520000000000003</v>
      </c>
      <c r="L48">
        <v>46.03</v>
      </c>
      <c r="M48">
        <v>52.02</v>
      </c>
      <c r="N48">
        <v>48.17</v>
      </c>
    </row>
    <row r="49" spans="1:14" x14ac:dyDescent="0.25">
      <c r="A49">
        <v>1</v>
      </c>
      <c r="B49">
        <v>2400</v>
      </c>
      <c r="C49">
        <v>7.0000000000000007E-2</v>
      </c>
      <c r="D49">
        <v>0.18</v>
      </c>
      <c r="E49">
        <v>0.1</v>
      </c>
      <c r="F49">
        <v>35.31</v>
      </c>
      <c r="G49">
        <v>35.549999999999997</v>
      </c>
      <c r="H49">
        <v>35.409999999999997</v>
      </c>
      <c r="I49">
        <v>0</v>
      </c>
      <c r="J49">
        <v>0</v>
      </c>
      <c r="K49">
        <v>0</v>
      </c>
      <c r="L49">
        <v>35.4</v>
      </c>
      <c r="M49">
        <v>35.67</v>
      </c>
      <c r="N49">
        <v>35.51</v>
      </c>
    </row>
    <row r="50" spans="1:14" x14ac:dyDescent="0.25">
      <c r="A50">
        <v>0</v>
      </c>
      <c r="B50">
        <v>2500</v>
      </c>
      <c r="C50">
        <v>0.14000000000000001</v>
      </c>
      <c r="D50">
        <v>0.3</v>
      </c>
      <c r="E50">
        <v>0.23</v>
      </c>
      <c r="F50">
        <v>15.59</v>
      </c>
      <c r="G50">
        <v>15.99</v>
      </c>
      <c r="H50">
        <v>15.8</v>
      </c>
      <c r="I50">
        <v>30.18</v>
      </c>
      <c r="J50">
        <v>35.880000000000003</v>
      </c>
      <c r="K50">
        <v>32.56</v>
      </c>
      <c r="L50">
        <v>46.14</v>
      </c>
      <c r="M50">
        <v>51.99</v>
      </c>
      <c r="N50">
        <v>48.59</v>
      </c>
    </row>
    <row r="51" spans="1:14" x14ac:dyDescent="0.25">
      <c r="A51">
        <v>1</v>
      </c>
      <c r="B51">
        <v>2500</v>
      </c>
      <c r="C51">
        <v>0.05</v>
      </c>
      <c r="D51">
        <v>0.19</v>
      </c>
      <c r="E51">
        <v>0.09</v>
      </c>
      <c r="F51">
        <v>36.39</v>
      </c>
      <c r="G51">
        <v>36.71</v>
      </c>
      <c r="H51">
        <v>36.520000000000003</v>
      </c>
      <c r="I51">
        <v>0</v>
      </c>
      <c r="J51">
        <v>0</v>
      </c>
      <c r="K51">
        <v>0</v>
      </c>
      <c r="L51">
        <v>36.47</v>
      </c>
      <c r="M51">
        <v>36.840000000000003</v>
      </c>
      <c r="N51">
        <v>36.6</v>
      </c>
    </row>
    <row r="52" spans="1:14" x14ac:dyDescent="0.25">
      <c r="A52">
        <v>0</v>
      </c>
      <c r="B52">
        <v>2600</v>
      </c>
      <c r="C52">
        <v>0.09</v>
      </c>
      <c r="D52">
        <v>0.28999999999999998</v>
      </c>
      <c r="E52">
        <v>0.2</v>
      </c>
      <c r="F52">
        <v>16.12</v>
      </c>
      <c r="G52">
        <v>16.440000000000001</v>
      </c>
      <c r="H52">
        <v>16.260000000000002</v>
      </c>
      <c r="I52">
        <v>28.92</v>
      </c>
      <c r="J52">
        <v>34.75</v>
      </c>
      <c r="K52">
        <v>31.32</v>
      </c>
      <c r="L52">
        <v>45.34</v>
      </c>
      <c r="M52">
        <v>51.24</v>
      </c>
      <c r="N52">
        <v>47.78</v>
      </c>
    </row>
    <row r="53" spans="1:14" x14ac:dyDescent="0.25">
      <c r="A53">
        <v>1</v>
      </c>
      <c r="B53">
        <v>2600</v>
      </c>
      <c r="C53">
        <v>7.0000000000000007E-2</v>
      </c>
      <c r="D53">
        <v>0.22</v>
      </c>
      <c r="E53">
        <v>0.12</v>
      </c>
      <c r="F53">
        <v>37.92</v>
      </c>
      <c r="G53">
        <v>38.17</v>
      </c>
      <c r="H53">
        <v>38.03</v>
      </c>
      <c r="I53">
        <v>0</v>
      </c>
      <c r="J53">
        <v>0.02</v>
      </c>
      <c r="K53">
        <v>0</v>
      </c>
      <c r="L53">
        <v>37.99</v>
      </c>
      <c r="M53">
        <v>38.340000000000003</v>
      </c>
      <c r="N53">
        <v>38.159999999999997</v>
      </c>
    </row>
    <row r="54" spans="1:14" x14ac:dyDescent="0.25">
      <c r="A54">
        <v>0</v>
      </c>
      <c r="B54">
        <v>2700</v>
      </c>
      <c r="C54">
        <v>0.16</v>
      </c>
      <c r="D54">
        <v>0.31</v>
      </c>
      <c r="E54">
        <v>0.23</v>
      </c>
      <c r="F54">
        <v>16.559999999999999</v>
      </c>
      <c r="G54">
        <v>17.02</v>
      </c>
      <c r="H54">
        <v>16.760000000000002</v>
      </c>
      <c r="I54">
        <v>31.47</v>
      </c>
      <c r="J54">
        <v>38.94</v>
      </c>
      <c r="K54">
        <v>34.22</v>
      </c>
      <c r="L54">
        <v>48.33</v>
      </c>
      <c r="M54">
        <v>56.21</v>
      </c>
      <c r="N54">
        <v>51.21</v>
      </c>
    </row>
    <row r="55" spans="1:14" x14ac:dyDescent="0.25">
      <c r="A55">
        <v>1</v>
      </c>
      <c r="B55">
        <v>2700</v>
      </c>
      <c r="C55">
        <v>0.06</v>
      </c>
      <c r="D55">
        <v>0.11</v>
      </c>
      <c r="E55">
        <v>0.09</v>
      </c>
      <c r="F55">
        <v>40.56</v>
      </c>
      <c r="G55">
        <v>40.9</v>
      </c>
      <c r="H55">
        <v>40.76</v>
      </c>
      <c r="I55">
        <v>0</v>
      </c>
      <c r="J55">
        <v>0</v>
      </c>
      <c r="K55">
        <v>0</v>
      </c>
      <c r="L55">
        <v>40.630000000000003</v>
      </c>
      <c r="M55">
        <v>41</v>
      </c>
      <c r="N55">
        <v>40.85</v>
      </c>
    </row>
    <row r="56" spans="1:14" x14ac:dyDescent="0.25">
      <c r="A56">
        <v>0</v>
      </c>
      <c r="B56">
        <v>2800</v>
      </c>
      <c r="C56">
        <v>0.13</v>
      </c>
      <c r="D56">
        <v>0.31</v>
      </c>
      <c r="E56">
        <v>0.22</v>
      </c>
      <c r="F56">
        <v>17.34</v>
      </c>
      <c r="G56">
        <v>17.62</v>
      </c>
      <c r="H56">
        <v>17.5</v>
      </c>
      <c r="I56">
        <v>29.92</v>
      </c>
      <c r="J56">
        <v>36.44</v>
      </c>
      <c r="K56">
        <v>32.26</v>
      </c>
      <c r="L56">
        <v>47.6</v>
      </c>
      <c r="M56">
        <v>54.27</v>
      </c>
      <c r="N56">
        <v>49.98</v>
      </c>
    </row>
    <row r="57" spans="1:14" x14ac:dyDescent="0.25">
      <c r="A57">
        <v>1</v>
      </c>
      <c r="B57">
        <v>2800</v>
      </c>
      <c r="C57">
        <v>0.08</v>
      </c>
      <c r="D57">
        <v>0.19</v>
      </c>
      <c r="E57">
        <v>0.11</v>
      </c>
      <c r="F57">
        <v>40.909999999999997</v>
      </c>
      <c r="G57">
        <v>41.15</v>
      </c>
      <c r="H57">
        <v>41.02</v>
      </c>
      <c r="I57">
        <v>0</v>
      </c>
      <c r="J57">
        <v>0</v>
      </c>
      <c r="K57">
        <v>0</v>
      </c>
      <c r="L57">
        <v>41.01</v>
      </c>
      <c r="M57">
        <v>41.3</v>
      </c>
      <c r="N57">
        <v>41.12</v>
      </c>
    </row>
    <row r="60" spans="1:14" x14ac:dyDescent="0.25">
      <c r="A60" t="s">
        <v>13</v>
      </c>
      <c r="B60" t="s">
        <v>14</v>
      </c>
    </row>
    <row r="61" spans="1:14" x14ac:dyDescent="0.25">
      <c r="A61" t="s">
        <v>15</v>
      </c>
      <c r="B61">
        <v>17</v>
      </c>
    </row>
    <row r="62" spans="1:14" x14ac:dyDescent="0.25">
      <c r="A62" t="s">
        <v>39</v>
      </c>
      <c r="B62" t="s">
        <v>40</v>
      </c>
    </row>
    <row r="63" spans="1:14" x14ac:dyDescent="0.25">
      <c r="A63" t="s">
        <v>16</v>
      </c>
      <c r="B63" t="s">
        <v>41</v>
      </c>
    </row>
    <row r="64" spans="1:14" x14ac:dyDescent="0.25">
      <c r="A64" t="s">
        <v>42</v>
      </c>
      <c r="B64" t="s">
        <v>40</v>
      </c>
    </row>
    <row r="65" spans="1:2" x14ac:dyDescent="0.25">
      <c r="A65" t="s">
        <v>18</v>
      </c>
      <c r="B65">
        <v>17</v>
      </c>
    </row>
    <row r="66" spans="1:2" x14ac:dyDescent="0.25">
      <c r="A66" t="s">
        <v>19</v>
      </c>
      <c r="B66" t="s">
        <v>41</v>
      </c>
    </row>
    <row r="67" spans="1:2" x14ac:dyDescent="0.25">
      <c r="A67" t="s">
        <v>20</v>
      </c>
      <c r="B67" t="s">
        <v>41</v>
      </c>
    </row>
    <row r="68" spans="1:2" x14ac:dyDescent="0.25">
      <c r="A68" t="s">
        <v>43</v>
      </c>
      <c r="B68" t="s">
        <v>40</v>
      </c>
    </row>
    <row r="69" spans="1:2" x14ac:dyDescent="0.25">
      <c r="A69" t="s">
        <v>21</v>
      </c>
      <c r="B69">
        <v>17</v>
      </c>
    </row>
    <row r="70" spans="1:2" x14ac:dyDescent="0.25">
      <c r="A70" t="s">
        <v>22</v>
      </c>
      <c r="B70" t="s">
        <v>41</v>
      </c>
    </row>
    <row r="71" spans="1:2" x14ac:dyDescent="0.25">
      <c r="A71" t="s">
        <v>44</v>
      </c>
      <c r="B71" t="s">
        <v>41</v>
      </c>
    </row>
    <row r="72" spans="1:2" x14ac:dyDescent="0.25">
      <c r="A72" t="s">
        <v>45</v>
      </c>
      <c r="B72" t="s">
        <v>41</v>
      </c>
    </row>
    <row r="73" spans="1:2" x14ac:dyDescent="0.25">
      <c r="A73" t="s">
        <v>46</v>
      </c>
      <c r="B73" t="s">
        <v>41</v>
      </c>
    </row>
    <row r="74" spans="1:2" x14ac:dyDescent="0.25">
      <c r="A74" t="s">
        <v>47</v>
      </c>
      <c r="B74" t="s">
        <v>41</v>
      </c>
    </row>
    <row r="75" spans="1:2" x14ac:dyDescent="0.25">
      <c r="A75" t="s">
        <v>23</v>
      </c>
      <c r="B75" t="s">
        <v>41</v>
      </c>
    </row>
    <row r="76" spans="1:2" x14ac:dyDescent="0.25">
      <c r="A76" t="s">
        <v>48</v>
      </c>
      <c r="B76" t="s">
        <v>41</v>
      </c>
    </row>
    <row r="77" spans="1:2" x14ac:dyDescent="0.25">
      <c r="A77" t="s">
        <v>49</v>
      </c>
      <c r="B77" t="s">
        <v>41</v>
      </c>
    </row>
    <row r="78" spans="1:2" x14ac:dyDescent="0.25">
      <c r="A78" t="s">
        <v>24</v>
      </c>
      <c r="B78" t="s">
        <v>41</v>
      </c>
    </row>
    <row r="79" spans="1:2" x14ac:dyDescent="0.25">
      <c r="A79" t="s">
        <v>50</v>
      </c>
      <c r="B79" t="s">
        <v>40</v>
      </c>
    </row>
    <row r="80" spans="1:2" x14ac:dyDescent="0.25">
      <c r="A80" t="s">
        <v>25</v>
      </c>
      <c r="B80" t="s">
        <v>41</v>
      </c>
    </row>
    <row r="81" spans="1:2" x14ac:dyDescent="0.25">
      <c r="A81" t="s">
        <v>51</v>
      </c>
      <c r="B81" t="s">
        <v>40</v>
      </c>
    </row>
    <row r="82" spans="1:2" x14ac:dyDescent="0.25">
      <c r="A82" t="s">
        <v>26</v>
      </c>
      <c r="B82" t="s">
        <v>40</v>
      </c>
    </row>
    <row r="84" spans="1:2" x14ac:dyDescent="0.25">
      <c r="A84" t="s">
        <v>27</v>
      </c>
    </row>
    <row r="85" spans="1:2" x14ac:dyDescent="0.25">
      <c r="A85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1"/>
  <sheetViews>
    <sheetView topLeftCell="A11" workbookViewId="0">
      <selection activeCell="P1" sqref="P1:Q3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0.15</v>
      </c>
      <c r="D2">
        <v>0.26</v>
      </c>
      <c r="E2">
        <v>0.18</v>
      </c>
      <c r="F2">
        <v>1.06</v>
      </c>
      <c r="G2">
        <v>1.1399999999999999</v>
      </c>
      <c r="H2">
        <v>1.1000000000000001</v>
      </c>
      <c r="I2">
        <v>17.18</v>
      </c>
      <c r="J2">
        <v>26.79</v>
      </c>
      <c r="K2">
        <v>20.47</v>
      </c>
      <c r="L2">
        <v>18.440000000000001</v>
      </c>
      <c r="M2">
        <v>28.02</v>
      </c>
      <c r="N2">
        <v>21.74</v>
      </c>
      <c r="P2">
        <v>100</v>
      </c>
      <c r="Q2">
        <f>AVERAGE(N2:N3)</f>
        <v>11.725</v>
      </c>
    </row>
    <row r="3" spans="1:17" x14ac:dyDescent="0.25">
      <c r="A3">
        <v>1</v>
      </c>
      <c r="B3">
        <v>100</v>
      </c>
      <c r="C3">
        <v>7.0000000000000007E-2</v>
      </c>
      <c r="D3">
        <v>0.21</v>
      </c>
      <c r="E3">
        <v>0.14000000000000001</v>
      </c>
      <c r="F3">
        <v>1.54</v>
      </c>
      <c r="G3">
        <v>1.59</v>
      </c>
      <c r="H3">
        <v>1.56</v>
      </c>
      <c r="I3">
        <v>0</v>
      </c>
      <c r="J3">
        <v>0.06</v>
      </c>
      <c r="K3">
        <v>0</v>
      </c>
      <c r="L3">
        <v>1.62</v>
      </c>
      <c r="M3">
        <v>1.8</v>
      </c>
      <c r="N3">
        <v>1.71</v>
      </c>
      <c r="P3">
        <f>P2+100</f>
        <v>200</v>
      </c>
      <c r="Q3">
        <f>AVERAGE(N4:N5)</f>
        <v>13.255000000000001</v>
      </c>
    </row>
    <row r="4" spans="1:17" x14ac:dyDescent="0.25">
      <c r="A4">
        <v>0</v>
      </c>
      <c r="B4">
        <v>200</v>
      </c>
      <c r="C4">
        <v>0.16</v>
      </c>
      <c r="D4">
        <v>0.26</v>
      </c>
      <c r="E4">
        <v>0.18</v>
      </c>
      <c r="F4">
        <v>1.66</v>
      </c>
      <c r="G4">
        <v>1.7</v>
      </c>
      <c r="H4">
        <v>1.68</v>
      </c>
      <c r="I4">
        <v>18.7</v>
      </c>
      <c r="J4">
        <v>27.82</v>
      </c>
      <c r="K4">
        <v>21.39</v>
      </c>
      <c r="L4">
        <v>20.6</v>
      </c>
      <c r="M4">
        <v>29.77</v>
      </c>
      <c r="N4">
        <v>23.26</v>
      </c>
      <c r="P4">
        <f t="shared" ref="P4:P29" si="0">P3+100</f>
        <v>300</v>
      </c>
      <c r="Q4">
        <f>AVERAGE(N6:N7)</f>
        <v>14.71</v>
      </c>
    </row>
    <row r="5" spans="1:17" x14ac:dyDescent="0.25">
      <c r="A5">
        <v>1</v>
      </c>
      <c r="B5">
        <v>200</v>
      </c>
      <c r="C5">
        <v>0.08</v>
      </c>
      <c r="D5">
        <v>0.21</v>
      </c>
      <c r="E5">
        <v>0.15</v>
      </c>
      <c r="F5">
        <v>3.08</v>
      </c>
      <c r="G5">
        <v>3.12</v>
      </c>
      <c r="H5">
        <v>3.1</v>
      </c>
      <c r="I5">
        <v>0</v>
      </c>
      <c r="J5">
        <v>0.02</v>
      </c>
      <c r="K5">
        <v>0</v>
      </c>
      <c r="L5">
        <v>3.16</v>
      </c>
      <c r="M5">
        <v>3.32</v>
      </c>
      <c r="N5">
        <v>3.25</v>
      </c>
      <c r="P5">
        <f t="shared" si="0"/>
        <v>400</v>
      </c>
      <c r="Q5">
        <f>AVERAGE(N8:N9)</f>
        <v>16.245000000000001</v>
      </c>
    </row>
    <row r="6" spans="1:17" x14ac:dyDescent="0.25">
      <c r="A6">
        <v>0</v>
      </c>
      <c r="B6">
        <v>300</v>
      </c>
      <c r="C6">
        <v>0.16</v>
      </c>
      <c r="D6">
        <v>0.25</v>
      </c>
      <c r="E6">
        <v>0.18</v>
      </c>
      <c r="F6">
        <v>2.23</v>
      </c>
      <c r="G6">
        <v>2.29</v>
      </c>
      <c r="H6">
        <v>2.2599999999999998</v>
      </c>
      <c r="I6">
        <v>19.27</v>
      </c>
      <c r="J6">
        <v>28.69</v>
      </c>
      <c r="K6">
        <v>22.24</v>
      </c>
      <c r="L6">
        <v>21.76</v>
      </c>
      <c r="M6">
        <v>31.16</v>
      </c>
      <c r="N6">
        <v>24.68</v>
      </c>
      <c r="P6">
        <f t="shared" si="0"/>
        <v>500</v>
      </c>
      <c r="Q6">
        <f>AVERAGE(N10:N11)</f>
        <v>17.585000000000001</v>
      </c>
    </row>
    <row r="7" spans="1:17" x14ac:dyDescent="0.25">
      <c r="A7">
        <v>1</v>
      </c>
      <c r="B7">
        <v>300</v>
      </c>
      <c r="C7">
        <v>0.08</v>
      </c>
      <c r="D7">
        <v>0.2</v>
      </c>
      <c r="E7">
        <v>0.15</v>
      </c>
      <c r="F7">
        <v>4.5599999999999996</v>
      </c>
      <c r="G7">
        <v>4.5999999999999996</v>
      </c>
      <c r="H7">
        <v>4.58</v>
      </c>
      <c r="I7">
        <v>0</v>
      </c>
      <c r="J7">
        <v>0.03</v>
      </c>
      <c r="K7">
        <v>0</v>
      </c>
      <c r="L7">
        <v>4.6500000000000004</v>
      </c>
      <c r="M7">
        <v>4.8</v>
      </c>
      <c r="N7">
        <v>4.74</v>
      </c>
      <c r="P7">
        <f t="shared" si="0"/>
        <v>600</v>
      </c>
      <c r="Q7">
        <f>AVERAGE(N12:N13)</f>
        <v>18.829999999999998</v>
      </c>
    </row>
    <row r="8" spans="1:17" x14ac:dyDescent="0.25">
      <c r="A8">
        <v>0</v>
      </c>
      <c r="B8">
        <v>400</v>
      </c>
      <c r="C8">
        <v>0.16</v>
      </c>
      <c r="D8">
        <v>0.26</v>
      </c>
      <c r="E8">
        <v>0.19</v>
      </c>
      <c r="F8">
        <v>2.86</v>
      </c>
      <c r="G8">
        <v>2.93</v>
      </c>
      <c r="H8">
        <v>2.89</v>
      </c>
      <c r="I8">
        <v>20.420000000000002</v>
      </c>
      <c r="J8">
        <v>33.93</v>
      </c>
      <c r="K8">
        <v>23.17</v>
      </c>
      <c r="L8">
        <v>23.49</v>
      </c>
      <c r="M8">
        <v>37.049999999999997</v>
      </c>
      <c r="N8">
        <v>26.25</v>
      </c>
      <c r="P8">
        <f t="shared" si="0"/>
        <v>700</v>
      </c>
      <c r="Q8">
        <f>AVERAGE(N14:N15)</f>
        <v>19.759999999999998</v>
      </c>
    </row>
    <row r="9" spans="1:17" x14ac:dyDescent="0.25">
      <c r="A9">
        <v>1</v>
      </c>
      <c r="B9">
        <v>400</v>
      </c>
      <c r="C9">
        <v>0.08</v>
      </c>
      <c r="D9">
        <v>0.2</v>
      </c>
      <c r="E9">
        <v>0.14000000000000001</v>
      </c>
      <c r="F9">
        <v>6.07</v>
      </c>
      <c r="G9">
        <v>6.15</v>
      </c>
      <c r="H9">
        <v>6.1</v>
      </c>
      <c r="I9">
        <v>0</v>
      </c>
      <c r="J9">
        <v>0.03</v>
      </c>
      <c r="K9">
        <v>0</v>
      </c>
      <c r="L9">
        <v>6.15</v>
      </c>
      <c r="M9">
        <v>6.34</v>
      </c>
      <c r="N9">
        <v>6.24</v>
      </c>
      <c r="P9">
        <f t="shared" si="0"/>
        <v>800</v>
      </c>
      <c r="Q9">
        <f>AVERAGE(N16:N17)</f>
        <v>20.795000000000002</v>
      </c>
    </row>
    <row r="10" spans="1:17" x14ac:dyDescent="0.25">
      <c r="A10">
        <v>0</v>
      </c>
      <c r="B10">
        <v>500</v>
      </c>
      <c r="C10">
        <v>0.13</v>
      </c>
      <c r="D10">
        <v>0.28000000000000003</v>
      </c>
      <c r="E10">
        <v>0.2</v>
      </c>
      <c r="F10">
        <v>3.46</v>
      </c>
      <c r="G10">
        <v>3.57</v>
      </c>
      <c r="H10">
        <v>3.5</v>
      </c>
      <c r="I10">
        <v>19.899999999999999</v>
      </c>
      <c r="J10">
        <v>37.99</v>
      </c>
      <c r="K10">
        <v>23.71</v>
      </c>
      <c r="L10">
        <v>23.57</v>
      </c>
      <c r="M10">
        <v>41.71</v>
      </c>
      <c r="N10">
        <v>27.41</v>
      </c>
      <c r="P10">
        <f t="shared" si="0"/>
        <v>900</v>
      </c>
      <c r="Q10">
        <f>AVERAGE(N18:N19)</f>
        <v>22.24</v>
      </c>
    </row>
    <row r="11" spans="1:17" x14ac:dyDescent="0.25">
      <c r="A11">
        <v>1</v>
      </c>
      <c r="B11">
        <v>500</v>
      </c>
      <c r="C11">
        <v>0.08</v>
      </c>
      <c r="D11">
        <v>0.2</v>
      </c>
      <c r="E11">
        <v>0.15</v>
      </c>
      <c r="F11">
        <v>7.56</v>
      </c>
      <c r="G11">
        <v>7.75</v>
      </c>
      <c r="H11">
        <v>7.61</v>
      </c>
      <c r="I11">
        <v>0</v>
      </c>
      <c r="J11">
        <v>0.01</v>
      </c>
      <c r="K11">
        <v>0</v>
      </c>
      <c r="L11">
        <v>7.64</v>
      </c>
      <c r="M11">
        <v>7.94</v>
      </c>
      <c r="N11">
        <v>7.76</v>
      </c>
      <c r="P11">
        <f t="shared" si="0"/>
        <v>1000</v>
      </c>
      <c r="Q11">
        <f>AVERAGE(N20:N21)</f>
        <v>23.41</v>
      </c>
    </row>
    <row r="12" spans="1:17" x14ac:dyDescent="0.25">
      <c r="A12">
        <v>0</v>
      </c>
      <c r="B12">
        <v>600</v>
      </c>
      <c r="C12">
        <v>0.14000000000000001</v>
      </c>
      <c r="D12">
        <v>0.27</v>
      </c>
      <c r="E12">
        <v>0.19</v>
      </c>
      <c r="F12">
        <v>4.01</v>
      </c>
      <c r="G12">
        <v>4.16</v>
      </c>
      <c r="H12">
        <v>4.07</v>
      </c>
      <c r="I12">
        <v>20.68</v>
      </c>
      <c r="J12">
        <v>38.85</v>
      </c>
      <c r="K12">
        <v>24.11</v>
      </c>
      <c r="L12">
        <v>24.94</v>
      </c>
      <c r="M12">
        <v>43.12</v>
      </c>
      <c r="N12">
        <v>28.38</v>
      </c>
      <c r="P12">
        <f t="shared" si="0"/>
        <v>1100</v>
      </c>
      <c r="Q12">
        <f>AVERAGE(N22:N23)</f>
        <v>24.395</v>
      </c>
    </row>
    <row r="13" spans="1:17" x14ac:dyDescent="0.25">
      <c r="A13">
        <v>1</v>
      </c>
      <c r="B13">
        <v>600</v>
      </c>
      <c r="C13">
        <v>0.09</v>
      </c>
      <c r="D13">
        <v>0.21</v>
      </c>
      <c r="E13">
        <v>0.16</v>
      </c>
      <c r="F13">
        <v>9.07</v>
      </c>
      <c r="G13">
        <v>9.31</v>
      </c>
      <c r="H13">
        <v>9.1199999999999992</v>
      </c>
      <c r="I13">
        <v>0</v>
      </c>
      <c r="J13">
        <v>7.0000000000000007E-2</v>
      </c>
      <c r="K13">
        <v>0</v>
      </c>
      <c r="L13">
        <v>9.17</v>
      </c>
      <c r="M13">
        <v>9.49</v>
      </c>
      <c r="N13">
        <v>9.2799999999999994</v>
      </c>
      <c r="P13">
        <f t="shared" si="0"/>
        <v>1200</v>
      </c>
      <c r="Q13">
        <f>AVERAGE(N24:N25)</f>
        <v>26.080000000000002</v>
      </c>
    </row>
    <row r="14" spans="1:17" x14ac:dyDescent="0.25">
      <c r="A14">
        <v>0</v>
      </c>
      <c r="B14">
        <v>700</v>
      </c>
      <c r="C14">
        <v>0.15</v>
      </c>
      <c r="D14">
        <v>0.27</v>
      </c>
      <c r="E14">
        <v>0.2</v>
      </c>
      <c r="F14">
        <v>4.6500000000000004</v>
      </c>
      <c r="G14">
        <v>4.74</v>
      </c>
      <c r="H14">
        <v>4.68</v>
      </c>
      <c r="I14">
        <v>21.07</v>
      </c>
      <c r="J14">
        <v>32.950000000000003</v>
      </c>
      <c r="K14">
        <v>23.86</v>
      </c>
      <c r="L14">
        <v>25.99</v>
      </c>
      <c r="M14">
        <v>37.880000000000003</v>
      </c>
      <c r="N14">
        <v>28.75</v>
      </c>
      <c r="P14">
        <f t="shared" si="0"/>
        <v>1300</v>
      </c>
      <c r="Q14">
        <f>AVERAGE(N26:N27)</f>
        <v>27.61</v>
      </c>
    </row>
    <row r="15" spans="1:17" x14ac:dyDescent="0.25">
      <c r="A15">
        <v>1</v>
      </c>
      <c r="B15">
        <v>700</v>
      </c>
      <c r="C15">
        <v>0.08</v>
      </c>
      <c r="D15">
        <v>0.2</v>
      </c>
      <c r="E15">
        <v>0.16</v>
      </c>
      <c r="F15">
        <v>10.56</v>
      </c>
      <c r="G15">
        <v>10.73</v>
      </c>
      <c r="H15">
        <v>10.62</v>
      </c>
      <c r="I15">
        <v>0</v>
      </c>
      <c r="J15">
        <v>0.06</v>
      </c>
      <c r="K15">
        <v>0</v>
      </c>
      <c r="L15">
        <v>10.65</v>
      </c>
      <c r="M15">
        <v>10.93</v>
      </c>
      <c r="N15">
        <v>10.77</v>
      </c>
      <c r="P15">
        <f t="shared" si="0"/>
        <v>1400</v>
      </c>
      <c r="Q15">
        <f>AVERAGE(N28:N29)</f>
        <v>28.814999999999998</v>
      </c>
    </row>
    <row r="16" spans="1:17" x14ac:dyDescent="0.25">
      <c r="A16">
        <v>0</v>
      </c>
      <c r="B16">
        <v>800</v>
      </c>
      <c r="C16">
        <v>0.14000000000000001</v>
      </c>
      <c r="D16">
        <v>0.28999999999999998</v>
      </c>
      <c r="E16">
        <v>0.21</v>
      </c>
      <c r="F16">
        <v>5.27</v>
      </c>
      <c r="G16">
        <v>5.36</v>
      </c>
      <c r="H16">
        <v>5.31</v>
      </c>
      <c r="I16">
        <v>21.61</v>
      </c>
      <c r="J16">
        <v>26.59</v>
      </c>
      <c r="K16">
        <v>23.85</v>
      </c>
      <c r="L16">
        <v>27.13</v>
      </c>
      <c r="M16">
        <v>32.18</v>
      </c>
      <c r="N16">
        <v>29.37</v>
      </c>
      <c r="P16">
        <f t="shared" si="0"/>
        <v>1500</v>
      </c>
      <c r="Q16">
        <f>AVERAGE(N30:N31)</f>
        <v>29.914999999999999</v>
      </c>
    </row>
    <row r="17" spans="1:17" x14ac:dyDescent="0.25">
      <c r="A17">
        <v>1</v>
      </c>
      <c r="B17">
        <v>800</v>
      </c>
      <c r="C17">
        <v>7.0000000000000007E-2</v>
      </c>
      <c r="D17">
        <v>0.2</v>
      </c>
      <c r="E17">
        <v>0.15</v>
      </c>
      <c r="F17">
        <v>12.03</v>
      </c>
      <c r="G17">
        <v>12.21</v>
      </c>
      <c r="H17">
        <v>12.07</v>
      </c>
      <c r="I17">
        <v>0</v>
      </c>
      <c r="J17">
        <v>0.02</v>
      </c>
      <c r="K17">
        <v>0</v>
      </c>
      <c r="L17">
        <v>12.13</v>
      </c>
      <c r="M17">
        <v>12.39</v>
      </c>
      <c r="N17">
        <v>12.22</v>
      </c>
      <c r="P17">
        <f t="shared" si="0"/>
        <v>1600</v>
      </c>
      <c r="Q17">
        <f>AVERAGE(N32:N33)</f>
        <v>31.335000000000001</v>
      </c>
    </row>
    <row r="18" spans="1:17" x14ac:dyDescent="0.25">
      <c r="A18">
        <v>0</v>
      </c>
      <c r="B18">
        <v>900</v>
      </c>
      <c r="C18">
        <v>0.14000000000000001</v>
      </c>
      <c r="D18">
        <v>0.31</v>
      </c>
      <c r="E18">
        <v>0.25</v>
      </c>
      <c r="F18">
        <v>5.83</v>
      </c>
      <c r="G18">
        <v>5.98</v>
      </c>
      <c r="H18">
        <v>5.87</v>
      </c>
      <c r="I18">
        <v>21.66</v>
      </c>
      <c r="J18">
        <v>41.52</v>
      </c>
      <c r="K18">
        <v>24.85</v>
      </c>
      <c r="L18">
        <v>27.81</v>
      </c>
      <c r="M18">
        <v>47.78</v>
      </c>
      <c r="N18">
        <v>30.97</v>
      </c>
      <c r="P18">
        <f t="shared" si="0"/>
        <v>1700</v>
      </c>
      <c r="Q18">
        <f>AVERAGE(N34:N35)</f>
        <v>32.604999999999997</v>
      </c>
    </row>
    <row r="19" spans="1:17" x14ac:dyDescent="0.25">
      <c r="A19">
        <v>1</v>
      </c>
      <c r="B19">
        <v>900</v>
      </c>
      <c r="C19">
        <v>0.05</v>
      </c>
      <c r="D19">
        <v>0.16</v>
      </c>
      <c r="E19">
        <v>0.08</v>
      </c>
      <c r="F19">
        <v>13.4</v>
      </c>
      <c r="G19">
        <v>13.45</v>
      </c>
      <c r="H19">
        <v>13.42</v>
      </c>
      <c r="I19">
        <v>0</v>
      </c>
      <c r="J19">
        <v>0.01</v>
      </c>
      <c r="K19">
        <v>0</v>
      </c>
      <c r="L19">
        <v>13.45</v>
      </c>
      <c r="M19">
        <v>13.59</v>
      </c>
      <c r="N19">
        <v>13.51</v>
      </c>
      <c r="P19">
        <f t="shared" si="0"/>
        <v>1800</v>
      </c>
      <c r="Q19">
        <f>AVERAGE(N36:N37)</f>
        <v>33.805</v>
      </c>
    </row>
    <row r="20" spans="1:17" x14ac:dyDescent="0.25">
      <c r="A20">
        <v>0</v>
      </c>
      <c r="B20">
        <v>1000</v>
      </c>
      <c r="C20">
        <v>0.11</v>
      </c>
      <c r="D20">
        <v>0.27</v>
      </c>
      <c r="E20">
        <v>0.22</v>
      </c>
      <c r="F20">
        <v>6.52</v>
      </c>
      <c r="G20">
        <v>6.71</v>
      </c>
      <c r="H20">
        <v>6.59</v>
      </c>
      <c r="I20">
        <v>22.16</v>
      </c>
      <c r="J20">
        <v>27.75</v>
      </c>
      <c r="K20">
        <v>24.85</v>
      </c>
      <c r="L20">
        <v>28.91</v>
      </c>
      <c r="M20">
        <v>34.72</v>
      </c>
      <c r="N20">
        <v>31.65</v>
      </c>
      <c r="P20">
        <f t="shared" si="0"/>
        <v>1900</v>
      </c>
      <c r="Q20">
        <f>AVERAGE(N38:N39)</f>
        <v>36.155000000000001</v>
      </c>
    </row>
    <row r="21" spans="1:17" x14ac:dyDescent="0.25">
      <c r="A21">
        <v>1</v>
      </c>
      <c r="B21">
        <v>1000</v>
      </c>
      <c r="C21">
        <v>0.05</v>
      </c>
      <c r="D21">
        <v>0.16</v>
      </c>
      <c r="E21">
        <v>0.08</v>
      </c>
      <c r="F21">
        <v>15.02</v>
      </c>
      <c r="G21">
        <v>15.24</v>
      </c>
      <c r="H21">
        <v>15.09</v>
      </c>
      <c r="I21">
        <v>0</v>
      </c>
      <c r="J21">
        <v>0.01</v>
      </c>
      <c r="K21">
        <v>0</v>
      </c>
      <c r="L21">
        <v>15.08</v>
      </c>
      <c r="M21">
        <v>15.36</v>
      </c>
      <c r="N21">
        <v>15.17</v>
      </c>
      <c r="P21">
        <f t="shared" si="0"/>
        <v>2000</v>
      </c>
      <c r="Q21">
        <f>AVERAGE(N40:N41)</f>
        <v>36.865000000000002</v>
      </c>
    </row>
    <row r="22" spans="1:17" x14ac:dyDescent="0.25">
      <c r="A22">
        <v>0</v>
      </c>
      <c r="B22">
        <v>1100</v>
      </c>
      <c r="C22">
        <v>0.13</v>
      </c>
      <c r="D22">
        <v>0.28000000000000003</v>
      </c>
      <c r="E22">
        <v>0.17</v>
      </c>
      <c r="F22">
        <v>7</v>
      </c>
      <c r="G22">
        <v>7.1</v>
      </c>
      <c r="H22">
        <v>7.04</v>
      </c>
      <c r="I22">
        <v>22.43</v>
      </c>
      <c r="J22">
        <v>28.59</v>
      </c>
      <c r="K22">
        <v>24.79</v>
      </c>
      <c r="L22">
        <v>29.62</v>
      </c>
      <c r="M22">
        <v>35.85</v>
      </c>
      <c r="N22">
        <v>32</v>
      </c>
      <c r="P22">
        <f t="shared" si="0"/>
        <v>2100</v>
      </c>
      <c r="Q22">
        <f>AVERAGE(N42:N43)</f>
        <v>38.1</v>
      </c>
    </row>
    <row r="23" spans="1:17" x14ac:dyDescent="0.25">
      <c r="A23">
        <v>1</v>
      </c>
      <c r="B23">
        <v>1100</v>
      </c>
      <c r="C23">
        <v>0.09</v>
      </c>
      <c r="D23">
        <v>0.21</v>
      </c>
      <c r="E23">
        <v>0.16</v>
      </c>
      <c r="F23">
        <v>16.579999999999998</v>
      </c>
      <c r="G23">
        <v>16.739999999999998</v>
      </c>
      <c r="H23">
        <v>16.63</v>
      </c>
      <c r="I23">
        <v>0</v>
      </c>
      <c r="J23">
        <v>0.02</v>
      </c>
      <c r="K23">
        <v>0</v>
      </c>
      <c r="L23">
        <v>16.68</v>
      </c>
      <c r="M23">
        <v>16.940000000000001</v>
      </c>
      <c r="N23">
        <v>16.79</v>
      </c>
      <c r="P23">
        <f t="shared" si="0"/>
        <v>2200</v>
      </c>
      <c r="Q23">
        <f>AVERAGE(N44:N45)</f>
        <v>38.844999999999999</v>
      </c>
    </row>
    <row r="24" spans="1:17" x14ac:dyDescent="0.25">
      <c r="A24">
        <v>0</v>
      </c>
      <c r="B24">
        <v>1200</v>
      </c>
      <c r="C24">
        <v>0.11</v>
      </c>
      <c r="D24">
        <v>0.27</v>
      </c>
      <c r="E24">
        <v>0.21</v>
      </c>
      <c r="F24">
        <v>7.72</v>
      </c>
      <c r="G24">
        <v>7.85</v>
      </c>
      <c r="H24">
        <v>7.78</v>
      </c>
      <c r="I24">
        <v>23.5</v>
      </c>
      <c r="J24">
        <v>30.64</v>
      </c>
      <c r="K24">
        <v>26.1</v>
      </c>
      <c r="L24">
        <v>31.46</v>
      </c>
      <c r="M24">
        <v>38.700000000000003</v>
      </c>
      <c r="N24">
        <v>34.090000000000003</v>
      </c>
      <c r="P24">
        <f t="shared" si="0"/>
        <v>2300</v>
      </c>
      <c r="Q24">
        <f>AVERAGE(N46:N47)</f>
        <v>40.68</v>
      </c>
    </row>
    <row r="25" spans="1:17" x14ac:dyDescent="0.25">
      <c r="A25">
        <v>1</v>
      </c>
      <c r="B25">
        <v>1200</v>
      </c>
      <c r="C25">
        <v>0.05</v>
      </c>
      <c r="D25">
        <v>0.18</v>
      </c>
      <c r="E25">
        <v>0.09</v>
      </c>
      <c r="F25">
        <v>17.89</v>
      </c>
      <c r="G25">
        <v>18.04</v>
      </c>
      <c r="H25">
        <v>17.98</v>
      </c>
      <c r="I25">
        <v>0</v>
      </c>
      <c r="J25">
        <v>0.01</v>
      </c>
      <c r="K25">
        <v>0</v>
      </c>
      <c r="L25">
        <v>17.96</v>
      </c>
      <c r="M25">
        <v>18.21</v>
      </c>
      <c r="N25">
        <v>18.07</v>
      </c>
      <c r="P25">
        <f t="shared" si="0"/>
        <v>2400</v>
      </c>
      <c r="Q25">
        <f>AVERAGE(N48:N49)</f>
        <v>42.335000000000001</v>
      </c>
    </row>
    <row r="26" spans="1:17" x14ac:dyDescent="0.25">
      <c r="A26">
        <v>0</v>
      </c>
      <c r="B26">
        <v>1300</v>
      </c>
      <c r="C26">
        <v>0.1</v>
      </c>
      <c r="D26">
        <v>0.28000000000000003</v>
      </c>
      <c r="E26">
        <v>0.22</v>
      </c>
      <c r="F26">
        <v>8.2200000000000006</v>
      </c>
      <c r="G26">
        <v>8.4700000000000006</v>
      </c>
      <c r="H26">
        <v>8.2899999999999991</v>
      </c>
      <c r="I26">
        <v>24.14</v>
      </c>
      <c r="J26">
        <v>48.8</v>
      </c>
      <c r="K26">
        <v>27.06</v>
      </c>
      <c r="L26">
        <v>32.659999999999997</v>
      </c>
      <c r="M26">
        <v>57.51</v>
      </c>
      <c r="N26">
        <v>35.57</v>
      </c>
      <c r="P26">
        <f t="shared" si="0"/>
        <v>2500</v>
      </c>
      <c r="Q26">
        <f>AVERAGE(N50:N51)</f>
        <v>43.394999999999996</v>
      </c>
    </row>
    <row r="27" spans="1:17" x14ac:dyDescent="0.25">
      <c r="A27">
        <v>1</v>
      </c>
      <c r="B27">
        <v>1300</v>
      </c>
      <c r="C27">
        <v>0.04</v>
      </c>
      <c r="D27">
        <v>0.2</v>
      </c>
      <c r="E27">
        <v>0.08</v>
      </c>
      <c r="F27">
        <v>19.48</v>
      </c>
      <c r="G27">
        <v>19.71</v>
      </c>
      <c r="H27">
        <v>19.57</v>
      </c>
      <c r="I27">
        <v>0</v>
      </c>
      <c r="J27">
        <v>0.01</v>
      </c>
      <c r="K27">
        <v>0</v>
      </c>
      <c r="L27">
        <v>19.53</v>
      </c>
      <c r="M27">
        <v>19.82</v>
      </c>
      <c r="N27">
        <v>19.649999999999999</v>
      </c>
      <c r="P27">
        <f t="shared" si="0"/>
        <v>2600</v>
      </c>
      <c r="Q27" t="e">
        <f>AVERAGE(N52:N53)</f>
        <v>#DIV/0!</v>
      </c>
    </row>
    <row r="28" spans="1:17" x14ac:dyDescent="0.25">
      <c r="A28">
        <v>0</v>
      </c>
      <c r="B28">
        <v>1400</v>
      </c>
      <c r="C28">
        <v>0.09</v>
      </c>
      <c r="D28">
        <v>0.28000000000000003</v>
      </c>
      <c r="E28">
        <v>0.21</v>
      </c>
      <c r="F28">
        <v>8.9700000000000006</v>
      </c>
      <c r="G28">
        <v>9.08</v>
      </c>
      <c r="H28">
        <v>9.0299999999999994</v>
      </c>
      <c r="I28">
        <v>24.54</v>
      </c>
      <c r="J28">
        <v>33.69</v>
      </c>
      <c r="K28">
        <v>27.39</v>
      </c>
      <c r="L28">
        <v>33.76</v>
      </c>
      <c r="M28">
        <v>42.85</v>
      </c>
      <c r="N28">
        <v>36.619999999999997</v>
      </c>
      <c r="P28">
        <f t="shared" si="0"/>
        <v>2700</v>
      </c>
      <c r="Q28" t="e">
        <f>AVERAGE(N54:N55)</f>
        <v>#DIV/0!</v>
      </c>
    </row>
    <row r="29" spans="1:17" x14ac:dyDescent="0.25">
      <c r="A29">
        <v>1</v>
      </c>
      <c r="B29">
        <v>1400</v>
      </c>
      <c r="C29">
        <v>0.04</v>
      </c>
      <c r="D29">
        <v>0.21</v>
      </c>
      <c r="E29">
        <v>0.08</v>
      </c>
      <c r="F29">
        <v>20.82</v>
      </c>
      <c r="G29">
        <v>21.07</v>
      </c>
      <c r="H29">
        <v>20.92</v>
      </c>
      <c r="I29">
        <v>0</v>
      </c>
      <c r="J29">
        <v>0.02</v>
      </c>
      <c r="K29">
        <v>0</v>
      </c>
      <c r="L29">
        <v>20.88</v>
      </c>
      <c r="M29">
        <v>21.27</v>
      </c>
      <c r="N29">
        <v>21.01</v>
      </c>
      <c r="P29">
        <f t="shared" si="0"/>
        <v>2800</v>
      </c>
      <c r="Q29" t="e">
        <f>AVERAGE(N56:N57)</f>
        <v>#DIV/0!</v>
      </c>
    </row>
    <row r="30" spans="1:17" x14ac:dyDescent="0.25">
      <c r="A30">
        <v>0</v>
      </c>
      <c r="B30">
        <v>1500</v>
      </c>
      <c r="C30">
        <v>0.11</v>
      </c>
      <c r="D30">
        <v>0.28000000000000003</v>
      </c>
      <c r="E30">
        <v>0.22</v>
      </c>
      <c r="F30">
        <v>9.36</v>
      </c>
      <c r="G30">
        <v>9.69</v>
      </c>
      <c r="H30">
        <v>9.48</v>
      </c>
      <c r="I30">
        <v>25.33</v>
      </c>
      <c r="J30">
        <v>35.74</v>
      </c>
      <c r="K30">
        <v>27.73</v>
      </c>
      <c r="L30">
        <v>35.08</v>
      </c>
      <c r="M30">
        <v>45.56</v>
      </c>
      <c r="N30">
        <v>37.43</v>
      </c>
      <c r="P30">
        <v>2900</v>
      </c>
      <c r="Q30" t="e">
        <f>AVERAGE(N58:N59)</f>
        <v>#DIV/0!</v>
      </c>
    </row>
    <row r="31" spans="1:17" x14ac:dyDescent="0.25">
      <c r="A31">
        <v>1</v>
      </c>
      <c r="B31">
        <v>1500</v>
      </c>
      <c r="C31">
        <v>0.04</v>
      </c>
      <c r="D31">
        <v>0.2</v>
      </c>
      <c r="E31">
        <v>7.0000000000000007E-2</v>
      </c>
      <c r="F31">
        <v>22.23</v>
      </c>
      <c r="G31">
        <v>22.44</v>
      </c>
      <c r="H31">
        <v>22.33</v>
      </c>
      <c r="I31">
        <v>0</v>
      </c>
      <c r="J31">
        <v>0.01</v>
      </c>
      <c r="K31">
        <v>0</v>
      </c>
      <c r="L31">
        <v>22.28</v>
      </c>
      <c r="M31">
        <v>22.58</v>
      </c>
      <c r="N31">
        <v>22.4</v>
      </c>
      <c r="P31">
        <v>3000</v>
      </c>
      <c r="Q31" t="e">
        <f>AVERAGE(N60:N61)</f>
        <v>#DIV/0!</v>
      </c>
    </row>
    <row r="32" spans="1:17" x14ac:dyDescent="0.25">
      <c r="A32">
        <v>0</v>
      </c>
      <c r="B32">
        <v>1600</v>
      </c>
      <c r="C32">
        <v>0.1</v>
      </c>
      <c r="D32">
        <v>0.3</v>
      </c>
      <c r="E32">
        <v>0.22</v>
      </c>
      <c r="F32">
        <v>10.119999999999999</v>
      </c>
      <c r="G32">
        <v>10.28</v>
      </c>
      <c r="H32">
        <v>10.199999999999999</v>
      </c>
      <c r="I32">
        <v>25.69</v>
      </c>
      <c r="J32">
        <v>32.78</v>
      </c>
      <c r="K32">
        <v>28.28</v>
      </c>
      <c r="L32">
        <v>36.119999999999997</v>
      </c>
      <c r="M32">
        <v>43.26</v>
      </c>
      <c r="N32">
        <v>38.700000000000003</v>
      </c>
    </row>
    <row r="33" spans="1:14" x14ac:dyDescent="0.25">
      <c r="A33">
        <v>1</v>
      </c>
      <c r="B33">
        <v>1600</v>
      </c>
      <c r="C33">
        <v>0.04</v>
      </c>
      <c r="D33">
        <v>0.19</v>
      </c>
      <c r="E33">
        <v>0.08</v>
      </c>
      <c r="F33">
        <v>23.79</v>
      </c>
      <c r="G33">
        <v>24.05</v>
      </c>
      <c r="H33">
        <v>23.89</v>
      </c>
      <c r="I33">
        <v>0</v>
      </c>
      <c r="J33">
        <v>0.01</v>
      </c>
      <c r="K33">
        <v>0</v>
      </c>
      <c r="L33">
        <v>23.86</v>
      </c>
      <c r="M33">
        <v>24.19</v>
      </c>
      <c r="N33">
        <v>23.97</v>
      </c>
    </row>
    <row r="34" spans="1:14" x14ac:dyDescent="0.25">
      <c r="A34">
        <v>0</v>
      </c>
      <c r="B34">
        <v>1700</v>
      </c>
      <c r="C34">
        <v>0.15</v>
      </c>
      <c r="D34">
        <v>0.3</v>
      </c>
      <c r="E34">
        <v>0.22</v>
      </c>
      <c r="F34">
        <v>10.7</v>
      </c>
      <c r="G34">
        <v>11</v>
      </c>
      <c r="H34">
        <v>10.8</v>
      </c>
      <c r="I34">
        <v>25.58</v>
      </c>
      <c r="J34">
        <v>44.77</v>
      </c>
      <c r="K34">
        <v>28.92</v>
      </c>
      <c r="L34">
        <v>36.56</v>
      </c>
      <c r="M34">
        <v>56.05</v>
      </c>
      <c r="N34">
        <v>39.94</v>
      </c>
    </row>
    <row r="35" spans="1:14" x14ac:dyDescent="0.25">
      <c r="A35">
        <v>1</v>
      </c>
      <c r="B35">
        <v>1700</v>
      </c>
      <c r="C35">
        <v>0.04</v>
      </c>
      <c r="D35">
        <v>0.1</v>
      </c>
      <c r="E35">
        <v>7.0000000000000007E-2</v>
      </c>
      <c r="F35">
        <v>25.13</v>
      </c>
      <c r="G35">
        <v>25.34</v>
      </c>
      <c r="H35">
        <v>25.2</v>
      </c>
      <c r="I35">
        <v>0</v>
      </c>
      <c r="J35">
        <v>0.01</v>
      </c>
      <c r="K35">
        <v>0</v>
      </c>
      <c r="L35">
        <v>25.18</v>
      </c>
      <c r="M35">
        <v>25.41</v>
      </c>
      <c r="N35">
        <v>25.27</v>
      </c>
    </row>
    <row r="36" spans="1:14" x14ac:dyDescent="0.25">
      <c r="A36">
        <v>0</v>
      </c>
      <c r="B36">
        <v>1800</v>
      </c>
      <c r="C36">
        <v>0.17</v>
      </c>
      <c r="D36">
        <v>0.28999999999999998</v>
      </c>
      <c r="E36">
        <v>0.24</v>
      </c>
      <c r="F36">
        <v>11.2</v>
      </c>
      <c r="G36">
        <v>11.41</v>
      </c>
      <c r="H36">
        <v>11.3</v>
      </c>
      <c r="I36">
        <v>26.61</v>
      </c>
      <c r="J36">
        <v>37.450000000000003</v>
      </c>
      <c r="K36">
        <v>29.28</v>
      </c>
      <c r="L36">
        <v>38.11</v>
      </c>
      <c r="M36">
        <v>49.05</v>
      </c>
      <c r="N36">
        <v>40.82</v>
      </c>
    </row>
    <row r="37" spans="1:14" x14ac:dyDescent="0.25">
      <c r="A37">
        <v>1</v>
      </c>
      <c r="B37">
        <v>1800</v>
      </c>
      <c r="C37">
        <v>7.0000000000000007E-2</v>
      </c>
      <c r="D37">
        <v>0.1</v>
      </c>
      <c r="E37">
        <v>0.09</v>
      </c>
      <c r="F37">
        <v>26.67</v>
      </c>
      <c r="G37">
        <v>26.75</v>
      </c>
      <c r="H37">
        <v>26.71</v>
      </c>
      <c r="I37">
        <v>0</v>
      </c>
      <c r="J37">
        <v>0.01</v>
      </c>
      <c r="K37">
        <v>0</v>
      </c>
      <c r="L37">
        <v>26.74</v>
      </c>
      <c r="M37">
        <v>26.84</v>
      </c>
      <c r="N37">
        <v>26.79</v>
      </c>
    </row>
    <row r="38" spans="1:14" x14ac:dyDescent="0.25">
      <c r="A38">
        <v>0</v>
      </c>
      <c r="B38">
        <v>1900</v>
      </c>
      <c r="C38">
        <v>0.15</v>
      </c>
      <c r="D38">
        <v>0.31</v>
      </c>
      <c r="E38">
        <v>0.23</v>
      </c>
      <c r="F38">
        <v>12.08</v>
      </c>
      <c r="G38">
        <v>12.3</v>
      </c>
      <c r="H38">
        <v>12.19</v>
      </c>
      <c r="I38">
        <v>28.21</v>
      </c>
      <c r="J38">
        <v>38.53</v>
      </c>
      <c r="K38">
        <v>31.4</v>
      </c>
      <c r="L38">
        <v>40.68</v>
      </c>
      <c r="M38">
        <v>51.1</v>
      </c>
      <c r="N38">
        <v>43.82</v>
      </c>
    </row>
    <row r="39" spans="1:14" x14ac:dyDescent="0.25">
      <c r="A39">
        <v>1</v>
      </c>
      <c r="B39">
        <v>1900</v>
      </c>
      <c r="C39">
        <v>0.04</v>
      </c>
      <c r="D39">
        <v>0.1</v>
      </c>
      <c r="E39">
        <v>7.0000000000000007E-2</v>
      </c>
      <c r="F39">
        <v>28.32</v>
      </c>
      <c r="G39">
        <v>28.55</v>
      </c>
      <c r="H39">
        <v>28.42</v>
      </c>
      <c r="I39">
        <v>0</v>
      </c>
      <c r="J39">
        <v>0.01</v>
      </c>
      <c r="K39">
        <v>0</v>
      </c>
      <c r="L39">
        <v>28.38</v>
      </c>
      <c r="M39">
        <v>28.63</v>
      </c>
      <c r="N39">
        <v>28.49</v>
      </c>
    </row>
    <row r="40" spans="1:14" x14ac:dyDescent="0.25">
      <c r="A40">
        <v>0</v>
      </c>
      <c r="B40">
        <v>2000</v>
      </c>
      <c r="C40">
        <v>0.11</v>
      </c>
      <c r="D40">
        <v>0.28999999999999998</v>
      </c>
      <c r="E40">
        <v>0.22</v>
      </c>
      <c r="F40">
        <v>12.51</v>
      </c>
      <c r="G40">
        <v>13.05</v>
      </c>
      <c r="H40">
        <v>12.67</v>
      </c>
      <c r="I40">
        <v>27.92</v>
      </c>
      <c r="J40">
        <v>49.71</v>
      </c>
      <c r="K40">
        <v>30.86</v>
      </c>
      <c r="L40">
        <v>40.79</v>
      </c>
      <c r="M40">
        <v>62.94</v>
      </c>
      <c r="N40">
        <v>43.75</v>
      </c>
    </row>
    <row r="41" spans="1:14" x14ac:dyDescent="0.25">
      <c r="A41">
        <v>1</v>
      </c>
      <c r="B41">
        <v>2000</v>
      </c>
      <c r="C41">
        <v>0.05</v>
      </c>
      <c r="D41">
        <v>0.2</v>
      </c>
      <c r="E41">
        <v>0.09</v>
      </c>
      <c r="F41">
        <v>29.74</v>
      </c>
      <c r="G41">
        <v>30.08</v>
      </c>
      <c r="H41">
        <v>29.89</v>
      </c>
      <c r="I41">
        <v>0</v>
      </c>
      <c r="J41">
        <v>0.01</v>
      </c>
      <c r="K41">
        <v>0</v>
      </c>
      <c r="L41">
        <v>29.82</v>
      </c>
      <c r="M41">
        <v>30.18</v>
      </c>
      <c r="N41">
        <v>29.98</v>
      </c>
    </row>
    <row r="42" spans="1:14" x14ac:dyDescent="0.25">
      <c r="A42">
        <v>0</v>
      </c>
      <c r="B42">
        <v>2100</v>
      </c>
      <c r="C42">
        <v>0.14000000000000001</v>
      </c>
      <c r="D42">
        <v>0.28000000000000003</v>
      </c>
      <c r="E42">
        <v>0.22</v>
      </c>
      <c r="F42">
        <v>13.28</v>
      </c>
      <c r="G42">
        <v>13.56</v>
      </c>
      <c r="H42">
        <v>13.42</v>
      </c>
      <c r="I42">
        <v>28.09</v>
      </c>
      <c r="J42">
        <v>33.950000000000003</v>
      </c>
      <c r="K42">
        <v>30.67</v>
      </c>
      <c r="L42">
        <v>41.69</v>
      </c>
      <c r="M42">
        <v>47.65</v>
      </c>
      <c r="N42">
        <v>44.32</v>
      </c>
    </row>
    <row r="43" spans="1:14" x14ac:dyDescent="0.25">
      <c r="A43">
        <v>1</v>
      </c>
      <c r="B43">
        <v>2100</v>
      </c>
      <c r="C43">
        <v>0.05</v>
      </c>
      <c r="D43">
        <v>0.21</v>
      </c>
      <c r="E43">
        <v>0.09</v>
      </c>
      <c r="F43">
        <v>31.63</v>
      </c>
      <c r="G43">
        <v>31.98</v>
      </c>
      <c r="H43">
        <v>31.8</v>
      </c>
      <c r="I43">
        <v>0</v>
      </c>
      <c r="J43">
        <v>0.01</v>
      </c>
      <c r="K43">
        <v>0</v>
      </c>
      <c r="L43">
        <v>31.71</v>
      </c>
      <c r="M43">
        <v>32.07</v>
      </c>
      <c r="N43">
        <v>31.88</v>
      </c>
    </row>
    <row r="44" spans="1:14" x14ac:dyDescent="0.25">
      <c r="A44">
        <v>0</v>
      </c>
      <c r="B44">
        <v>2200</v>
      </c>
      <c r="C44">
        <v>0.13</v>
      </c>
      <c r="D44">
        <v>0.28000000000000003</v>
      </c>
      <c r="E44">
        <v>0.22</v>
      </c>
      <c r="F44">
        <v>13.61</v>
      </c>
      <c r="G44">
        <v>14.15</v>
      </c>
      <c r="H44">
        <v>13.82</v>
      </c>
      <c r="I44">
        <v>28.73</v>
      </c>
      <c r="J44">
        <v>34.61</v>
      </c>
      <c r="K44">
        <v>31.05</v>
      </c>
      <c r="L44">
        <v>42.75</v>
      </c>
      <c r="M44">
        <v>48.61</v>
      </c>
      <c r="N44">
        <v>45.09</v>
      </c>
    </row>
    <row r="45" spans="1:14" x14ac:dyDescent="0.25">
      <c r="A45">
        <v>1</v>
      </c>
      <c r="B45">
        <v>2200</v>
      </c>
      <c r="C45">
        <v>0.06</v>
      </c>
      <c r="D45">
        <v>0.2</v>
      </c>
      <c r="E45">
        <v>0.09</v>
      </c>
      <c r="F45">
        <v>32.36</v>
      </c>
      <c r="G45">
        <v>32.700000000000003</v>
      </c>
      <c r="H45">
        <v>32.5</v>
      </c>
      <c r="I45">
        <v>0</v>
      </c>
      <c r="J45">
        <v>0.01</v>
      </c>
      <c r="K45">
        <v>0</v>
      </c>
      <c r="L45">
        <v>32.44</v>
      </c>
      <c r="M45">
        <v>32.89</v>
      </c>
      <c r="N45">
        <v>32.6</v>
      </c>
    </row>
    <row r="46" spans="1:14" x14ac:dyDescent="0.25">
      <c r="A46">
        <v>0</v>
      </c>
      <c r="B46">
        <v>2300</v>
      </c>
      <c r="C46">
        <v>0.17</v>
      </c>
      <c r="D46">
        <v>0.3</v>
      </c>
      <c r="E46">
        <v>0.22</v>
      </c>
      <c r="F46">
        <v>14.67</v>
      </c>
      <c r="G46">
        <v>14.88</v>
      </c>
      <c r="H46">
        <v>14.75</v>
      </c>
      <c r="I46">
        <v>29.18</v>
      </c>
      <c r="J46">
        <v>37.26</v>
      </c>
      <c r="K46">
        <v>31.89</v>
      </c>
      <c r="L46">
        <v>44.11</v>
      </c>
      <c r="M46">
        <v>52.36</v>
      </c>
      <c r="N46">
        <v>46.86</v>
      </c>
    </row>
    <row r="47" spans="1:14" x14ac:dyDescent="0.25">
      <c r="A47">
        <v>1</v>
      </c>
      <c r="B47">
        <v>2300</v>
      </c>
      <c r="C47">
        <v>0.05</v>
      </c>
      <c r="D47">
        <v>0.1</v>
      </c>
      <c r="E47">
        <v>0.08</v>
      </c>
      <c r="F47">
        <v>34.28</v>
      </c>
      <c r="G47">
        <v>34.54</v>
      </c>
      <c r="H47">
        <v>34.42</v>
      </c>
      <c r="I47">
        <v>0</v>
      </c>
      <c r="J47">
        <v>0.01</v>
      </c>
      <c r="K47">
        <v>0</v>
      </c>
      <c r="L47">
        <v>34.369999999999997</v>
      </c>
      <c r="M47">
        <v>34.619999999999997</v>
      </c>
      <c r="N47">
        <v>34.5</v>
      </c>
    </row>
    <row r="48" spans="1:14" x14ac:dyDescent="0.25">
      <c r="A48">
        <v>0</v>
      </c>
      <c r="B48">
        <v>2400</v>
      </c>
      <c r="C48">
        <v>0.12</v>
      </c>
      <c r="D48">
        <v>0.3</v>
      </c>
      <c r="E48">
        <v>0.21</v>
      </c>
      <c r="F48">
        <v>15.08</v>
      </c>
      <c r="G48">
        <v>15.75</v>
      </c>
      <c r="H48">
        <v>15.33</v>
      </c>
      <c r="I48">
        <v>30.19</v>
      </c>
      <c r="J48">
        <v>52.2</v>
      </c>
      <c r="K48">
        <v>33.46</v>
      </c>
      <c r="L48">
        <v>45.51</v>
      </c>
      <c r="M48">
        <v>68.069999999999993</v>
      </c>
      <c r="N48">
        <v>49</v>
      </c>
    </row>
    <row r="49" spans="1:14" x14ac:dyDescent="0.25">
      <c r="A49">
        <v>1</v>
      </c>
      <c r="B49">
        <v>2400</v>
      </c>
      <c r="C49">
        <v>0.05</v>
      </c>
      <c r="D49">
        <v>0.21</v>
      </c>
      <c r="E49">
        <v>0.1</v>
      </c>
      <c r="F49">
        <v>35.46</v>
      </c>
      <c r="G49">
        <v>35.729999999999997</v>
      </c>
      <c r="H49">
        <v>35.57</v>
      </c>
      <c r="I49">
        <v>0</v>
      </c>
      <c r="J49">
        <v>0.02</v>
      </c>
      <c r="K49">
        <v>0</v>
      </c>
      <c r="L49">
        <v>35.54</v>
      </c>
      <c r="M49">
        <v>35.909999999999997</v>
      </c>
      <c r="N49">
        <v>35.67</v>
      </c>
    </row>
    <row r="50" spans="1:14" x14ac:dyDescent="0.25">
      <c r="A50">
        <v>0</v>
      </c>
      <c r="B50">
        <v>2500</v>
      </c>
      <c r="C50">
        <v>0.2</v>
      </c>
      <c r="D50">
        <v>0.28999999999999998</v>
      </c>
      <c r="E50">
        <v>0.24</v>
      </c>
      <c r="F50">
        <v>15.13</v>
      </c>
      <c r="G50">
        <v>15.32</v>
      </c>
      <c r="H50">
        <v>15.2</v>
      </c>
      <c r="I50">
        <v>29.9</v>
      </c>
      <c r="J50">
        <v>36.229999999999997</v>
      </c>
      <c r="K50">
        <v>32.94</v>
      </c>
      <c r="L50">
        <v>45.25</v>
      </c>
      <c r="M50">
        <v>51.71</v>
      </c>
      <c r="N50">
        <v>48.38</v>
      </c>
    </row>
    <row r="51" spans="1:14" x14ac:dyDescent="0.25">
      <c r="A51">
        <v>1</v>
      </c>
      <c r="B51">
        <v>2500</v>
      </c>
      <c r="C51">
        <v>0.05</v>
      </c>
      <c r="D51">
        <v>0.09</v>
      </c>
      <c r="E51">
        <v>7.0000000000000007E-2</v>
      </c>
      <c r="F51">
        <v>38.200000000000003</v>
      </c>
      <c r="G51">
        <v>38.58</v>
      </c>
      <c r="H51">
        <v>38.340000000000003</v>
      </c>
      <c r="I51">
        <v>0</v>
      </c>
      <c r="J51">
        <v>0</v>
      </c>
      <c r="K51">
        <v>0</v>
      </c>
      <c r="L51">
        <v>38.270000000000003</v>
      </c>
      <c r="M51">
        <v>38.67</v>
      </c>
      <c r="N51">
        <v>38.409999999999997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3"/>
  <sheetViews>
    <sheetView workbookViewId="0">
      <selection activeCell="D9" sqref="D9"/>
    </sheetView>
  </sheetViews>
  <sheetFormatPr defaultColWidth="7" defaultRowHeight="15" x14ac:dyDescent="0.25"/>
  <cols>
    <col min="1" max="9" width="7" style="2"/>
    <col min="10" max="10" width="7.140625" style="2" customWidth="1"/>
    <col min="11" max="11" width="13.140625" style="2" bestFit="1" customWidth="1"/>
    <col min="12" max="12" width="10.7109375" style="2" bestFit="1" customWidth="1"/>
    <col min="13" max="13" width="11" style="2" bestFit="1" customWidth="1"/>
    <col min="14" max="14" width="12.28515625" style="2" bestFit="1" customWidth="1"/>
    <col min="15" max="15" width="7" style="2"/>
    <col min="16" max="16" width="12.28515625" style="2" bestFit="1" customWidth="1"/>
    <col min="17" max="16384" width="7" style="2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/>
      <c r="P1" s="3" t="s">
        <v>12</v>
      </c>
    </row>
    <row r="2" spans="1:16" x14ac:dyDescent="0.25">
      <c r="A2" s="2">
        <v>0</v>
      </c>
      <c r="B2" s="2">
        <v>100</v>
      </c>
      <c r="C2" s="2">
        <v>0.19</v>
      </c>
      <c r="D2" s="2">
        <v>0.28999999999999998</v>
      </c>
      <c r="E2" s="2">
        <v>0.22</v>
      </c>
      <c r="F2" s="2">
        <v>1.06</v>
      </c>
      <c r="G2" s="2">
        <v>1.1200000000000001</v>
      </c>
      <c r="H2" s="2">
        <v>1.1000000000000001</v>
      </c>
      <c r="I2" s="2">
        <v>17.52</v>
      </c>
      <c r="J2" s="2">
        <v>26.85</v>
      </c>
      <c r="K2" s="2">
        <v>21.14</v>
      </c>
      <c r="L2" s="2">
        <v>18.84</v>
      </c>
      <c r="M2" s="2">
        <v>28.17</v>
      </c>
      <c r="N2" s="2">
        <v>22.46</v>
      </c>
      <c r="O2" s="3">
        <v>100</v>
      </c>
      <c r="P2" s="3">
        <f>AVERAGE(N2:N3)</f>
        <v>12.14</v>
      </c>
    </row>
    <row r="3" spans="1:16" x14ac:dyDescent="0.25">
      <c r="A3" s="2">
        <v>1</v>
      </c>
      <c r="B3" s="2">
        <v>100</v>
      </c>
      <c r="C3" s="2">
        <v>0.11</v>
      </c>
      <c r="D3" s="2">
        <v>0.28000000000000003</v>
      </c>
      <c r="E3" s="2">
        <v>0.19</v>
      </c>
      <c r="F3" s="2">
        <v>1.62</v>
      </c>
      <c r="G3" s="2">
        <v>1.65</v>
      </c>
      <c r="H3" s="2">
        <v>1.63</v>
      </c>
      <c r="I3" s="2">
        <v>0</v>
      </c>
      <c r="J3" s="2">
        <v>0.01</v>
      </c>
      <c r="K3" s="2">
        <v>0</v>
      </c>
      <c r="L3" s="2">
        <v>1.72</v>
      </c>
      <c r="M3" s="2">
        <v>1.92</v>
      </c>
      <c r="N3" s="2">
        <v>1.82</v>
      </c>
      <c r="O3" s="3">
        <v>200</v>
      </c>
      <c r="P3" s="3">
        <f>AVERAGE(N4:N5)</f>
        <v>13.719999999999999</v>
      </c>
    </row>
    <row r="4" spans="1:16" x14ac:dyDescent="0.25">
      <c r="A4" s="2">
        <v>0</v>
      </c>
      <c r="B4" s="2">
        <v>200</v>
      </c>
      <c r="C4" s="2">
        <v>0.13</v>
      </c>
      <c r="D4" s="2">
        <v>0.32</v>
      </c>
      <c r="E4" s="2">
        <v>0.21</v>
      </c>
      <c r="F4" s="2">
        <v>1.7</v>
      </c>
      <c r="G4" s="2">
        <v>1.77</v>
      </c>
      <c r="H4" s="2">
        <v>1.72</v>
      </c>
      <c r="I4" s="2">
        <v>19.48</v>
      </c>
      <c r="J4" s="2">
        <v>25.92</v>
      </c>
      <c r="K4" s="2">
        <v>22.1</v>
      </c>
      <c r="L4" s="2">
        <v>21.48</v>
      </c>
      <c r="M4" s="2">
        <v>27.82</v>
      </c>
      <c r="N4" s="2">
        <v>24.04</v>
      </c>
      <c r="O4" s="3">
        <v>300</v>
      </c>
      <c r="P4" s="3">
        <f>AVERAGE(N6:N7)</f>
        <v>14.765000000000001</v>
      </c>
    </row>
    <row r="5" spans="1:16" x14ac:dyDescent="0.25">
      <c r="A5" s="2">
        <v>1</v>
      </c>
      <c r="B5" s="2">
        <v>200</v>
      </c>
      <c r="C5" s="2">
        <v>0.12</v>
      </c>
      <c r="D5" s="2">
        <v>0.27</v>
      </c>
      <c r="E5" s="2">
        <v>0.19</v>
      </c>
      <c r="F5" s="2">
        <v>3.19</v>
      </c>
      <c r="G5" s="2">
        <v>3.23</v>
      </c>
      <c r="H5" s="2">
        <v>3.21</v>
      </c>
      <c r="I5" s="2">
        <v>0</v>
      </c>
      <c r="J5" s="2">
        <v>0.06</v>
      </c>
      <c r="K5" s="2">
        <v>0</v>
      </c>
      <c r="L5" s="2">
        <v>3.32</v>
      </c>
      <c r="M5" s="2">
        <v>3.5</v>
      </c>
      <c r="N5" s="2">
        <v>3.4</v>
      </c>
      <c r="O5" s="3">
        <v>400</v>
      </c>
      <c r="P5" s="3">
        <f>AVERAGE(N8:N9)</f>
        <v>16.715</v>
      </c>
    </row>
    <row r="6" spans="1:16" x14ac:dyDescent="0.25">
      <c r="A6" s="2">
        <v>0</v>
      </c>
      <c r="B6" s="2">
        <v>300</v>
      </c>
      <c r="C6" s="2">
        <v>0.19</v>
      </c>
      <c r="D6" s="2">
        <v>0.33</v>
      </c>
      <c r="E6" s="2">
        <v>0.23</v>
      </c>
      <c r="F6" s="2">
        <v>2.27</v>
      </c>
      <c r="G6" s="2">
        <v>2.37</v>
      </c>
      <c r="H6" s="2">
        <v>2.3199999999999998</v>
      </c>
      <c r="I6" s="2">
        <v>19.09</v>
      </c>
      <c r="J6" s="2">
        <v>25.89</v>
      </c>
      <c r="K6" s="2">
        <v>22.02</v>
      </c>
      <c r="L6" s="2">
        <v>21.64</v>
      </c>
      <c r="M6" s="2">
        <v>28.43</v>
      </c>
      <c r="N6" s="2">
        <v>24.57</v>
      </c>
      <c r="O6" s="3">
        <v>500</v>
      </c>
      <c r="P6" s="3">
        <f>AVERAGE(N10:N11)</f>
        <v>18.285</v>
      </c>
    </row>
    <row r="7" spans="1:16" x14ac:dyDescent="0.25">
      <c r="A7" s="2">
        <v>1</v>
      </c>
      <c r="B7" s="2">
        <v>300</v>
      </c>
      <c r="C7" s="2">
        <v>0.12</v>
      </c>
      <c r="D7" s="2">
        <v>0.26</v>
      </c>
      <c r="E7" s="2">
        <v>0.19</v>
      </c>
      <c r="F7" s="2">
        <v>4.75</v>
      </c>
      <c r="G7" s="2">
        <v>4.79</v>
      </c>
      <c r="H7" s="2">
        <v>4.7699999999999996</v>
      </c>
      <c r="I7" s="2">
        <v>0</v>
      </c>
      <c r="J7" s="2">
        <v>0.01</v>
      </c>
      <c r="K7" s="2">
        <v>0</v>
      </c>
      <c r="L7" s="2">
        <v>4.8899999999999997</v>
      </c>
      <c r="M7" s="2">
        <v>5.05</v>
      </c>
      <c r="N7" s="2">
        <v>4.96</v>
      </c>
      <c r="O7" s="3">
        <v>600</v>
      </c>
      <c r="P7" s="3">
        <f>AVERAGE(N12:N13)</f>
        <v>19.475000000000001</v>
      </c>
    </row>
    <row r="8" spans="1:16" x14ac:dyDescent="0.25">
      <c r="A8" s="2">
        <v>0</v>
      </c>
      <c r="B8" s="2">
        <v>400</v>
      </c>
      <c r="C8" s="2">
        <v>0.21</v>
      </c>
      <c r="D8" s="2">
        <v>0.32</v>
      </c>
      <c r="E8" s="2">
        <v>0.24</v>
      </c>
      <c r="F8" s="2">
        <v>2.92</v>
      </c>
      <c r="G8" s="2">
        <v>2.98</v>
      </c>
      <c r="H8" s="2">
        <v>2.94</v>
      </c>
      <c r="I8" s="2">
        <v>20.83</v>
      </c>
      <c r="J8" s="2">
        <v>32.880000000000003</v>
      </c>
      <c r="K8" s="2">
        <v>23.67</v>
      </c>
      <c r="L8" s="2">
        <v>24.01</v>
      </c>
      <c r="M8" s="2">
        <v>36.11</v>
      </c>
      <c r="N8" s="2">
        <v>26.84</v>
      </c>
      <c r="O8" s="3">
        <v>700</v>
      </c>
      <c r="P8" s="3">
        <f>AVERAGE(N14:N15)</f>
        <v>20.79</v>
      </c>
    </row>
    <row r="9" spans="1:16" x14ac:dyDescent="0.25">
      <c r="A9" s="2">
        <v>1</v>
      </c>
      <c r="B9" s="2">
        <v>400</v>
      </c>
      <c r="C9" s="2">
        <v>0.12</v>
      </c>
      <c r="D9" s="2">
        <v>0.28999999999999998</v>
      </c>
      <c r="E9" s="2">
        <v>0.2</v>
      </c>
      <c r="F9" s="2">
        <v>6.37</v>
      </c>
      <c r="G9" s="2">
        <v>6.56</v>
      </c>
      <c r="H9" s="2">
        <v>6.39</v>
      </c>
      <c r="I9" s="2">
        <v>0</v>
      </c>
      <c r="J9" s="2">
        <v>0.06</v>
      </c>
      <c r="K9" s="2">
        <v>0</v>
      </c>
      <c r="L9" s="2">
        <v>6.5</v>
      </c>
      <c r="M9" s="2">
        <v>6.71</v>
      </c>
      <c r="N9" s="2">
        <v>6.59</v>
      </c>
      <c r="O9" s="3">
        <v>800</v>
      </c>
      <c r="P9" s="3">
        <f>AVERAGE(N16:N17)</f>
        <v>22.700000000000003</v>
      </c>
    </row>
    <row r="10" spans="1:16" x14ac:dyDescent="0.25">
      <c r="A10" s="2">
        <v>0</v>
      </c>
      <c r="B10" s="2">
        <v>500</v>
      </c>
      <c r="C10" s="2">
        <v>0.18</v>
      </c>
      <c r="D10" s="2">
        <v>0.35</v>
      </c>
      <c r="E10" s="2">
        <v>0.24</v>
      </c>
      <c r="F10" s="2">
        <v>3.52</v>
      </c>
      <c r="G10" s="2">
        <v>3.63</v>
      </c>
      <c r="H10" s="2">
        <v>3.56</v>
      </c>
      <c r="I10" s="2">
        <v>21.53</v>
      </c>
      <c r="J10" s="2">
        <v>35.19</v>
      </c>
      <c r="K10" s="2">
        <v>24.52</v>
      </c>
      <c r="L10" s="2">
        <v>25.32</v>
      </c>
      <c r="M10" s="2">
        <v>39.01</v>
      </c>
      <c r="N10" s="2">
        <v>28.32</v>
      </c>
      <c r="O10" s="3">
        <v>900</v>
      </c>
      <c r="P10" s="3">
        <f>AVERAGE(N18:N19)</f>
        <v>23.2</v>
      </c>
    </row>
    <row r="11" spans="1:16" x14ac:dyDescent="0.25">
      <c r="A11" s="2">
        <v>1</v>
      </c>
      <c r="B11" s="2">
        <v>500</v>
      </c>
      <c r="C11" s="2">
        <v>0.13</v>
      </c>
      <c r="D11" s="2">
        <v>0.28000000000000003</v>
      </c>
      <c r="E11" s="2">
        <v>0.2</v>
      </c>
      <c r="F11" s="2">
        <v>8</v>
      </c>
      <c r="G11" s="2">
        <v>8.2200000000000006</v>
      </c>
      <c r="H11" s="2">
        <v>8.0500000000000007</v>
      </c>
      <c r="I11" s="2">
        <v>0</v>
      </c>
      <c r="J11" s="2">
        <v>0.06</v>
      </c>
      <c r="K11" s="2">
        <v>0</v>
      </c>
      <c r="L11" s="2">
        <v>8.14</v>
      </c>
      <c r="M11" s="2">
        <v>8.39</v>
      </c>
      <c r="N11" s="2">
        <v>8.25</v>
      </c>
      <c r="O11" s="3">
        <v>1000</v>
      </c>
      <c r="P11" s="3">
        <f>AVERAGE(N20:N21)</f>
        <v>24.645</v>
      </c>
    </row>
    <row r="12" spans="1:16" x14ac:dyDescent="0.25">
      <c r="A12" s="2">
        <v>0</v>
      </c>
      <c r="B12" s="2">
        <v>600</v>
      </c>
      <c r="C12" s="2">
        <v>0.18</v>
      </c>
      <c r="D12" s="2">
        <v>0.32</v>
      </c>
      <c r="E12" s="2">
        <v>0.24</v>
      </c>
      <c r="F12" s="2">
        <v>4.13</v>
      </c>
      <c r="G12" s="2">
        <v>4.26</v>
      </c>
      <c r="H12" s="2">
        <v>4.1900000000000004</v>
      </c>
      <c r="I12" s="2">
        <v>21.93</v>
      </c>
      <c r="J12" s="2">
        <v>36.229999999999997</v>
      </c>
      <c r="K12" s="2">
        <v>24.82</v>
      </c>
      <c r="L12" s="2">
        <v>26.39</v>
      </c>
      <c r="M12" s="2">
        <v>40.67</v>
      </c>
      <c r="N12" s="2">
        <v>29.25</v>
      </c>
      <c r="O12" s="3">
        <v>1100</v>
      </c>
      <c r="P12" s="3">
        <f>AVERAGE(N22:N23)</f>
        <v>25.91</v>
      </c>
    </row>
    <row r="13" spans="1:16" x14ac:dyDescent="0.25">
      <c r="A13" s="2">
        <v>1</v>
      </c>
      <c r="B13" s="2">
        <v>600</v>
      </c>
      <c r="C13" s="2">
        <v>0.13</v>
      </c>
      <c r="D13" s="2">
        <v>0.28999999999999998</v>
      </c>
      <c r="E13" s="2">
        <v>0.2</v>
      </c>
      <c r="F13" s="2">
        <v>9.4499999999999993</v>
      </c>
      <c r="G13" s="2">
        <v>9.65</v>
      </c>
      <c r="H13" s="2">
        <v>9.5</v>
      </c>
      <c r="I13" s="2">
        <v>0</v>
      </c>
      <c r="J13" s="2">
        <v>0.03</v>
      </c>
      <c r="K13" s="2">
        <v>0</v>
      </c>
      <c r="L13" s="2">
        <v>9.6</v>
      </c>
      <c r="M13" s="2">
        <v>9.89</v>
      </c>
      <c r="N13" s="2">
        <v>9.6999999999999993</v>
      </c>
      <c r="O13" s="3">
        <v>1200</v>
      </c>
      <c r="P13" s="3">
        <f>AVERAGE(N24:N25)</f>
        <v>27.344999999999999</v>
      </c>
    </row>
    <row r="14" spans="1:16" x14ac:dyDescent="0.25">
      <c r="A14" s="2">
        <v>0</v>
      </c>
      <c r="B14" s="2">
        <v>700</v>
      </c>
      <c r="C14" s="2">
        <v>0.16</v>
      </c>
      <c r="D14" s="2">
        <v>0.31</v>
      </c>
      <c r="E14" s="2">
        <v>0.25</v>
      </c>
      <c r="F14" s="2">
        <v>4.7699999999999996</v>
      </c>
      <c r="G14" s="2">
        <v>4.8899999999999997</v>
      </c>
      <c r="H14" s="2">
        <v>4.83</v>
      </c>
      <c r="I14" s="2">
        <v>22.73</v>
      </c>
      <c r="J14" s="2">
        <v>28.15</v>
      </c>
      <c r="K14" s="2">
        <v>25.21</v>
      </c>
      <c r="L14" s="2">
        <v>27.81</v>
      </c>
      <c r="M14" s="2">
        <v>33.229999999999997</v>
      </c>
      <c r="N14" s="2">
        <v>30.28</v>
      </c>
      <c r="O14" s="3">
        <v>1300</v>
      </c>
      <c r="P14" s="3">
        <f>AVERAGE(N26:N27)</f>
        <v>28.875</v>
      </c>
    </row>
    <row r="15" spans="1:16" x14ac:dyDescent="0.25">
      <c r="A15" s="2">
        <v>1</v>
      </c>
      <c r="B15" s="2">
        <v>700</v>
      </c>
      <c r="C15" s="2">
        <v>0.12</v>
      </c>
      <c r="D15" s="2">
        <v>0.28000000000000003</v>
      </c>
      <c r="E15" s="2">
        <v>0.19</v>
      </c>
      <c r="F15" s="2">
        <v>11.06</v>
      </c>
      <c r="G15" s="2">
        <v>11.28</v>
      </c>
      <c r="H15" s="2">
        <v>11.11</v>
      </c>
      <c r="I15" s="2">
        <v>0</v>
      </c>
      <c r="J15" s="2">
        <v>0.01</v>
      </c>
      <c r="K15" s="2">
        <v>0</v>
      </c>
      <c r="L15" s="2">
        <v>11.2</v>
      </c>
      <c r="M15" s="2">
        <v>11.49</v>
      </c>
      <c r="N15" s="2">
        <v>11.3</v>
      </c>
      <c r="O15" s="3">
        <v>1400</v>
      </c>
      <c r="P15" s="3">
        <f>AVERAGE(N28:N29)</f>
        <v>30.25</v>
      </c>
    </row>
    <row r="16" spans="1:16" x14ac:dyDescent="0.25">
      <c r="A16" s="2">
        <v>0</v>
      </c>
      <c r="B16" s="2">
        <v>800</v>
      </c>
      <c r="C16" s="2">
        <v>0.18</v>
      </c>
      <c r="D16" s="2">
        <v>0.35</v>
      </c>
      <c r="E16" s="2">
        <v>0.25</v>
      </c>
      <c r="F16" s="2">
        <v>5.55</v>
      </c>
      <c r="G16" s="2">
        <v>5.68</v>
      </c>
      <c r="H16" s="2">
        <v>5.62</v>
      </c>
      <c r="I16" s="2">
        <v>23.97</v>
      </c>
      <c r="J16" s="2">
        <v>39.270000000000003</v>
      </c>
      <c r="K16" s="2">
        <v>26.69</v>
      </c>
      <c r="L16" s="2">
        <v>29.82</v>
      </c>
      <c r="M16" s="2">
        <v>45.19</v>
      </c>
      <c r="N16" s="2">
        <v>32.56</v>
      </c>
      <c r="O16" s="3">
        <v>1500</v>
      </c>
      <c r="P16" s="3">
        <f>AVERAGE(N30:N31)</f>
        <v>30.57</v>
      </c>
    </row>
    <row r="17" spans="1:16" x14ac:dyDescent="0.25">
      <c r="A17" s="2">
        <v>1</v>
      </c>
      <c r="B17" s="2">
        <v>800</v>
      </c>
      <c r="C17" s="2">
        <v>0.13</v>
      </c>
      <c r="D17" s="2">
        <v>0.28000000000000003</v>
      </c>
      <c r="E17" s="2">
        <v>0.2</v>
      </c>
      <c r="F17" s="2">
        <v>12.57</v>
      </c>
      <c r="G17" s="2">
        <v>12.86</v>
      </c>
      <c r="H17" s="2">
        <v>12.64</v>
      </c>
      <c r="I17" s="2">
        <v>0</v>
      </c>
      <c r="J17" s="2">
        <v>0.05</v>
      </c>
      <c r="K17" s="2">
        <v>0</v>
      </c>
      <c r="L17" s="2">
        <v>12.72</v>
      </c>
      <c r="M17" s="2">
        <v>13.1</v>
      </c>
      <c r="N17" s="2">
        <v>12.84</v>
      </c>
      <c r="O17" s="3">
        <v>1600</v>
      </c>
      <c r="P17" s="3">
        <f>AVERAGE(N32:N33)</f>
        <v>32.774999999999999</v>
      </c>
    </row>
    <row r="18" spans="1:16" x14ac:dyDescent="0.25">
      <c r="A18" s="2">
        <v>0</v>
      </c>
      <c r="B18" s="2">
        <v>900</v>
      </c>
      <c r="C18" s="2">
        <v>0.17</v>
      </c>
      <c r="D18" s="2">
        <v>0.41</v>
      </c>
      <c r="E18" s="2">
        <v>0.28000000000000003</v>
      </c>
      <c r="F18" s="2">
        <v>6.02</v>
      </c>
      <c r="G18" s="2">
        <v>6.15</v>
      </c>
      <c r="H18" s="2">
        <v>6.09</v>
      </c>
      <c r="I18" s="2">
        <v>23.55</v>
      </c>
      <c r="J18" s="2">
        <v>33.229999999999997</v>
      </c>
      <c r="K18" s="2">
        <v>26.15</v>
      </c>
      <c r="L18" s="2">
        <v>29.85</v>
      </c>
      <c r="M18" s="2">
        <v>39.729999999999997</v>
      </c>
      <c r="N18" s="2">
        <v>32.51</v>
      </c>
      <c r="O18" s="3">
        <v>1700</v>
      </c>
      <c r="P18" s="3">
        <f>AVERAGE(N34:N35)</f>
        <v>34.26</v>
      </c>
    </row>
    <row r="19" spans="1:16" x14ac:dyDescent="0.25">
      <c r="A19" s="2">
        <v>1</v>
      </c>
      <c r="B19" s="2">
        <v>900</v>
      </c>
      <c r="C19" s="2">
        <v>0.06</v>
      </c>
      <c r="D19" s="2">
        <v>0.25</v>
      </c>
      <c r="E19" s="2">
        <v>0.09</v>
      </c>
      <c r="F19" s="2">
        <v>13.76</v>
      </c>
      <c r="G19" s="2">
        <v>13.92</v>
      </c>
      <c r="H19" s="2">
        <v>13.8</v>
      </c>
      <c r="I19" s="2">
        <v>0</v>
      </c>
      <c r="J19" s="2">
        <v>0.01</v>
      </c>
      <c r="K19" s="2">
        <v>0</v>
      </c>
      <c r="L19" s="2">
        <v>13.82</v>
      </c>
      <c r="M19" s="2">
        <v>14.15</v>
      </c>
      <c r="N19" s="2">
        <v>13.89</v>
      </c>
      <c r="O19" s="3">
        <v>1800</v>
      </c>
      <c r="P19" s="3">
        <f>AVERAGE(N36:N37)</f>
        <v>35.885000000000005</v>
      </c>
    </row>
    <row r="20" spans="1:16" x14ac:dyDescent="0.25">
      <c r="A20" s="2">
        <v>0</v>
      </c>
      <c r="B20" s="2">
        <v>1000</v>
      </c>
      <c r="C20" s="2">
        <v>0.18</v>
      </c>
      <c r="D20" s="2">
        <v>0.35</v>
      </c>
      <c r="E20" s="2">
        <v>0.27</v>
      </c>
      <c r="F20" s="2">
        <v>6.63</v>
      </c>
      <c r="G20" s="2">
        <v>6.84</v>
      </c>
      <c r="H20" s="2">
        <v>6.71</v>
      </c>
      <c r="I20" s="2">
        <v>24.33</v>
      </c>
      <c r="J20" s="2">
        <v>29.74</v>
      </c>
      <c r="K20" s="2">
        <v>26.96</v>
      </c>
      <c r="L20" s="2">
        <v>31.26</v>
      </c>
      <c r="M20" s="2">
        <v>36.65</v>
      </c>
      <c r="N20" s="2">
        <v>33.94</v>
      </c>
      <c r="O20" s="3">
        <v>1900</v>
      </c>
      <c r="P20" s="3">
        <f>AVERAGE(N38:N39)</f>
        <v>37.225000000000001</v>
      </c>
    </row>
    <row r="21" spans="1:16" x14ac:dyDescent="0.25">
      <c r="A21" s="2">
        <v>1</v>
      </c>
      <c r="B21" s="2">
        <v>1000</v>
      </c>
      <c r="C21" s="2">
        <v>7.0000000000000007E-2</v>
      </c>
      <c r="D21" s="2">
        <v>0.14000000000000001</v>
      </c>
      <c r="E21" s="2">
        <v>0.09</v>
      </c>
      <c r="F21" s="2">
        <v>15.19</v>
      </c>
      <c r="G21" s="2">
        <v>15.4</v>
      </c>
      <c r="H21" s="2">
        <v>15.25</v>
      </c>
      <c r="I21" s="2">
        <v>0</v>
      </c>
      <c r="J21" s="2">
        <v>0.01</v>
      </c>
      <c r="K21" s="2">
        <v>0</v>
      </c>
      <c r="L21" s="2">
        <v>15.27</v>
      </c>
      <c r="M21" s="2">
        <v>15.54</v>
      </c>
      <c r="N21" s="2">
        <v>15.35</v>
      </c>
      <c r="O21" s="3">
        <v>2000</v>
      </c>
      <c r="P21" s="3">
        <f>AVERAGE(N40:N41)</f>
        <v>38.505000000000003</v>
      </c>
    </row>
    <row r="22" spans="1:16" x14ac:dyDescent="0.25">
      <c r="A22" s="2">
        <v>0</v>
      </c>
      <c r="B22" s="2">
        <v>1100</v>
      </c>
      <c r="C22" s="2">
        <v>0.18</v>
      </c>
      <c r="D22" s="2">
        <v>0.34</v>
      </c>
      <c r="E22" s="2">
        <v>0.26</v>
      </c>
      <c r="F22" s="2">
        <v>7.3</v>
      </c>
      <c r="G22" s="2">
        <v>7.42</v>
      </c>
      <c r="H22" s="2">
        <v>7.35</v>
      </c>
      <c r="I22" s="2">
        <v>24.5</v>
      </c>
      <c r="J22" s="2">
        <v>31.2</v>
      </c>
      <c r="K22" s="2">
        <v>27.35</v>
      </c>
      <c r="L22" s="2">
        <v>32.1</v>
      </c>
      <c r="M22" s="2">
        <v>38.83</v>
      </c>
      <c r="N22" s="2">
        <v>34.96</v>
      </c>
      <c r="O22" s="3">
        <v>2100</v>
      </c>
      <c r="P22" s="3">
        <f>AVERAGE(N42:N43)</f>
        <v>39.155000000000001</v>
      </c>
    </row>
    <row r="23" spans="1:16" x14ac:dyDescent="0.25">
      <c r="A23" s="2">
        <v>1</v>
      </c>
      <c r="B23" s="2">
        <v>1100</v>
      </c>
      <c r="C23" s="2">
        <v>0.06</v>
      </c>
      <c r="D23" s="2">
        <v>0.14000000000000001</v>
      </c>
      <c r="E23" s="2">
        <v>0.1</v>
      </c>
      <c r="F23" s="2">
        <v>16.71</v>
      </c>
      <c r="G23" s="2">
        <v>16.920000000000002</v>
      </c>
      <c r="H23" s="2">
        <v>16.77</v>
      </c>
      <c r="I23" s="2">
        <v>0</v>
      </c>
      <c r="J23" s="2">
        <v>0.01</v>
      </c>
      <c r="K23" s="2">
        <v>0</v>
      </c>
      <c r="L23" s="2">
        <v>16.78</v>
      </c>
      <c r="M23" s="2">
        <v>17.04</v>
      </c>
      <c r="N23" s="2">
        <v>16.86</v>
      </c>
      <c r="O23" s="3">
        <v>2200</v>
      </c>
      <c r="P23" s="3">
        <f>AVERAGE(N44:N45)</f>
        <v>41.245000000000005</v>
      </c>
    </row>
    <row r="24" spans="1:16" x14ac:dyDescent="0.25">
      <c r="A24" s="2">
        <v>0</v>
      </c>
      <c r="B24" s="2">
        <v>1200</v>
      </c>
      <c r="C24" s="2">
        <v>0.22</v>
      </c>
      <c r="D24" s="2">
        <v>0.34</v>
      </c>
      <c r="E24" s="2">
        <v>0.26</v>
      </c>
      <c r="F24" s="2">
        <v>7.95</v>
      </c>
      <c r="G24" s="2">
        <v>8.15</v>
      </c>
      <c r="H24" s="2">
        <v>8.0299999999999994</v>
      </c>
      <c r="I24" s="2">
        <v>25.13</v>
      </c>
      <c r="J24" s="2">
        <v>31.83</v>
      </c>
      <c r="K24" s="2">
        <v>27.96</v>
      </c>
      <c r="L24" s="2">
        <v>33.33</v>
      </c>
      <c r="M24" s="2">
        <v>40.11</v>
      </c>
      <c r="N24" s="2">
        <v>36.26</v>
      </c>
      <c r="O24" s="3">
        <v>2300</v>
      </c>
      <c r="P24" s="3">
        <f>AVERAGE(N46:N47)</f>
        <v>42.704999999999998</v>
      </c>
    </row>
    <row r="25" spans="1:16" x14ac:dyDescent="0.25">
      <c r="A25" s="2">
        <v>1</v>
      </c>
      <c r="B25" s="2">
        <v>1200</v>
      </c>
      <c r="C25" s="2">
        <v>0.06</v>
      </c>
      <c r="D25" s="2">
        <v>0.1</v>
      </c>
      <c r="E25" s="2">
        <v>7.0000000000000007E-2</v>
      </c>
      <c r="F25" s="2">
        <v>18.329999999999998</v>
      </c>
      <c r="G25" s="2">
        <v>18.39</v>
      </c>
      <c r="H25" s="2">
        <v>18.36</v>
      </c>
      <c r="I25" s="2">
        <v>0</v>
      </c>
      <c r="J25" s="2">
        <v>0</v>
      </c>
      <c r="K25" s="2">
        <v>0</v>
      </c>
      <c r="L25" s="2">
        <v>18.399999999999999</v>
      </c>
      <c r="M25" s="2">
        <v>18.48</v>
      </c>
      <c r="N25" s="2">
        <v>18.43</v>
      </c>
      <c r="O25" s="3">
        <v>2400</v>
      </c>
      <c r="P25" s="3">
        <f>AVERAGE(N48:N49)</f>
        <v>43.93</v>
      </c>
    </row>
    <row r="26" spans="1:16" x14ac:dyDescent="0.25">
      <c r="A26" s="2">
        <v>0</v>
      </c>
      <c r="B26" s="2">
        <v>1300</v>
      </c>
      <c r="C26" s="2">
        <v>0.18</v>
      </c>
      <c r="D26" s="2">
        <v>0.36</v>
      </c>
      <c r="E26" s="2">
        <v>0.27</v>
      </c>
      <c r="F26" s="2">
        <v>8.56</v>
      </c>
      <c r="G26" s="2">
        <v>8.6999999999999993</v>
      </c>
      <c r="H26" s="2">
        <v>8.64</v>
      </c>
      <c r="I26" s="2">
        <v>25.78</v>
      </c>
      <c r="J26" s="2">
        <v>32.26</v>
      </c>
      <c r="K26" s="2">
        <v>28.82</v>
      </c>
      <c r="L26" s="2">
        <v>34.64</v>
      </c>
      <c r="M26" s="2">
        <v>41.25</v>
      </c>
      <c r="N26" s="2">
        <v>37.72</v>
      </c>
      <c r="O26" s="3">
        <v>2500</v>
      </c>
      <c r="P26" s="3">
        <f>AVERAGE(N50:N51)</f>
        <v>43.585000000000001</v>
      </c>
    </row>
    <row r="27" spans="1:16" x14ac:dyDescent="0.25">
      <c r="A27" s="2">
        <v>1</v>
      </c>
      <c r="B27" s="2">
        <v>1300</v>
      </c>
      <c r="C27" s="2">
        <v>0.06</v>
      </c>
      <c r="D27" s="2">
        <v>0.27</v>
      </c>
      <c r="E27" s="2">
        <v>0.1</v>
      </c>
      <c r="F27" s="2">
        <v>19.86</v>
      </c>
      <c r="G27" s="2">
        <v>20.079999999999998</v>
      </c>
      <c r="H27" s="2">
        <v>19.93</v>
      </c>
      <c r="I27" s="2">
        <v>0</v>
      </c>
      <c r="J27" s="2">
        <v>0.02</v>
      </c>
      <c r="K27" s="2">
        <v>0</v>
      </c>
      <c r="L27" s="2">
        <v>19.93</v>
      </c>
      <c r="M27" s="2">
        <v>20.350000000000001</v>
      </c>
      <c r="N27" s="2">
        <v>20.03</v>
      </c>
      <c r="O27" s="3">
        <v>2600</v>
      </c>
      <c r="P27" s="3">
        <f>AVERAGE(N52:N53)</f>
        <v>47.239999999999995</v>
      </c>
    </row>
    <row r="28" spans="1:16" x14ac:dyDescent="0.25">
      <c r="A28" s="2">
        <v>0</v>
      </c>
      <c r="B28" s="2">
        <v>1400</v>
      </c>
      <c r="C28" s="2">
        <v>0.18</v>
      </c>
      <c r="D28" s="2">
        <v>0.38</v>
      </c>
      <c r="E28" s="2">
        <v>0.27</v>
      </c>
      <c r="F28" s="2">
        <v>9.23</v>
      </c>
      <c r="G28" s="2">
        <v>9.3699999999999992</v>
      </c>
      <c r="H28" s="2">
        <v>9.2899999999999991</v>
      </c>
      <c r="I28" s="2">
        <v>26.52</v>
      </c>
      <c r="J28" s="2">
        <v>34.020000000000003</v>
      </c>
      <c r="K28" s="2">
        <v>29.45</v>
      </c>
      <c r="L28" s="2">
        <v>36.04</v>
      </c>
      <c r="M28" s="2">
        <v>43.65</v>
      </c>
      <c r="N28" s="2">
        <v>39.01</v>
      </c>
      <c r="O28" s="3">
        <v>2700</v>
      </c>
      <c r="P28" s="3">
        <f>AVERAGE(N54:N55)</f>
        <v>45.725000000000001</v>
      </c>
    </row>
    <row r="29" spans="1:16" x14ac:dyDescent="0.25">
      <c r="A29" s="2">
        <v>1</v>
      </c>
      <c r="B29" s="2">
        <v>1400</v>
      </c>
      <c r="C29" s="2">
        <v>0.05</v>
      </c>
      <c r="D29" s="2">
        <v>0.14000000000000001</v>
      </c>
      <c r="E29" s="2">
        <v>0.09</v>
      </c>
      <c r="F29" s="2">
        <v>21.33</v>
      </c>
      <c r="G29" s="2">
        <v>21.56</v>
      </c>
      <c r="H29" s="2">
        <v>21.4</v>
      </c>
      <c r="I29" s="2">
        <v>0</v>
      </c>
      <c r="J29" s="2">
        <v>0</v>
      </c>
      <c r="K29" s="2">
        <v>0</v>
      </c>
      <c r="L29" s="2">
        <v>21.4</v>
      </c>
      <c r="M29" s="2">
        <v>21.68</v>
      </c>
      <c r="N29" s="2">
        <v>21.49</v>
      </c>
    </row>
    <row r="30" spans="1:16" x14ac:dyDescent="0.25">
      <c r="A30" s="2">
        <v>0</v>
      </c>
      <c r="B30" s="2">
        <v>1500</v>
      </c>
      <c r="C30" s="2">
        <v>0.15</v>
      </c>
      <c r="D30" s="2">
        <v>0.39</v>
      </c>
      <c r="E30" s="2">
        <v>0.21</v>
      </c>
      <c r="F30" s="2">
        <v>9.49</v>
      </c>
      <c r="G30" s="2">
        <v>9.8699999999999992</v>
      </c>
      <c r="H30" s="2">
        <v>9.69</v>
      </c>
      <c r="I30" s="2">
        <v>25.24</v>
      </c>
      <c r="J30" s="2">
        <v>31.93</v>
      </c>
      <c r="K30" s="2">
        <v>28.07</v>
      </c>
      <c r="L30" s="2">
        <v>35.28</v>
      </c>
      <c r="M30" s="2">
        <v>41.89</v>
      </c>
      <c r="N30" s="2">
        <v>37.979999999999997</v>
      </c>
    </row>
    <row r="31" spans="1:16" x14ac:dyDescent="0.25">
      <c r="A31" s="2">
        <v>1</v>
      </c>
      <c r="B31" s="2">
        <v>1500</v>
      </c>
      <c r="C31" s="2">
        <v>0.12</v>
      </c>
      <c r="D31" s="2">
        <v>0.27</v>
      </c>
      <c r="E31" s="2">
        <v>0.2</v>
      </c>
      <c r="F31" s="2">
        <v>22.67</v>
      </c>
      <c r="G31" s="2">
        <v>23.51</v>
      </c>
      <c r="H31" s="2">
        <v>22.96</v>
      </c>
      <c r="I31" s="2">
        <v>0</v>
      </c>
      <c r="J31" s="2">
        <v>0.02</v>
      </c>
      <c r="K31" s="2">
        <v>0</v>
      </c>
      <c r="L31" s="2">
        <v>22.85</v>
      </c>
      <c r="M31" s="2">
        <v>23.71</v>
      </c>
      <c r="N31" s="2">
        <v>23.16</v>
      </c>
    </row>
    <row r="32" spans="1:16" x14ac:dyDescent="0.25">
      <c r="A32" s="2">
        <v>0</v>
      </c>
      <c r="B32" s="2">
        <v>1600</v>
      </c>
      <c r="C32" s="2">
        <v>0.18</v>
      </c>
      <c r="D32" s="2">
        <v>0.35</v>
      </c>
      <c r="E32" s="2">
        <v>0.26</v>
      </c>
      <c r="F32" s="2">
        <v>10.57</v>
      </c>
      <c r="G32" s="2">
        <v>10.75</v>
      </c>
      <c r="H32" s="2">
        <v>10.65</v>
      </c>
      <c r="I32" s="2">
        <v>27.52</v>
      </c>
      <c r="J32" s="2">
        <v>33.869999999999997</v>
      </c>
      <c r="K32" s="2">
        <v>30.17</v>
      </c>
      <c r="L32" s="2">
        <v>38.36</v>
      </c>
      <c r="M32" s="2">
        <v>44.81</v>
      </c>
      <c r="N32" s="2">
        <v>41.08</v>
      </c>
    </row>
    <row r="33" spans="1:14" x14ac:dyDescent="0.25">
      <c r="A33" s="2">
        <v>1</v>
      </c>
      <c r="B33" s="2">
        <v>1600</v>
      </c>
      <c r="C33" s="2">
        <v>0.06</v>
      </c>
      <c r="D33" s="2">
        <v>0.21</v>
      </c>
      <c r="E33" s="2">
        <v>0.1</v>
      </c>
      <c r="F33" s="2">
        <v>24.31</v>
      </c>
      <c r="G33" s="2">
        <v>24.55</v>
      </c>
      <c r="H33" s="2">
        <v>24.37</v>
      </c>
      <c r="I33" s="2">
        <v>0</v>
      </c>
      <c r="J33" s="2">
        <v>0</v>
      </c>
      <c r="K33" s="2">
        <v>0</v>
      </c>
      <c r="L33" s="2">
        <v>24.37</v>
      </c>
      <c r="M33" s="2">
        <v>24.76</v>
      </c>
      <c r="N33" s="2">
        <v>24.47</v>
      </c>
    </row>
    <row r="34" spans="1:14" x14ac:dyDescent="0.25">
      <c r="A34" s="2">
        <v>0</v>
      </c>
      <c r="B34" s="2">
        <v>1700</v>
      </c>
      <c r="C34" s="2">
        <v>0.15</v>
      </c>
      <c r="D34" s="2">
        <v>0.34</v>
      </c>
      <c r="E34" s="2">
        <v>0.25</v>
      </c>
      <c r="F34" s="2">
        <v>11.08</v>
      </c>
      <c r="G34" s="2">
        <v>11.28</v>
      </c>
      <c r="H34" s="2">
        <v>11.16</v>
      </c>
      <c r="I34" s="2">
        <v>28.48</v>
      </c>
      <c r="J34" s="2">
        <v>34.82</v>
      </c>
      <c r="K34" s="2">
        <v>31.07</v>
      </c>
      <c r="L34" s="2">
        <v>39.86</v>
      </c>
      <c r="M34" s="2">
        <v>46.3</v>
      </c>
      <c r="N34" s="2">
        <v>42.48</v>
      </c>
    </row>
    <row r="35" spans="1:14" x14ac:dyDescent="0.25">
      <c r="A35" s="2">
        <v>1</v>
      </c>
      <c r="B35" s="2">
        <v>1700</v>
      </c>
      <c r="C35" s="2">
        <v>0.06</v>
      </c>
      <c r="D35" s="2">
        <v>0.22</v>
      </c>
      <c r="E35" s="2">
        <v>0.11</v>
      </c>
      <c r="F35" s="2">
        <v>25.84</v>
      </c>
      <c r="G35" s="2">
        <v>26.07</v>
      </c>
      <c r="H35" s="2">
        <v>25.93</v>
      </c>
      <c r="I35" s="2">
        <v>0</v>
      </c>
      <c r="J35" s="2">
        <v>0</v>
      </c>
      <c r="K35" s="2">
        <v>0</v>
      </c>
      <c r="L35" s="2">
        <v>25.93</v>
      </c>
      <c r="M35" s="2">
        <v>26.29</v>
      </c>
      <c r="N35" s="2">
        <v>26.04</v>
      </c>
    </row>
    <row r="36" spans="1:14" x14ac:dyDescent="0.25">
      <c r="A36" s="2">
        <v>0</v>
      </c>
      <c r="B36" s="2">
        <v>1800</v>
      </c>
      <c r="C36" s="2">
        <v>0.2</v>
      </c>
      <c r="D36" s="2">
        <v>0.37</v>
      </c>
      <c r="E36" s="2">
        <v>0.27</v>
      </c>
      <c r="F36" s="2">
        <v>11.8</v>
      </c>
      <c r="G36" s="2">
        <v>11.98</v>
      </c>
      <c r="H36" s="2">
        <v>11.88</v>
      </c>
      <c r="I36" s="2">
        <v>28.62</v>
      </c>
      <c r="J36" s="2">
        <v>36.479999999999997</v>
      </c>
      <c r="K36" s="2">
        <v>31.87</v>
      </c>
      <c r="L36" s="2">
        <v>40.770000000000003</v>
      </c>
      <c r="M36" s="2">
        <v>48.69</v>
      </c>
      <c r="N36" s="2">
        <v>44.02</v>
      </c>
    </row>
    <row r="37" spans="1:14" x14ac:dyDescent="0.25">
      <c r="A37" s="2">
        <v>1</v>
      </c>
      <c r="B37" s="2">
        <v>1800</v>
      </c>
      <c r="C37" s="2">
        <v>0.05</v>
      </c>
      <c r="D37" s="2">
        <v>0.1</v>
      </c>
      <c r="E37" s="2">
        <v>7.0000000000000007E-2</v>
      </c>
      <c r="F37" s="2">
        <v>27.62</v>
      </c>
      <c r="G37" s="2">
        <v>27.73</v>
      </c>
      <c r="H37" s="2">
        <v>27.67</v>
      </c>
      <c r="I37" s="2">
        <v>0</v>
      </c>
      <c r="J37" s="2">
        <v>0</v>
      </c>
      <c r="K37" s="2">
        <v>0</v>
      </c>
      <c r="L37" s="2">
        <v>27.68</v>
      </c>
      <c r="M37" s="2">
        <v>27.8</v>
      </c>
      <c r="N37" s="2">
        <v>27.75</v>
      </c>
    </row>
    <row r="38" spans="1:14" x14ac:dyDescent="0.25">
      <c r="A38" s="2">
        <v>0</v>
      </c>
      <c r="B38" s="2">
        <v>1900</v>
      </c>
      <c r="C38" s="2">
        <v>0.15</v>
      </c>
      <c r="D38" s="2">
        <v>0.35</v>
      </c>
      <c r="E38" s="2">
        <v>0.25</v>
      </c>
      <c r="F38" s="2">
        <v>12.44</v>
      </c>
      <c r="G38" s="2">
        <v>12.76</v>
      </c>
      <c r="H38" s="2">
        <v>12.6</v>
      </c>
      <c r="I38" s="2">
        <v>29.7</v>
      </c>
      <c r="J38" s="2">
        <v>42.47</v>
      </c>
      <c r="K38" s="2">
        <v>32.340000000000003</v>
      </c>
      <c r="L38" s="2">
        <v>42.47</v>
      </c>
      <c r="M38" s="2">
        <v>55.33</v>
      </c>
      <c r="N38" s="2">
        <v>45.18</v>
      </c>
    </row>
    <row r="39" spans="1:14" x14ac:dyDescent="0.25">
      <c r="A39" s="2">
        <v>1</v>
      </c>
      <c r="B39" s="2">
        <v>1900</v>
      </c>
      <c r="C39" s="2">
        <v>0.06</v>
      </c>
      <c r="D39" s="2">
        <v>0.24</v>
      </c>
      <c r="E39" s="2">
        <v>0.11</v>
      </c>
      <c r="F39" s="2">
        <v>29.06</v>
      </c>
      <c r="G39" s="2">
        <v>29.34</v>
      </c>
      <c r="H39" s="2">
        <v>29.16</v>
      </c>
      <c r="I39" s="2">
        <v>0</v>
      </c>
      <c r="J39" s="2">
        <v>0.01</v>
      </c>
      <c r="K39" s="2">
        <v>0</v>
      </c>
      <c r="L39" s="2">
        <v>29.12</v>
      </c>
      <c r="M39" s="2">
        <v>29.51</v>
      </c>
      <c r="N39" s="2">
        <v>29.27</v>
      </c>
    </row>
    <row r="40" spans="1:14" x14ac:dyDescent="0.25">
      <c r="A40" s="2">
        <v>0</v>
      </c>
      <c r="B40" s="2">
        <v>2000</v>
      </c>
      <c r="C40" s="2">
        <v>0.18</v>
      </c>
      <c r="D40" s="2">
        <v>0.36</v>
      </c>
      <c r="E40" s="2">
        <v>0.27</v>
      </c>
      <c r="F40" s="2">
        <v>12.84</v>
      </c>
      <c r="G40" s="2">
        <v>13.35</v>
      </c>
      <c r="H40" s="2">
        <v>13.11</v>
      </c>
      <c r="I40" s="2">
        <v>30.17</v>
      </c>
      <c r="J40" s="2">
        <v>37.840000000000003</v>
      </c>
      <c r="K40" s="2">
        <v>33.119999999999997</v>
      </c>
      <c r="L40" s="2">
        <v>43.6</v>
      </c>
      <c r="M40" s="2">
        <v>51.29</v>
      </c>
      <c r="N40" s="2">
        <v>46.5</v>
      </c>
    </row>
    <row r="41" spans="1:14" x14ac:dyDescent="0.25">
      <c r="A41" s="2">
        <v>1</v>
      </c>
      <c r="B41" s="2">
        <v>2000</v>
      </c>
      <c r="C41" s="2">
        <v>0.06</v>
      </c>
      <c r="D41" s="2">
        <v>0.14000000000000001</v>
      </c>
      <c r="E41" s="2">
        <v>0.1</v>
      </c>
      <c r="F41" s="2">
        <v>30.28</v>
      </c>
      <c r="G41" s="2">
        <v>30.66</v>
      </c>
      <c r="H41" s="2">
        <v>30.41</v>
      </c>
      <c r="I41" s="2">
        <v>0</v>
      </c>
      <c r="J41" s="2">
        <v>0.01</v>
      </c>
      <c r="K41" s="2">
        <v>0</v>
      </c>
      <c r="L41" s="2">
        <v>30.35</v>
      </c>
      <c r="M41" s="2">
        <v>30.8</v>
      </c>
      <c r="N41" s="2">
        <v>30.51</v>
      </c>
    </row>
    <row r="42" spans="1:14" x14ac:dyDescent="0.25">
      <c r="A42" s="2">
        <v>0</v>
      </c>
      <c r="B42" s="2">
        <v>2100</v>
      </c>
      <c r="C42" s="2">
        <v>0.17</v>
      </c>
      <c r="D42" s="2">
        <v>0.35</v>
      </c>
      <c r="E42" s="2">
        <v>0.26</v>
      </c>
      <c r="F42" s="2">
        <v>13.58</v>
      </c>
      <c r="G42" s="2">
        <v>13.86</v>
      </c>
      <c r="H42" s="2">
        <v>13.72</v>
      </c>
      <c r="I42" s="2">
        <v>29.79</v>
      </c>
      <c r="J42" s="2">
        <v>34.81</v>
      </c>
      <c r="K42" s="2">
        <v>32.049999999999997</v>
      </c>
      <c r="L42" s="2">
        <v>43.79</v>
      </c>
      <c r="M42" s="2">
        <v>48.81</v>
      </c>
      <c r="N42" s="2">
        <v>46.03</v>
      </c>
    </row>
    <row r="43" spans="1:14" x14ac:dyDescent="0.25">
      <c r="A43" s="2">
        <v>1</v>
      </c>
      <c r="B43" s="2">
        <v>2100</v>
      </c>
      <c r="C43" s="2">
        <v>0.06</v>
      </c>
      <c r="D43" s="2">
        <v>0.19</v>
      </c>
      <c r="E43" s="2">
        <v>0.1</v>
      </c>
      <c r="F43" s="2">
        <v>32.08</v>
      </c>
      <c r="G43" s="2">
        <v>32.33</v>
      </c>
      <c r="H43" s="2">
        <v>32.17</v>
      </c>
      <c r="I43" s="2">
        <v>0</v>
      </c>
      <c r="J43" s="2">
        <v>0.01</v>
      </c>
      <c r="K43" s="2">
        <v>0</v>
      </c>
      <c r="L43" s="2">
        <v>32.14</v>
      </c>
      <c r="M43" s="2">
        <v>32.47</v>
      </c>
      <c r="N43" s="2">
        <v>32.28</v>
      </c>
    </row>
    <row r="44" spans="1:14" x14ac:dyDescent="0.25">
      <c r="A44" s="2">
        <v>0</v>
      </c>
      <c r="B44" s="2">
        <v>2200</v>
      </c>
      <c r="C44" s="2">
        <v>0.16</v>
      </c>
      <c r="D44" s="2">
        <v>0.34</v>
      </c>
      <c r="E44" s="2">
        <v>0.26</v>
      </c>
      <c r="F44" s="2">
        <v>14.12</v>
      </c>
      <c r="G44" s="2">
        <v>14.66</v>
      </c>
      <c r="H44" s="2">
        <v>14.39</v>
      </c>
      <c r="I44" s="2">
        <v>31.27</v>
      </c>
      <c r="J44" s="2">
        <v>39.5</v>
      </c>
      <c r="K44" s="2">
        <v>34.19</v>
      </c>
      <c r="L44" s="2">
        <v>45.93</v>
      </c>
      <c r="M44" s="2">
        <v>54.24</v>
      </c>
      <c r="N44" s="2">
        <v>48.84</v>
      </c>
    </row>
    <row r="45" spans="1:14" x14ac:dyDescent="0.25">
      <c r="A45" s="2">
        <v>1</v>
      </c>
      <c r="B45" s="2">
        <v>2200</v>
      </c>
      <c r="C45" s="2">
        <v>0.06</v>
      </c>
      <c r="D45" s="2">
        <v>0.25</v>
      </c>
      <c r="E45" s="2">
        <v>0.11</v>
      </c>
      <c r="F45" s="2">
        <v>33.35</v>
      </c>
      <c r="G45" s="2">
        <v>33.75</v>
      </c>
      <c r="H45" s="2">
        <v>33.54</v>
      </c>
      <c r="I45" s="2">
        <v>0</v>
      </c>
      <c r="J45" s="2">
        <v>0.01</v>
      </c>
      <c r="K45" s="2">
        <v>0</v>
      </c>
      <c r="L45" s="2">
        <v>33.44</v>
      </c>
      <c r="M45" s="2">
        <v>33.950000000000003</v>
      </c>
      <c r="N45" s="2">
        <v>33.65</v>
      </c>
    </row>
    <row r="46" spans="1:14" x14ac:dyDescent="0.25">
      <c r="A46" s="2">
        <v>0</v>
      </c>
      <c r="B46" s="2">
        <v>2300</v>
      </c>
      <c r="C46" s="2">
        <v>0.15</v>
      </c>
      <c r="D46" s="2">
        <v>0.37</v>
      </c>
      <c r="E46" s="2">
        <v>0.26</v>
      </c>
      <c r="F46" s="2">
        <v>15.38</v>
      </c>
      <c r="G46" s="2">
        <v>15.63</v>
      </c>
      <c r="H46" s="2">
        <v>15.52</v>
      </c>
      <c r="I46" s="2">
        <v>31.92</v>
      </c>
      <c r="J46" s="2">
        <v>38.29</v>
      </c>
      <c r="K46" s="2">
        <v>34.56</v>
      </c>
      <c r="L46" s="2">
        <v>47.56</v>
      </c>
      <c r="M46" s="2">
        <v>54.08</v>
      </c>
      <c r="N46" s="2">
        <v>50.34</v>
      </c>
    </row>
    <row r="47" spans="1:14" x14ac:dyDescent="0.25">
      <c r="A47" s="2">
        <v>1</v>
      </c>
      <c r="B47" s="2">
        <v>2300</v>
      </c>
      <c r="C47" s="2">
        <v>0.06</v>
      </c>
      <c r="D47" s="2">
        <v>0.25</v>
      </c>
      <c r="E47" s="2">
        <v>0.1</v>
      </c>
      <c r="F47" s="2">
        <v>34.85</v>
      </c>
      <c r="G47" s="2">
        <v>35.24</v>
      </c>
      <c r="H47" s="2">
        <v>34.97</v>
      </c>
      <c r="I47" s="2">
        <v>0</v>
      </c>
      <c r="J47" s="2">
        <v>0.02</v>
      </c>
      <c r="K47" s="2">
        <v>0</v>
      </c>
      <c r="L47" s="2">
        <v>34.909999999999997</v>
      </c>
      <c r="M47" s="2">
        <v>35.49</v>
      </c>
      <c r="N47" s="2">
        <v>35.07</v>
      </c>
    </row>
    <row r="48" spans="1:14" x14ac:dyDescent="0.25">
      <c r="A48" s="2">
        <v>0</v>
      </c>
      <c r="B48" s="2">
        <v>2400</v>
      </c>
      <c r="C48" s="2">
        <v>0.15</v>
      </c>
      <c r="D48" s="2">
        <v>0.37</v>
      </c>
      <c r="E48" s="2">
        <v>0.25</v>
      </c>
      <c r="F48" s="2">
        <v>15.74</v>
      </c>
      <c r="G48" s="2">
        <v>16.2</v>
      </c>
      <c r="H48" s="2">
        <v>15.99</v>
      </c>
      <c r="I48" s="2">
        <v>32.25</v>
      </c>
      <c r="J48" s="2">
        <v>40.229999999999997</v>
      </c>
      <c r="K48" s="2">
        <v>34.75</v>
      </c>
      <c r="L48" s="2">
        <v>48.36</v>
      </c>
      <c r="M48" s="2">
        <v>56.6</v>
      </c>
      <c r="N48" s="2">
        <v>50.98</v>
      </c>
    </row>
    <row r="49" spans="1:14" x14ac:dyDescent="0.25">
      <c r="A49" s="2">
        <v>1</v>
      </c>
      <c r="B49" s="2">
        <v>2400</v>
      </c>
      <c r="C49" s="2">
        <v>0.06</v>
      </c>
      <c r="D49" s="2">
        <v>0.25</v>
      </c>
      <c r="E49" s="2">
        <v>0.13</v>
      </c>
      <c r="F49" s="2">
        <v>36.61</v>
      </c>
      <c r="G49" s="2">
        <v>36.909999999999997</v>
      </c>
      <c r="H49" s="2">
        <v>36.75</v>
      </c>
      <c r="I49" s="2">
        <v>0</v>
      </c>
      <c r="J49" s="2">
        <v>0.01</v>
      </c>
      <c r="K49" s="2">
        <v>0</v>
      </c>
      <c r="L49" s="2">
        <v>36.67</v>
      </c>
      <c r="M49" s="2">
        <v>37.119999999999997</v>
      </c>
      <c r="N49" s="2">
        <v>36.880000000000003</v>
      </c>
    </row>
    <row r="50" spans="1:14" x14ac:dyDescent="0.25">
      <c r="A50" s="2">
        <v>0</v>
      </c>
      <c r="B50" s="2">
        <v>2500</v>
      </c>
      <c r="C50" s="2">
        <v>0.18</v>
      </c>
      <c r="D50" s="2">
        <v>0.39</v>
      </c>
      <c r="E50" s="2">
        <v>0.27</v>
      </c>
      <c r="F50" s="2">
        <v>15.98</v>
      </c>
      <c r="G50" s="2">
        <v>16.440000000000001</v>
      </c>
      <c r="H50" s="2">
        <v>16.18</v>
      </c>
      <c r="I50" s="2">
        <v>30.1</v>
      </c>
      <c r="J50" s="2">
        <v>35.909999999999997</v>
      </c>
      <c r="K50" s="2">
        <v>32.369999999999997</v>
      </c>
      <c r="L50" s="2">
        <v>46.49</v>
      </c>
      <c r="M50" s="2">
        <v>52.43</v>
      </c>
      <c r="N50" s="2">
        <v>48.83</v>
      </c>
    </row>
    <row r="51" spans="1:14" x14ac:dyDescent="0.25">
      <c r="A51" s="2">
        <v>1</v>
      </c>
      <c r="B51" s="2">
        <v>2500</v>
      </c>
      <c r="C51" s="2">
        <v>0.06</v>
      </c>
      <c r="D51" s="2">
        <v>0.23</v>
      </c>
      <c r="E51" s="2">
        <v>0.11</v>
      </c>
      <c r="F51" s="2">
        <v>38.04</v>
      </c>
      <c r="G51" s="2">
        <v>38.5</v>
      </c>
      <c r="H51" s="2">
        <v>38.229999999999997</v>
      </c>
      <c r="I51" s="2">
        <v>0</v>
      </c>
      <c r="J51" s="2">
        <v>0.01</v>
      </c>
      <c r="K51" s="2">
        <v>0</v>
      </c>
      <c r="L51" s="2">
        <v>38.130000000000003</v>
      </c>
      <c r="M51" s="2">
        <v>38.630000000000003</v>
      </c>
      <c r="N51" s="2">
        <v>38.340000000000003</v>
      </c>
    </row>
    <row r="52" spans="1:14" x14ac:dyDescent="0.25">
      <c r="A52" s="2">
        <v>0</v>
      </c>
      <c r="B52" s="2">
        <v>2600</v>
      </c>
      <c r="C52" s="2">
        <v>0.17</v>
      </c>
      <c r="D52" s="2">
        <v>0.36</v>
      </c>
      <c r="E52" s="2">
        <v>0.27</v>
      </c>
      <c r="F52" s="2">
        <v>17.559999999999999</v>
      </c>
      <c r="G52" s="2">
        <v>17.91</v>
      </c>
      <c r="H52" s="2">
        <v>17.75</v>
      </c>
      <c r="I52" s="2">
        <v>32.96</v>
      </c>
      <c r="J52" s="2">
        <v>42.54</v>
      </c>
      <c r="K52" s="2">
        <v>35.6</v>
      </c>
      <c r="L52" s="2">
        <v>50.94</v>
      </c>
      <c r="M52" s="2">
        <v>60.45</v>
      </c>
      <c r="N52" s="2">
        <v>53.61</v>
      </c>
    </row>
    <row r="53" spans="1:14" x14ac:dyDescent="0.25">
      <c r="A53" s="2">
        <v>1</v>
      </c>
      <c r="B53" s="2">
        <v>2600</v>
      </c>
      <c r="C53" s="2">
        <v>0.06</v>
      </c>
      <c r="D53" s="2">
        <v>0.26</v>
      </c>
      <c r="E53" s="2">
        <v>0.11</v>
      </c>
      <c r="F53" s="2">
        <v>40.57</v>
      </c>
      <c r="G53" s="2">
        <v>41.04</v>
      </c>
      <c r="H53" s="2">
        <v>40.76</v>
      </c>
      <c r="I53" s="2">
        <v>0</v>
      </c>
      <c r="J53" s="2">
        <v>0.01</v>
      </c>
      <c r="K53" s="2">
        <v>0</v>
      </c>
      <c r="L53" s="2">
        <v>40.68</v>
      </c>
      <c r="M53" s="2">
        <v>41.16</v>
      </c>
      <c r="N53" s="2">
        <v>40.869999999999997</v>
      </c>
    </row>
    <row r="54" spans="1:14" x14ac:dyDescent="0.25">
      <c r="A54" s="2">
        <v>0</v>
      </c>
      <c r="B54" s="2">
        <v>2700</v>
      </c>
      <c r="C54" s="2">
        <v>0.21</v>
      </c>
      <c r="D54" s="2">
        <v>0.35</v>
      </c>
      <c r="E54" s="2">
        <v>0.26</v>
      </c>
      <c r="F54" s="2">
        <v>17.37</v>
      </c>
      <c r="G54" s="2">
        <v>17.5</v>
      </c>
      <c r="H54" s="2">
        <v>17.43</v>
      </c>
      <c r="I54" s="2">
        <v>30.79</v>
      </c>
      <c r="J54" s="2">
        <v>35.090000000000003</v>
      </c>
      <c r="K54" s="2">
        <v>32.82</v>
      </c>
      <c r="L54" s="2">
        <v>48.41</v>
      </c>
      <c r="M54" s="2">
        <v>52.94</v>
      </c>
      <c r="N54" s="2">
        <v>50.52</v>
      </c>
    </row>
    <row r="55" spans="1:14" x14ac:dyDescent="0.25">
      <c r="A55" s="2">
        <v>1</v>
      </c>
      <c r="B55" s="2">
        <v>2700</v>
      </c>
      <c r="C55" s="2">
        <v>0.08</v>
      </c>
      <c r="D55" s="2">
        <v>0.17</v>
      </c>
      <c r="E55" s="2">
        <v>0.11</v>
      </c>
      <c r="F55" s="2">
        <v>40.69</v>
      </c>
      <c r="G55" s="2">
        <v>40.99</v>
      </c>
      <c r="H55" s="2">
        <v>40.82</v>
      </c>
      <c r="I55" s="2">
        <v>0</v>
      </c>
      <c r="J55" s="2">
        <v>0.01</v>
      </c>
      <c r="K55" s="2">
        <v>0</v>
      </c>
      <c r="L55" s="2">
        <v>40.81</v>
      </c>
      <c r="M55" s="2">
        <v>41.13</v>
      </c>
      <c r="N55" s="2">
        <v>40.93</v>
      </c>
    </row>
    <row r="58" spans="1:14" x14ac:dyDescent="0.25">
      <c r="A58" s="2" t="s">
        <v>13</v>
      </c>
      <c r="B58" s="2" t="s">
        <v>14</v>
      </c>
    </row>
    <row r="59" spans="1:14" x14ac:dyDescent="0.25">
      <c r="A59" s="2" t="s">
        <v>15</v>
      </c>
      <c r="B59" s="2">
        <v>17</v>
      </c>
    </row>
    <row r="60" spans="1:14" x14ac:dyDescent="0.25">
      <c r="A60" s="2" t="s">
        <v>39</v>
      </c>
      <c r="B60" s="2" t="s">
        <v>40</v>
      </c>
    </row>
    <row r="61" spans="1:14" x14ac:dyDescent="0.25">
      <c r="A61" s="2" t="s">
        <v>16</v>
      </c>
      <c r="B61" s="2" t="s">
        <v>41</v>
      </c>
    </row>
    <row r="62" spans="1:14" x14ac:dyDescent="0.25">
      <c r="A62" s="2" t="s">
        <v>42</v>
      </c>
      <c r="B62" s="2" t="s">
        <v>40</v>
      </c>
    </row>
    <row r="63" spans="1:14" x14ac:dyDescent="0.25">
      <c r="A63" s="2" t="s">
        <v>18</v>
      </c>
      <c r="B63" s="2">
        <v>17</v>
      </c>
    </row>
    <row r="64" spans="1:14" x14ac:dyDescent="0.25">
      <c r="A64" s="2" t="s">
        <v>19</v>
      </c>
      <c r="B64" s="2" t="s">
        <v>40</v>
      </c>
    </row>
    <row r="65" spans="1:2" x14ac:dyDescent="0.25">
      <c r="A65" s="2" t="s">
        <v>20</v>
      </c>
      <c r="B65" s="2" t="s">
        <v>41</v>
      </c>
    </row>
    <row r="66" spans="1:2" x14ac:dyDescent="0.25">
      <c r="A66" s="2" t="s">
        <v>43</v>
      </c>
      <c r="B66" s="2" t="s">
        <v>40</v>
      </c>
    </row>
    <row r="67" spans="1:2" x14ac:dyDescent="0.25">
      <c r="A67" s="2" t="s">
        <v>21</v>
      </c>
      <c r="B67" s="2">
        <v>17</v>
      </c>
    </row>
    <row r="68" spans="1:2" x14ac:dyDescent="0.25">
      <c r="A68" s="2" t="s">
        <v>22</v>
      </c>
      <c r="B68" s="2" t="s">
        <v>40</v>
      </c>
    </row>
    <row r="69" spans="1:2" x14ac:dyDescent="0.25">
      <c r="A69" s="2" t="s">
        <v>44</v>
      </c>
      <c r="B69" s="2" t="s">
        <v>40</v>
      </c>
    </row>
    <row r="70" spans="1:2" x14ac:dyDescent="0.25">
      <c r="A70" s="2" t="s">
        <v>45</v>
      </c>
      <c r="B70" s="2" t="s">
        <v>40</v>
      </c>
    </row>
    <row r="71" spans="1:2" x14ac:dyDescent="0.25">
      <c r="A71" s="2" t="s">
        <v>46</v>
      </c>
      <c r="B71" s="2" t="s">
        <v>40</v>
      </c>
    </row>
    <row r="72" spans="1:2" x14ac:dyDescent="0.25">
      <c r="A72" s="2" t="s">
        <v>47</v>
      </c>
      <c r="B72" s="2" t="s">
        <v>40</v>
      </c>
    </row>
    <row r="73" spans="1:2" x14ac:dyDescent="0.25">
      <c r="A73" s="2" t="s">
        <v>23</v>
      </c>
      <c r="B73" s="2" t="s">
        <v>40</v>
      </c>
    </row>
    <row r="74" spans="1:2" x14ac:dyDescent="0.25">
      <c r="A74" s="2" t="s">
        <v>48</v>
      </c>
      <c r="B74" s="2" t="s">
        <v>40</v>
      </c>
    </row>
    <row r="75" spans="1:2" x14ac:dyDescent="0.25">
      <c r="A75" s="2" t="s">
        <v>49</v>
      </c>
      <c r="B75" s="2" t="s">
        <v>40</v>
      </c>
    </row>
    <row r="76" spans="1:2" x14ac:dyDescent="0.25">
      <c r="A76" s="2" t="s">
        <v>24</v>
      </c>
      <c r="B76" s="2" t="s">
        <v>40</v>
      </c>
    </row>
    <row r="77" spans="1:2" x14ac:dyDescent="0.25">
      <c r="A77" s="2" t="s">
        <v>50</v>
      </c>
      <c r="B77" s="2" t="s">
        <v>40</v>
      </c>
    </row>
    <row r="78" spans="1:2" x14ac:dyDescent="0.25">
      <c r="A78" s="2" t="s">
        <v>25</v>
      </c>
      <c r="B78" s="2" t="s">
        <v>41</v>
      </c>
    </row>
    <row r="79" spans="1:2" x14ac:dyDescent="0.25">
      <c r="A79" s="2" t="s">
        <v>51</v>
      </c>
      <c r="B79" s="2" t="s">
        <v>40</v>
      </c>
    </row>
    <row r="80" spans="1:2" x14ac:dyDescent="0.25">
      <c r="A80" s="2" t="s">
        <v>26</v>
      </c>
      <c r="B80" s="2" t="s">
        <v>40</v>
      </c>
    </row>
    <row r="82" spans="1:1" x14ac:dyDescent="0.25">
      <c r="A82" s="2" t="s">
        <v>27</v>
      </c>
    </row>
    <row r="83" spans="1:1" x14ac:dyDescent="0.25">
      <c r="A83" s="2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8"/>
  <sheetViews>
    <sheetView workbookViewId="0">
      <selection activeCell="P1" sqref="P1:Q3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0.16</v>
      </c>
      <c r="D2">
        <v>0.23</v>
      </c>
      <c r="E2">
        <v>0.18</v>
      </c>
      <c r="F2">
        <v>1.0900000000000001</v>
      </c>
      <c r="G2">
        <v>1.1499999999999999</v>
      </c>
      <c r="H2">
        <v>1.1299999999999999</v>
      </c>
      <c r="I2">
        <v>17.5</v>
      </c>
      <c r="J2">
        <v>28.09</v>
      </c>
      <c r="K2">
        <v>20.88</v>
      </c>
      <c r="L2">
        <v>18.809999999999999</v>
      </c>
      <c r="M2">
        <v>29.42</v>
      </c>
      <c r="N2">
        <v>22.19</v>
      </c>
      <c r="P2">
        <v>100</v>
      </c>
      <c r="Q2">
        <f>AVERAGE(N2:N3)</f>
        <v>11.965</v>
      </c>
    </row>
    <row r="3" spans="1:17" x14ac:dyDescent="0.25">
      <c r="A3">
        <v>1</v>
      </c>
      <c r="B3">
        <v>100</v>
      </c>
      <c r="C3">
        <v>0.13</v>
      </c>
      <c r="D3">
        <v>0.2</v>
      </c>
      <c r="E3">
        <v>0.16</v>
      </c>
      <c r="F3">
        <v>1.58</v>
      </c>
      <c r="G3">
        <v>1.59</v>
      </c>
      <c r="H3">
        <v>1.58</v>
      </c>
      <c r="I3">
        <v>0</v>
      </c>
      <c r="J3">
        <v>0</v>
      </c>
      <c r="K3">
        <v>0</v>
      </c>
      <c r="L3">
        <v>1.71</v>
      </c>
      <c r="M3">
        <v>1.79</v>
      </c>
      <c r="N3">
        <v>1.74</v>
      </c>
      <c r="P3">
        <f>P2+100</f>
        <v>200</v>
      </c>
      <c r="Q3">
        <f>AVERAGE(N4:N5)</f>
        <v>13.024999999999999</v>
      </c>
    </row>
    <row r="4" spans="1:17" x14ac:dyDescent="0.25">
      <c r="A4">
        <v>0</v>
      </c>
      <c r="B4">
        <v>200</v>
      </c>
      <c r="C4">
        <v>0.17</v>
      </c>
      <c r="D4">
        <v>0.21</v>
      </c>
      <c r="E4">
        <v>0.19</v>
      </c>
      <c r="F4">
        <v>1.71</v>
      </c>
      <c r="G4">
        <v>1.75</v>
      </c>
      <c r="H4">
        <v>1.73</v>
      </c>
      <c r="I4">
        <v>17.940000000000001</v>
      </c>
      <c r="J4">
        <v>27.73</v>
      </c>
      <c r="K4">
        <v>20.89</v>
      </c>
      <c r="L4">
        <v>19.84</v>
      </c>
      <c r="M4">
        <v>29.69</v>
      </c>
      <c r="N4">
        <v>22.81</v>
      </c>
      <c r="P4">
        <f t="shared" ref="P4:P29" si="0">P3+100</f>
        <v>300</v>
      </c>
      <c r="Q4">
        <f>AVERAGE(N6:N7)</f>
        <v>14.49</v>
      </c>
    </row>
    <row r="5" spans="1:17" x14ac:dyDescent="0.25">
      <c r="A5">
        <v>1</v>
      </c>
      <c r="B5">
        <v>200</v>
      </c>
      <c r="C5">
        <v>0.14000000000000001</v>
      </c>
      <c r="D5">
        <v>0.18</v>
      </c>
      <c r="E5">
        <v>0.16</v>
      </c>
      <c r="F5">
        <v>3.07</v>
      </c>
      <c r="G5">
        <v>3.09</v>
      </c>
      <c r="H5">
        <v>3.08</v>
      </c>
      <c r="I5">
        <v>0</v>
      </c>
      <c r="J5">
        <v>0</v>
      </c>
      <c r="K5">
        <v>0</v>
      </c>
      <c r="L5">
        <v>3.21</v>
      </c>
      <c r="M5">
        <v>3.26</v>
      </c>
      <c r="N5">
        <v>3.24</v>
      </c>
      <c r="P5">
        <f t="shared" si="0"/>
        <v>400</v>
      </c>
      <c r="Q5">
        <f>AVERAGE(N8:N9)</f>
        <v>15.864999999999998</v>
      </c>
    </row>
    <row r="6" spans="1:17" x14ac:dyDescent="0.25">
      <c r="A6">
        <v>0</v>
      </c>
      <c r="B6">
        <v>300</v>
      </c>
      <c r="C6">
        <v>0.1</v>
      </c>
      <c r="D6">
        <v>0.3</v>
      </c>
      <c r="E6">
        <v>0.19</v>
      </c>
      <c r="F6">
        <v>2.35</v>
      </c>
      <c r="G6">
        <v>2.44</v>
      </c>
      <c r="H6">
        <v>2.39</v>
      </c>
      <c r="I6">
        <v>18.3</v>
      </c>
      <c r="J6">
        <v>37.97</v>
      </c>
      <c r="K6">
        <v>21.52</v>
      </c>
      <c r="L6">
        <v>20.91</v>
      </c>
      <c r="M6">
        <v>40.58</v>
      </c>
      <c r="N6">
        <v>24.1</v>
      </c>
      <c r="P6">
        <f t="shared" si="0"/>
        <v>500</v>
      </c>
      <c r="Q6">
        <f>AVERAGE(N10:N11)</f>
        <v>17.414999999999999</v>
      </c>
    </row>
    <row r="7" spans="1:17" x14ac:dyDescent="0.25">
      <c r="A7">
        <v>1</v>
      </c>
      <c r="B7">
        <v>300</v>
      </c>
      <c r="C7">
        <v>0.13</v>
      </c>
      <c r="D7">
        <v>0.19</v>
      </c>
      <c r="E7">
        <v>0.16</v>
      </c>
      <c r="F7">
        <v>4.68</v>
      </c>
      <c r="G7">
        <v>4.83</v>
      </c>
      <c r="H7">
        <v>4.72</v>
      </c>
      <c r="I7">
        <v>0</v>
      </c>
      <c r="J7">
        <v>0</v>
      </c>
      <c r="K7">
        <v>0</v>
      </c>
      <c r="L7">
        <v>4.83</v>
      </c>
      <c r="M7">
        <v>4.99</v>
      </c>
      <c r="N7">
        <v>4.88</v>
      </c>
      <c r="P7">
        <f t="shared" si="0"/>
        <v>600</v>
      </c>
      <c r="Q7">
        <f>AVERAGE(N12:N13)</f>
        <v>18.66</v>
      </c>
    </row>
    <row r="8" spans="1:17" x14ac:dyDescent="0.25">
      <c r="A8">
        <v>0</v>
      </c>
      <c r="B8">
        <v>400</v>
      </c>
      <c r="C8">
        <v>0.15</v>
      </c>
      <c r="D8">
        <v>0.28999999999999998</v>
      </c>
      <c r="E8">
        <v>0.21</v>
      </c>
      <c r="F8">
        <v>3</v>
      </c>
      <c r="G8">
        <v>3.09</v>
      </c>
      <c r="H8">
        <v>3.03</v>
      </c>
      <c r="I8">
        <v>18.48</v>
      </c>
      <c r="J8">
        <v>28.2</v>
      </c>
      <c r="K8">
        <v>22.14</v>
      </c>
      <c r="L8">
        <v>21.74</v>
      </c>
      <c r="M8">
        <v>31.48</v>
      </c>
      <c r="N8">
        <v>25.38</v>
      </c>
      <c r="P8">
        <f t="shared" si="0"/>
        <v>700</v>
      </c>
      <c r="Q8">
        <f>AVERAGE(N14:N15)</f>
        <v>19.98</v>
      </c>
    </row>
    <row r="9" spans="1:17" x14ac:dyDescent="0.25">
      <c r="A9">
        <v>1</v>
      </c>
      <c r="B9">
        <v>400</v>
      </c>
      <c r="C9">
        <v>0.12</v>
      </c>
      <c r="D9">
        <v>0.18</v>
      </c>
      <c r="E9">
        <v>0.16</v>
      </c>
      <c r="F9">
        <v>6.15</v>
      </c>
      <c r="G9">
        <v>6.33</v>
      </c>
      <c r="H9">
        <v>6.2</v>
      </c>
      <c r="I9">
        <v>0</v>
      </c>
      <c r="J9">
        <v>0</v>
      </c>
      <c r="K9">
        <v>0</v>
      </c>
      <c r="L9">
        <v>6.29</v>
      </c>
      <c r="M9">
        <v>6.48</v>
      </c>
      <c r="N9">
        <v>6.35</v>
      </c>
      <c r="P9">
        <f t="shared" si="0"/>
        <v>800</v>
      </c>
      <c r="Q9">
        <f>AVERAGE(N16:N17)</f>
        <v>22</v>
      </c>
    </row>
    <row r="10" spans="1:17" x14ac:dyDescent="0.25">
      <c r="A10">
        <v>0</v>
      </c>
      <c r="B10">
        <v>500</v>
      </c>
      <c r="C10">
        <v>0.15</v>
      </c>
      <c r="D10">
        <v>0.27</v>
      </c>
      <c r="E10">
        <v>0.21</v>
      </c>
      <c r="F10">
        <v>3.62</v>
      </c>
      <c r="G10">
        <v>3.76</v>
      </c>
      <c r="H10">
        <v>3.67</v>
      </c>
      <c r="I10">
        <v>19.47</v>
      </c>
      <c r="J10">
        <v>32.25</v>
      </c>
      <c r="K10">
        <v>23.05</v>
      </c>
      <c r="L10">
        <v>23.38</v>
      </c>
      <c r="M10">
        <v>36.17</v>
      </c>
      <c r="N10">
        <v>26.94</v>
      </c>
      <c r="P10">
        <f t="shared" si="0"/>
        <v>900</v>
      </c>
      <c r="Q10">
        <f>AVERAGE(N18:N19)</f>
        <v>22.5</v>
      </c>
    </row>
    <row r="11" spans="1:17" x14ac:dyDescent="0.25">
      <c r="A11">
        <v>1</v>
      </c>
      <c r="B11">
        <v>500</v>
      </c>
      <c r="C11">
        <v>0.13</v>
      </c>
      <c r="D11">
        <v>0.18</v>
      </c>
      <c r="E11">
        <v>0.16</v>
      </c>
      <c r="F11">
        <v>7.69</v>
      </c>
      <c r="G11">
        <v>7.87</v>
      </c>
      <c r="H11">
        <v>7.73</v>
      </c>
      <c r="I11">
        <v>0</v>
      </c>
      <c r="J11">
        <v>0</v>
      </c>
      <c r="K11">
        <v>0</v>
      </c>
      <c r="L11">
        <v>7.84</v>
      </c>
      <c r="M11">
        <v>8.0299999999999994</v>
      </c>
      <c r="N11">
        <v>7.89</v>
      </c>
      <c r="P11">
        <f t="shared" si="0"/>
        <v>1000</v>
      </c>
      <c r="Q11">
        <f>AVERAGE(N20:N21)</f>
        <v>24.29</v>
      </c>
    </row>
    <row r="12" spans="1:17" x14ac:dyDescent="0.25">
      <c r="A12">
        <v>0</v>
      </c>
      <c r="B12">
        <v>600</v>
      </c>
      <c r="C12">
        <v>0.09</v>
      </c>
      <c r="D12">
        <v>0.32</v>
      </c>
      <c r="E12">
        <v>0.22</v>
      </c>
      <c r="F12">
        <v>4.2300000000000004</v>
      </c>
      <c r="G12">
        <v>4.3600000000000003</v>
      </c>
      <c r="H12">
        <v>4.29</v>
      </c>
      <c r="I12">
        <v>19.88</v>
      </c>
      <c r="J12">
        <v>30.75</v>
      </c>
      <c r="K12">
        <v>23.4</v>
      </c>
      <c r="L12">
        <v>24.38</v>
      </c>
      <c r="M12">
        <v>35.35</v>
      </c>
      <c r="N12">
        <v>27.9</v>
      </c>
      <c r="P12">
        <f t="shared" si="0"/>
        <v>1100</v>
      </c>
      <c r="Q12">
        <f>AVERAGE(N22:N23)</f>
        <v>26.344999999999999</v>
      </c>
    </row>
    <row r="13" spans="1:17" x14ac:dyDescent="0.25">
      <c r="A13">
        <v>1</v>
      </c>
      <c r="B13">
        <v>600</v>
      </c>
      <c r="C13">
        <v>0.13</v>
      </c>
      <c r="D13">
        <v>0.18</v>
      </c>
      <c r="E13">
        <v>0.16</v>
      </c>
      <c r="F13">
        <v>9.2100000000000009</v>
      </c>
      <c r="G13">
        <v>9.3800000000000008</v>
      </c>
      <c r="H13">
        <v>9.25</v>
      </c>
      <c r="I13">
        <v>0</v>
      </c>
      <c r="J13">
        <v>0</v>
      </c>
      <c r="K13">
        <v>0</v>
      </c>
      <c r="L13">
        <v>9.35</v>
      </c>
      <c r="M13">
        <v>9.5399999999999991</v>
      </c>
      <c r="N13">
        <v>9.42</v>
      </c>
      <c r="P13">
        <f t="shared" si="0"/>
        <v>1200</v>
      </c>
      <c r="Q13">
        <f>AVERAGE(N24:N25)</f>
        <v>29.075000000000003</v>
      </c>
    </row>
    <row r="14" spans="1:17" x14ac:dyDescent="0.25">
      <c r="A14">
        <v>0</v>
      </c>
      <c r="B14">
        <v>700</v>
      </c>
      <c r="C14">
        <v>0.12</v>
      </c>
      <c r="D14">
        <v>0.28999999999999998</v>
      </c>
      <c r="E14">
        <v>0.22</v>
      </c>
      <c r="F14">
        <v>4.91</v>
      </c>
      <c r="G14">
        <v>5.0199999999999996</v>
      </c>
      <c r="H14">
        <v>4.96</v>
      </c>
      <c r="I14">
        <v>20.49</v>
      </c>
      <c r="J14">
        <v>29.33</v>
      </c>
      <c r="K14">
        <v>23.85</v>
      </c>
      <c r="L14">
        <v>25.65</v>
      </c>
      <c r="M14">
        <v>34.54</v>
      </c>
      <c r="N14">
        <v>29.03</v>
      </c>
      <c r="P14">
        <f t="shared" si="0"/>
        <v>1300</v>
      </c>
      <c r="Q14">
        <f>AVERAGE(N26:N27)</f>
        <v>29.335000000000001</v>
      </c>
    </row>
    <row r="15" spans="1:17" x14ac:dyDescent="0.25">
      <c r="A15">
        <v>1</v>
      </c>
      <c r="B15">
        <v>700</v>
      </c>
      <c r="C15">
        <v>0.13</v>
      </c>
      <c r="D15">
        <v>0.18</v>
      </c>
      <c r="E15">
        <v>0.16</v>
      </c>
      <c r="F15">
        <v>10.68</v>
      </c>
      <c r="G15">
        <v>10.85</v>
      </c>
      <c r="H15">
        <v>10.76</v>
      </c>
      <c r="I15">
        <v>0</v>
      </c>
      <c r="J15">
        <v>0</v>
      </c>
      <c r="K15">
        <v>0</v>
      </c>
      <c r="L15">
        <v>10.83</v>
      </c>
      <c r="M15">
        <v>11</v>
      </c>
      <c r="N15">
        <v>10.93</v>
      </c>
      <c r="P15">
        <f t="shared" si="0"/>
        <v>1400</v>
      </c>
      <c r="Q15">
        <f>AVERAGE(N28:N29)</f>
        <v>30.16</v>
      </c>
    </row>
    <row r="16" spans="1:17" x14ac:dyDescent="0.25">
      <c r="A16">
        <v>0</v>
      </c>
      <c r="B16">
        <v>800</v>
      </c>
      <c r="C16">
        <v>0.12</v>
      </c>
      <c r="D16">
        <v>0.32</v>
      </c>
      <c r="E16">
        <v>0.23</v>
      </c>
      <c r="F16">
        <v>5.61</v>
      </c>
      <c r="G16">
        <v>5.74</v>
      </c>
      <c r="H16">
        <v>5.67</v>
      </c>
      <c r="I16">
        <v>22.08</v>
      </c>
      <c r="J16">
        <v>30.95</v>
      </c>
      <c r="K16">
        <v>25.18</v>
      </c>
      <c r="L16">
        <v>27.95</v>
      </c>
      <c r="M16">
        <v>36.89</v>
      </c>
      <c r="N16">
        <v>31.08</v>
      </c>
      <c r="P16">
        <f t="shared" si="0"/>
        <v>1500</v>
      </c>
      <c r="Q16">
        <f>AVERAGE(N30:N31)</f>
        <v>32.115000000000002</v>
      </c>
    </row>
    <row r="17" spans="1:17" x14ac:dyDescent="0.25">
      <c r="A17">
        <v>1</v>
      </c>
      <c r="B17">
        <v>800</v>
      </c>
      <c r="C17">
        <v>0.13</v>
      </c>
      <c r="D17">
        <v>0.19</v>
      </c>
      <c r="E17">
        <v>0.17</v>
      </c>
      <c r="F17">
        <v>12.7</v>
      </c>
      <c r="G17">
        <v>12.9</v>
      </c>
      <c r="H17">
        <v>12.75</v>
      </c>
      <c r="I17">
        <v>0</v>
      </c>
      <c r="J17">
        <v>0</v>
      </c>
      <c r="K17">
        <v>0</v>
      </c>
      <c r="L17">
        <v>12.86</v>
      </c>
      <c r="M17">
        <v>13.07</v>
      </c>
      <c r="N17">
        <v>12.92</v>
      </c>
      <c r="P17">
        <f t="shared" si="0"/>
        <v>1600</v>
      </c>
      <c r="Q17">
        <f>AVERAGE(N32:N33)</f>
        <v>33.08</v>
      </c>
    </row>
    <row r="18" spans="1:17" x14ac:dyDescent="0.25">
      <c r="A18">
        <v>0</v>
      </c>
      <c r="B18">
        <v>900</v>
      </c>
      <c r="C18">
        <v>0.18</v>
      </c>
      <c r="D18">
        <v>0.28999999999999998</v>
      </c>
      <c r="E18">
        <v>0.23</v>
      </c>
      <c r="F18">
        <v>6.15</v>
      </c>
      <c r="G18">
        <v>6.37</v>
      </c>
      <c r="H18">
        <v>6.2</v>
      </c>
      <c r="I18">
        <v>21.29</v>
      </c>
      <c r="J18">
        <v>42.76</v>
      </c>
      <c r="K18">
        <v>24.27</v>
      </c>
      <c r="L18">
        <v>27.7</v>
      </c>
      <c r="M18">
        <v>49.4</v>
      </c>
      <c r="N18">
        <v>30.71</v>
      </c>
      <c r="P18">
        <f t="shared" si="0"/>
        <v>1700</v>
      </c>
      <c r="Q18">
        <f>AVERAGE(N34:N35)</f>
        <v>34.344999999999999</v>
      </c>
    </row>
    <row r="19" spans="1:17" x14ac:dyDescent="0.25">
      <c r="A19">
        <v>1</v>
      </c>
      <c r="B19">
        <v>900</v>
      </c>
      <c r="C19">
        <v>0.14000000000000001</v>
      </c>
      <c r="D19">
        <v>0.19</v>
      </c>
      <c r="E19">
        <v>0.17</v>
      </c>
      <c r="F19">
        <v>14.08</v>
      </c>
      <c r="G19">
        <v>14.16</v>
      </c>
      <c r="H19">
        <v>14.12</v>
      </c>
      <c r="I19">
        <v>0</v>
      </c>
      <c r="J19">
        <v>0</v>
      </c>
      <c r="K19">
        <v>0</v>
      </c>
      <c r="L19">
        <v>14.25</v>
      </c>
      <c r="M19">
        <v>14.34</v>
      </c>
      <c r="N19">
        <v>14.29</v>
      </c>
      <c r="P19">
        <f t="shared" si="0"/>
        <v>1800</v>
      </c>
      <c r="Q19">
        <f>AVERAGE(N36:N37)</f>
        <v>35.615000000000002</v>
      </c>
    </row>
    <row r="20" spans="1:17" x14ac:dyDescent="0.25">
      <c r="A20">
        <v>0</v>
      </c>
      <c r="B20">
        <v>1000</v>
      </c>
      <c r="C20">
        <v>0.17</v>
      </c>
      <c r="D20">
        <v>0.35</v>
      </c>
      <c r="E20">
        <v>0.25</v>
      </c>
      <c r="F20">
        <v>6.79</v>
      </c>
      <c r="G20">
        <v>7.03</v>
      </c>
      <c r="H20">
        <v>6.87</v>
      </c>
      <c r="I20">
        <v>22.19</v>
      </c>
      <c r="J20">
        <v>39.97</v>
      </c>
      <c r="K20">
        <v>25.55</v>
      </c>
      <c r="L20">
        <v>29.22</v>
      </c>
      <c r="M20">
        <v>47.25</v>
      </c>
      <c r="N20">
        <v>32.67</v>
      </c>
      <c r="P20">
        <f t="shared" si="0"/>
        <v>1900</v>
      </c>
      <c r="Q20">
        <f>AVERAGE(N38:N39)</f>
        <v>37.299999999999997</v>
      </c>
    </row>
    <row r="21" spans="1:17" x14ac:dyDescent="0.25">
      <c r="A21">
        <v>1</v>
      </c>
      <c r="B21">
        <v>1000</v>
      </c>
      <c r="C21">
        <v>0.1</v>
      </c>
      <c r="D21">
        <v>0.18</v>
      </c>
      <c r="E21">
        <v>0.15</v>
      </c>
      <c r="F21">
        <v>15.7</v>
      </c>
      <c r="G21">
        <v>15.89</v>
      </c>
      <c r="H21">
        <v>15.76</v>
      </c>
      <c r="I21">
        <v>0</v>
      </c>
      <c r="J21">
        <v>0</v>
      </c>
      <c r="K21">
        <v>0</v>
      </c>
      <c r="L21">
        <v>15.81</v>
      </c>
      <c r="M21">
        <v>16.04</v>
      </c>
      <c r="N21">
        <v>15.91</v>
      </c>
      <c r="P21">
        <f t="shared" si="0"/>
        <v>2000</v>
      </c>
      <c r="Q21">
        <f>AVERAGE(N40:N41)</f>
        <v>38.914999999999999</v>
      </c>
    </row>
    <row r="22" spans="1:17" x14ac:dyDescent="0.25">
      <c r="A22">
        <v>0</v>
      </c>
      <c r="B22">
        <v>1100</v>
      </c>
      <c r="C22">
        <v>0.11</v>
      </c>
      <c r="D22">
        <v>0.3</v>
      </c>
      <c r="E22">
        <v>0.23</v>
      </c>
      <c r="F22">
        <v>7.48</v>
      </c>
      <c r="G22">
        <v>7.64</v>
      </c>
      <c r="H22">
        <v>7.56</v>
      </c>
      <c r="I22">
        <v>24.1</v>
      </c>
      <c r="J22">
        <v>35.76</v>
      </c>
      <c r="K22">
        <v>27.36</v>
      </c>
      <c r="L22">
        <v>31.85</v>
      </c>
      <c r="M22">
        <v>43.55</v>
      </c>
      <c r="N22">
        <v>35.15</v>
      </c>
      <c r="P22">
        <f t="shared" si="0"/>
        <v>2100</v>
      </c>
      <c r="Q22" t="e">
        <f>AVERAGE(N42:N43)</f>
        <v>#DIV/0!</v>
      </c>
    </row>
    <row r="23" spans="1:17" x14ac:dyDescent="0.25">
      <c r="A23">
        <v>1</v>
      </c>
      <c r="B23">
        <v>1100</v>
      </c>
      <c r="C23">
        <v>0.11</v>
      </c>
      <c r="D23">
        <v>0.15</v>
      </c>
      <c r="E23">
        <v>0.13</v>
      </c>
      <c r="F23">
        <v>17.36</v>
      </c>
      <c r="G23">
        <v>17.55</v>
      </c>
      <c r="H23">
        <v>17.420000000000002</v>
      </c>
      <c r="I23">
        <v>0</v>
      </c>
      <c r="J23">
        <v>0</v>
      </c>
      <c r="K23">
        <v>0</v>
      </c>
      <c r="L23">
        <v>17.48</v>
      </c>
      <c r="M23">
        <v>17.68</v>
      </c>
      <c r="N23">
        <v>17.54</v>
      </c>
      <c r="P23">
        <f t="shared" si="0"/>
        <v>2200</v>
      </c>
      <c r="Q23" t="e">
        <f>AVERAGE(N44:N45)</f>
        <v>#DIV/0!</v>
      </c>
    </row>
    <row r="24" spans="1:17" x14ac:dyDescent="0.25">
      <c r="A24">
        <v>0</v>
      </c>
      <c r="B24">
        <v>1200</v>
      </c>
      <c r="C24">
        <v>0.17</v>
      </c>
      <c r="D24">
        <v>0.24</v>
      </c>
      <c r="E24">
        <v>0.21</v>
      </c>
      <c r="F24">
        <v>8.18</v>
      </c>
      <c r="G24">
        <v>8.7100000000000009</v>
      </c>
      <c r="H24">
        <v>8.26</v>
      </c>
      <c r="I24">
        <v>25.43</v>
      </c>
      <c r="J24">
        <v>84.3</v>
      </c>
      <c r="K24">
        <v>30.57</v>
      </c>
      <c r="L24">
        <v>33.869999999999997</v>
      </c>
      <c r="M24">
        <v>93.18</v>
      </c>
      <c r="N24">
        <v>39.03</v>
      </c>
      <c r="P24">
        <f t="shared" si="0"/>
        <v>2300</v>
      </c>
      <c r="Q24" t="e">
        <f>AVERAGE(N46:N47)</f>
        <v>#DIV/0!</v>
      </c>
    </row>
    <row r="25" spans="1:17" x14ac:dyDescent="0.25">
      <c r="A25">
        <v>1</v>
      </c>
      <c r="B25">
        <v>1200</v>
      </c>
      <c r="C25">
        <v>0.12</v>
      </c>
      <c r="D25">
        <v>0.17</v>
      </c>
      <c r="E25">
        <v>0.14000000000000001</v>
      </c>
      <c r="F25">
        <v>18.95</v>
      </c>
      <c r="G25">
        <v>19.04</v>
      </c>
      <c r="H25">
        <v>18.98</v>
      </c>
      <c r="I25">
        <v>0</v>
      </c>
      <c r="J25">
        <v>0</v>
      </c>
      <c r="K25">
        <v>0</v>
      </c>
      <c r="L25">
        <v>19.079999999999998</v>
      </c>
      <c r="M25">
        <v>19.18</v>
      </c>
      <c r="N25">
        <v>19.12</v>
      </c>
      <c r="P25">
        <f t="shared" si="0"/>
        <v>2400</v>
      </c>
      <c r="Q25" t="e">
        <f>AVERAGE(N48:N49)</f>
        <v>#DIV/0!</v>
      </c>
    </row>
    <row r="26" spans="1:17" x14ac:dyDescent="0.25">
      <c r="A26">
        <v>0</v>
      </c>
      <c r="B26">
        <v>1300</v>
      </c>
      <c r="C26">
        <v>0.13</v>
      </c>
      <c r="D26">
        <v>0.25</v>
      </c>
      <c r="E26">
        <v>0.19</v>
      </c>
      <c r="F26">
        <v>8.7200000000000006</v>
      </c>
      <c r="G26">
        <v>9.0399999999999991</v>
      </c>
      <c r="H26">
        <v>8.84</v>
      </c>
      <c r="I26">
        <v>24.81</v>
      </c>
      <c r="J26">
        <v>55.43</v>
      </c>
      <c r="K26">
        <v>28.93</v>
      </c>
      <c r="L26">
        <v>33.74</v>
      </c>
      <c r="M26">
        <v>64.64</v>
      </c>
      <c r="N26">
        <v>37.950000000000003</v>
      </c>
      <c r="P26">
        <f t="shared" si="0"/>
        <v>2500</v>
      </c>
      <c r="Q26" t="e">
        <f>AVERAGE(N50:N51)</f>
        <v>#DIV/0!</v>
      </c>
    </row>
    <row r="27" spans="1:17" x14ac:dyDescent="0.25">
      <c r="A27">
        <v>1</v>
      </c>
      <c r="B27">
        <v>1300</v>
      </c>
      <c r="C27">
        <v>0.11</v>
      </c>
      <c r="D27">
        <v>0.15</v>
      </c>
      <c r="E27">
        <v>0.13</v>
      </c>
      <c r="F27">
        <v>20.51</v>
      </c>
      <c r="G27">
        <v>20.71</v>
      </c>
      <c r="H27">
        <v>20.59</v>
      </c>
      <c r="I27">
        <v>0</v>
      </c>
      <c r="J27">
        <v>0</v>
      </c>
      <c r="K27">
        <v>0</v>
      </c>
      <c r="L27">
        <v>20.62</v>
      </c>
      <c r="M27">
        <v>20.86</v>
      </c>
      <c r="N27">
        <v>20.72</v>
      </c>
      <c r="P27">
        <f t="shared" si="0"/>
        <v>2600</v>
      </c>
      <c r="Q27" t="e">
        <f>AVERAGE(N52:N53)</f>
        <v>#DIV/0!</v>
      </c>
    </row>
    <row r="28" spans="1:17" x14ac:dyDescent="0.25">
      <c r="A28">
        <v>0</v>
      </c>
      <c r="B28">
        <v>1400</v>
      </c>
      <c r="C28">
        <v>0.12</v>
      </c>
      <c r="D28">
        <v>0.28999999999999998</v>
      </c>
      <c r="E28">
        <v>0.2</v>
      </c>
      <c r="F28">
        <v>9.5299999999999994</v>
      </c>
      <c r="G28">
        <v>9.76</v>
      </c>
      <c r="H28">
        <v>9.66</v>
      </c>
      <c r="I28">
        <v>25.19</v>
      </c>
      <c r="J28">
        <v>34.4</v>
      </c>
      <c r="K28">
        <v>28.17</v>
      </c>
      <c r="L28">
        <v>35.03</v>
      </c>
      <c r="M28">
        <v>44.4</v>
      </c>
      <c r="N28">
        <v>38.03</v>
      </c>
      <c r="P28">
        <f t="shared" si="0"/>
        <v>2700</v>
      </c>
      <c r="Q28" t="e">
        <f>AVERAGE(N54:N55)</f>
        <v>#DIV/0!</v>
      </c>
    </row>
    <row r="29" spans="1:17" x14ac:dyDescent="0.25">
      <c r="A29">
        <v>1</v>
      </c>
      <c r="B29">
        <v>1400</v>
      </c>
      <c r="C29">
        <v>0.11</v>
      </c>
      <c r="D29">
        <v>0.15</v>
      </c>
      <c r="E29">
        <v>0.13</v>
      </c>
      <c r="F29">
        <v>22.09</v>
      </c>
      <c r="G29">
        <v>22.29</v>
      </c>
      <c r="H29">
        <v>22.16</v>
      </c>
      <c r="I29">
        <v>0</v>
      </c>
      <c r="J29">
        <v>0</v>
      </c>
      <c r="K29">
        <v>0</v>
      </c>
      <c r="L29">
        <v>22.21</v>
      </c>
      <c r="M29">
        <v>22.43</v>
      </c>
      <c r="N29">
        <v>22.29</v>
      </c>
      <c r="P29">
        <f t="shared" si="0"/>
        <v>2800</v>
      </c>
      <c r="Q29" t="e">
        <f>AVERAGE(N56:N57)</f>
        <v>#DIV/0!</v>
      </c>
    </row>
    <row r="30" spans="1:17" x14ac:dyDescent="0.25">
      <c r="A30">
        <v>0</v>
      </c>
      <c r="B30">
        <v>1500</v>
      </c>
      <c r="C30">
        <v>0.09</v>
      </c>
      <c r="D30">
        <v>0.31</v>
      </c>
      <c r="E30">
        <v>0.19</v>
      </c>
      <c r="F30">
        <v>9.93</v>
      </c>
      <c r="G30">
        <v>10.5</v>
      </c>
      <c r="H30">
        <v>10.17</v>
      </c>
      <c r="I30">
        <v>27.14</v>
      </c>
      <c r="J30">
        <v>53.34</v>
      </c>
      <c r="K30">
        <v>30.06</v>
      </c>
      <c r="L30">
        <v>37.43</v>
      </c>
      <c r="M30">
        <v>64</v>
      </c>
      <c r="N30">
        <v>40.43</v>
      </c>
      <c r="P30">
        <v>2900</v>
      </c>
      <c r="Q30" t="e">
        <f>AVERAGE(N58:N59)</f>
        <v>#DIV/0!</v>
      </c>
    </row>
    <row r="31" spans="1:17" x14ac:dyDescent="0.25">
      <c r="A31">
        <v>1</v>
      </c>
      <c r="B31">
        <v>1500</v>
      </c>
      <c r="C31">
        <v>0.1</v>
      </c>
      <c r="D31">
        <v>0.18</v>
      </c>
      <c r="E31">
        <v>0.14000000000000001</v>
      </c>
      <c r="F31">
        <v>23.58</v>
      </c>
      <c r="G31">
        <v>23.86</v>
      </c>
      <c r="H31">
        <v>23.66</v>
      </c>
      <c r="I31">
        <v>0</v>
      </c>
      <c r="J31">
        <v>0</v>
      </c>
      <c r="K31">
        <v>0</v>
      </c>
      <c r="L31">
        <v>23.7</v>
      </c>
      <c r="M31">
        <v>24.01</v>
      </c>
      <c r="N31">
        <v>23.8</v>
      </c>
      <c r="P31">
        <v>3000</v>
      </c>
      <c r="Q31" t="e">
        <f>AVERAGE(N60:N61)</f>
        <v>#DIV/0!</v>
      </c>
    </row>
    <row r="32" spans="1:17" x14ac:dyDescent="0.25">
      <c r="A32">
        <v>0</v>
      </c>
      <c r="B32">
        <v>1600</v>
      </c>
      <c r="C32">
        <v>0.13</v>
      </c>
      <c r="D32">
        <v>0.32</v>
      </c>
      <c r="E32">
        <v>0.2</v>
      </c>
      <c r="F32">
        <v>10.77</v>
      </c>
      <c r="G32">
        <v>11.08</v>
      </c>
      <c r="H32">
        <v>10.91</v>
      </c>
      <c r="I32">
        <v>25.88</v>
      </c>
      <c r="J32">
        <v>36.950000000000003</v>
      </c>
      <c r="K32">
        <v>29.45</v>
      </c>
      <c r="L32">
        <v>36.94</v>
      </c>
      <c r="M32">
        <v>48.14</v>
      </c>
      <c r="N32">
        <v>40.56</v>
      </c>
    </row>
    <row r="33" spans="1:14" x14ac:dyDescent="0.25">
      <c r="A33">
        <v>1</v>
      </c>
      <c r="B33">
        <v>1600</v>
      </c>
      <c r="C33">
        <v>0.11</v>
      </c>
      <c r="D33">
        <v>0.17</v>
      </c>
      <c r="E33">
        <v>0.14000000000000001</v>
      </c>
      <c r="F33">
        <v>25.34</v>
      </c>
      <c r="G33">
        <v>25.61</v>
      </c>
      <c r="H33">
        <v>25.46</v>
      </c>
      <c r="I33">
        <v>0</v>
      </c>
      <c r="J33">
        <v>0</v>
      </c>
      <c r="K33">
        <v>0</v>
      </c>
      <c r="L33">
        <v>25.47</v>
      </c>
      <c r="M33">
        <v>25.76</v>
      </c>
      <c r="N33">
        <v>25.6</v>
      </c>
    </row>
    <row r="34" spans="1:14" x14ac:dyDescent="0.25">
      <c r="A34">
        <v>0</v>
      </c>
      <c r="B34">
        <v>1700</v>
      </c>
      <c r="C34">
        <v>0.1</v>
      </c>
      <c r="D34">
        <v>0.31</v>
      </c>
      <c r="E34">
        <v>0.19</v>
      </c>
      <c r="F34">
        <v>11.4</v>
      </c>
      <c r="G34">
        <v>11.73</v>
      </c>
      <c r="H34">
        <v>11.53</v>
      </c>
      <c r="I34">
        <v>26.68</v>
      </c>
      <c r="J34">
        <v>52.65</v>
      </c>
      <c r="K34">
        <v>30.4</v>
      </c>
      <c r="L34">
        <v>38.35</v>
      </c>
      <c r="M34">
        <v>64.55</v>
      </c>
      <c r="N34">
        <v>42.13</v>
      </c>
    </row>
    <row r="35" spans="1:14" x14ac:dyDescent="0.25">
      <c r="A35">
        <v>1</v>
      </c>
      <c r="B35">
        <v>1700</v>
      </c>
      <c r="C35">
        <v>0.11</v>
      </c>
      <c r="D35">
        <v>0.18</v>
      </c>
      <c r="E35">
        <v>0.15</v>
      </c>
      <c r="F35">
        <v>26.3</v>
      </c>
      <c r="G35">
        <v>26.54</v>
      </c>
      <c r="H35">
        <v>26.41</v>
      </c>
      <c r="I35">
        <v>0</v>
      </c>
      <c r="J35">
        <v>0</v>
      </c>
      <c r="K35">
        <v>0</v>
      </c>
      <c r="L35">
        <v>26.45</v>
      </c>
      <c r="M35">
        <v>26.7</v>
      </c>
      <c r="N35">
        <v>26.56</v>
      </c>
    </row>
    <row r="36" spans="1:14" x14ac:dyDescent="0.25">
      <c r="A36">
        <v>0</v>
      </c>
      <c r="B36">
        <v>1800</v>
      </c>
      <c r="C36">
        <v>0.13</v>
      </c>
      <c r="D36">
        <v>0.26</v>
      </c>
      <c r="E36">
        <v>0.18</v>
      </c>
      <c r="F36">
        <v>12.02</v>
      </c>
      <c r="G36">
        <v>12.23</v>
      </c>
      <c r="H36">
        <v>12.14</v>
      </c>
      <c r="I36">
        <v>27.16</v>
      </c>
      <c r="J36">
        <v>34.29</v>
      </c>
      <c r="K36">
        <v>30.21</v>
      </c>
      <c r="L36">
        <v>39.42</v>
      </c>
      <c r="M36">
        <v>46.68</v>
      </c>
      <c r="N36">
        <v>42.53</v>
      </c>
    </row>
    <row r="37" spans="1:14" x14ac:dyDescent="0.25">
      <c r="A37">
        <v>1</v>
      </c>
      <c r="B37">
        <v>1800</v>
      </c>
      <c r="C37">
        <v>0.11</v>
      </c>
      <c r="D37">
        <v>0.17</v>
      </c>
      <c r="E37">
        <v>0.15</v>
      </c>
      <c r="F37">
        <v>28.5</v>
      </c>
      <c r="G37">
        <v>28.62</v>
      </c>
      <c r="H37">
        <v>28.55</v>
      </c>
      <c r="I37">
        <v>0</v>
      </c>
      <c r="J37">
        <v>0</v>
      </c>
      <c r="K37">
        <v>0</v>
      </c>
      <c r="L37">
        <v>28.63</v>
      </c>
      <c r="M37">
        <v>28.77</v>
      </c>
      <c r="N37">
        <v>28.7</v>
      </c>
    </row>
    <row r="38" spans="1:14" x14ac:dyDescent="0.25">
      <c r="A38">
        <v>0</v>
      </c>
      <c r="B38">
        <v>1900</v>
      </c>
      <c r="C38">
        <v>0.14000000000000001</v>
      </c>
      <c r="D38">
        <v>0.25</v>
      </c>
      <c r="E38">
        <v>0.19</v>
      </c>
      <c r="F38">
        <v>12.84</v>
      </c>
      <c r="G38">
        <v>13.54</v>
      </c>
      <c r="H38">
        <v>13.04</v>
      </c>
      <c r="I38">
        <v>27.66</v>
      </c>
      <c r="J38">
        <v>52.37</v>
      </c>
      <c r="K38">
        <v>31.01</v>
      </c>
      <c r="L38">
        <v>40.96</v>
      </c>
      <c r="M38">
        <v>66.099999999999994</v>
      </c>
      <c r="N38">
        <v>44.24</v>
      </c>
    </row>
    <row r="39" spans="1:14" x14ac:dyDescent="0.25">
      <c r="A39">
        <v>1</v>
      </c>
      <c r="B39">
        <v>1900</v>
      </c>
      <c r="C39">
        <v>0.12</v>
      </c>
      <c r="D39">
        <v>0.18</v>
      </c>
      <c r="E39">
        <v>0.15</v>
      </c>
      <c r="F39">
        <v>30.07</v>
      </c>
      <c r="G39">
        <v>30.38</v>
      </c>
      <c r="H39">
        <v>30.2</v>
      </c>
      <c r="I39">
        <v>0</v>
      </c>
      <c r="J39">
        <v>0</v>
      </c>
      <c r="K39">
        <v>0</v>
      </c>
      <c r="L39">
        <v>30.21</v>
      </c>
      <c r="M39">
        <v>30.53</v>
      </c>
      <c r="N39">
        <v>30.36</v>
      </c>
    </row>
    <row r="40" spans="1:14" x14ac:dyDescent="0.25">
      <c r="A40">
        <v>0</v>
      </c>
      <c r="B40">
        <v>2000</v>
      </c>
      <c r="C40">
        <v>0.13</v>
      </c>
      <c r="D40">
        <v>0.25</v>
      </c>
      <c r="E40">
        <v>0.19</v>
      </c>
      <c r="F40">
        <v>13.65</v>
      </c>
      <c r="G40">
        <v>14.11</v>
      </c>
      <c r="H40">
        <v>13.85</v>
      </c>
      <c r="I40">
        <v>28.93</v>
      </c>
      <c r="J40">
        <v>36.369999999999997</v>
      </c>
      <c r="K40">
        <v>31.66</v>
      </c>
      <c r="L40">
        <v>42.93</v>
      </c>
      <c r="M40">
        <v>50.36</v>
      </c>
      <c r="N40">
        <v>45.71</v>
      </c>
    </row>
    <row r="41" spans="1:14" x14ac:dyDescent="0.25">
      <c r="A41">
        <v>1</v>
      </c>
      <c r="B41">
        <v>2000</v>
      </c>
      <c r="C41">
        <v>0.11</v>
      </c>
      <c r="D41">
        <v>0.19</v>
      </c>
      <c r="E41">
        <v>0.15</v>
      </c>
      <c r="F41">
        <v>31.8</v>
      </c>
      <c r="G41">
        <v>32.17</v>
      </c>
      <c r="H41">
        <v>31.97</v>
      </c>
      <c r="I41">
        <v>0</v>
      </c>
      <c r="J41">
        <v>0</v>
      </c>
      <c r="K41">
        <v>0</v>
      </c>
      <c r="L41">
        <v>31.95</v>
      </c>
      <c r="M41">
        <v>32.32</v>
      </c>
      <c r="N41">
        <v>32.119999999999997</v>
      </c>
    </row>
    <row r="74" spans="1:2" x14ac:dyDescent="0.25">
      <c r="A74" t="s">
        <v>13</v>
      </c>
      <c r="B74" t="s">
        <v>14</v>
      </c>
    </row>
    <row r="75" spans="1:2" x14ac:dyDescent="0.25">
      <c r="A75" t="s">
        <v>15</v>
      </c>
      <c r="B75">
        <v>15</v>
      </c>
    </row>
    <row r="76" spans="1:2" x14ac:dyDescent="0.25">
      <c r="A76" t="s">
        <v>16</v>
      </c>
      <c r="B76" t="s">
        <v>17</v>
      </c>
    </row>
    <row r="77" spans="1:2" x14ac:dyDescent="0.25">
      <c r="A77" t="s">
        <v>18</v>
      </c>
      <c r="B77">
        <v>15</v>
      </c>
    </row>
    <row r="78" spans="1:2" x14ac:dyDescent="0.25">
      <c r="A78" t="s">
        <v>19</v>
      </c>
      <c r="B78" t="s">
        <v>17</v>
      </c>
    </row>
    <row r="79" spans="1:2" x14ac:dyDescent="0.25">
      <c r="A79" t="s">
        <v>20</v>
      </c>
      <c r="B79" t="s">
        <v>17</v>
      </c>
    </row>
    <row r="80" spans="1:2" x14ac:dyDescent="0.25">
      <c r="A80" t="s">
        <v>21</v>
      </c>
      <c r="B80">
        <v>15</v>
      </c>
    </row>
    <row r="81" spans="1:2" x14ac:dyDescent="0.25">
      <c r="A81" t="s">
        <v>22</v>
      </c>
      <c r="B81" t="s">
        <v>17</v>
      </c>
    </row>
    <row r="82" spans="1:2" x14ac:dyDescent="0.25">
      <c r="A82" t="s">
        <v>23</v>
      </c>
      <c r="B82" t="s">
        <v>17</v>
      </c>
    </row>
    <row r="83" spans="1:2" x14ac:dyDescent="0.25">
      <c r="A83" t="s">
        <v>24</v>
      </c>
      <c r="B83" t="s">
        <v>17</v>
      </c>
    </row>
    <row r="84" spans="1:2" x14ac:dyDescent="0.25">
      <c r="A84" t="s">
        <v>25</v>
      </c>
      <c r="B84" t="s">
        <v>17</v>
      </c>
    </row>
    <row r="85" spans="1:2" x14ac:dyDescent="0.25">
      <c r="A85" t="s">
        <v>26</v>
      </c>
      <c r="B85" t="s">
        <v>34</v>
      </c>
    </row>
    <row r="87" spans="1:2" x14ac:dyDescent="0.25">
      <c r="A87" t="s">
        <v>27</v>
      </c>
    </row>
    <row r="88" spans="1:2" x14ac:dyDescent="0.25">
      <c r="A88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8"/>
  <sheetViews>
    <sheetView topLeftCell="A36" workbookViewId="0">
      <selection activeCell="Q70" sqref="Q70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0.17</v>
      </c>
      <c r="D2">
        <v>0.21</v>
      </c>
      <c r="E2">
        <v>0.19</v>
      </c>
      <c r="F2">
        <v>1.1100000000000001</v>
      </c>
      <c r="G2">
        <v>1.1599999999999999</v>
      </c>
      <c r="H2">
        <v>1.1399999999999999</v>
      </c>
      <c r="I2">
        <v>17.22</v>
      </c>
      <c r="J2">
        <v>24.02</v>
      </c>
      <c r="K2">
        <v>19.72</v>
      </c>
      <c r="L2">
        <v>18.54</v>
      </c>
      <c r="M2">
        <v>25.37</v>
      </c>
      <c r="N2">
        <v>21.05</v>
      </c>
      <c r="P2">
        <v>100</v>
      </c>
      <c r="Q2">
        <f>AVERAGE(N2:N3)</f>
        <v>11.43</v>
      </c>
    </row>
    <row r="3" spans="1:17" x14ac:dyDescent="0.25">
      <c r="A3">
        <v>1</v>
      </c>
      <c r="B3">
        <v>100</v>
      </c>
      <c r="C3">
        <v>0.13</v>
      </c>
      <c r="D3">
        <v>0.21</v>
      </c>
      <c r="E3">
        <v>0.16</v>
      </c>
      <c r="F3">
        <v>1.64</v>
      </c>
      <c r="G3">
        <v>1.66</v>
      </c>
      <c r="H3">
        <v>1.65</v>
      </c>
      <c r="I3">
        <v>0</v>
      </c>
      <c r="J3">
        <v>0</v>
      </c>
      <c r="K3">
        <v>0</v>
      </c>
      <c r="L3">
        <v>1.77</v>
      </c>
      <c r="M3">
        <v>1.86</v>
      </c>
      <c r="N3">
        <v>1.81</v>
      </c>
      <c r="P3">
        <f>P2+100</f>
        <v>200</v>
      </c>
      <c r="Q3">
        <f>AVERAGE(N4:N5)</f>
        <v>13.185</v>
      </c>
    </row>
    <row r="4" spans="1:17" x14ac:dyDescent="0.25">
      <c r="A4">
        <v>0</v>
      </c>
      <c r="B4">
        <v>200</v>
      </c>
      <c r="C4">
        <v>0.14000000000000001</v>
      </c>
      <c r="D4">
        <v>0.27</v>
      </c>
      <c r="E4">
        <v>0.2</v>
      </c>
      <c r="F4">
        <v>1.71</v>
      </c>
      <c r="G4">
        <v>1.76</v>
      </c>
      <c r="H4">
        <v>1.73</v>
      </c>
      <c r="I4">
        <v>18.36</v>
      </c>
      <c r="J4">
        <v>39.83</v>
      </c>
      <c r="K4">
        <v>21.01</v>
      </c>
      <c r="L4">
        <v>20.29</v>
      </c>
      <c r="M4">
        <v>41.79</v>
      </c>
      <c r="N4">
        <v>22.94</v>
      </c>
      <c r="P4">
        <f t="shared" ref="P4:P29" si="0">P3+100</f>
        <v>300</v>
      </c>
      <c r="Q4">
        <f>AVERAGE(N6:N7)</f>
        <v>14.525</v>
      </c>
    </row>
    <row r="5" spans="1:17" x14ac:dyDescent="0.25">
      <c r="A5">
        <v>1</v>
      </c>
      <c r="B5">
        <v>200</v>
      </c>
      <c r="C5">
        <v>0.09</v>
      </c>
      <c r="D5">
        <v>0.2</v>
      </c>
      <c r="E5">
        <v>0.14000000000000001</v>
      </c>
      <c r="F5">
        <v>3.27</v>
      </c>
      <c r="G5">
        <v>3.42</v>
      </c>
      <c r="H5">
        <v>3.29</v>
      </c>
      <c r="I5">
        <v>0</v>
      </c>
      <c r="J5">
        <v>0</v>
      </c>
      <c r="K5">
        <v>0</v>
      </c>
      <c r="L5">
        <v>3.37</v>
      </c>
      <c r="M5">
        <v>3.56</v>
      </c>
      <c r="N5">
        <v>3.43</v>
      </c>
      <c r="P5">
        <f t="shared" si="0"/>
        <v>400</v>
      </c>
      <c r="Q5">
        <f>AVERAGE(N8:N9)</f>
        <v>16.16</v>
      </c>
    </row>
    <row r="6" spans="1:17" x14ac:dyDescent="0.25">
      <c r="A6">
        <v>0</v>
      </c>
      <c r="B6">
        <v>300</v>
      </c>
      <c r="C6">
        <v>0.19</v>
      </c>
      <c r="D6">
        <v>0.28000000000000003</v>
      </c>
      <c r="E6">
        <v>0.22</v>
      </c>
      <c r="F6">
        <v>2.4300000000000002</v>
      </c>
      <c r="G6">
        <v>2.5</v>
      </c>
      <c r="H6">
        <v>2.4500000000000002</v>
      </c>
      <c r="I6">
        <v>18.37</v>
      </c>
      <c r="J6">
        <v>27.93</v>
      </c>
      <c r="K6">
        <v>21.31</v>
      </c>
      <c r="L6">
        <v>21.05</v>
      </c>
      <c r="M6">
        <v>30.68</v>
      </c>
      <c r="N6">
        <v>23.98</v>
      </c>
      <c r="P6">
        <f t="shared" si="0"/>
        <v>500</v>
      </c>
      <c r="Q6">
        <f>AVERAGE(N10:N11)</f>
        <v>17.895</v>
      </c>
    </row>
    <row r="7" spans="1:17" x14ac:dyDescent="0.25">
      <c r="A7">
        <v>1</v>
      </c>
      <c r="B7">
        <v>300</v>
      </c>
      <c r="C7">
        <v>0.13</v>
      </c>
      <c r="D7">
        <v>0.18</v>
      </c>
      <c r="E7">
        <v>0.14000000000000001</v>
      </c>
      <c r="F7">
        <v>4.92</v>
      </c>
      <c r="G7">
        <v>4.9400000000000004</v>
      </c>
      <c r="H7">
        <v>4.93</v>
      </c>
      <c r="I7">
        <v>0</v>
      </c>
      <c r="J7">
        <v>0</v>
      </c>
      <c r="K7">
        <v>0</v>
      </c>
      <c r="L7">
        <v>5.05</v>
      </c>
      <c r="M7">
        <v>5.1100000000000003</v>
      </c>
      <c r="N7">
        <v>5.07</v>
      </c>
      <c r="P7">
        <f t="shared" si="0"/>
        <v>600</v>
      </c>
      <c r="Q7">
        <f>AVERAGE(N12:N13)</f>
        <v>18.89</v>
      </c>
    </row>
    <row r="8" spans="1:17" x14ac:dyDescent="0.25">
      <c r="A8">
        <v>0</v>
      </c>
      <c r="B8">
        <v>400</v>
      </c>
      <c r="C8">
        <v>0.15</v>
      </c>
      <c r="D8">
        <v>0.26</v>
      </c>
      <c r="E8">
        <v>0.2</v>
      </c>
      <c r="F8">
        <v>2.99</v>
      </c>
      <c r="G8">
        <v>3.05</v>
      </c>
      <c r="H8">
        <v>3.02</v>
      </c>
      <c r="I8">
        <v>19.47</v>
      </c>
      <c r="J8">
        <v>26.29</v>
      </c>
      <c r="K8">
        <v>22.32</v>
      </c>
      <c r="L8">
        <v>22.7</v>
      </c>
      <c r="M8">
        <v>29.56</v>
      </c>
      <c r="N8">
        <v>25.54</v>
      </c>
      <c r="P8">
        <f t="shared" si="0"/>
        <v>700</v>
      </c>
      <c r="Q8">
        <f>AVERAGE(N14:N15)</f>
        <v>20.43</v>
      </c>
    </row>
    <row r="9" spans="1:17" x14ac:dyDescent="0.25">
      <c r="A9">
        <v>1</v>
      </c>
      <c r="B9">
        <v>400</v>
      </c>
      <c r="C9">
        <v>0.09</v>
      </c>
      <c r="D9">
        <v>0.2</v>
      </c>
      <c r="E9">
        <v>0.15</v>
      </c>
      <c r="F9">
        <v>6.59</v>
      </c>
      <c r="G9">
        <v>6.76</v>
      </c>
      <c r="H9">
        <v>6.63</v>
      </c>
      <c r="I9">
        <v>0</v>
      </c>
      <c r="J9">
        <v>0</v>
      </c>
      <c r="K9">
        <v>0</v>
      </c>
      <c r="L9">
        <v>6.7</v>
      </c>
      <c r="M9">
        <v>6.93</v>
      </c>
      <c r="N9">
        <v>6.78</v>
      </c>
      <c r="P9">
        <f t="shared" si="0"/>
        <v>800</v>
      </c>
      <c r="Q9">
        <f>AVERAGE(N16:N17)</f>
        <v>21.73</v>
      </c>
    </row>
    <row r="10" spans="1:17" x14ac:dyDescent="0.25">
      <c r="A10">
        <v>0</v>
      </c>
      <c r="B10">
        <v>500</v>
      </c>
      <c r="C10">
        <v>0.19</v>
      </c>
      <c r="D10">
        <v>0.28000000000000003</v>
      </c>
      <c r="E10">
        <v>0.22</v>
      </c>
      <c r="F10">
        <v>3.6</v>
      </c>
      <c r="G10">
        <v>3.73</v>
      </c>
      <c r="H10">
        <v>3.63</v>
      </c>
      <c r="I10">
        <v>19.87</v>
      </c>
      <c r="J10">
        <v>46.75</v>
      </c>
      <c r="K10">
        <v>23.57</v>
      </c>
      <c r="L10">
        <v>23.71</v>
      </c>
      <c r="M10">
        <v>50.72</v>
      </c>
      <c r="N10">
        <v>27.42</v>
      </c>
      <c r="P10">
        <f t="shared" si="0"/>
        <v>900</v>
      </c>
      <c r="Q10">
        <f>AVERAGE(N18:N19)</f>
        <v>23.145</v>
      </c>
    </row>
    <row r="11" spans="1:17" x14ac:dyDescent="0.25">
      <c r="A11">
        <v>1</v>
      </c>
      <c r="B11">
        <v>500</v>
      </c>
      <c r="C11">
        <v>0.13</v>
      </c>
      <c r="D11">
        <v>0.2</v>
      </c>
      <c r="E11">
        <v>0.16</v>
      </c>
      <c r="F11">
        <v>8.18</v>
      </c>
      <c r="G11">
        <v>8.34</v>
      </c>
      <c r="H11">
        <v>8.1999999999999993</v>
      </c>
      <c r="I11">
        <v>0</v>
      </c>
      <c r="J11">
        <v>0</v>
      </c>
      <c r="K11">
        <v>0</v>
      </c>
      <c r="L11">
        <v>8.32</v>
      </c>
      <c r="M11">
        <v>8.52</v>
      </c>
      <c r="N11">
        <v>8.3699999999999992</v>
      </c>
      <c r="P11">
        <f t="shared" si="0"/>
        <v>1000</v>
      </c>
      <c r="Q11">
        <f>AVERAGE(N20:N21)</f>
        <v>25.04</v>
      </c>
    </row>
    <row r="12" spans="1:17" x14ac:dyDescent="0.25">
      <c r="A12">
        <v>0</v>
      </c>
      <c r="B12">
        <v>600</v>
      </c>
      <c r="C12">
        <v>0.16</v>
      </c>
      <c r="D12">
        <v>0.26</v>
      </c>
      <c r="E12">
        <v>0.22</v>
      </c>
      <c r="F12">
        <v>4.22</v>
      </c>
      <c r="G12">
        <v>4.38</v>
      </c>
      <c r="H12">
        <v>4.29</v>
      </c>
      <c r="I12">
        <v>20.65</v>
      </c>
      <c r="J12">
        <v>27.71</v>
      </c>
      <c r="K12">
        <v>23.32</v>
      </c>
      <c r="L12">
        <v>25.2</v>
      </c>
      <c r="M12">
        <v>32.200000000000003</v>
      </c>
      <c r="N12">
        <v>27.82</v>
      </c>
      <c r="P12">
        <f t="shared" si="0"/>
        <v>1100</v>
      </c>
      <c r="Q12">
        <f>AVERAGE(N22:N23)</f>
        <v>26.17</v>
      </c>
    </row>
    <row r="13" spans="1:17" x14ac:dyDescent="0.25">
      <c r="A13">
        <v>1</v>
      </c>
      <c r="B13">
        <v>600</v>
      </c>
      <c r="C13">
        <v>0.09</v>
      </c>
      <c r="D13">
        <v>0.21</v>
      </c>
      <c r="E13">
        <v>0.16</v>
      </c>
      <c r="F13">
        <v>9.77</v>
      </c>
      <c r="G13">
        <v>9.94</v>
      </c>
      <c r="H13">
        <v>9.8000000000000007</v>
      </c>
      <c r="I13">
        <v>0</v>
      </c>
      <c r="J13">
        <v>0</v>
      </c>
      <c r="K13">
        <v>0</v>
      </c>
      <c r="L13">
        <v>9.9</v>
      </c>
      <c r="M13">
        <v>10.1</v>
      </c>
      <c r="N13">
        <v>9.9600000000000009</v>
      </c>
      <c r="P13">
        <f t="shared" si="0"/>
        <v>1200</v>
      </c>
      <c r="Q13">
        <f>AVERAGE(N24:N25)</f>
        <v>27.75</v>
      </c>
    </row>
    <row r="14" spans="1:17" x14ac:dyDescent="0.25">
      <c r="A14">
        <v>0</v>
      </c>
      <c r="B14">
        <v>700</v>
      </c>
      <c r="C14">
        <v>0.18</v>
      </c>
      <c r="D14">
        <v>0.3</v>
      </c>
      <c r="E14">
        <v>0.23</v>
      </c>
      <c r="F14">
        <v>4.87</v>
      </c>
      <c r="G14">
        <v>5</v>
      </c>
      <c r="H14">
        <v>4.93</v>
      </c>
      <c r="I14">
        <v>21.65</v>
      </c>
      <c r="J14">
        <v>29.25</v>
      </c>
      <c r="K14">
        <v>24.09</v>
      </c>
      <c r="L14">
        <v>26.79</v>
      </c>
      <c r="M14">
        <v>34.380000000000003</v>
      </c>
      <c r="N14">
        <v>29.24</v>
      </c>
      <c r="P14">
        <f t="shared" si="0"/>
        <v>1300</v>
      </c>
      <c r="Q14">
        <f>AVERAGE(N26:N27)</f>
        <v>29.035</v>
      </c>
    </row>
    <row r="15" spans="1:17" x14ac:dyDescent="0.25">
      <c r="A15">
        <v>1</v>
      </c>
      <c r="B15">
        <v>700</v>
      </c>
      <c r="C15">
        <v>0.1</v>
      </c>
      <c r="D15">
        <v>0.21</v>
      </c>
      <c r="E15">
        <v>0.16</v>
      </c>
      <c r="F15">
        <v>11.43</v>
      </c>
      <c r="G15">
        <v>11.61</v>
      </c>
      <c r="H15">
        <v>11.47</v>
      </c>
      <c r="I15">
        <v>0</v>
      </c>
      <c r="J15">
        <v>0</v>
      </c>
      <c r="K15">
        <v>0</v>
      </c>
      <c r="L15">
        <v>11.55</v>
      </c>
      <c r="M15">
        <v>11.79</v>
      </c>
      <c r="N15">
        <v>11.62</v>
      </c>
      <c r="P15">
        <f t="shared" si="0"/>
        <v>1400</v>
      </c>
      <c r="Q15">
        <f>AVERAGE(N28:N29)</f>
        <v>30.384999999999998</v>
      </c>
    </row>
    <row r="16" spans="1:17" x14ac:dyDescent="0.25">
      <c r="A16">
        <v>0</v>
      </c>
      <c r="B16">
        <v>800</v>
      </c>
      <c r="C16">
        <v>0.14000000000000001</v>
      </c>
      <c r="D16">
        <v>0.35</v>
      </c>
      <c r="E16">
        <v>0.23</v>
      </c>
      <c r="F16">
        <v>5.59</v>
      </c>
      <c r="G16">
        <v>5.75</v>
      </c>
      <c r="H16">
        <v>5.66</v>
      </c>
      <c r="I16">
        <v>21.75</v>
      </c>
      <c r="J16">
        <v>28.56</v>
      </c>
      <c r="K16">
        <v>24.32</v>
      </c>
      <c r="L16">
        <v>27.67</v>
      </c>
      <c r="M16">
        <v>34.47</v>
      </c>
      <c r="N16">
        <v>30.21</v>
      </c>
      <c r="P16">
        <f t="shared" si="0"/>
        <v>1500</v>
      </c>
      <c r="Q16">
        <f>AVERAGE(N30:N31)</f>
        <v>32.004999999999995</v>
      </c>
    </row>
    <row r="17" spans="1:17" x14ac:dyDescent="0.25">
      <c r="A17">
        <v>1</v>
      </c>
      <c r="B17">
        <v>800</v>
      </c>
      <c r="C17">
        <v>0.1</v>
      </c>
      <c r="D17">
        <v>0.21</v>
      </c>
      <c r="E17">
        <v>0.15</v>
      </c>
      <c r="F17">
        <v>13.04</v>
      </c>
      <c r="G17">
        <v>13.26</v>
      </c>
      <c r="H17">
        <v>13.1</v>
      </c>
      <c r="I17">
        <v>0</v>
      </c>
      <c r="J17">
        <v>0</v>
      </c>
      <c r="K17">
        <v>0</v>
      </c>
      <c r="L17">
        <v>13.18</v>
      </c>
      <c r="M17">
        <v>13.41</v>
      </c>
      <c r="N17">
        <v>13.25</v>
      </c>
      <c r="P17">
        <f t="shared" si="0"/>
        <v>1600</v>
      </c>
      <c r="Q17">
        <f>AVERAGE(N32:N33)</f>
        <v>33.335000000000001</v>
      </c>
    </row>
    <row r="18" spans="1:17" x14ac:dyDescent="0.25">
      <c r="A18">
        <v>0</v>
      </c>
      <c r="B18">
        <v>900</v>
      </c>
      <c r="C18">
        <v>0.21</v>
      </c>
      <c r="D18">
        <v>0.25</v>
      </c>
      <c r="E18">
        <v>0.23</v>
      </c>
      <c r="F18">
        <v>6.19</v>
      </c>
      <c r="G18">
        <v>6.29</v>
      </c>
      <c r="H18">
        <v>6.24</v>
      </c>
      <c r="I18">
        <v>22.21</v>
      </c>
      <c r="J18">
        <v>31.23</v>
      </c>
      <c r="K18">
        <v>24.99</v>
      </c>
      <c r="L18">
        <v>28.64</v>
      </c>
      <c r="M18">
        <v>37.74</v>
      </c>
      <c r="N18">
        <v>31.46</v>
      </c>
      <c r="P18">
        <f t="shared" si="0"/>
        <v>1700</v>
      </c>
      <c r="Q18">
        <f>AVERAGE(N34:N35)</f>
        <v>34.994999999999997</v>
      </c>
    </row>
    <row r="19" spans="1:17" x14ac:dyDescent="0.25">
      <c r="A19">
        <v>1</v>
      </c>
      <c r="B19">
        <v>900</v>
      </c>
      <c r="C19">
        <v>0.11</v>
      </c>
      <c r="D19">
        <v>0.21</v>
      </c>
      <c r="E19">
        <v>0.16</v>
      </c>
      <c r="F19">
        <v>14.65</v>
      </c>
      <c r="G19">
        <v>14.7</v>
      </c>
      <c r="H19">
        <v>14.67</v>
      </c>
      <c r="I19">
        <v>0</v>
      </c>
      <c r="J19">
        <v>0</v>
      </c>
      <c r="K19">
        <v>0</v>
      </c>
      <c r="L19">
        <v>14.77</v>
      </c>
      <c r="M19">
        <v>14.91</v>
      </c>
      <c r="N19">
        <v>14.83</v>
      </c>
      <c r="P19">
        <f t="shared" si="0"/>
        <v>1800</v>
      </c>
      <c r="Q19">
        <f>AVERAGE(N36:N37)</f>
        <v>36.394999999999996</v>
      </c>
    </row>
    <row r="20" spans="1:17" x14ac:dyDescent="0.25">
      <c r="A20">
        <v>0</v>
      </c>
      <c r="B20">
        <v>1000</v>
      </c>
      <c r="C20">
        <v>0.17</v>
      </c>
      <c r="D20">
        <v>0.3</v>
      </c>
      <c r="E20">
        <v>0.24</v>
      </c>
      <c r="F20">
        <v>6.74</v>
      </c>
      <c r="G20">
        <v>7.06</v>
      </c>
      <c r="H20">
        <v>6.84</v>
      </c>
      <c r="I20">
        <v>22.99</v>
      </c>
      <c r="J20">
        <v>57.75</v>
      </c>
      <c r="K20">
        <v>26.64</v>
      </c>
      <c r="L20">
        <v>30</v>
      </c>
      <c r="M20">
        <v>64.92</v>
      </c>
      <c r="N20">
        <v>33.72</v>
      </c>
      <c r="P20">
        <f t="shared" si="0"/>
        <v>1900</v>
      </c>
      <c r="Q20">
        <f>AVERAGE(N38:N39)</f>
        <v>37.6</v>
      </c>
    </row>
    <row r="21" spans="1:17" x14ac:dyDescent="0.25">
      <c r="A21">
        <v>1</v>
      </c>
      <c r="B21">
        <v>1000</v>
      </c>
      <c r="C21">
        <v>0.1</v>
      </c>
      <c r="D21">
        <v>0.21</v>
      </c>
      <c r="E21">
        <v>0.16</v>
      </c>
      <c r="F21">
        <v>16.100000000000001</v>
      </c>
      <c r="G21">
        <v>16.329999999999998</v>
      </c>
      <c r="H21">
        <v>16.2</v>
      </c>
      <c r="I21">
        <v>0</v>
      </c>
      <c r="J21">
        <v>0</v>
      </c>
      <c r="K21">
        <v>0</v>
      </c>
      <c r="L21">
        <v>16.22</v>
      </c>
      <c r="M21">
        <v>16.489999999999998</v>
      </c>
      <c r="N21">
        <v>16.36</v>
      </c>
      <c r="P21">
        <f t="shared" si="0"/>
        <v>2000</v>
      </c>
      <c r="Q21">
        <f>AVERAGE(N40:N41)</f>
        <v>39.31</v>
      </c>
    </row>
    <row r="22" spans="1:17" x14ac:dyDescent="0.25">
      <c r="A22">
        <v>0</v>
      </c>
      <c r="B22">
        <v>1100</v>
      </c>
      <c r="C22">
        <v>0.13</v>
      </c>
      <c r="D22">
        <v>0.3</v>
      </c>
      <c r="E22">
        <v>0.23</v>
      </c>
      <c r="F22">
        <v>7.45</v>
      </c>
      <c r="G22">
        <v>7.56</v>
      </c>
      <c r="H22">
        <v>7.5</v>
      </c>
      <c r="I22">
        <v>23.93</v>
      </c>
      <c r="J22">
        <v>33.68</v>
      </c>
      <c r="K22">
        <v>26.55</v>
      </c>
      <c r="L22">
        <v>31.64</v>
      </c>
      <c r="M22">
        <v>41.43</v>
      </c>
      <c r="N22">
        <v>34.270000000000003</v>
      </c>
      <c r="P22">
        <f t="shared" si="0"/>
        <v>2100</v>
      </c>
      <c r="Q22">
        <f>AVERAGE(N42:N43)</f>
        <v>41.010000000000005</v>
      </c>
    </row>
    <row r="23" spans="1:17" x14ac:dyDescent="0.25">
      <c r="A23">
        <v>1</v>
      </c>
      <c r="B23">
        <v>1100</v>
      </c>
      <c r="C23">
        <v>0.08</v>
      </c>
      <c r="D23">
        <v>0.18</v>
      </c>
      <c r="E23">
        <v>0.13</v>
      </c>
      <c r="F23">
        <v>17.88</v>
      </c>
      <c r="G23">
        <v>18.07</v>
      </c>
      <c r="H23">
        <v>17.940000000000001</v>
      </c>
      <c r="I23">
        <v>0</v>
      </c>
      <c r="J23">
        <v>0</v>
      </c>
      <c r="K23">
        <v>0</v>
      </c>
      <c r="L23">
        <v>17.98</v>
      </c>
      <c r="M23">
        <v>18.21</v>
      </c>
      <c r="N23">
        <v>18.07</v>
      </c>
      <c r="P23">
        <f t="shared" si="0"/>
        <v>2200</v>
      </c>
      <c r="Q23">
        <f>AVERAGE(N44:N45)</f>
        <v>42.204999999999998</v>
      </c>
    </row>
    <row r="24" spans="1:17" x14ac:dyDescent="0.25">
      <c r="A24">
        <v>0</v>
      </c>
      <c r="B24">
        <v>1200</v>
      </c>
      <c r="C24">
        <v>0.15</v>
      </c>
      <c r="D24">
        <v>0.28999999999999998</v>
      </c>
      <c r="E24">
        <v>0.22</v>
      </c>
      <c r="F24">
        <v>8.25</v>
      </c>
      <c r="G24">
        <v>8.43</v>
      </c>
      <c r="H24">
        <v>8.33</v>
      </c>
      <c r="I24">
        <v>24.35</v>
      </c>
      <c r="J24">
        <v>33</v>
      </c>
      <c r="K24">
        <v>27.02</v>
      </c>
      <c r="L24">
        <v>32.82</v>
      </c>
      <c r="M24">
        <v>41.62</v>
      </c>
      <c r="N24">
        <v>35.56</v>
      </c>
      <c r="P24">
        <f t="shared" si="0"/>
        <v>2300</v>
      </c>
      <c r="Q24">
        <f>AVERAGE(N46:N47)</f>
        <v>43.664999999999999</v>
      </c>
    </row>
    <row r="25" spans="1:17" x14ac:dyDescent="0.25">
      <c r="A25">
        <v>1</v>
      </c>
      <c r="B25">
        <v>1200</v>
      </c>
      <c r="C25">
        <v>0.08</v>
      </c>
      <c r="D25">
        <v>0.16</v>
      </c>
      <c r="E25">
        <v>0.12</v>
      </c>
      <c r="F25">
        <v>19.72</v>
      </c>
      <c r="G25">
        <v>19.86</v>
      </c>
      <c r="H25">
        <v>19.809999999999999</v>
      </c>
      <c r="I25">
        <v>0</v>
      </c>
      <c r="J25">
        <v>0</v>
      </c>
      <c r="K25">
        <v>0</v>
      </c>
      <c r="L25">
        <v>19.829999999999998</v>
      </c>
      <c r="M25">
        <v>20</v>
      </c>
      <c r="N25">
        <v>19.940000000000001</v>
      </c>
      <c r="P25">
        <f t="shared" si="0"/>
        <v>2400</v>
      </c>
      <c r="Q25">
        <f>AVERAGE(N48:N49)</f>
        <v>45.325000000000003</v>
      </c>
    </row>
    <row r="26" spans="1:17" x14ac:dyDescent="0.25">
      <c r="A26">
        <v>0</v>
      </c>
      <c r="B26">
        <v>1300</v>
      </c>
      <c r="C26">
        <v>0.18</v>
      </c>
      <c r="D26">
        <v>0.26</v>
      </c>
      <c r="E26">
        <v>0.2</v>
      </c>
      <c r="F26">
        <v>8.9</v>
      </c>
      <c r="G26">
        <v>9.11</v>
      </c>
      <c r="H26">
        <v>8.98</v>
      </c>
      <c r="I26">
        <v>25.15</v>
      </c>
      <c r="J26">
        <v>36.33</v>
      </c>
      <c r="K26">
        <v>27.57</v>
      </c>
      <c r="L26">
        <v>34.31</v>
      </c>
      <c r="M26">
        <v>45.6</v>
      </c>
      <c r="N26">
        <v>36.75</v>
      </c>
      <c r="P26">
        <f t="shared" si="0"/>
        <v>2500</v>
      </c>
      <c r="Q26">
        <f>AVERAGE(N50:N51)</f>
        <v>47.164999999999999</v>
      </c>
    </row>
    <row r="27" spans="1:17" x14ac:dyDescent="0.25">
      <c r="A27">
        <v>1</v>
      </c>
      <c r="B27">
        <v>1300</v>
      </c>
      <c r="C27">
        <v>0.1</v>
      </c>
      <c r="D27">
        <v>0.16</v>
      </c>
      <c r="E27">
        <v>0.13</v>
      </c>
      <c r="F27">
        <v>21.14</v>
      </c>
      <c r="G27">
        <v>21.26</v>
      </c>
      <c r="H27">
        <v>21.18</v>
      </c>
      <c r="I27">
        <v>0</v>
      </c>
      <c r="J27">
        <v>0</v>
      </c>
      <c r="K27">
        <v>0</v>
      </c>
      <c r="L27">
        <v>21.27</v>
      </c>
      <c r="M27">
        <v>21.38</v>
      </c>
      <c r="N27">
        <v>21.32</v>
      </c>
      <c r="P27">
        <f t="shared" si="0"/>
        <v>2600</v>
      </c>
      <c r="Q27">
        <f>AVERAGE(N52:N53)</f>
        <v>48.06</v>
      </c>
    </row>
    <row r="28" spans="1:17" x14ac:dyDescent="0.25">
      <c r="A28">
        <v>0</v>
      </c>
      <c r="B28">
        <v>1400</v>
      </c>
      <c r="C28">
        <v>0.14000000000000001</v>
      </c>
      <c r="D28">
        <v>0.28000000000000003</v>
      </c>
      <c r="E28">
        <v>0.2</v>
      </c>
      <c r="F28">
        <v>9.39</v>
      </c>
      <c r="G28">
        <v>9.6300000000000008</v>
      </c>
      <c r="H28">
        <v>9.5</v>
      </c>
      <c r="I28">
        <v>25.49</v>
      </c>
      <c r="J28">
        <v>31.81</v>
      </c>
      <c r="K28">
        <v>28.21</v>
      </c>
      <c r="L28">
        <v>35.18</v>
      </c>
      <c r="M28">
        <v>41.63</v>
      </c>
      <c r="N28">
        <v>37.909999999999997</v>
      </c>
      <c r="P28">
        <f t="shared" si="0"/>
        <v>2700</v>
      </c>
      <c r="Q28">
        <f>AVERAGE(N54:N55)</f>
        <v>49.575000000000003</v>
      </c>
    </row>
    <row r="29" spans="1:17" x14ac:dyDescent="0.25">
      <c r="A29">
        <v>1</v>
      </c>
      <c r="B29">
        <v>1400</v>
      </c>
      <c r="C29">
        <v>0.08</v>
      </c>
      <c r="D29">
        <v>0.15</v>
      </c>
      <c r="E29">
        <v>0.12</v>
      </c>
      <c r="F29">
        <v>22.68</v>
      </c>
      <c r="G29">
        <v>22.87</v>
      </c>
      <c r="H29">
        <v>22.74</v>
      </c>
      <c r="I29">
        <v>0</v>
      </c>
      <c r="J29">
        <v>0</v>
      </c>
      <c r="K29">
        <v>0</v>
      </c>
      <c r="L29">
        <v>22.78</v>
      </c>
      <c r="M29">
        <v>23.01</v>
      </c>
      <c r="N29">
        <v>22.86</v>
      </c>
      <c r="P29">
        <f t="shared" si="0"/>
        <v>2800</v>
      </c>
      <c r="Q29">
        <f>AVERAGE(N56:N57)</f>
        <v>51.355000000000004</v>
      </c>
    </row>
    <row r="30" spans="1:17" x14ac:dyDescent="0.25">
      <c r="A30">
        <v>0</v>
      </c>
      <c r="B30">
        <v>1500</v>
      </c>
      <c r="C30">
        <v>0.14000000000000001</v>
      </c>
      <c r="D30">
        <v>0.28000000000000003</v>
      </c>
      <c r="E30">
        <v>0.2</v>
      </c>
      <c r="F30">
        <v>9.83</v>
      </c>
      <c r="G30">
        <v>10.35</v>
      </c>
      <c r="H30">
        <v>10.07</v>
      </c>
      <c r="I30">
        <v>26.02</v>
      </c>
      <c r="J30">
        <v>44.06</v>
      </c>
      <c r="K30">
        <v>29.17</v>
      </c>
      <c r="L30">
        <v>36.07</v>
      </c>
      <c r="M30">
        <v>54.64</v>
      </c>
      <c r="N30">
        <v>39.43</v>
      </c>
      <c r="P30">
        <v>2900</v>
      </c>
      <c r="Q30">
        <f>AVERAGE(N58:N59)</f>
        <v>53.055</v>
      </c>
    </row>
    <row r="31" spans="1:17" x14ac:dyDescent="0.25">
      <c r="A31">
        <v>1</v>
      </c>
      <c r="B31">
        <v>1500</v>
      </c>
      <c r="C31">
        <v>0.08</v>
      </c>
      <c r="D31">
        <v>0.18</v>
      </c>
      <c r="E31">
        <v>0.12</v>
      </c>
      <c r="F31">
        <v>24.36</v>
      </c>
      <c r="G31">
        <v>24.6</v>
      </c>
      <c r="H31">
        <v>24.45</v>
      </c>
      <c r="I31">
        <v>0</v>
      </c>
      <c r="J31">
        <v>0</v>
      </c>
      <c r="K31">
        <v>0</v>
      </c>
      <c r="L31">
        <v>24.49</v>
      </c>
      <c r="M31">
        <v>24.72</v>
      </c>
      <c r="N31">
        <v>24.58</v>
      </c>
      <c r="P31">
        <v>3000</v>
      </c>
      <c r="Q31">
        <f>AVERAGE(N60:N61)</f>
        <v>54.010000000000005</v>
      </c>
    </row>
    <row r="32" spans="1:17" x14ac:dyDescent="0.25">
      <c r="A32">
        <v>0</v>
      </c>
      <c r="B32">
        <v>1600</v>
      </c>
      <c r="C32">
        <v>0.12</v>
      </c>
      <c r="D32">
        <v>0.25</v>
      </c>
      <c r="E32">
        <v>0.18</v>
      </c>
      <c r="F32">
        <v>10.79</v>
      </c>
      <c r="G32">
        <v>11.07</v>
      </c>
      <c r="H32">
        <v>10.91</v>
      </c>
      <c r="I32">
        <v>25.8</v>
      </c>
      <c r="J32">
        <v>35.049999999999997</v>
      </c>
      <c r="K32">
        <v>29.24</v>
      </c>
      <c r="L32">
        <v>36.85</v>
      </c>
      <c r="M32">
        <v>46.15</v>
      </c>
      <c r="N32">
        <v>40.340000000000003</v>
      </c>
    </row>
    <row r="33" spans="1:14" x14ac:dyDescent="0.25">
      <c r="A33">
        <v>1</v>
      </c>
      <c r="B33">
        <v>1600</v>
      </c>
      <c r="C33">
        <v>0.08</v>
      </c>
      <c r="D33">
        <v>0.19</v>
      </c>
      <c r="E33">
        <v>0.14000000000000001</v>
      </c>
      <c r="F33">
        <v>26.1</v>
      </c>
      <c r="G33">
        <v>26.34</v>
      </c>
      <c r="H33">
        <v>26.19</v>
      </c>
      <c r="I33">
        <v>0</v>
      </c>
      <c r="J33">
        <v>0</v>
      </c>
      <c r="K33">
        <v>0</v>
      </c>
      <c r="L33">
        <v>26.2</v>
      </c>
      <c r="M33">
        <v>26.48</v>
      </c>
      <c r="N33">
        <v>26.33</v>
      </c>
    </row>
    <row r="34" spans="1:14" x14ac:dyDescent="0.25">
      <c r="A34">
        <v>0</v>
      </c>
      <c r="B34">
        <v>1700</v>
      </c>
      <c r="C34">
        <v>0.12</v>
      </c>
      <c r="D34">
        <v>0.25</v>
      </c>
      <c r="E34">
        <v>0.18</v>
      </c>
      <c r="F34">
        <v>11.81</v>
      </c>
      <c r="G34">
        <v>12.07</v>
      </c>
      <c r="H34">
        <v>11.93</v>
      </c>
      <c r="I34">
        <v>27.04</v>
      </c>
      <c r="J34">
        <v>34.9</v>
      </c>
      <c r="K34">
        <v>29.75</v>
      </c>
      <c r="L34">
        <v>39.159999999999997</v>
      </c>
      <c r="M34">
        <v>47.11</v>
      </c>
      <c r="N34">
        <v>41.86</v>
      </c>
    </row>
    <row r="35" spans="1:14" x14ac:dyDescent="0.25">
      <c r="A35">
        <v>1</v>
      </c>
      <c r="B35">
        <v>1700</v>
      </c>
      <c r="C35">
        <v>0.09</v>
      </c>
      <c r="D35">
        <v>0.21</v>
      </c>
      <c r="E35">
        <v>0.15</v>
      </c>
      <c r="F35">
        <v>27.89</v>
      </c>
      <c r="G35">
        <v>28.15</v>
      </c>
      <c r="H35">
        <v>27.99</v>
      </c>
      <c r="I35">
        <v>0</v>
      </c>
      <c r="J35">
        <v>0</v>
      </c>
      <c r="K35">
        <v>0</v>
      </c>
      <c r="L35">
        <v>28.03</v>
      </c>
      <c r="M35">
        <v>28.32</v>
      </c>
      <c r="N35">
        <v>28.13</v>
      </c>
    </row>
    <row r="36" spans="1:14" x14ac:dyDescent="0.25">
      <c r="A36">
        <v>0</v>
      </c>
      <c r="B36">
        <v>1800</v>
      </c>
      <c r="C36">
        <v>0.17</v>
      </c>
      <c r="D36">
        <v>0.24</v>
      </c>
      <c r="E36">
        <v>0.2</v>
      </c>
      <c r="F36">
        <v>12.02</v>
      </c>
      <c r="G36">
        <v>12.33</v>
      </c>
      <c r="H36">
        <v>12.14</v>
      </c>
      <c r="I36">
        <v>28.13</v>
      </c>
      <c r="J36">
        <v>51.52</v>
      </c>
      <c r="K36">
        <v>30.95</v>
      </c>
      <c r="L36">
        <v>40.520000000000003</v>
      </c>
      <c r="M36">
        <v>64.06</v>
      </c>
      <c r="N36">
        <v>43.29</v>
      </c>
    </row>
    <row r="37" spans="1:14" x14ac:dyDescent="0.25">
      <c r="A37">
        <v>1</v>
      </c>
      <c r="B37">
        <v>1800</v>
      </c>
      <c r="C37">
        <v>0.1</v>
      </c>
      <c r="D37">
        <v>0.18</v>
      </c>
      <c r="E37">
        <v>0.14000000000000001</v>
      </c>
      <c r="F37">
        <v>29.3</v>
      </c>
      <c r="G37">
        <v>29.46</v>
      </c>
      <c r="H37">
        <v>29.36</v>
      </c>
      <c r="I37">
        <v>0</v>
      </c>
      <c r="J37">
        <v>0</v>
      </c>
      <c r="K37">
        <v>0</v>
      </c>
      <c r="L37">
        <v>29.42</v>
      </c>
      <c r="M37">
        <v>29.6</v>
      </c>
      <c r="N37">
        <v>29.5</v>
      </c>
    </row>
    <row r="38" spans="1:14" x14ac:dyDescent="0.25">
      <c r="A38">
        <v>0</v>
      </c>
      <c r="B38">
        <v>1900</v>
      </c>
      <c r="C38">
        <v>0.14000000000000001</v>
      </c>
      <c r="D38">
        <v>0.25</v>
      </c>
      <c r="E38">
        <v>0.2</v>
      </c>
      <c r="F38">
        <v>12.69</v>
      </c>
      <c r="G38">
        <v>13.04</v>
      </c>
      <c r="H38">
        <v>12.85</v>
      </c>
      <c r="I38">
        <v>28.63</v>
      </c>
      <c r="J38">
        <v>35.909999999999997</v>
      </c>
      <c r="K38">
        <v>31.08</v>
      </c>
      <c r="L38">
        <v>41.63</v>
      </c>
      <c r="M38">
        <v>49.14</v>
      </c>
      <c r="N38">
        <v>44.13</v>
      </c>
    </row>
    <row r="39" spans="1:14" x14ac:dyDescent="0.25">
      <c r="A39">
        <v>1</v>
      </c>
      <c r="B39">
        <v>1900</v>
      </c>
      <c r="C39">
        <v>0.08</v>
      </c>
      <c r="D39">
        <v>0.17</v>
      </c>
      <c r="E39">
        <v>0.14000000000000001</v>
      </c>
      <c r="F39">
        <v>30.83</v>
      </c>
      <c r="G39">
        <v>31.07</v>
      </c>
      <c r="H39">
        <v>30.93</v>
      </c>
      <c r="I39">
        <v>0</v>
      </c>
      <c r="J39">
        <v>0</v>
      </c>
      <c r="K39">
        <v>0</v>
      </c>
      <c r="L39">
        <v>30.93</v>
      </c>
      <c r="M39">
        <v>31.22</v>
      </c>
      <c r="N39">
        <v>31.07</v>
      </c>
    </row>
    <row r="40" spans="1:14" x14ac:dyDescent="0.25">
      <c r="A40">
        <v>0</v>
      </c>
      <c r="B40">
        <v>2000</v>
      </c>
      <c r="C40">
        <v>0.15</v>
      </c>
      <c r="D40">
        <v>0.25</v>
      </c>
      <c r="E40">
        <v>0.2</v>
      </c>
      <c r="F40">
        <v>13.39</v>
      </c>
      <c r="G40">
        <v>13.96</v>
      </c>
      <c r="H40">
        <v>13.62</v>
      </c>
      <c r="I40">
        <v>28.84</v>
      </c>
      <c r="J40">
        <v>44.44</v>
      </c>
      <c r="K40">
        <v>31.74</v>
      </c>
      <c r="L40">
        <v>42.54</v>
      </c>
      <c r="M40">
        <v>58.25</v>
      </c>
      <c r="N40">
        <v>45.55</v>
      </c>
    </row>
    <row r="41" spans="1:14" x14ac:dyDescent="0.25">
      <c r="A41">
        <v>1</v>
      </c>
      <c r="B41">
        <v>2000</v>
      </c>
      <c r="C41">
        <v>0.08</v>
      </c>
      <c r="D41">
        <v>0.18</v>
      </c>
      <c r="E41">
        <v>0.13</v>
      </c>
      <c r="F41">
        <v>32.799999999999997</v>
      </c>
      <c r="G41">
        <v>33.19</v>
      </c>
      <c r="H41">
        <v>32.950000000000003</v>
      </c>
      <c r="I41">
        <v>0</v>
      </c>
      <c r="J41">
        <v>0</v>
      </c>
      <c r="K41">
        <v>0</v>
      </c>
      <c r="L41">
        <v>32.9</v>
      </c>
      <c r="M41">
        <v>33.33</v>
      </c>
      <c r="N41">
        <v>33.07</v>
      </c>
    </row>
    <row r="42" spans="1:14" x14ac:dyDescent="0.25">
      <c r="A42">
        <v>0</v>
      </c>
      <c r="B42">
        <v>2100</v>
      </c>
      <c r="C42">
        <v>0.13</v>
      </c>
      <c r="D42">
        <v>0.24</v>
      </c>
      <c r="E42">
        <v>0.19</v>
      </c>
      <c r="F42">
        <v>14.5</v>
      </c>
      <c r="G42">
        <v>14.82</v>
      </c>
      <c r="H42">
        <v>14.67</v>
      </c>
      <c r="I42">
        <v>29.47</v>
      </c>
      <c r="J42">
        <v>37.78</v>
      </c>
      <c r="K42">
        <v>32.229999999999997</v>
      </c>
      <c r="L42">
        <v>44.26</v>
      </c>
      <c r="M42">
        <v>52.61</v>
      </c>
      <c r="N42">
        <v>47.09</v>
      </c>
    </row>
    <row r="43" spans="1:14" x14ac:dyDescent="0.25">
      <c r="A43">
        <v>1</v>
      </c>
      <c r="B43">
        <v>2100</v>
      </c>
      <c r="C43">
        <v>0.08</v>
      </c>
      <c r="D43">
        <v>0.17</v>
      </c>
      <c r="E43">
        <v>0.13</v>
      </c>
      <c r="F43">
        <v>34.69</v>
      </c>
      <c r="G43">
        <v>34.93</v>
      </c>
      <c r="H43">
        <v>34.799999999999997</v>
      </c>
      <c r="I43">
        <v>0</v>
      </c>
      <c r="J43">
        <v>0</v>
      </c>
      <c r="K43">
        <v>0</v>
      </c>
      <c r="L43">
        <v>34.78</v>
      </c>
      <c r="M43">
        <v>35.07</v>
      </c>
      <c r="N43">
        <v>34.93</v>
      </c>
    </row>
    <row r="44" spans="1:14" x14ac:dyDescent="0.25">
      <c r="A44">
        <v>0</v>
      </c>
      <c r="B44">
        <v>2200</v>
      </c>
      <c r="C44">
        <v>0.14000000000000001</v>
      </c>
      <c r="D44">
        <v>0.27</v>
      </c>
      <c r="E44">
        <v>0.19</v>
      </c>
      <c r="F44">
        <v>14.73</v>
      </c>
      <c r="G44">
        <v>15.27</v>
      </c>
      <c r="H44">
        <v>14.91</v>
      </c>
      <c r="I44">
        <v>30.24</v>
      </c>
      <c r="J44">
        <v>51.81</v>
      </c>
      <c r="K44">
        <v>33.22</v>
      </c>
      <c r="L44">
        <v>45.34</v>
      </c>
      <c r="M44">
        <v>67.3</v>
      </c>
      <c r="N44">
        <v>48.33</v>
      </c>
    </row>
    <row r="45" spans="1:14" x14ac:dyDescent="0.25">
      <c r="A45">
        <v>1</v>
      </c>
      <c r="B45">
        <v>2200</v>
      </c>
      <c r="C45">
        <v>0.09</v>
      </c>
      <c r="D45">
        <v>0.17</v>
      </c>
      <c r="E45">
        <v>0.13</v>
      </c>
      <c r="F45">
        <v>35.82</v>
      </c>
      <c r="G45">
        <v>36.08</v>
      </c>
      <c r="H45">
        <v>35.94</v>
      </c>
      <c r="I45">
        <v>0</v>
      </c>
      <c r="J45">
        <v>0</v>
      </c>
      <c r="K45">
        <v>0</v>
      </c>
      <c r="L45">
        <v>35.96</v>
      </c>
      <c r="M45">
        <v>36.22</v>
      </c>
      <c r="N45">
        <v>36.08</v>
      </c>
    </row>
    <row r="46" spans="1:14" x14ac:dyDescent="0.25">
      <c r="A46">
        <v>0</v>
      </c>
      <c r="B46">
        <v>2300</v>
      </c>
      <c r="C46">
        <v>0.13</v>
      </c>
      <c r="D46">
        <v>0.28000000000000003</v>
      </c>
      <c r="E46">
        <v>0.2</v>
      </c>
      <c r="F46">
        <v>15.65</v>
      </c>
      <c r="G46">
        <v>15.94</v>
      </c>
      <c r="H46">
        <v>15.78</v>
      </c>
      <c r="I46">
        <v>30.45</v>
      </c>
      <c r="J46">
        <v>39.119999999999997</v>
      </c>
      <c r="K46">
        <v>33.729999999999997</v>
      </c>
      <c r="L46">
        <v>46.41</v>
      </c>
      <c r="M46">
        <v>55.26</v>
      </c>
      <c r="N46">
        <v>49.71</v>
      </c>
    </row>
    <row r="47" spans="1:14" x14ac:dyDescent="0.25">
      <c r="A47">
        <v>1</v>
      </c>
      <c r="B47">
        <v>2300</v>
      </c>
      <c r="C47">
        <v>0.08</v>
      </c>
      <c r="D47">
        <v>0.17</v>
      </c>
      <c r="E47">
        <v>0.13</v>
      </c>
      <c r="F47">
        <v>37.39</v>
      </c>
      <c r="G47">
        <v>37.64</v>
      </c>
      <c r="H47">
        <v>37.49</v>
      </c>
      <c r="I47">
        <v>0</v>
      </c>
      <c r="J47">
        <v>0</v>
      </c>
      <c r="K47">
        <v>0</v>
      </c>
      <c r="L47">
        <v>37.5</v>
      </c>
      <c r="M47">
        <v>37.79</v>
      </c>
      <c r="N47">
        <v>37.619999999999997</v>
      </c>
    </row>
    <row r="48" spans="1:14" x14ac:dyDescent="0.25">
      <c r="A48">
        <v>0</v>
      </c>
      <c r="B48">
        <v>2400</v>
      </c>
      <c r="C48">
        <v>0.14000000000000001</v>
      </c>
      <c r="D48">
        <v>0.25</v>
      </c>
      <c r="E48">
        <v>0.2</v>
      </c>
      <c r="F48">
        <v>16.39</v>
      </c>
      <c r="G48">
        <v>16.93</v>
      </c>
      <c r="H48">
        <v>16.559999999999999</v>
      </c>
      <c r="I48">
        <v>31.37</v>
      </c>
      <c r="J48">
        <v>52.64</v>
      </c>
      <c r="K48">
        <v>34.42</v>
      </c>
      <c r="L48">
        <v>48.07</v>
      </c>
      <c r="M48">
        <v>69.739999999999995</v>
      </c>
      <c r="N48">
        <v>51.18</v>
      </c>
    </row>
    <row r="49" spans="1:14" x14ac:dyDescent="0.25">
      <c r="A49">
        <v>1</v>
      </c>
      <c r="B49">
        <v>2400</v>
      </c>
      <c r="C49">
        <v>0.08</v>
      </c>
      <c r="D49">
        <v>0.18</v>
      </c>
      <c r="E49">
        <v>0.13</v>
      </c>
      <c r="F49">
        <v>39.19</v>
      </c>
      <c r="G49">
        <v>39.51</v>
      </c>
      <c r="H49">
        <v>39.340000000000003</v>
      </c>
      <c r="I49">
        <v>0</v>
      </c>
      <c r="J49">
        <v>0</v>
      </c>
      <c r="K49">
        <v>0</v>
      </c>
      <c r="L49">
        <v>39.28</v>
      </c>
      <c r="M49">
        <v>39.619999999999997</v>
      </c>
      <c r="N49">
        <v>39.47</v>
      </c>
    </row>
    <row r="50" spans="1:14" x14ac:dyDescent="0.25">
      <c r="A50">
        <v>0</v>
      </c>
      <c r="B50">
        <v>2500</v>
      </c>
      <c r="C50">
        <v>0.13</v>
      </c>
      <c r="D50">
        <v>0.28999999999999998</v>
      </c>
      <c r="E50">
        <v>0.2</v>
      </c>
      <c r="F50">
        <v>17.11</v>
      </c>
      <c r="G50">
        <v>17.760000000000002</v>
      </c>
      <c r="H50">
        <v>17.399999999999999</v>
      </c>
      <c r="I50">
        <v>32.85</v>
      </c>
      <c r="J50">
        <v>57.91</v>
      </c>
      <c r="K50">
        <v>35.51</v>
      </c>
      <c r="L50">
        <v>50.33</v>
      </c>
      <c r="M50">
        <v>75.63</v>
      </c>
      <c r="N50">
        <v>53.11</v>
      </c>
    </row>
    <row r="51" spans="1:14" x14ac:dyDescent="0.25">
      <c r="A51">
        <v>1</v>
      </c>
      <c r="B51">
        <v>2500</v>
      </c>
      <c r="C51">
        <v>0.08</v>
      </c>
      <c r="D51">
        <v>0.16</v>
      </c>
      <c r="E51">
        <v>0.13</v>
      </c>
      <c r="F51">
        <v>40.93</v>
      </c>
      <c r="G51">
        <v>41.24</v>
      </c>
      <c r="H51">
        <v>41.1</v>
      </c>
      <c r="I51">
        <v>0</v>
      </c>
      <c r="J51">
        <v>0</v>
      </c>
      <c r="K51">
        <v>0</v>
      </c>
      <c r="L51">
        <v>41.05</v>
      </c>
      <c r="M51">
        <v>41.37</v>
      </c>
      <c r="N51">
        <v>41.22</v>
      </c>
    </row>
    <row r="52" spans="1:14" x14ac:dyDescent="0.25">
      <c r="A52">
        <v>0</v>
      </c>
      <c r="B52">
        <v>2600</v>
      </c>
      <c r="C52">
        <v>0.14000000000000001</v>
      </c>
      <c r="D52">
        <v>0.25</v>
      </c>
      <c r="E52">
        <v>0.19</v>
      </c>
      <c r="F52">
        <v>17.82</v>
      </c>
      <c r="G52">
        <v>18.28</v>
      </c>
      <c r="H52">
        <v>17.989999999999998</v>
      </c>
      <c r="I52">
        <v>32.450000000000003</v>
      </c>
      <c r="J52">
        <v>43.73</v>
      </c>
      <c r="K52">
        <v>35.43</v>
      </c>
      <c r="L52">
        <v>50.48</v>
      </c>
      <c r="M52">
        <v>62.2</v>
      </c>
      <c r="N52">
        <v>53.62</v>
      </c>
    </row>
    <row r="53" spans="1:14" x14ac:dyDescent="0.25">
      <c r="A53">
        <v>1</v>
      </c>
      <c r="B53">
        <v>2600</v>
      </c>
      <c r="C53">
        <v>0.09</v>
      </c>
      <c r="D53">
        <v>0.18</v>
      </c>
      <c r="E53">
        <v>0.13</v>
      </c>
      <c r="F53">
        <v>42.25</v>
      </c>
      <c r="G53">
        <v>42.51</v>
      </c>
      <c r="H53">
        <v>42.37</v>
      </c>
      <c r="I53">
        <v>0</v>
      </c>
      <c r="J53">
        <v>0</v>
      </c>
      <c r="K53">
        <v>0</v>
      </c>
      <c r="L53">
        <v>42.36</v>
      </c>
      <c r="M53">
        <v>42.63</v>
      </c>
      <c r="N53">
        <v>42.5</v>
      </c>
    </row>
    <row r="54" spans="1:14" x14ac:dyDescent="0.25">
      <c r="A54">
        <v>0</v>
      </c>
      <c r="B54">
        <v>2700</v>
      </c>
      <c r="C54">
        <v>0.13</v>
      </c>
      <c r="D54">
        <v>0.27</v>
      </c>
      <c r="E54">
        <v>0.19</v>
      </c>
      <c r="F54">
        <v>18.239999999999998</v>
      </c>
      <c r="G54">
        <v>18.72</v>
      </c>
      <c r="H54">
        <v>18.39</v>
      </c>
      <c r="I54">
        <v>32.950000000000003</v>
      </c>
      <c r="J54">
        <v>46.56</v>
      </c>
      <c r="K54">
        <v>36.42</v>
      </c>
      <c r="L54">
        <v>51.38</v>
      </c>
      <c r="M54">
        <v>65.48</v>
      </c>
      <c r="N54">
        <v>55.01</v>
      </c>
    </row>
    <row r="55" spans="1:14" x14ac:dyDescent="0.25">
      <c r="A55">
        <v>1</v>
      </c>
      <c r="B55">
        <v>2700</v>
      </c>
      <c r="C55">
        <v>0.08</v>
      </c>
      <c r="D55">
        <v>0.17</v>
      </c>
      <c r="E55">
        <v>0.12</v>
      </c>
      <c r="F55">
        <v>43.91</v>
      </c>
      <c r="G55">
        <v>44.17</v>
      </c>
      <c r="H55">
        <v>44.02</v>
      </c>
      <c r="I55">
        <v>0</v>
      </c>
      <c r="J55">
        <v>0</v>
      </c>
      <c r="K55">
        <v>0</v>
      </c>
      <c r="L55">
        <v>44</v>
      </c>
      <c r="M55">
        <v>44.28</v>
      </c>
      <c r="N55">
        <v>44.14</v>
      </c>
    </row>
    <row r="56" spans="1:14" x14ac:dyDescent="0.25">
      <c r="A56">
        <v>0</v>
      </c>
      <c r="B56">
        <v>2800</v>
      </c>
      <c r="C56">
        <v>0.15</v>
      </c>
      <c r="D56">
        <v>0.26</v>
      </c>
      <c r="E56">
        <v>0.19</v>
      </c>
      <c r="F56">
        <v>19</v>
      </c>
      <c r="G56">
        <v>19.899999999999999</v>
      </c>
      <c r="H56">
        <v>19.21</v>
      </c>
      <c r="I56">
        <v>33.869999999999997</v>
      </c>
      <c r="J56">
        <v>76.53</v>
      </c>
      <c r="K56">
        <v>37.15</v>
      </c>
      <c r="L56">
        <v>53.05</v>
      </c>
      <c r="M56">
        <v>96.63</v>
      </c>
      <c r="N56">
        <v>56.56</v>
      </c>
    </row>
    <row r="57" spans="1:14" x14ac:dyDescent="0.25">
      <c r="A57">
        <v>1</v>
      </c>
      <c r="B57">
        <v>2800</v>
      </c>
      <c r="C57">
        <v>0.08</v>
      </c>
      <c r="D57">
        <v>0.17</v>
      </c>
      <c r="E57">
        <v>0.12</v>
      </c>
      <c r="F57">
        <v>45.91</v>
      </c>
      <c r="G57">
        <v>46.2</v>
      </c>
      <c r="H57">
        <v>46.03</v>
      </c>
      <c r="I57">
        <v>0</v>
      </c>
      <c r="J57">
        <v>0</v>
      </c>
      <c r="K57">
        <v>0</v>
      </c>
      <c r="L57">
        <v>46</v>
      </c>
      <c r="M57">
        <v>46.3</v>
      </c>
      <c r="N57">
        <v>46.15</v>
      </c>
    </row>
    <row r="58" spans="1:14" x14ac:dyDescent="0.25">
      <c r="A58">
        <v>0</v>
      </c>
      <c r="B58">
        <v>2900</v>
      </c>
      <c r="C58">
        <v>0.12</v>
      </c>
      <c r="D58">
        <v>0.27</v>
      </c>
      <c r="E58">
        <v>0.19</v>
      </c>
      <c r="F58">
        <v>20.55</v>
      </c>
      <c r="G58">
        <v>20.97</v>
      </c>
      <c r="H58">
        <v>20.77</v>
      </c>
      <c r="I58">
        <v>34.549999999999997</v>
      </c>
      <c r="J58">
        <v>42.46</v>
      </c>
      <c r="K58">
        <v>37.15</v>
      </c>
      <c r="L58">
        <v>55.49</v>
      </c>
      <c r="M58">
        <v>63.49</v>
      </c>
      <c r="N58">
        <v>58.12</v>
      </c>
    </row>
    <row r="59" spans="1:14" x14ac:dyDescent="0.25">
      <c r="A59">
        <v>1</v>
      </c>
      <c r="B59">
        <v>2900</v>
      </c>
      <c r="C59">
        <v>0.09</v>
      </c>
      <c r="D59">
        <v>0.17</v>
      </c>
      <c r="E59">
        <v>0.13</v>
      </c>
      <c r="F59">
        <v>47.73</v>
      </c>
      <c r="G59">
        <v>47.99</v>
      </c>
      <c r="H59">
        <v>47.85</v>
      </c>
      <c r="I59">
        <v>0</v>
      </c>
      <c r="J59">
        <v>0</v>
      </c>
      <c r="K59">
        <v>0</v>
      </c>
      <c r="L59">
        <v>47.85</v>
      </c>
      <c r="M59">
        <v>48.14</v>
      </c>
      <c r="N59">
        <v>47.99</v>
      </c>
    </row>
    <row r="60" spans="1:14" x14ac:dyDescent="0.25">
      <c r="A60">
        <v>0</v>
      </c>
      <c r="B60">
        <v>3000</v>
      </c>
      <c r="C60">
        <v>0.12</v>
      </c>
      <c r="D60">
        <v>0.27</v>
      </c>
      <c r="E60">
        <v>0.19</v>
      </c>
      <c r="F60">
        <v>21.03</v>
      </c>
      <c r="G60">
        <v>22.07</v>
      </c>
      <c r="H60">
        <v>21.48</v>
      </c>
      <c r="I60">
        <v>34.200000000000003</v>
      </c>
      <c r="J60">
        <v>51.49</v>
      </c>
      <c r="K60">
        <v>37.54</v>
      </c>
      <c r="L60">
        <v>55.6</v>
      </c>
      <c r="M60">
        <v>73.78</v>
      </c>
      <c r="N60">
        <v>59.21</v>
      </c>
    </row>
    <row r="61" spans="1:14" x14ac:dyDescent="0.25">
      <c r="A61">
        <v>1</v>
      </c>
      <c r="B61">
        <v>3000</v>
      </c>
      <c r="C61">
        <v>0.08</v>
      </c>
      <c r="D61">
        <v>0.16</v>
      </c>
      <c r="E61">
        <v>0.12</v>
      </c>
      <c r="F61">
        <v>48.49</v>
      </c>
      <c r="G61">
        <v>49.01</v>
      </c>
      <c r="H61">
        <v>48.69</v>
      </c>
      <c r="I61">
        <v>0</v>
      </c>
      <c r="J61">
        <v>0</v>
      </c>
      <c r="K61">
        <v>0</v>
      </c>
      <c r="L61">
        <v>48.6</v>
      </c>
      <c r="M61">
        <v>49.15</v>
      </c>
      <c r="N61">
        <v>48.81</v>
      </c>
    </row>
    <row r="62" spans="1:14" x14ac:dyDescent="0.25">
      <c r="A62">
        <v>0</v>
      </c>
      <c r="B62">
        <v>3100</v>
      </c>
      <c r="C62">
        <v>0.14000000000000001</v>
      </c>
      <c r="D62">
        <v>0.25</v>
      </c>
      <c r="E62">
        <v>0.19</v>
      </c>
      <c r="F62">
        <v>21.54</v>
      </c>
      <c r="G62">
        <v>21.94</v>
      </c>
      <c r="H62">
        <v>21.72</v>
      </c>
      <c r="I62">
        <v>35.6</v>
      </c>
      <c r="J62">
        <v>43.06</v>
      </c>
      <c r="K62">
        <v>38.409999999999997</v>
      </c>
      <c r="L62">
        <v>57.38</v>
      </c>
      <c r="M62">
        <v>65.099999999999994</v>
      </c>
      <c r="N62">
        <v>60.32</v>
      </c>
    </row>
    <row r="63" spans="1:14" x14ac:dyDescent="0.25">
      <c r="A63">
        <v>1</v>
      </c>
      <c r="B63">
        <v>3100</v>
      </c>
      <c r="C63">
        <v>0.08</v>
      </c>
      <c r="D63">
        <v>0.16</v>
      </c>
      <c r="E63">
        <v>0.12</v>
      </c>
      <c r="F63">
        <v>50.43</v>
      </c>
      <c r="G63">
        <v>50.72</v>
      </c>
      <c r="H63">
        <v>50.58</v>
      </c>
      <c r="I63">
        <v>0</v>
      </c>
      <c r="J63">
        <v>0</v>
      </c>
      <c r="K63">
        <v>0</v>
      </c>
      <c r="L63">
        <v>50.57</v>
      </c>
      <c r="M63">
        <v>50.85</v>
      </c>
      <c r="N63">
        <v>50.71</v>
      </c>
    </row>
    <row r="64" spans="1:14" x14ac:dyDescent="0.25">
      <c r="A64">
        <v>0</v>
      </c>
      <c r="B64">
        <v>3200</v>
      </c>
      <c r="C64">
        <v>0.14000000000000001</v>
      </c>
      <c r="D64">
        <v>0.25</v>
      </c>
      <c r="E64">
        <v>0.19</v>
      </c>
      <c r="F64">
        <v>22.36</v>
      </c>
      <c r="G64">
        <v>22.78</v>
      </c>
      <c r="H64">
        <v>22.55</v>
      </c>
      <c r="I64">
        <v>35.340000000000003</v>
      </c>
      <c r="J64">
        <v>42.72</v>
      </c>
      <c r="K64">
        <v>38.700000000000003</v>
      </c>
      <c r="L64">
        <v>57.9</v>
      </c>
      <c r="M64">
        <v>65.459999999999994</v>
      </c>
      <c r="N64">
        <v>61.44</v>
      </c>
    </row>
    <row r="65" spans="1:14" x14ac:dyDescent="0.25">
      <c r="A65">
        <v>1</v>
      </c>
      <c r="B65">
        <v>3200</v>
      </c>
      <c r="C65">
        <v>0.08</v>
      </c>
      <c r="D65">
        <v>0.18</v>
      </c>
      <c r="E65">
        <v>0.13</v>
      </c>
      <c r="F65">
        <v>52.39</v>
      </c>
      <c r="G65">
        <v>52.63</v>
      </c>
      <c r="H65">
        <v>52.52</v>
      </c>
      <c r="I65">
        <v>0</v>
      </c>
      <c r="J65">
        <v>0</v>
      </c>
      <c r="K65">
        <v>0</v>
      </c>
      <c r="L65">
        <v>52.49</v>
      </c>
      <c r="M65">
        <v>52.78</v>
      </c>
      <c r="N65">
        <v>52.64</v>
      </c>
    </row>
    <row r="66" spans="1:14" x14ac:dyDescent="0.25">
      <c r="A66">
        <v>0</v>
      </c>
      <c r="B66">
        <v>3300</v>
      </c>
      <c r="C66">
        <v>0.13</v>
      </c>
      <c r="D66">
        <v>0.26</v>
      </c>
      <c r="E66">
        <v>0.19</v>
      </c>
      <c r="F66">
        <v>23.41</v>
      </c>
      <c r="G66">
        <v>23.84</v>
      </c>
      <c r="H66">
        <v>23.59</v>
      </c>
      <c r="I66">
        <v>36.35</v>
      </c>
      <c r="J66">
        <v>45.92</v>
      </c>
      <c r="K66">
        <v>39.64</v>
      </c>
      <c r="L66">
        <v>60.12</v>
      </c>
      <c r="M66">
        <v>70.010000000000005</v>
      </c>
      <c r="N66">
        <v>63.43</v>
      </c>
    </row>
    <row r="67" spans="1:14" x14ac:dyDescent="0.25">
      <c r="A67">
        <v>1</v>
      </c>
      <c r="B67">
        <v>3300</v>
      </c>
      <c r="C67">
        <v>0.08</v>
      </c>
      <c r="D67">
        <v>0.18</v>
      </c>
      <c r="E67">
        <v>0.12</v>
      </c>
      <c r="F67">
        <v>54.31</v>
      </c>
      <c r="G67">
        <v>54.53</v>
      </c>
      <c r="H67">
        <v>54.43</v>
      </c>
      <c r="I67">
        <v>0</v>
      </c>
      <c r="J67">
        <v>0</v>
      </c>
      <c r="K67">
        <v>0</v>
      </c>
      <c r="L67">
        <v>54.42</v>
      </c>
      <c r="M67">
        <v>54.67</v>
      </c>
      <c r="N67">
        <v>54.55</v>
      </c>
    </row>
    <row r="68" spans="1:14" x14ac:dyDescent="0.25">
      <c r="A68">
        <v>0</v>
      </c>
      <c r="B68">
        <v>3400</v>
      </c>
      <c r="C68">
        <v>0.14000000000000001</v>
      </c>
      <c r="D68">
        <v>0.24</v>
      </c>
      <c r="E68">
        <v>0.19</v>
      </c>
      <c r="F68">
        <v>24.51</v>
      </c>
      <c r="G68">
        <v>24.96</v>
      </c>
      <c r="H68">
        <v>24.68</v>
      </c>
      <c r="I68">
        <v>36.549999999999997</v>
      </c>
      <c r="J68">
        <v>43.91</v>
      </c>
      <c r="K68">
        <v>39.85</v>
      </c>
      <c r="L68">
        <v>61.26</v>
      </c>
      <c r="M68">
        <v>68.94</v>
      </c>
      <c r="N68">
        <v>64.709999999999994</v>
      </c>
    </row>
    <row r="69" spans="1:14" x14ac:dyDescent="0.25">
      <c r="A69">
        <v>1</v>
      </c>
      <c r="B69">
        <v>3400</v>
      </c>
      <c r="C69">
        <v>0.08</v>
      </c>
      <c r="D69">
        <v>0.17</v>
      </c>
      <c r="E69">
        <v>0.12</v>
      </c>
      <c r="F69">
        <v>56.14</v>
      </c>
      <c r="G69">
        <v>56.46</v>
      </c>
      <c r="H69">
        <v>56.28</v>
      </c>
      <c r="I69">
        <v>0</v>
      </c>
      <c r="J69">
        <v>0</v>
      </c>
      <c r="K69">
        <v>0</v>
      </c>
      <c r="L69">
        <v>56.24</v>
      </c>
      <c r="M69">
        <v>56.59</v>
      </c>
      <c r="N69">
        <v>56.41</v>
      </c>
    </row>
    <row r="70" spans="1:14" x14ac:dyDescent="0.25">
      <c r="A70">
        <v>0</v>
      </c>
      <c r="B70">
        <v>3500</v>
      </c>
      <c r="C70">
        <v>0.15</v>
      </c>
      <c r="D70">
        <v>0.24</v>
      </c>
      <c r="E70">
        <v>0.19</v>
      </c>
      <c r="F70">
        <v>24.38</v>
      </c>
      <c r="G70">
        <v>25.25</v>
      </c>
      <c r="H70">
        <v>24.72</v>
      </c>
      <c r="I70">
        <v>38.24</v>
      </c>
      <c r="J70">
        <v>60.81</v>
      </c>
      <c r="K70">
        <v>41.8</v>
      </c>
      <c r="L70">
        <v>62.91</v>
      </c>
      <c r="M70">
        <v>86.27</v>
      </c>
      <c r="N70">
        <v>66.709999999999994</v>
      </c>
    </row>
    <row r="71" spans="1:14" x14ac:dyDescent="0.25">
      <c r="A71">
        <v>1</v>
      </c>
      <c r="B71">
        <v>3500</v>
      </c>
      <c r="C71">
        <v>7.0000000000000007E-2</v>
      </c>
      <c r="D71">
        <v>0.16</v>
      </c>
      <c r="E71">
        <v>0.11</v>
      </c>
      <c r="F71">
        <v>57.26</v>
      </c>
      <c r="G71">
        <v>57.65</v>
      </c>
      <c r="H71">
        <v>57.48</v>
      </c>
      <c r="I71">
        <v>0</v>
      </c>
      <c r="J71">
        <v>0</v>
      </c>
      <c r="K71">
        <v>0</v>
      </c>
      <c r="L71">
        <v>57.38</v>
      </c>
      <c r="M71">
        <v>57.77</v>
      </c>
      <c r="N71">
        <v>57.6</v>
      </c>
    </row>
    <row r="74" spans="1:14" x14ac:dyDescent="0.25">
      <c r="A74" t="s">
        <v>13</v>
      </c>
      <c r="B74" t="s">
        <v>14</v>
      </c>
    </row>
    <row r="75" spans="1:14" x14ac:dyDescent="0.25">
      <c r="A75" t="s">
        <v>15</v>
      </c>
      <c r="B75">
        <v>15</v>
      </c>
    </row>
    <row r="76" spans="1:14" x14ac:dyDescent="0.25">
      <c r="A76" t="s">
        <v>16</v>
      </c>
      <c r="B76" t="s">
        <v>17</v>
      </c>
    </row>
    <row r="77" spans="1:14" x14ac:dyDescent="0.25">
      <c r="A77" t="s">
        <v>18</v>
      </c>
      <c r="B77">
        <v>15</v>
      </c>
    </row>
    <row r="78" spans="1:14" x14ac:dyDescent="0.25">
      <c r="A78" t="s">
        <v>19</v>
      </c>
      <c r="B78" t="s">
        <v>17</v>
      </c>
    </row>
    <row r="79" spans="1:14" x14ac:dyDescent="0.25">
      <c r="A79" t="s">
        <v>20</v>
      </c>
      <c r="B79" t="s">
        <v>17</v>
      </c>
    </row>
    <row r="80" spans="1:14" x14ac:dyDescent="0.25">
      <c r="A80" t="s">
        <v>21</v>
      </c>
      <c r="B80">
        <v>15</v>
      </c>
    </row>
    <row r="81" spans="1:2" x14ac:dyDescent="0.25">
      <c r="A81" t="s">
        <v>22</v>
      </c>
      <c r="B81" t="s">
        <v>17</v>
      </c>
    </row>
    <row r="82" spans="1:2" x14ac:dyDescent="0.25">
      <c r="A82" t="s">
        <v>23</v>
      </c>
      <c r="B82" t="s">
        <v>17</v>
      </c>
    </row>
    <row r="83" spans="1:2" x14ac:dyDescent="0.25">
      <c r="A83" t="s">
        <v>24</v>
      </c>
      <c r="B83" t="s">
        <v>17</v>
      </c>
    </row>
    <row r="84" spans="1:2" x14ac:dyDescent="0.25">
      <c r="A84" t="s">
        <v>25</v>
      </c>
      <c r="B84" t="s">
        <v>17</v>
      </c>
    </row>
    <row r="85" spans="1:2" x14ac:dyDescent="0.25">
      <c r="A85" t="s">
        <v>26</v>
      </c>
      <c r="B85" t="s">
        <v>34</v>
      </c>
    </row>
    <row r="87" spans="1:2" x14ac:dyDescent="0.25">
      <c r="A87" t="s">
        <v>27</v>
      </c>
    </row>
    <row r="88" spans="1:2" x14ac:dyDescent="0.25">
      <c r="A8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94"/>
  <sheetViews>
    <sheetView workbookViewId="0">
      <selection activeCell="Q2" sqref="Q2:Q3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0.11</v>
      </c>
      <c r="D2">
        <v>0.15</v>
      </c>
      <c r="E2">
        <v>0.13</v>
      </c>
      <c r="F2">
        <v>1.45</v>
      </c>
      <c r="G2">
        <v>1.51</v>
      </c>
      <c r="H2">
        <v>1.49</v>
      </c>
      <c r="I2">
        <v>18.12</v>
      </c>
      <c r="J2">
        <v>25.01</v>
      </c>
      <c r="K2">
        <v>21.2</v>
      </c>
      <c r="L2">
        <v>19.739999999999998</v>
      </c>
      <c r="M2">
        <v>26.63</v>
      </c>
      <c r="N2">
        <v>22.82</v>
      </c>
      <c r="P2">
        <v>100</v>
      </c>
      <c r="Q2">
        <f>AVERAGE(N2:N3)</f>
        <v>12.34</v>
      </c>
    </row>
    <row r="3" spans="1:17" x14ac:dyDescent="0.25">
      <c r="A3">
        <v>1</v>
      </c>
      <c r="B3">
        <v>100</v>
      </c>
      <c r="C3">
        <v>0.1</v>
      </c>
      <c r="D3">
        <v>0.16</v>
      </c>
      <c r="E3">
        <v>0.14000000000000001</v>
      </c>
      <c r="F3">
        <v>1.71</v>
      </c>
      <c r="G3">
        <v>1.73</v>
      </c>
      <c r="H3">
        <v>1.72</v>
      </c>
      <c r="I3">
        <v>0</v>
      </c>
      <c r="J3">
        <v>0</v>
      </c>
      <c r="K3">
        <v>0</v>
      </c>
      <c r="L3">
        <v>1.81</v>
      </c>
      <c r="M3">
        <v>1.89</v>
      </c>
      <c r="N3">
        <v>1.86</v>
      </c>
      <c r="P3">
        <f>P2+100</f>
        <v>200</v>
      </c>
      <c r="Q3">
        <f>AVERAGE(N4:N5)</f>
        <v>14.305</v>
      </c>
    </row>
    <row r="4" spans="1:17" x14ac:dyDescent="0.25">
      <c r="A4">
        <v>0</v>
      </c>
      <c r="B4">
        <v>200</v>
      </c>
      <c r="C4">
        <v>0.11</v>
      </c>
      <c r="D4">
        <v>0.18</v>
      </c>
      <c r="E4">
        <v>0.14000000000000001</v>
      </c>
      <c r="F4">
        <v>2.36</v>
      </c>
      <c r="G4">
        <v>2.42</v>
      </c>
      <c r="H4">
        <v>2.39</v>
      </c>
      <c r="I4">
        <v>20.059999999999999</v>
      </c>
      <c r="J4">
        <v>27.52</v>
      </c>
      <c r="K4">
        <v>22.54</v>
      </c>
      <c r="L4">
        <v>22.59</v>
      </c>
      <c r="M4">
        <v>30.04</v>
      </c>
      <c r="N4">
        <v>25.07</v>
      </c>
      <c r="P4">
        <f t="shared" ref="P4:P29" si="0">P3+100</f>
        <v>300</v>
      </c>
      <c r="Q4">
        <f>AVERAGE(N6:N7)</f>
        <v>16.155000000000001</v>
      </c>
    </row>
    <row r="5" spans="1:17" x14ac:dyDescent="0.25">
      <c r="A5">
        <v>1</v>
      </c>
      <c r="B5">
        <v>200</v>
      </c>
      <c r="C5">
        <v>0.11</v>
      </c>
      <c r="D5">
        <v>0.16</v>
      </c>
      <c r="E5">
        <v>0.14000000000000001</v>
      </c>
      <c r="F5">
        <v>3.39</v>
      </c>
      <c r="G5">
        <v>3.41</v>
      </c>
      <c r="H5">
        <v>3.4</v>
      </c>
      <c r="I5">
        <v>0</v>
      </c>
      <c r="J5">
        <v>0</v>
      </c>
      <c r="K5">
        <v>0</v>
      </c>
      <c r="L5">
        <v>3.51</v>
      </c>
      <c r="M5">
        <v>3.57</v>
      </c>
      <c r="N5">
        <v>3.54</v>
      </c>
      <c r="P5">
        <f t="shared" si="0"/>
        <v>400</v>
      </c>
      <c r="Q5">
        <f>AVERAGE(N8:N9)</f>
        <v>18.13</v>
      </c>
    </row>
    <row r="6" spans="1:17" x14ac:dyDescent="0.25">
      <c r="A6">
        <v>0</v>
      </c>
      <c r="B6">
        <v>300</v>
      </c>
      <c r="C6">
        <v>0.11</v>
      </c>
      <c r="D6">
        <v>0.17</v>
      </c>
      <c r="E6">
        <v>0.14000000000000001</v>
      </c>
      <c r="F6">
        <v>3.31</v>
      </c>
      <c r="G6">
        <v>3.37</v>
      </c>
      <c r="H6">
        <v>3.34</v>
      </c>
      <c r="I6">
        <v>20.51</v>
      </c>
      <c r="J6">
        <v>27.6</v>
      </c>
      <c r="K6">
        <v>23.63</v>
      </c>
      <c r="L6">
        <v>23.95</v>
      </c>
      <c r="M6">
        <v>31.11</v>
      </c>
      <c r="N6">
        <v>27.11</v>
      </c>
      <c r="P6">
        <f t="shared" si="0"/>
        <v>500</v>
      </c>
      <c r="Q6">
        <f>AVERAGE(N10:N11)</f>
        <v>19.75</v>
      </c>
    </row>
    <row r="7" spans="1:17" x14ac:dyDescent="0.25">
      <c r="A7">
        <v>1</v>
      </c>
      <c r="B7">
        <v>300</v>
      </c>
      <c r="C7">
        <v>0.13</v>
      </c>
      <c r="D7">
        <v>0.16</v>
      </c>
      <c r="E7">
        <v>0.14000000000000001</v>
      </c>
      <c r="F7">
        <v>5.05</v>
      </c>
      <c r="G7">
        <v>5.07</v>
      </c>
      <c r="H7">
        <v>5.0599999999999996</v>
      </c>
      <c r="I7">
        <v>0</v>
      </c>
      <c r="J7">
        <v>0</v>
      </c>
      <c r="K7">
        <v>0</v>
      </c>
      <c r="L7">
        <v>5.18</v>
      </c>
      <c r="M7">
        <v>5.23</v>
      </c>
      <c r="N7">
        <v>5.2</v>
      </c>
      <c r="P7">
        <f t="shared" si="0"/>
        <v>600</v>
      </c>
      <c r="Q7">
        <f>AVERAGE(N12:N13)</f>
        <v>20.754999999999999</v>
      </c>
    </row>
    <row r="8" spans="1:17" x14ac:dyDescent="0.25">
      <c r="A8">
        <v>0</v>
      </c>
      <c r="B8">
        <v>400</v>
      </c>
      <c r="C8">
        <v>0.12</v>
      </c>
      <c r="D8">
        <v>0.19</v>
      </c>
      <c r="E8">
        <v>0.15</v>
      </c>
      <c r="F8">
        <v>4.26</v>
      </c>
      <c r="G8">
        <v>4.32</v>
      </c>
      <c r="H8">
        <v>4.28</v>
      </c>
      <c r="I8">
        <v>21.93</v>
      </c>
      <c r="J8">
        <v>29.45</v>
      </c>
      <c r="K8">
        <v>24.97</v>
      </c>
      <c r="L8">
        <v>26.35</v>
      </c>
      <c r="M8">
        <v>33.869999999999997</v>
      </c>
      <c r="N8">
        <v>29.4</v>
      </c>
      <c r="P8">
        <f t="shared" si="0"/>
        <v>700</v>
      </c>
      <c r="Q8">
        <f>AVERAGE(N14:N15)</f>
        <v>22.66</v>
      </c>
    </row>
    <row r="9" spans="1:17" x14ac:dyDescent="0.25">
      <c r="A9">
        <v>1</v>
      </c>
      <c r="B9">
        <v>400</v>
      </c>
      <c r="C9">
        <v>0.13</v>
      </c>
      <c r="D9">
        <v>0.16</v>
      </c>
      <c r="E9">
        <v>0.15</v>
      </c>
      <c r="F9">
        <v>6.71</v>
      </c>
      <c r="G9">
        <v>6.73</v>
      </c>
      <c r="H9">
        <v>6.72</v>
      </c>
      <c r="I9">
        <v>0</v>
      </c>
      <c r="J9">
        <v>0</v>
      </c>
      <c r="K9">
        <v>0</v>
      </c>
      <c r="L9">
        <v>6.84</v>
      </c>
      <c r="M9">
        <v>6.89</v>
      </c>
      <c r="N9">
        <v>6.86</v>
      </c>
      <c r="P9">
        <f t="shared" si="0"/>
        <v>800</v>
      </c>
      <c r="Q9">
        <f>AVERAGE(N16:N17)</f>
        <v>24.525000000000002</v>
      </c>
    </row>
    <row r="10" spans="1:17" x14ac:dyDescent="0.25">
      <c r="A10">
        <v>0</v>
      </c>
      <c r="B10">
        <v>500</v>
      </c>
      <c r="C10">
        <v>0.09</v>
      </c>
      <c r="D10">
        <v>0.21</v>
      </c>
      <c r="E10">
        <v>0.14000000000000001</v>
      </c>
      <c r="F10">
        <v>5.17</v>
      </c>
      <c r="G10">
        <v>5.26</v>
      </c>
      <c r="H10">
        <v>5.21</v>
      </c>
      <c r="I10">
        <v>22.95</v>
      </c>
      <c r="J10">
        <v>30.67</v>
      </c>
      <c r="K10">
        <v>25.72</v>
      </c>
      <c r="L10">
        <v>28.31</v>
      </c>
      <c r="M10">
        <v>36.06</v>
      </c>
      <c r="N10">
        <v>31.08</v>
      </c>
      <c r="P10">
        <f t="shared" si="0"/>
        <v>900</v>
      </c>
      <c r="Q10">
        <f>AVERAGE(N18:N19)</f>
        <v>25.685000000000002</v>
      </c>
    </row>
    <row r="11" spans="1:17" x14ac:dyDescent="0.25">
      <c r="A11">
        <v>1</v>
      </c>
      <c r="B11">
        <v>500</v>
      </c>
      <c r="C11">
        <v>7.0000000000000007E-2</v>
      </c>
      <c r="D11">
        <v>0.16</v>
      </c>
      <c r="E11">
        <v>0.13</v>
      </c>
      <c r="F11">
        <v>8.25</v>
      </c>
      <c r="G11">
        <v>8.41</v>
      </c>
      <c r="H11">
        <v>8.2899999999999991</v>
      </c>
      <c r="I11">
        <v>0</v>
      </c>
      <c r="J11">
        <v>0</v>
      </c>
      <c r="K11">
        <v>0</v>
      </c>
      <c r="L11">
        <v>8.34</v>
      </c>
      <c r="M11">
        <v>8.52</v>
      </c>
      <c r="N11">
        <v>8.42</v>
      </c>
      <c r="P11">
        <f t="shared" si="0"/>
        <v>1000</v>
      </c>
      <c r="Q11">
        <f>AVERAGE(N20:N21)</f>
        <v>27.234999999999999</v>
      </c>
    </row>
    <row r="12" spans="1:17" x14ac:dyDescent="0.25">
      <c r="A12">
        <v>0</v>
      </c>
      <c r="B12">
        <v>600</v>
      </c>
      <c r="C12">
        <v>0.11</v>
      </c>
      <c r="D12">
        <v>0.19</v>
      </c>
      <c r="E12">
        <v>0.15</v>
      </c>
      <c r="F12">
        <v>6.15</v>
      </c>
      <c r="G12">
        <v>6.29</v>
      </c>
      <c r="H12">
        <v>6.21</v>
      </c>
      <c r="I12">
        <v>22.5</v>
      </c>
      <c r="J12">
        <v>29.41</v>
      </c>
      <c r="K12">
        <v>24.94</v>
      </c>
      <c r="L12">
        <v>28.83</v>
      </c>
      <c r="M12">
        <v>35.79</v>
      </c>
      <c r="N12">
        <v>31.29</v>
      </c>
      <c r="P12">
        <f t="shared" si="0"/>
        <v>1100</v>
      </c>
      <c r="Q12">
        <f>AVERAGE(N22:N23)</f>
        <v>28.72</v>
      </c>
    </row>
    <row r="13" spans="1:17" x14ac:dyDescent="0.25">
      <c r="A13">
        <v>1</v>
      </c>
      <c r="B13">
        <v>600</v>
      </c>
      <c r="C13">
        <v>7.0000000000000007E-2</v>
      </c>
      <c r="D13">
        <v>0.17</v>
      </c>
      <c r="E13">
        <v>0.14000000000000001</v>
      </c>
      <c r="F13">
        <v>10.039999999999999</v>
      </c>
      <c r="G13">
        <v>10.220000000000001</v>
      </c>
      <c r="H13">
        <v>10.08</v>
      </c>
      <c r="I13">
        <v>0</v>
      </c>
      <c r="J13">
        <v>0</v>
      </c>
      <c r="K13">
        <v>0</v>
      </c>
      <c r="L13">
        <v>10.14</v>
      </c>
      <c r="M13">
        <v>10.35</v>
      </c>
      <c r="N13">
        <v>10.220000000000001</v>
      </c>
      <c r="P13">
        <f t="shared" si="0"/>
        <v>1200</v>
      </c>
      <c r="Q13">
        <f>AVERAGE(N24:N25)</f>
        <v>30.72</v>
      </c>
    </row>
    <row r="14" spans="1:17" x14ac:dyDescent="0.25">
      <c r="A14">
        <v>0</v>
      </c>
      <c r="B14">
        <v>700</v>
      </c>
      <c r="C14">
        <v>0.11</v>
      </c>
      <c r="D14">
        <v>0.24</v>
      </c>
      <c r="E14">
        <v>0.15</v>
      </c>
      <c r="F14">
        <v>7.13</v>
      </c>
      <c r="G14">
        <v>7.23</v>
      </c>
      <c r="H14">
        <v>7.17</v>
      </c>
      <c r="I14">
        <v>23.36</v>
      </c>
      <c r="J14">
        <v>30.73</v>
      </c>
      <c r="K14">
        <v>26.12</v>
      </c>
      <c r="L14">
        <v>30.67</v>
      </c>
      <c r="M14">
        <v>38.07</v>
      </c>
      <c r="N14">
        <v>33.450000000000003</v>
      </c>
      <c r="P14">
        <f t="shared" si="0"/>
        <v>1300</v>
      </c>
      <c r="Q14">
        <f>AVERAGE(N26:N27)</f>
        <v>32.54</v>
      </c>
    </row>
    <row r="15" spans="1:17" x14ac:dyDescent="0.25">
      <c r="A15">
        <v>1</v>
      </c>
      <c r="B15">
        <v>700</v>
      </c>
      <c r="C15">
        <v>7.0000000000000007E-2</v>
      </c>
      <c r="D15">
        <v>0.17</v>
      </c>
      <c r="E15">
        <v>0.14000000000000001</v>
      </c>
      <c r="F15">
        <v>11.7</v>
      </c>
      <c r="G15">
        <v>11.86</v>
      </c>
      <c r="H15">
        <v>11.73</v>
      </c>
      <c r="I15">
        <v>0</v>
      </c>
      <c r="J15">
        <v>0</v>
      </c>
      <c r="K15">
        <v>0</v>
      </c>
      <c r="L15">
        <v>11.79</v>
      </c>
      <c r="M15">
        <v>11.96</v>
      </c>
      <c r="N15">
        <v>11.87</v>
      </c>
      <c r="P15">
        <f t="shared" si="0"/>
        <v>1400</v>
      </c>
      <c r="Q15">
        <f>AVERAGE(N28:N29)</f>
        <v>34.5</v>
      </c>
    </row>
    <row r="16" spans="1:17" x14ac:dyDescent="0.25">
      <c r="A16">
        <v>0</v>
      </c>
      <c r="B16">
        <v>800</v>
      </c>
      <c r="C16">
        <v>0.1</v>
      </c>
      <c r="D16">
        <v>0.21</v>
      </c>
      <c r="E16">
        <v>0.16</v>
      </c>
      <c r="F16">
        <v>8.1300000000000008</v>
      </c>
      <c r="G16">
        <v>8.27</v>
      </c>
      <c r="H16">
        <v>8.1999999999999993</v>
      </c>
      <c r="I16">
        <v>23.35</v>
      </c>
      <c r="J16">
        <v>34.24</v>
      </c>
      <c r="K16">
        <v>27.07</v>
      </c>
      <c r="L16">
        <v>31.69</v>
      </c>
      <c r="M16">
        <v>42.61</v>
      </c>
      <c r="N16">
        <v>35.42</v>
      </c>
      <c r="P16">
        <f t="shared" si="0"/>
        <v>1500</v>
      </c>
      <c r="Q16">
        <f>AVERAGE(N30:N31)</f>
        <v>36.034999999999997</v>
      </c>
    </row>
    <row r="17" spans="1:17" x14ac:dyDescent="0.25">
      <c r="A17">
        <v>1</v>
      </c>
      <c r="B17">
        <v>800</v>
      </c>
      <c r="C17">
        <v>7.0000000000000007E-2</v>
      </c>
      <c r="D17">
        <v>0.17</v>
      </c>
      <c r="E17">
        <v>0.13</v>
      </c>
      <c r="F17">
        <v>13.44</v>
      </c>
      <c r="G17">
        <v>13.65</v>
      </c>
      <c r="H17">
        <v>13.5</v>
      </c>
      <c r="I17">
        <v>0</v>
      </c>
      <c r="J17">
        <v>0</v>
      </c>
      <c r="K17">
        <v>0</v>
      </c>
      <c r="L17">
        <v>13.53</v>
      </c>
      <c r="M17">
        <v>13.75</v>
      </c>
      <c r="N17">
        <v>13.63</v>
      </c>
      <c r="P17">
        <f t="shared" si="0"/>
        <v>1600</v>
      </c>
      <c r="Q17">
        <f>AVERAGE(N32:N33)</f>
        <v>37.700000000000003</v>
      </c>
    </row>
    <row r="18" spans="1:17" x14ac:dyDescent="0.25">
      <c r="A18">
        <v>0</v>
      </c>
      <c r="B18">
        <v>900</v>
      </c>
      <c r="C18">
        <v>0.1</v>
      </c>
      <c r="D18">
        <v>0.22</v>
      </c>
      <c r="E18">
        <v>0.15</v>
      </c>
      <c r="F18">
        <v>9.02</v>
      </c>
      <c r="G18">
        <v>9.2100000000000009</v>
      </c>
      <c r="H18">
        <v>9.1199999999999992</v>
      </c>
      <c r="I18">
        <v>24.19</v>
      </c>
      <c r="J18">
        <v>31.48</v>
      </c>
      <c r="K18">
        <v>26.9</v>
      </c>
      <c r="L18">
        <v>33.54</v>
      </c>
      <c r="M18">
        <v>40.75</v>
      </c>
      <c r="N18">
        <v>36.17</v>
      </c>
      <c r="P18">
        <f t="shared" si="0"/>
        <v>1700</v>
      </c>
      <c r="Q18">
        <f>AVERAGE(N34:N35)</f>
        <v>39.6</v>
      </c>
    </row>
    <row r="19" spans="1:17" x14ac:dyDescent="0.25">
      <c r="A19">
        <v>1</v>
      </c>
      <c r="B19">
        <v>900</v>
      </c>
      <c r="C19">
        <v>7.0000000000000007E-2</v>
      </c>
      <c r="D19">
        <v>0.16</v>
      </c>
      <c r="E19">
        <v>0.12</v>
      </c>
      <c r="F19">
        <v>14.99</v>
      </c>
      <c r="G19">
        <v>15.2</v>
      </c>
      <c r="H19">
        <v>15.08</v>
      </c>
      <c r="I19">
        <v>0</v>
      </c>
      <c r="J19">
        <v>0</v>
      </c>
      <c r="K19">
        <v>0</v>
      </c>
      <c r="L19">
        <v>15.08</v>
      </c>
      <c r="M19">
        <v>15.32</v>
      </c>
      <c r="N19">
        <v>15.2</v>
      </c>
      <c r="P19">
        <f t="shared" si="0"/>
        <v>1800</v>
      </c>
      <c r="Q19">
        <f>AVERAGE(N36:N37)</f>
        <v>40.914999999999999</v>
      </c>
    </row>
    <row r="20" spans="1:17" x14ac:dyDescent="0.25">
      <c r="A20">
        <v>0</v>
      </c>
      <c r="B20">
        <v>1000</v>
      </c>
      <c r="C20">
        <v>0.1</v>
      </c>
      <c r="D20">
        <v>0.22</v>
      </c>
      <c r="E20">
        <v>0.16</v>
      </c>
      <c r="F20">
        <v>9.8800000000000008</v>
      </c>
      <c r="G20">
        <v>10.18</v>
      </c>
      <c r="H20">
        <v>9.98</v>
      </c>
      <c r="I20">
        <v>24.18</v>
      </c>
      <c r="J20">
        <v>31.38</v>
      </c>
      <c r="K20">
        <v>27.49</v>
      </c>
      <c r="L20">
        <v>34.22</v>
      </c>
      <c r="M20">
        <v>41.54</v>
      </c>
      <c r="N20">
        <v>37.630000000000003</v>
      </c>
      <c r="P20">
        <f t="shared" si="0"/>
        <v>1900</v>
      </c>
      <c r="Q20">
        <f>AVERAGE(N38:N39)</f>
        <v>42.765000000000001</v>
      </c>
    </row>
    <row r="21" spans="1:17" x14ac:dyDescent="0.25">
      <c r="A21">
        <v>1</v>
      </c>
      <c r="B21">
        <v>1000</v>
      </c>
      <c r="C21">
        <v>7.0000000000000007E-2</v>
      </c>
      <c r="D21">
        <v>0.17</v>
      </c>
      <c r="E21">
        <v>0.13</v>
      </c>
      <c r="F21">
        <v>16.649999999999999</v>
      </c>
      <c r="G21">
        <v>16.86</v>
      </c>
      <c r="H21">
        <v>16.71</v>
      </c>
      <c r="I21">
        <v>0</v>
      </c>
      <c r="J21">
        <v>0</v>
      </c>
      <c r="K21">
        <v>0</v>
      </c>
      <c r="L21">
        <v>16.73</v>
      </c>
      <c r="M21">
        <v>16.97</v>
      </c>
      <c r="N21">
        <v>16.84</v>
      </c>
      <c r="P21">
        <f t="shared" si="0"/>
        <v>2000</v>
      </c>
      <c r="Q21">
        <f>AVERAGE(N40:N41)</f>
        <v>44.480000000000004</v>
      </c>
    </row>
    <row r="22" spans="1:17" x14ac:dyDescent="0.25">
      <c r="A22">
        <v>0</v>
      </c>
      <c r="B22">
        <v>1100</v>
      </c>
      <c r="C22">
        <v>0.08</v>
      </c>
      <c r="D22">
        <v>0.2</v>
      </c>
      <c r="E22">
        <v>0.14000000000000001</v>
      </c>
      <c r="F22">
        <v>10.95</v>
      </c>
      <c r="G22">
        <v>11.15</v>
      </c>
      <c r="H22">
        <v>11.05</v>
      </c>
      <c r="I22">
        <v>25.09</v>
      </c>
      <c r="J22">
        <v>32.69</v>
      </c>
      <c r="K22">
        <v>27.78</v>
      </c>
      <c r="L22">
        <v>36.270000000000003</v>
      </c>
      <c r="M22">
        <v>43.92</v>
      </c>
      <c r="N22">
        <v>38.979999999999997</v>
      </c>
      <c r="P22">
        <f t="shared" si="0"/>
        <v>2100</v>
      </c>
      <c r="Q22">
        <f>AVERAGE(N42:N43)</f>
        <v>45.685000000000002</v>
      </c>
    </row>
    <row r="23" spans="1:17" x14ac:dyDescent="0.25">
      <c r="A23">
        <v>1</v>
      </c>
      <c r="B23">
        <v>1100</v>
      </c>
      <c r="C23">
        <v>7.0000000000000007E-2</v>
      </c>
      <c r="D23">
        <v>0.17</v>
      </c>
      <c r="E23">
        <v>0.13</v>
      </c>
      <c r="F23">
        <v>18.29</v>
      </c>
      <c r="G23">
        <v>18.46</v>
      </c>
      <c r="H23">
        <v>18.329999999999998</v>
      </c>
      <c r="I23">
        <v>0</v>
      </c>
      <c r="J23">
        <v>0</v>
      </c>
      <c r="K23">
        <v>0</v>
      </c>
      <c r="L23">
        <v>18.38</v>
      </c>
      <c r="M23">
        <v>18.57</v>
      </c>
      <c r="N23">
        <v>18.46</v>
      </c>
      <c r="P23">
        <f t="shared" si="0"/>
        <v>2200</v>
      </c>
      <c r="Q23">
        <f>AVERAGE(N44:N45)</f>
        <v>46.94</v>
      </c>
    </row>
    <row r="24" spans="1:17" x14ac:dyDescent="0.25">
      <c r="A24">
        <v>0</v>
      </c>
      <c r="B24">
        <v>1200</v>
      </c>
      <c r="C24">
        <v>0.08</v>
      </c>
      <c r="D24">
        <v>0.21</v>
      </c>
      <c r="E24">
        <v>0.13</v>
      </c>
      <c r="F24">
        <v>12.11</v>
      </c>
      <c r="G24">
        <v>12.31</v>
      </c>
      <c r="H24">
        <v>12.2</v>
      </c>
      <c r="I24">
        <v>25.71</v>
      </c>
      <c r="J24">
        <v>34.04</v>
      </c>
      <c r="K24">
        <v>28.72</v>
      </c>
      <c r="L24">
        <v>38.049999999999997</v>
      </c>
      <c r="M24">
        <v>46.46</v>
      </c>
      <c r="N24">
        <v>41.05</v>
      </c>
      <c r="P24">
        <f t="shared" si="0"/>
        <v>2300</v>
      </c>
      <c r="Q24">
        <f>AVERAGE(N46:N47)</f>
        <v>48.81</v>
      </c>
    </row>
    <row r="25" spans="1:17" x14ac:dyDescent="0.25">
      <c r="A25">
        <v>1</v>
      </c>
      <c r="B25">
        <v>1200</v>
      </c>
      <c r="C25">
        <v>7.0000000000000007E-2</v>
      </c>
      <c r="D25">
        <v>0.17</v>
      </c>
      <c r="E25">
        <v>0.14000000000000001</v>
      </c>
      <c r="F25">
        <v>20.22</v>
      </c>
      <c r="G25">
        <v>20.28</v>
      </c>
      <c r="H25">
        <v>20.25</v>
      </c>
      <c r="I25">
        <v>0</v>
      </c>
      <c r="J25">
        <v>0</v>
      </c>
      <c r="K25">
        <v>0</v>
      </c>
      <c r="L25">
        <v>20.3</v>
      </c>
      <c r="M25">
        <v>20.440000000000001</v>
      </c>
      <c r="N25">
        <v>20.39</v>
      </c>
      <c r="P25">
        <f t="shared" si="0"/>
        <v>2400</v>
      </c>
      <c r="Q25">
        <f>AVERAGE(N48:N49)</f>
        <v>50.634999999999998</v>
      </c>
    </row>
    <row r="26" spans="1:17" x14ac:dyDescent="0.25">
      <c r="A26">
        <v>0</v>
      </c>
      <c r="B26">
        <v>1300</v>
      </c>
      <c r="C26">
        <v>0.1</v>
      </c>
      <c r="D26">
        <v>0.17</v>
      </c>
      <c r="E26">
        <v>0.13</v>
      </c>
      <c r="F26">
        <v>13.03</v>
      </c>
      <c r="G26">
        <v>13.25</v>
      </c>
      <c r="H26">
        <v>13.12</v>
      </c>
      <c r="I26">
        <v>26.26</v>
      </c>
      <c r="J26">
        <v>35.47</v>
      </c>
      <c r="K26">
        <v>29.95</v>
      </c>
      <c r="L26">
        <v>39.549999999999997</v>
      </c>
      <c r="M26">
        <v>48.83</v>
      </c>
      <c r="N26">
        <v>43.2</v>
      </c>
      <c r="P26">
        <f t="shared" si="0"/>
        <v>2500</v>
      </c>
      <c r="Q26">
        <f>AVERAGE(N50:N51)</f>
        <v>52.344999999999999</v>
      </c>
    </row>
    <row r="27" spans="1:17" x14ac:dyDescent="0.25">
      <c r="A27">
        <v>1</v>
      </c>
      <c r="B27">
        <v>1300</v>
      </c>
      <c r="C27">
        <v>0.09</v>
      </c>
      <c r="D27">
        <v>0.17</v>
      </c>
      <c r="E27">
        <v>0.14000000000000001</v>
      </c>
      <c r="F27">
        <v>21.69</v>
      </c>
      <c r="G27">
        <v>21.79</v>
      </c>
      <c r="H27">
        <v>21.73</v>
      </c>
      <c r="I27">
        <v>0</v>
      </c>
      <c r="J27">
        <v>0</v>
      </c>
      <c r="K27">
        <v>0</v>
      </c>
      <c r="L27">
        <v>21.83</v>
      </c>
      <c r="M27">
        <v>21.94</v>
      </c>
      <c r="N27">
        <v>21.88</v>
      </c>
      <c r="P27">
        <f t="shared" si="0"/>
        <v>2600</v>
      </c>
      <c r="Q27">
        <f>AVERAGE(N52:N53)</f>
        <v>53.68</v>
      </c>
    </row>
    <row r="28" spans="1:17" x14ac:dyDescent="0.25">
      <c r="A28">
        <v>0</v>
      </c>
      <c r="B28">
        <v>1400</v>
      </c>
      <c r="C28">
        <v>0.06</v>
      </c>
      <c r="D28">
        <v>0.18</v>
      </c>
      <c r="E28">
        <v>0.12</v>
      </c>
      <c r="F28">
        <v>13.94</v>
      </c>
      <c r="G28">
        <v>14.16</v>
      </c>
      <c r="H28">
        <v>14.05</v>
      </c>
      <c r="I28">
        <v>28.45</v>
      </c>
      <c r="J28">
        <v>35.369999999999997</v>
      </c>
      <c r="K28">
        <v>31.35</v>
      </c>
      <c r="L28">
        <v>42.56</v>
      </c>
      <c r="M28">
        <v>49.53</v>
      </c>
      <c r="N28">
        <v>45.52</v>
      </c>
      <c r="P28">
        <f t="shared" si="0"/>
        <v>2700</v>
      </c>
      <c r="Q28">
        <f>AVERAGE(N54:N55)</f>
        <v>55.314999999999998</v>
      </c>
    </row>
    <row r="29" spans="1:17" x14ac:dyDescent="0.25">
      <c r="A29">
        <v>1</v>
      </c>
      <c r="B29">
        <v>1400</v>
      </c>
      <c r="C29">
        <v>7.0000000000000007E-2</v>
      </c>
      <c r="D29">
        <v>0.17</v>
      </c>
      <c r="E29">
        <v>0.13</v>
      </c>
      <c r="F29">
        <v>23.28</v>
      </c>
      <c r="G29">
        <v>23.5</v>
      </c>
      <c r="H29">
        <v>23.36</v>
      </c>
      <c r="I29">
        <v>0</v>
      </c>
      <c r="J29">
        <v>0</v>
      </c>
      <c r="K29">
        <v>0</v>
      </c>
      <c r="L29">
        <v>23.39</v>
      </c>
      <c r="M29">
        <v>23.59</v>
      </c>
      <c r="N29">
        <v>23.48</v>
      </c>
      <c r="P29">
        <f t="shared" si="0"/>
        <v>2800</v>
      </c>
      <c r="Q29">
        <f>AVERAGE(N56:N57)</f>
        <v>56.984999999999999</v>
      </c>
    </row>
    <row r="30" spans="1:17" x14ac:dyDescent="0.25">
      <c r="A30">
        <v>0</v>
      </c>
      <c r="B30">
        <v>1500</v>
      </c>
      <c r="C30">
        <v>0.04</v>
      </c>
      <c r="D30">
        <v>0.17</v>
      </c>
      <c r="E30">
        <v>0.12</v>
      </c>
      <c r="F30">
        <v>14.77</v>
      </c>
      <c r="G30">
        <v>15.12</v>
      </c>
      <c r="H30">
        <v>14.95</v>
      </c>
      <c r="I30">
        <v>28.66</v>
      </c>
      <c r="J30">
        <v>45.91</v>
      </c>
      <c r="K30">
        <v>31.85</v>
      </c>
      <c r="L30">
        <v>43.65</v>
      </c>
      <c r="M30">
        <v>61.04</v>
      </c>
      <c r="N30">
        <v>46.92</v>
      </c>
      <c r="P30">
        <v>2900</v>
      </c>
      <c r="Q30">
        <f>AVERAGE(N58:N59)</f>
        <v>59.435000000000002</v>
      </c>
    </row>
    <row r="31" spans="1:17" x14ac:dyDescent="0.25">
      <c r="A31">
        <v>1</v>
      </c>
      <c r="B31">
        <v>1500</v>
      </c>
      <c r="C31">
        <v>7.0000000000000007E-2</v>
      </c>
      <c r="D31">
        <v>0.17</v>
      </c>
      <c r="E31">
        <v>0.13</v>
      </c>
      <c r="F31">
        <v>24.93</v>
      </c>
      <c r="G31">
        <v>25.15</v>
      </c>
      <c r="H31">
        <v>25.02</v>
      </c>
      <c r="I31">
        <v>0</v>
      </c>
      <c r="J31">
        <v>0</v>
      </c>
      <c r="K31">
        <v>0</v>
      </c>
      <c r="L31">
        <v>25.04</v>
      </c>
      <c r="M31">
        <v>25.27</v>
      </c>
      <c r="N31">
        <v>25.15</v>
      </c>
      <c r="P31">
        <v>3000</v>
      </c>
      <c r="Q31">
        <f>AVERAGE(N60:N61)</f>
        <v>61.24</v>
      </c>
    </row>
    <row r="32" spans="1:17" x14ac:dyDescent="0.25">
      <c r="A32">
        <v>0</v>
      </c>
      <c r="B32">
        <v>1600</v>
      </c>
      <c r="C32">
        <v>0.05</v>
      </c>
      <c r="D32">
        <v>0.18</v>
      </c>
      <c r="E32">
        <v>0.12</v>
      </c>
      <c r="F32">
        <v>16.03</v>
      </c>
      <c r="G32">
        <v>16.25</v>
      </c>
      <c r="H32">
        <v>16.16</v>
      </c>
      <c r="I32">
        <v>29.01</v>
      </c>
      <c r="J32">
        <v>36.31</v>
      </c>
      <c r="K32">
        <v>32.299999999999997</v>
      </c>
      <c r="L32">
        <v>45.32</v>
      </c>
      <c r="M32">
        <v>52.7</v>
      </c>
      <c r="N32">
        <v>48.58</v>
      </c>
    </row>
    <row r="33" spans="1:14" x14ac:dyDescent="0.25">
      <c r="A33">
        <v>1</v>
      </c>
      <c r="B33">
        <v>1600</v>
      </c>
      <c r="C33">
        <v>7.0000000000000007E-2</v>
      </c>
      <c r="D33">
        <v>0.18</v>
      </c>
      <c r="E33">
        <v>0.12</v>
      </c>
      <c r="F33">
        <v>26.63</v>
      </c>
      <c r="G33">
        <v>26.82</v>
      </c>
      <c r="H33">
        <v>26.7</v>
      </c>
      <c r="I33">
        <v>0</v>
      </c>
      <c r="J33">
        <v>0</v>
      </c>
      <c r="K33">
        <v>0</v>
      </c>
      <c r="L33">
        <v>26.74</v>
      </c>
      <c r="M33">
        <v>26.92</v>
      </c>
      <c r="N33">
        <v>26.82</v>
      </c>
    </row>
    <row r="34" spans="1:14" x14ac:dyDescent="0.25">
      <c r="A34">
        <v>0</v>
      </c>
      <c r="B34">
        <v>1700</v>
      </c>
      <c r="C34">
        <v>0.06</v>
      </c>
      <c r="D34">
        <v>0.19</v>
      </c>
      <c r="E34">
        <v>0.12</v>
      </c>
      <c r="F34">
        <v>17.37</v>
      </c>
      <c r="G34">
        <v>17.61</v>
      </c>
      <c r="H34">
        <v>17.489999999999998</v>
      </c>
      <c r="I34">
        <v>30.13</v>
      </c>
      <c r="J34">
        <v>37.92</v>
      </c>
      <c r="K34">
        <v>32.83</v>
      </c>
      <c r="L34">
        <v>47.72</v>
      </c>
      <c r="M34">
        <v>55.66</v>
      </c>
      <c r="N34">
        <v>50.44</v>
      </c>
    </row>
    <row r="35" spans="1:14" x14ac:dyDescent="0.25">
      <c r="A35">
        <v>1</v>
      </c>
      <c r="B35">
        <v>1700</v>
      </c>
      <c r="C35">
        <v>0.06</v>
      </c>
      <c r="D35">
        <v>0.17</v>
      </c>
      <c r="E35">
        <v>0.13</v>
      </c>
      <c r="F35">
        <v>28.55</v>
      </c>
      <c r="G35">
        <v>28.76</v>
      </c>
      <c r="H35">
        <v>28.63</v>
      </c>
      <c r="I35">
        <v>0</v>
      </c>
      <c r="J35">
        <v>0</v>
      </c>
      <c r="K35">
        <v>0</v>
      </c>
      <c r="L35">
        <v>28.66</v>
      </c>
      <c r="M35">
        <v>28.88</v>
      </c>
      <c r="N35">
        <v>28.76</v>
      </c>
    </row>
    <row r="36" spans="1:14" x14ac:dyDescent="0.25">
      <c r="A36">
        <v>0</v>
      </c>
      <c r="B36">
        <v>1800</v>
      </c>
      <c r="C36">
        <v>0.05</v>
      </c>
      <c r="D36">
        <v>0.18</v>
      </c>
      <c r="E36">
        <v>0.12</v>
      </c>
      <c r="F36">
        <v>17.77</v>
      </c>
      <c r="G36">
        <v>18.12</v>
      </c>
      <c r="H36">
        <v>17.95</v>
      </c>
      <c r="I36">
        <v>30.41</v>
      </c>
      <c r="J36">
        <v>42.71</v>
      </c>
      <c r="K36">
        <v>33.630000000000003</v>
      </c>
      <c r="L36">
        <v>48.53</v>
      </c>
      <c r="M36">
        <v>60.88</v>
      </c>
      <c r="N36">
        <v>51.69</v>
      </c>
    </row>
    <row r="37" spans="1:14" x14ac:dyDescent="0.25">
      <c r="A37">
        <v>1</v>
      </c>
      <c r="B37">
        <v>1800</v>
      </c>
      <c r="C37">
        <v>0.06</v>
      </c>
      <c r="D37">
        <v>0.17</v>
      </c>
      <c r="E37">
        <v>0.12</v>
      </c>
      <c r="F37">
        <v>29.92</v>
      </c>
      <c r="G37">
        <v>30.14</v>
      </c>
      <c r="H37">
        <v>30.02</v>
      </c>
      <c r="I37">
        <v>0</v>
      </c>
      <c r="J37">
        <v>0</v>
      </c>
      <c r="K37">
        <v>0</v>
      </c>
      <c r="L37">
        <v>30.05</v>
      </c>
      <c r="M37">
        <v>30.27</v>
      </c>
      <c r="N37">
        <v>30.14</v>
      </c>
    </row>
    <row r="38" spans="1:14" x14ac:dyDescent="0.25">
      <c r="A38">
        <v>0</v>
      </c>
      <c r="B38">
        <v>1900</v>
      </c>
      <c r="C38">
        <v>0.05</v>
      </c>
      <c r="D38">
        <v>0.18</v>
      </c>
      <c r="E38">
        <v>0.11</v>
      </c>
      <c r="F38">
        <v>19.11</v>
      </c>
      <c r="G38">
        <v>19.440000000000001</v>
      </c>
      <c r="H38">
        <v>19.28</v>
      </c>
      <c r="I38">
        <v>31.29</v>
      </c>
      <c r="J38">
        <v>38.630000000000003</v>
      </c>
      <c r="K38">
        <v>34.33</v>
      </c>
      <c r="L38">
        <v>50.49</v>
      </c>
      <c r="M38">
        <v>58.1</v>
      </c>
      <c r="N38">
        <v>53.72</v>
      </c>
    </row>
    <row r="39" spans="1:14" x14ac:dyDescent="0.25">
      <c r="A39">
        <v>1</v>
      </c>
      <c r="B39">
        <v>1900</v>
      </c>
      <c r="C39">
        <v>0.08</v>
      </c>
      <c r="D39">
        <v>0.17</v>
      </c>
      <c r="E39">
        <v>0.12</v>
      </c>
      <c r="F39">
        <v>31.6</v>
      </c>
      <c r="G39">
        <v>31.81</v>
      </c>
      <c r="H39">
        <v>31.69</v>
      </c>
      <c r="I39">
        <v>0</v>
      </c>
      <c r="J39">
        <v>0</v>
      </c>
      <c r="K39">
        <v>0</v>
      </c>
      <c r="L39">
        <v>31.7</v>
      </c>
      <c r="M39">
        <v>31.94</v>
      </c>
      <c r="N39">
        <v>31.81</v>
      </c>
    </row>
    <row r="40" spans="1:14" x14ac:dyDescent="0.25">
      <c r="A40">
        <v>0</v>
      </c>
      <c r="B40">
        <v>2000</v>
      </c>
      <c r="C40">
        <v>0.08</v>
      </c>
      <c r="D40">
        <v>0.15</v>
      </c>
      <c r="E40">
        <v>0.11</v>
      </c>
      <c r="F40">
        <v>19.989999999999998</v>
      </c>
      <c r="G40">
        <v>20.67</v>
      </c>
      <c r="H40">
        <v>20.22</v>
      </c>
      <c r="I40">
        <v>31.02</v>
      </c>
      <c r="J40">
        <v>58.47</v>
      </c>
      <c r="K40">
        <v>34.92</v>
      </c>
      <c r="L40">
        <v>51.3</v>
      </c>
      <c r="M40">
        <v>79.06</v>
      </c>
      <c r="N40">
        <v>55.24</v>
      </c>
    </row>
    <row r="41" spans="1:14" x14ac:dyDescent="0.25">
      <c r="A41">
        <v>1</v>
      </c>
      <c r="B41">
        <v>2000</v>
      </c>
      <c r="C41">
        <v>7.0000000000000007E-2</v>
      </c>
      <c r="D41">
        <v>0.17</v>
      </c>
      <c r="E41">
        <v>0.12</v>
      </c>
      <c r="F41">
        <v>33.49</v>
      </c>
      <c r="G41">
        <v>33.79</v>
      </c>
      <c r="H41">
        <v>33.6</v>
      </c>
      <c r="I41">
        <v>0</v>
      </c>
      <c r="J41">
        <v>0</v>
      </c>
      <c r="K41">
        <v>0</v>
      </c>
      <c r="L41">
        <v>33.590000000000003</v>
      </c>
      <c r="M41">
        <v>33.93</v>
      </c>
      <c r="N41">
        <v>33.72</v>
      </c>
    </row>
    <row r="42" spans="1:14" x14ac:dyDescent="0.25">
      <c r="A42">
        <v>0</v>
      </c>
      <c r="B42">
        <v>2100</v>
      </c>
      <c r="C42">
        <v>0.06</v>
      </c>
      <c r="D42">
        <v>0.14000000000000001</v>
      </c>
      <c r="E42">
        <v>0.11</v>
      </c>
      <c r="F42">
        <v>21.41</v>
      </c>
      <c r="G42">
        <v>21.79</v>
      </c>
      <c r="H42">
        <v>21.59</v>
      </c>
      <c r="I42">
        <v>31.3</v>
      </c>
      <c r="J42">
        <v>39.93</v>
      </c>
      <c r="K42">
        <v>34.24</v>
      </c>
      <c r="L42">
        <v>53.03</v>
      </c>
      <c r="M42">
        <v>61.8</v>
      </c>
      <c r="N42">
        <v>55.95</v>
      </c>
    </row>
    <row r="43" spans="1:14" x14ac:dyDescent="0.25">
      <c r="A43">
        <v>1</v>
      </c>
      <c r="B43">
        <v>2100</v>
      </c>
      <c r="C43">
        <v>7.0000000000000007E-2</v>
      </c>
      <c r="D43">
        <v>0.16</v>
      </c>
      <c r="E43">
        <v>0.12</v>
      </c>
      <c r="F43">
        <v>35.21</v>
      </c>
      <c r="G43">
        <v>35.42</v>
      </c>
      <c r="H43">
        <v>35.299999999999997</v>
      </c>
      <c r="I43">
        <v>0</v>
      </c>
      <c r="J43">
        <v>0</v>
      </c>
      <c r="K43">
        <v>0</v>
      </c>
      <c r="L43">
        <v>35.299999999999997</v>
      </c>
      <c r="M43">
        <v>35.53</v>
      </c>
      <c r="N43">
        <v>35.42</v>
      </c>
    </row>
    <row r="44" spans="1:14" x14ac:dyDescent="0.25">
      <c r="A44">
        <v>0</v>
      </c>
      <c r="B44">
        <v>2200</v>
      </c>
      <c r="C44">
        <v>0.05</v>
      </c>
      <c r="D44">
        <v>0.16</v>
      </c>
      <c r="E44">
        <v>0.11</v>
      </c>
      <c r="F44">
        <v>21.87</v>
      </c>
      <c r="G44">
        <v>22.44</v>
      </c>
      <c r="H44">
        <v>22.13</v>
      </c>
      <c r="I44">
        <v>32.33</v>
      </c>
      <c r="J44">
        <v>39.04</v>
      </c>
      <c r="K44">
        <v>34.82</v>
      </c>
      <c r="L44">
        <v>54.34</v>
      </c>
      <c r="M44">
        <v>61.37</v>
      </c>
      <c r="N44">
        <v>57.06</v>
      </c>
    </row>
    <row r="45" spans="1:14" x14ac:dyDescent="0.25">
      <c r="A45">
        <v>1</v>
      </c>
      <c r="B45">
        <v>2200</v>
      </c>
      <c r="C45">
        <v>7.0000000000000007E-2</v>
      </c>
      <c r="D45">
        <v>0.18</v>
      </c>
      <c r="E45">
        <v>0.12</v>
      </c>
      <c r="F45">
        <v>36.57</v>
      </c>
      <c r="G45">
        <v>36.880000000000003</v>
      </c>
      <c r="H45">
        <v>36.71</v>
      </c>
      <c r="I45">
        <v>0</v>
      </c>
      <c r="J45">
        <v>0</v>
      </c>
      <c r="K45">
        <v>0</v>
      </c>
      <c r="L45">
        <v>36.68</v>
      </c>
      <c r="M45">
        <v>36.99</v>
      </c>
      <c r="N45">
        <v>36.82</v>
      </c>
    </row>
    <row r="46" spans="1:14" x14ac:dyDescent="0.25">
      <c r="A46">
        <v>0</v>
      </c>
      <c r="B46">
        <v>2300</v>
      </c>
      <c r="C46">
        <v>0.08</v>
      </c>
      <c r="D46">
        <v>0.17</v>
      </c>
      <c r="E46">
        <v>0.12</v>
      </c>
      <c r="F46">
        <v>23.25</v>
      </c>
      <c r="G46">
        <v>23.62</v>
      </c>
      <c r="H46">
        <v>23.44</v>
      </c>
      <c r="I46">
        <v>32.74</v>
      </c>
      <c r="J46">
        <v>39.46</v>
      </c>
      <c r="K46">
        <v>35.6</v>
      </c>
      <c r="L46">
        <v>56.2</v>
      </c>
      <c r="M46">
        <v>63.17</v>
      </c>
      <c r="N46">
        <v>59.16</v>
      </c>
    </row>
    <row r="47" spans="1:14" x14ac:dyDescent="0.25">
      <c r="A47">
        <v>1</v>
      </c>
      <c r="B47">
        <v>2300</v>
      </c>
      <c r="C47">
        <v>0.06</v>
      </c>
      <c r="D47">
        <v>0.17</v>
      </c>
      <c r="E47">
        <v>0.11</v>
      </c>
      <c r="F47">
        <v>38.24</v>
      </c>
      <c r="G47">
        <v>38.47</v>
      </c>
      <c r="H47">
        <v>38.35</v>
      </c>
      <c r="I47">
        <v>0</v>
      </c>
      <c r="J47">
        <v>0</v>
      </c>
      <c r="K47">
        <v>0</v>
      </c>
      <c r="L47">
        <v>38.35</v>
      </c>
      <c r="M47">
        <v>38.58</v>
      </c>
      <c r="N47">
        <v>38.46</v>
      </c>
    </row>
    <row r="48" spans="1:14" x14ac:dyDescent="0.25">
      <c r="A48">
        <v>0</v>
      </c>
      <c r="B48">
        <v>2400</v>
      </c>
      <c r="C48">
        <v>0.08</v>
      </c>
      <c r="D48">
        <v>0.16</v>
      </c>
      <c r="E48">
        <v>0.12</v>
      </c>
      <c r="F48">
        <v>24.42</v>
      </c>
      <c r="G48">
        <v>24.81</v>
      </c>
      <c r="H48">
        <v>24.58</v>
      </c>
      <c r="I48">
        <v>33.15</v>
      </c>
      <c r="J48">
        <v>42.14</v>
      </c>
      <c r="K48">
        <v>36.119999999999997</v>
      </c>
      <c r="L48">
        <v>57.66</v>
      </c>
      <c r="M48">
        <v>66.91</v>
      </c>
      <c r="N48">
        <v>60.83</v>
      </c>
    </row>
    <row r="49" spans="1:14" x14ac:dyDescent="0.25">
      <c r="A49">
        <v>1</v>
      </c>
      <c r="B49">
        <v>2400</v>
      </c>
      <c r="C49">
        <v>0.06</v>
      </c>
      <c r="D49">
        <v>0.17</v>
      </c>
      <c r="E49">
        <v>0.11</v>
      </c>
      <c r="F49">
        <v>40.22</v>
      </c>
      <c r="G49">
        <v>40.479999999999997</v>
      </c>
      <c r="H49">
        <v>40.33</v>
      </c>
      <c r="I49">
        <v>0</v>
      </c>
      <c r="J49">
        <v>0</v>
      </c>
      <c r="K49">
        <v>0</v>
      </c>
      <c r="L49">
        <v>40.32</v>
      </c>
      <c r="M49">
        <v>40.6</v>
      </c>
      <c r="N49">
        <v>40.44</v>
      </c>
    </row>
    <row r="50" spans="1:14" x14ac:dyDescent="0.25">
      <c r="A50">
        <v>0</v>
      </c>
      <c r="B50">
        <v>2500</v>
      </c>
      <c r="C50">
        <v>7.0000000000000007E-2</v>
      </c>
      <c r="D50">
        <v>0.16</v>
      </c>
      <c r="E50">
        <v>0.11</v>
      </c>
      <c r="F50">
        <v>25.48</v>
      </c>
      <c r="G50">
        <v>26.15</v>
      </c>
      <c r="H50">
        <v>25.84</v>
      </c>
      <c r="I50">
        <v>33.93</v>
      </c>
      <c r="J50">
        <v>40.729999999999997</v>
      </c>
      <c r="K50">
        <v>36.57</v>
      </c>
      <c r="L50">
        <v>59.84</v>
      </c>
      <c r="M50">
        <v>66.63</v>
      </c>
      <c r="N50">
        <v>62.52</v>
      </c>
    </row>
    <row r="51" spans="1:14" x14ac:dyDescent="0.25">
      <c r="A51">
        <v>1</v>
      </c>
      <c r="B51">
        <v>2500</v>
      </c>
      <c r="C51">
        <v>7.0000000000000007E-2</v>
      </c>
      <c r="D51">
        <v>0.17</v>
      </c>
      <c r="E51">
        <v>0.11</v>
      </c>
      <c r="F51">
        <v>41.91</v>
      </c>
      <c r="G51">
        <v>42.24</v>
      </c>
      <c r="H51">
        <v>42.06</v>
      </c>
      <c r="I51">
        <v>0</v>
      </c>
      <c r="J51">
        <v>0</v>
      </c>
      <c r="K51">
        <v>0</v>
      </c>
      <c r="L51">
        <v>42.02</v>
      </c>
      <c r="M51">
        <v>42.34</v>
      </c>
      <c r="N51">
        <v>42.17</v>
      </c>
    </row>
    <row r="52" spans="1:14" x14ac:dyDescent="0.25">
      <c r="A52">
        <v>0</v>
      </c>
      <c r="B52">
        <v>2600</v>
      </c>
      <c r="C52">
        <v>0.08</v>
      </c>
      <c r="D52">
        <v>0.16</v>
      </c>
      <c r="E52">
        <v>0.12</v>
      </c>
      <c r="F52">
        <v>26.39</v>
      </c>
      <c r="G52">
        <v>26.76</v>
      </c>
      <c r="H52">
        <v>26.58</v>
      </c>
      <c r="I52">
        <v>34.1</v>
      </c>
      <c r="J52">
        <v>42.56</v>
      </c>
      <c r="K52">
        <v>37.24</v>
      </c>
      <c r="L52">
        <v>60.71</v>
      </c>
      <c r="M52">
        <v>69.42</v>
      </c>
      <c r="N52">
        <v>63.93</v>
      </c>
    </row>
    <row r="53" spans="1:14" x14ac:dyDescent="0.25">
      <c r="A53">
        <v>1</v>
      </c>
      <c r="B53">
        <v>2600</v>
      </c>
      <c r="C53">
        <v>0.06</v>
      </c>
      <c r="D53">
        <v>0.17</v>
      </c>
      <c r="E53">
        <v>0.11</v>
      </c>
      <c r="F53">
        <v>43.21</v>
      </c>
      <c r="G53">
        <v>43.43</v>
      </c>
      <c r="H53">
        <v>43.32</v>
      </c>
      <c r="I53">
        <v>0</v>
      </c>
      <c r="J53">
        <v>0</v>
      </c>
      <c r="K53">
        <v>0</v>
      </c>
      <c r="L53">
        <v>43.3</v>
      </c>
      <c r="M53">
        <v>43.54</v>
      </c>
      <c r="N53">
        <v>43.43</v>
      </c>
    </row>
    <row r="54" spans="1:14" x14ac:dyDescent="0.25">
      <c r="A54">
        <v>0</v>
      </c>
      <c r="B54">
        <v>2700</v>
      </c>
      <c r="C54">
        <v>0.08</v>
      </c>
      <c r="D54">
        <v>0.18</v>
      </c>
      <c r="E54">
        <v>0.13</v>
      </c>
      <c r="F54">
        <v>27.24</v>
      </c>
      <c r="G54">
        <v>27.56</v>
      </c>
      <c r="H54">
        <v>27.39</v>
      </c>
      <c r="I54">
        <v>35.200000000000003</v>
      </c>
      <c r="J54">
        <v>43.49</v>
      </c>
      <c r="K54">
        <v>38.03</v>
      </c>
      <c r="L54">
        <v>62.65</v>
      </c>
      <c r="M54">
        <v>71.08</v>
      </c>
      <c r="N54">
        <v>65.55</v>
      </c>
    </row>
    <row r="55" spans="1:14" x14ac:dyDescent="0.25">
      <c r="A55">
        <v>1</v>
      </c>
      <c r="B55">
        <v>2700</v>
      </c>
      <c r="C55">
        <v>0.06</v>
      </c>
      <c r="D55">
        <v>0.16</v>
      </c>
      <c r="E55">
        <v>0.11</v>
      </c>
      <c r="F55">
        <v>44.88</v>
      </c>
      <c r="G55">
        <v>45.08</v>
      </c>
      <c r="H55">
        <v>44.97</v>
      </c>
      <c r="I55">
        <v>0</v>
      </c>
      <c r="J55">
        <v>0</v>
      </c>
      <c r="K55">
        <v>0</v>
      </c>
      <c r="L55">
        <v>44.96</v>
      </c>
      <c r="M55">
        <v>45.19</v>
      </c>
      <c r="N55">
        <v>45.08</v>
      </c>
    </row>
    <row r="56" spans="1:14" x14ac:dyDescent="0.25">
      <c r="A56">
        <v>0</v>
      </c>
      <c r="B56">
        <v>2800</v>
      </c>
      <c r="C56">
        <v>0.09</v>
      </c>
      <c r="D56">
        <v>0.17</v>
      </c>
      <c r="E56">
        <v>0.12</v>
      </c>
      <c r="F56">
        <v>28.41</v>
      </c>
      <c r="G56">
        <v>28.81</v>
      </c>
      <c r="H56">
        <v>28.6</v>
      </c>
      <c r="I56">
        <v>35.01</v>
      </c>
      <c r="J56">
        <v>43.43</v>
      </c>
      <c r="K56">
        <v>38.28</v>
      </c>
      <c r="L56">
        <v>63.61</v>
      </c>
      <c r="M56">
        <v>72.37</v>
      </c>
      <c r="N56">
        <v>67</v>
      </c>
    </row>
    <row r="57" spans="1:14" x14ac:dyDescent="0.25">
      <c r="A57">
        <v>1</v>
      </c>
      <c r="B57">
        <v>2800</v>
      </c>
      <c r="C57">
        <v>7.0000000000000007E-2</v>
      </c>
      <c r="D57">
        <v>0.17</v>
      </c>
      <c r="E57">
        <v>0.11</v>
      </c>
      <c r="F57">
        <v>46.75</v>
      </c>
      <c r="G57">
        <v>46.97</v>
      </c>
      <c r="H57">
        <v>46.86</v>
      </c>
      <c r="I57">
        <v>0</v>
      </c>
      <c r="J57">
        <v>0</v>
      </c>
      <c r="K57">
        <v>0</v>
      </c>
      <c r="L57">
        <v>46.85</v>
      </c>
      <c r="M57">
        <v>47.08</v>
      </c>
      <c r="N57">
        <v>46.97</v>
      </c>
    </row>
    <row r="58" spans="1:14" x14ac:dyDescent="0.25">
      <c r="A58">
        <v>0</v>
      </c>
      <c r="B58">
        <v>2900</v>
      </c>
      <c r="C58">
        <v>0.06</v>
      </c>
      <c r="D58">
        <v>0.17</v>
      </c>
      <c r="E58">
        <v>0.12</v>
      </c>
      <c r="F58">
        <v>30.43</v>
      </c>
      <c r="G58">
        <v>30.95</v>
      </c>
      <c r="H58">
        <v>30.72</v>
      </c>
      <c r="I58">
        <v>36.520000000000003</v>
      </c>
      <c r="J58">
        <v>44.56</v>
      </c>
      <c r="K58">
        <v>39.020000000000003</v>
      </c>
      <c r="L58">
        <v>67.290000000000006</v>
      </c>
      <c r="M58">
        <v>75.569999999999993</v>
      </c>
      <c r="N58">
        <v>69.86</v>
      </c>
    </row>
    <row r="59" spans="1:14" x14ac:dyDescent="0.25">
      <c r="A59">
        <v>1</v>
      </c>
      <c r="B59">
        <v>2900</v>
      </c>
      <c r="C59">
        <v>7.0000000000000007E-2</v>
      </c>
      <c r="D59">
        <v>0.17</v>
      </c>
      <c r="E59">
        <v>0.11</v>
      </c>
      <c r="F59">
        <v>48.83</v>
      </c>
      <c r="G59">
        <v>49</v>
      </c>
      <c r="H59">
        <v>48.9</v>
      </c>
      <c r="I59">
        <v>0</v>
      </c>
      <c r="J59">
        <v>0</v>
      </c>
      <c r="K59">
        <v>0</v>
      </c>
      <c r="L59">
        <v>48.93</v>
      </c>
      <c r="M59">
        <v>49.1</v>
      </c>
      <c r="N59">
        <v>49.01</v>
      </c>
    </row>
    <row r="60" spans="1:14" x14ac:dyDescent="0.25">
      <c r="A60">
        <v>0</v>
      </c>
      <c r="B60">
        <v>3000</v>
      </c>
      <c r="C60">
        <v>7.0000000000000007E-2</v>
      </c>
      <c r="D60">
        <v>0.17</v>
      </c>
      <c r="E60">
        <v>0.12</v>
      </c>
      <c r="F60">
        <v>31.79</v>
      </c>
      <c r="G60">
        <v>32.57</v>
      </c>
      <c r="H60">
        <v>32.15</v>
      </c>
      <c r="I60">
        <v>36.15</v>
      </c>
      <c r="J60">
        <v>55.79</v>
      </c>
      <c r="K60">
        <v>39.43</v>
      </c>
      <c r="L60">
        <v>68.41</v>
      </c>
      <c r="M60">
        <v>88.44</v>
      </c>
      <c r="N60">
        <v>71.7</v>
      </c>
    </row>
    <row r="61" spans="1:14" x14ac:dyDescent="0.25">
      <c r="A61">
        <v>1</v>
      </c>
      <c r="B61">
        <v>3000</v>
      </c>
      <c r="C61">
        <v>7.0000000000000007E-2</v>
      </c>
      <c r="D61">
        <v>0.18</v>
      </c>
      <c r="E61">
        <v>0.11</v>
      </c>
      <c r="F61">
        <v>50.49</v>
      </c>
      <c r="G61">
        <v>50.88</v>
      </c>
      <c r="H61">
        <v>50.67</v>
      </c>
      <c r="I61">
        <v>0</v>
      </c>
      <c r="J61">
        <v>0</v>
      </c>
      <c r="K61">
        <v>0</v>
      </c>
      <c r="L61">
        <v>50.56</v>
      </c>
      <c r="M61">
        <v>51</v>
      </c>
      <c r="N61">
        <v>50.78</v>
      </c>
    </row>
    <row r="62" spans="1:14" x14ac:dyDescent="0.25">
      <c r="A62">
        <v>0</v>
      </c>
      <c r="B62">
        <v>3100</v>
      </c>
      <c r="C62">
        <v>0.06</v>
      </c>
      <c r="D62">
        <v>0.16</v>
      </c>
      <c r="E62">
        <v>0.12</v>
      </c>
      <c r="F62">
        <v>32.229999999999997</v>
      </c>
      <c r="G62">
        <v>32.869999999999997</v>
      </c>
      <c r="H62">
        <v>32.47</v>
      </c>
      <c r="I62">
        <v>37.24</v>
      </c>
      <c r="J62">
        <v>46.88</v>
      </c>
      <c r="K62">
        <v>40.32</v>
      </c>
      <c r="L62">
        <v>69.72</v>
      </c>
      <c r="M62">
        <v>79.790000000000006</v>
      </c>
      <c r="N62">
        <v>72.91</v>
      </c>
    </row>
    <row r="63" spans="1:14" x14ac:dyDescent="0.25">
      <c r="A63">
        <v>1</v>
      </c>
      <c r="B63">
        <v>3100</v>
      </c>
      <c r="C63">
        <v>0.06</v>
      </c>
      <c r="D63">
        <v>0.16</v>
      </c>
      <c r="E63">
        <v>0.1</v>
      </c>
      <c r="F63">
        <v>51.8</v>
      </c>
      <c r="G63">
        <v>52.09</v>
      </c>
      <c r="H63">
        <v>51.96</v>
      </c>
      <c r="I63">
        <v>0</v>
      </c>
      <c r="J63">
        <v>0</v>
      </c>
      <c r="K63">
        <v>0</v>
      </c>
      <c r="L63">
        <v>51.9</v>
      </c>
      <c r="M63">
        <v>52.19</v>
      </c>
      <c r="N63">
        <v>52.07</v>
      </c>
    </row>
    <row r="64" spans="1:14" x14ac:dyDescent="0.25">
      <c r="A64">
        <v>0</v>
      </c>
      <c r="B64">
        <v>3200</v>
      </c>
      <c r="C64">
        <v>7.0000000000000007E-2</v>
      </c>
      <c r="D64">
        <v>0.16</v>
      </c>
      <c r="E64">
        <v>0.12</v>
      </c>
      <c r="F64">
        <v>33.44</v>
      </c>
      <c r="G64">
        <v>33.909999999999997</v>
      </c>
      <c r="H64">
        <v>33.65</v>
      </c>
      <c r="I64">
        <v>37.729999999999997</v>
      </c>
      <c r="J64">
        <v>50.09</v>
      </c>
      <c r="K64">
        <v>41.96</v>
      </c>
      <c r="L64">
        <v>71.36</v>
      </c>
      <c r="M64">
        <v>84.07</v>
      </c>
      <c r="N64">
        <v>75.73</v>
      </c>
    </row>
    <row r="65" spans="1:14" x14ac:dyDescent="0.25">
      <c r="A65">
        <v>1</v>
      </c>
      <c r="B65">
        <v>3200</v>
      </c>
      <c r="C65">
        <v>0.06</v>
      </c>
      <c r="D65">
        <v>0.16</v>
      </c>
      <c r="E65">
        <v>0.11</v>
      </c>
      <c r="F65">
        <v>53.63</v>
      </c>
      <c r="G65">
        <v>53.92</v>
      </c>
      <c r="H65">
        <v>53.76</v>
      </c>
      <c r="I65">
        <v>0</v>
      </c>
      <c r="J65">
        <v>0</v>
      </c>
      <c r="K65">
        <v>0</v>
      </c>
      <c r="L65">
        <v>53.72</v>
      </c>
      <c r="M65">
        <v>54.02</v>
      </c>
      <c r="N65">
        <v>53.87</v>
      </c>
    </row>
    <row r="66" spans="1:14" x14ac:dyDescent="0.25">
      <c r="A66">
        <v>0</v>
      </c>
      <c r="B66">
        <v>3300</v>
      </c>
      <c r="C66">
        <v>0.1</v>
      </c>
      <c r="D66">
        <v>0.14000000000000001</v>
      </c>
      <c r="E66">
        <v>0.12</v>
      </c>
      <c r="F66">
        <v>34.75</v>
      </c>
      <c r="G66">
        <v>35.01</v>
      </c>
      <c r="H66">
        <v>34.909999999999997</v>
      </c>
      <c r="I66">
        <v>41.45</v>
      </c>
      <c r="J66">
        <v>46.25</v>
      </c>
      <c r="K66">
        <v>43.68</v>
      </c>
      <c r="L66">
        <v>76.3</v>
      </c>
      <c r="M66">
        <v>81.400000000000006</v>
      </c>
      <c r="N66">
        <v>78.709999999999994</v>
      </c>
    </row>
    <row r="67" spans="1:14" x14ac:dyDescent="0.25">
      <c r="A67">
        <v>1</v>
      </c>
      <c r="B67">
        <v>3300</v>
      </c>
      <c r="C67">
        <v>0.09</v>
      </c>
      <c r="D67">
        <v>0.1</v>
      </c>
      <c r="E67">
        <v>0.1</v>
      </c>
      <c r="F67">
        <v>55.43</v>
      </c>
      <c r="G67">
        <v>55.49</v>
      </c>
      <c r="H67">
        <v>55.45</v>
      </c>
      <c r="I67">
        <v>0</v>
      </c>
      <c r="J67">
        <v>0</v>
      </c>
      <c r="K67">
        <v>0</v>
      </c>
      <c r="L67">
        <v>55.51</v>
      </c>
      <c r="M67">
        <v>55.6</v>
      </c>
      <c r="N67">
        <v>55.55</v>
      </c>
    </row>
    <row r="70" spans="1:14" x14ac:dyDescent="0.25">
      <c r="A70" t="s">
        <v>13</v>
      </c>
      <c r="B70" t="s">
        <v>14</v>
      </c>
    </row>
    <row r="71" spans="1:14" x14ac:dyDescent="0.25">
      <c r="A71" t="s">
        <v>15</v>
      </c>
      <c r="B71">
        <v>15</v>
      </c>
    </row>
    <row r="72" spans="1:14" x14ac:dyDescent="0.25">
      <c r="A72" t="s">
        <v>16</v>
      </c>
      <c r="B72" t="s">
        <v>17</v>
      </c>
    </row>
    <row r="73" spans="1:14" x14ac:dyDescent="0.25">
      <c r="A73" t="s">
        <v>18</v>
      </c>
      <c r="B73">
        <v>15</v>
      </c>
    </row>
    <row r="74" spans="1:14" x14ac:dyDescent="0.25">
      <c r="A74" t="s">
        <v>19</v>
      </c>
      <c r="B74" t="s">
        <v>17</v>
      </c>
    </row>
    <row r="75" spans="1:14" x14ac:dyDescent="0.25">
      <c r="A75" t="s">
        <v>20</v>
      </c>
      <c r="B75" t="s">
        <v>17</v>
      </c>
    </row>
    <row r="76" spans="1:14" x14ac:dyDescent="0.25">
      <c r="A76" t="s">
        <v>21</v>
      </c>
      <c r="B76">
        <v>15</v>
      </c>
    </row>
    <row r="77" spans="1:14" x14ac:dyDescent="0.25">
      <c r="A77" t="s">
        <v>22</v>
      </c>
      <c r="B77" t="s">
        <v>17</v>
      </c>
    </row>
    <row r="78" spans="1:14" x14ac:dyDescent="0.25">
      <c r="A78" t="s">
        <v>23</v>
      </c>
      <c r="B78" t="s">
        <v>17</v>
      </c>
    </row>
    <row r="79" spans="1:14" x14ac:dyDescent="0.25">
      <c r="A79" t="s">
        <v>24</v>
      </c>
      <c r="B79" t="s">
        <v>17</v>
      </c>
    </row>
    <row r="80" spans="1:14" x14ac:dyDescent="0.25">
      <c r="A80" t="s">
        <v>25</v>
      </c>
      <c r="B80" t="s">
        <v>17</v>
      </c>
    </row>
    <row r="81" spans="1:2" x14ac:dyDescent="0.25">
      <c r="A81" t="s">
        <v>26</v>
      </c>
      <c r="B81" t="s">
        <v>17</v>
      </c>
    </row>
    <row r="83" spans="1:2" x14ac:dyDescent="0.25">
      <c r="A83" t="s">
        <v>27</v>
      </c>
    </row>
    <row r="84" spans="1:2" x14ac:dyDescent="0.25">
      <c r="A84" t="s">
        <v>28</v>
      </c>
    </row>
    <row r="85" spans="1:2" x14ac:dyDescent="0.25">
      <c r="A85" t="s">
        <v>20</v>
      </c>
      <c r="B85" t="s">
        <v>17</v>
      </c>
    </row>
    <row r="86" spans="1:2" x14ac:dyDescent="0.25">
      <c r="A86" t="s">
        <v>21</v>
      </c>
      <c r="B86">
        <v>15</v>
      </c>
    </row>
    <row r="87" spans="1:2" x14ac:dyDescent="0.25">
      <c r="A87" t="s">
        <v>22</v>
      </c>
      <c r="B87" t="s">
        <v>17</v>
      </c>
    </row>
    <row r="88" spans="1:2" x14ac:dyDescent="0.25">
      <c r="A88" t="s">
        <v>23</v>
      </c>
      <c r="B88" t="s">
        <v>17</v>
      </c>
    </row>
    <row r="89" spans="1:2" x14ac:dyDescent="0.25">
      <c r="A89" t="s">
        <v>24</v>
      </c>
      <c r="B89" t="s">
        <v>17</v>
      </c>
    </row>
    <row r="90" spans="1:2" x14ac:dyDescent="0.25">
      <c r="A90" t="s">
        <v>25</v>
      </c>
      <c r="B90" t="s">
        <v>17</v>
      </c>
    </row>
    <row r="91" spans="1:2" x14ac:dyDescent="0.25">
      <c r="A91" t="s">
        <v>26</v>
      </c>
      <c r="B91" t="s">
        <v>17</v>
      </c>
    </row>
    <row r="93" spans="1:2" x14ac:dyDescent="0.25">
      <c r="A93" t="s">
        <v>27</v>
      </c>
    </row>
    <row r="94" spans="1:2" x14ac:dyDescent="0.25">
      <c r="A94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88"/>
  <sheetViews>
    <sheetView topLeftCell="A51" workbookViewId="0">
      <selection sqref="A1:Q89"/>
    </sheetView>
  </sheetViews>
  <sheetFormatPr defaultRowHeight="15" x14ac:dyDescent="0.25"/>
  <cols>
    <col min="1" max="1" width="8.5703125" customWidth="1"/>
    <col min="3" max="3" width="11.140625" customWidth="1"/>
    <col min="4" max="4" width="11.85546875" customWidth="1"/>
    <col min="5" max="5" width="10.7109375" customWidth="1"/>
    <col min="9" max="10" width="12.85546875" customWidth="1"/>
    <col min="11" max="11" width="12" customWidth="1"/>
    <col min="12" max="12" width="10.7109375" bestFit="1" customWidth="1"/>
    <col min="13" max="13" width="11" bestFit="1" customWidth="1"/>
    <col min="14" max="14" width="12.28515625" bestFit="1" customWidth="1"/>
    <col min="15" max="15" width="12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  <c r="S1" s="1"/>
    </row>
    <row r="2" spans="1:19" x14ac:dyDescent="0.25">
      <c r="A2">
        <v>0</v>
      </c>
      <c r="B2">
        <v>100</v>
      </c>
      <c r="C2">
        <v>0.54</v>
      </c>
      <c r="D2">
        <v>0.84</v>
      </c>
      <c r="E2">
        <v>0.67</v>
      </c>
      <c r="F2">
        <v>1.45</v>
      </c>
      <c r="G2">
        <v>1.52</v>
      </c>
      <c r="H2">
        <v>1.49</v>
      </c>
      <c r="I2">
        <v>18.77</v>
      </c>
      <c r="J2">
        <v>25.82</v>
      </c>
      <c r="K2">
        <v>21.63</v>
      </c>
      <c r="L2">
        <v>20.88</v>
      </c>
      <c r="M2">
        <v>27.98</v>
      </c>
      <c r="N2">
        <v>23.79</v>
      </c>
      <c r="P2">
        <v>100</v>
      </c>
      <c r="Q2">
        <f>AVERAGE(N2:N3)</f>
        <v>12.82</v>
      </c>
    </row>
    <row r="3" spans="1:19" x14ac:dyDescent="0.25">
      <c r="A3">
        <v>1</v>
      </c>
      <c r="B3">
        <v>100</v>
      </c>
      <c r="C3">
        <v>7.0000000000000007E-2</v>
      </c>
      <c r="D3">
        <v>0.16</v>
      </c>
      <c r="E3">
        <v>0.13</v>
      </c>
      <c r="F3">
        <v>1.7</v>
      </c>
      <c r="G3">
        <v>1.83</v>
      </c>
      <c r="H3">
        <v>1.72</v>
      </c>
      <c r="I3">
        <v>0</v>
      </c>
      <c r="J3">
        <v>0</v>
      </c>
      <c r="K3">
        <v>0</v>
      </c>
      <c r="L3">
        <v>1.83</v>
      </c>
      <c r="M3">
        <v>1.93</v>
      </c>
      <c r="N3">
        <v>1.85</v>
      </c>
      <c r="P3">
        <f>P2+100</f>
        <v>200</v>
      </c>
      <c r="Q3">
        <f>AVERAGE(N4:N5)</f>
        <v>14.705</v>
      </c>
    </row>
    <row r="4" spans="1:19" x14ac:dyDescent="0.25">
      <c r="A4">
        <v>0</v>
      </c>
      <c r="B4">
        <v>200</v>
      </c>
      <c r="C4">
        <v>0.68</v>
      </c>
      <c r="D4">
        <v>0.95</v>
      </c>
      <c r="E4">
        <v>0.77</v>
      </c>
      <c r="F4">
        <v>2.37</v>
      </c>
      <c r="G4">
        <v>2.42</v>
      </c>
      <c r="H4">
        <v>2.39</v>
      </c>
      <c r="I4">
        <v>19.579999999999998</v>
      </c>
      <c r="J4">
        <v>27.95</v>
      </c>
      <c r="K4">
        <v>22.7</v>
      </c>
      <c r="L4">
        <v>22.78</v>
      </c>
      <c r="M4">
        <v>31.11</v>
      </c>
      <c r="N4">
        <v>25.86</v>
      </c>
      <c r="P4">
        <f t="shared" ref="P4:P29" si="0">P3+100</f>
        <v>300</v>
      </c>
      <c r="Q4">
        <f>AVERAGE(N6:N7)</f>
        <v>16.204999999999998</v>
      </c>
    </row>
    <row r="5" spans="1:19" x14ac:dyDescent="0.25">
      <c r="A5">
        <v>1</v>
      </c>
      <c r="B5">
        <v>200</v>
      </c>
      <c r="C5">
        <v>0.12</v>
      </c>
      <c r="D5">
        <v>0.16</v>
      </c>
      <c r="E5">
        <v>0.14000000000000001</v>
      </c>
      <c r="F5">
        <v>3.4</v>
      </c>
      <c r="G5">
        <v>3.42</v>
      </c>
      <c r="H5">
        <v>3.41</v>
      </c>
      <c r="I5">
        <v>0</v>
      </c>
      <c r="J5">
        <v>0</v>
      </c>
      <c r="K5">
        <v>0</v>
      </c>
      <c r="L5">
        <v>3.53</v>
      </c>
      <c r="M5">
        <v>3.58</v>
      </c>
      <c r="N5">
        <v>3.55</v>
      </c>
      <c r="P5">
        <f t="shared" si="0"/>
        <v>400</v>
      </c>
      <c r="Q5">
        <f>AVERAGE(N8:N9)</f>
        <v>18.835000000000001</v>
      </c>
    </row>
    <row r="6" spans="1:19" x14ac:dyDescent="0.25">
      <c r="A6">
        <v>0</v>
      </c>
      <c r="B6">
        <v>300</v>
      </c>
      <c r="C6">
        <v>0.79</v>
      </c>
      <c r="D6">
        <v>0.89</v>
      </c>
      <c r="E6">
        <v>0.84</v>
      </c>
      <c r="F6">
        <v>3.38</v>
      </c>
      <c r="G6">
        <v>3.44</v>
      </c>
      <c r="H6">
        <v>3.41</v>
      </c>
      <c r="I6">
        <v>20.48</v>
      </c>
      <c r="J6">
        <v>25.77</v>
      </c>
      <c r="K6">
        <v>22.95</v>
      </c>
      <c r="L6">
        <v>24.69</v>
      </c>
      <c r="M6">
        <v>30.04</v>
      </c>
      <c r="N6">
        <v>27.2</v>
      </c>
      <c r="P6">
        <f t="shared" si="0"/>
        <v>500</v>
      </c>
      <c r="Q6">
        <f>AVERAGE(N10:N11)</f>
        <v>20.074999999999999</v>
      </c>
    </row>
    <row r="7" spans="1:19" x14ac:dyDescent="0.25">
      <c r="A7">
        <v>1</v>
      </c>
      <c r="B7">
        <v>300</v>
      </c>
      <c r="C7">
        <v>0.12</v>
      </c>
      <c r="D7">
        <v>0.17</v>
      </c>
      <c r="E7">
        <v>0.15</v>
      </c>
      <c r="F7">
        <v>5.05</v>
      </c>
      <c r="G7">
        <v>5.08</v>
      </c>
      <c r="H7">
        <v>5.0599999999999996</v>
      </c>
      <c r="I7">
        <v>0</v>
      </c>
      <c r="J7">
        <v>0</v>
      </c>
      <c r="K7">
        <v>0</v>
      </c>
      <c r="L7">
        <v>5.18</v>
      </c>
      <c r="M7">
        <v>5.24</v>
      </c>
      <c r="N7">
        <v>5.21</v>
      </c>
      <c r="P7">
        <f t="shared" si="0"/>
        <v>600</v>
      </c>
      <c r="Q7">
        <f>AVERAGE(N12:N13)</f>
        <v>21.580000000000002</v>
      </c>
    </row>
    <row r="8" spans="1:19" x14ac:dyDescent="0.25">
      <c r="A8">
        <v>0</v>
      </c>
      <c r="B8">
        <v>400</v>
      </c>
      <c r="C8">
        <v>0.82</v>
      </c>
      <c r="D8">
        <v>1.19</v>
      </c>
      <c r="E8">
        <v>0.91</v>
      </c>
      <c r="F8">
        <v>4.2699999999999996</v>
      </c>
      <c r="G8">
        <v>4.45</v>
      </c>
      <c r="H8">
        <v>4.3</v>
      </c>
      <c r="I8">
        <v>21.53</v>
      </c>
      <c r="J8">
        <v>77.61</v>
      </c>
      <c r="K8">
        <v>25.51</v>
      </c>
      <c r="L8">
        <v>26.74</v>
      </c>
      <c r="M8">
        <v>83.25</v>
      </c>
      <c r="N8">
        <v>30.73</v>
      </c>
      <c r="P8">
        <f t="shared" si="0"/>
        <v>700</v>
      </c>
      <c r="Q8">
        <f>AVERAGE(N14:N15)</f>
        <v>23.32</v>
      </c>
    </row>
    <row r="9" spans="1:19" x14ac:dyDescent="0.25">
      <c r="A9">
        <v>1</v>
      </c>
      <c r="B9">
        <v>400</v>
      </c>
      <c r="C9">
        <v>0.13</v>
      </c>
      <c r="D9">
        <v>0.17</v>
      </c>
      <c r="E9">
        <v>0.15</v>
      </c>
      <c r="F9">
        <v>6.77</v>
      </c>
      <c r="G9">
        <v>6.82</v>
      </c>
      <c r="H9">
        <v>6.79</v>
      </c>
      <c r="I9">
        <v>0</v>
      </c>
      <c r="J9">
        <v>0</v>
      </c>
      <c r="K9">
        <v>0</v>
      </c>
      <c r="L9">
        <v>6.9</v>
      </c>
      <c r="M9">
        <v>6.98</v>
      </c>
      <c r="N9">
        <v>6.94</v>
      </c>
      <c r="P9">
        <f t="shared" si="0"/>
        <v>800</v>
      </c>
      <c r="Q9">
        <f>AVERAGE(N16:N17)</f>
        <v>24.9</v>
      </c>
    </row>
    <row r="10" spans="1:19" x14ac:dyDescent="0.25">
      <c r="A10">
        <v>0</v>
      </c>
      <c r="B10">
        <v>500</v>
      </c>
      <c r="C10">
        <v>0.91</v>
      </c>
      <c r="D10">
        <v>1.1399999999999999</v>
      </c>
      <c r="E10">
        <v>0.97</v>
      </c>
      <c r="F10">
        <v>5.16</v>
      </c>
      <c r="G10">
        <v>5.29</v>
      </c>
      <c r="H10">
        <v>5.22</v>
      </c>
      <c r="I10">
        <v>21.99</v>
      </c>
      <c r="J10">
        <v>32.18</v>
      </c>
      <c r="K10">
        <v>25.35</v>
      </c>
      <c r="L10">
        <v>28.17</v>
      </c>
      <c r="M10">
        <v>38.46</v>
      </c>
      <c r="N10">
        <v>31.55</v>
      </c>
      <c r="P10">
        <f t="shared" si="0"/>
        <v>900</v>
      </c>
      <c r="Q10">
        <f>AVERAGE(N18:N19)</f>
        <v>26.445</v>
      </c>
    </row>
    <row r="11" spans="1:19" x14ac:dyDescent="0.25">
      <c r="A11">
        <v>1</v>
      </c>
      <c r="B11">
        <v>500</v>
      </c>
      <c r="C11">
        <v>0.13</v>
      </c>
      <c r="D11">
        <v>0.17</v>
      </c>
      <c r="E11">
        <v>0.14000000000000001</v>
      </c>
      <c r="F11">
        <v>8.44</v>
      </c>
      <c r="G11">
        <v>8.4700000000000006</v>
      </c>
      <c r="H11">
        <v>8.4499999999999993</v>
      </c>
      <c r="I11">
        <v>0</v>
      </c>
      <c r="J11">
        <v>0</v>
      </c>
      <c r="K11">
        <v>0</v>
      </c>
      <c r="L11">
        <v>8.57</v>
      </c>
      <c r="M11">
        <v>8.6300000000000008</v>
      </c>
      <c r="N11">
        <v>8.6</v>
      </c>
      <c r="P11">
        <f t="shared" si="0"/>
        <v>1000</v>
      </c>
      <c r="Q11">
        <f>AVERAGE(N20:N21)</f>
        <v>27.625</v>
      </c>
    </row>
    <row r="12" spans="1:19" x14ac:dyDescent="0.25">
      <c r="A12">
        <v>0</v>
      </c>
      <c r="B12">
        <v>600</v>
      </c>
      <c r="C12">
        <v>0.97</v>
      </c>
      <c r="D12">
        <v>1.1399999999999999</v>
      </c>
      <c r="E12">
        <v>1.04</v>
      </c>
      <c r="F12">
        <v>6.15</v>
      </c>
      <c r="G12">
        <v>6.31</v>
      </c>
      <c r="H12">
        <v>6.22</v>
      </c>
      <c r="I12">
        <v>22.57</v>
      </c>
      <c r="J12">
        <v>34.15</v>
      </c>
      <c r="K12">
        <v>25.59</v>
      </c>
      <c r="L12">
        <v>29.81</v>
      </c>
      <c r="M12">
        <v>41.47</v>
      </c>
      <c r="N12">
        <v>32.85</v>
      </c>
      <c r="P12">
        <f t="shared" si="0"/>
        <v>1100</v>
      </c>
      <c r="Q12">
        <f>AVERAGE(N22:N23)</f>
        <v>29.22</v>
      </c>
    </row>
    <row r="13" spans="1:19" x14ac:dyDescent="0.25">
      <c r="A13">
        <v>1</v>
      </c>
      <c r="B13">
        <v>600</v>
      </c>
      <c r="C13">
        <v>7.0000000000000007E-2</v>
      </c>
      <c r="D13">
        <v>0.17</v>
      </c>
      <c r="E13">
        <v>0.14000000000000001</v>
      </c>
      <c r="F13">
        <v>10.130000000000001</v>
      </c>
      <c r="G13">
        <v>10.31</v>
      </c>
      <c r="H13">
        <v>10.18</v>
      </c>
      <c r="I13">
        <v>0</v>
      </c>
      <c r="J13">
        <v>0</v>
      </c>
      <c r="K13">
        <v>0</v>
      </c>
      <c r="L13">
        <v>10.210000000000001</v>
      </c>
      <c r="M13">
        <v>10.43</v>
      </c>
      <c r="N13">
        <v>10.31</v>
      </c>
      <c r="P13">
        <f t="shared" si="0"/>
        <v>1200</v>
      </c>
      <c r="Q13">
        <f>AVERAGE(N24:N25)</f>
        <v>31.32</v>
      </c>
    </row>
    <row r="14" spans="1:19" x14ac:dyDescent="0.25">
      <c r="A14">
        <v>0</v>
      </c>
      <c r="B14">
        <v>700</v>
      </c>
      <c r="C14">
        <v>1.01</v>
      </c>
      <c r="D14">
        <v>1.23</v>
      </c>
      <c r="E14">
        <v>1.1000000000000001</v>
      </c>
      <c r="F14">
        <v>7.14</v>
      </c>
      <c r="G14">
        <v>7.28</v>
      </c>
      <c r="H14">
        <v>7.2</v>
      </c>
      <c r="I14">
        <v>23.25</v>
      </c>
      <c r="J14">
        <v>31.89</v>
      </c>
      <c r="K14">
        <v>26.38</v>
      </c>
      <c r="L14">
        <v>31.55</v>
      </c>
      <c r="M14">
        <v>40.24</v>
      </c>
      <c r="N14">
        <v>34.68</v>
      </c>
      <c r="P14">
        <f t="shared" si="0"/>
        <v>1300</v>
      </c>
      <c r="Q14">
        <f>AVERAGE(N26:N27)</f>
        <v>32.995000000000005</v>
      </c>
    </row>
    <row r="15" spans="1:19" x14ac:dyDescent="0.25">
      <c r="A15">
        <v>1</v>
      </c>
      <c r="B15">
        <v>700</v>
      </c>
      <c r="C15">
        <v>7.0000000000000007E-2</v>
      </c>
      <c r="D15">
        <v>0.18</v>
      </c>
      <c r="E15">
        <v>0.13</v>
      </c>
      <c r="F15">
        <v>11.78</v>
      </c>
      <c r="G15">
        <v>11.93</v>
      </c>
      <c r="H15">
        <v>11.83</v>
      </c>
      <c r="I15">
        <v>0</v>
      </c>
      <c r="J15">
        <v>0</v>
      </c>
      <c r="K15">
        <v>0</v>
      </c>
      <c r="L15">
        <v>11.86</v>
      </c>
      <c r="M15">
        <v>12.05</v>
      </c>
      <c r="N15">
        <v>11.96</v>
      </c>
      <c r="P15">
        <f t="shared" si="0"/>
        <v>1400</v>
      </c>
      <c r="Q15">
        <f>AVERAGE(N28:N29)</f>
        <v>34.56</v>
      </c>
    </row>
    <row r="16" spans="1:19" x14ac:dyDescent="0.25">
      <c r="A16">
        <v>0</v>
      </c>
      <c r="B16">
        <v>800</v>
      </c>
      <c r="C16">
        <v>0.8</v>
      </c>
      <c r="D16">
        <v>1.27</v>
      </c>
      <c r="E16">
        <v>1.1000000000000001</v>
      </c>
      <c r="F16">
        <v>8.18</v>
      </c>
      <c r="G16">
        <v>8.31</v>
      </c>
      <c r="H16">
        <v>8.24</v>
      </c>
      <c r="I16">
        <v>23.75</v>
      </c>
      <c r="J16">
        <v>33.1</v>
      </c>
      <c r="K16">
        <v>26.72</v>
      </c>
      <c r="L16">
        <v>32.76</v>
      </c>
      <c r="M16">
        <v>42.57</v>
      </c>
      <c r="N16">
        <v>36.07</v>
      </c>
      <c r="P16">
        <f t="shared" si="0"/>
        <v>1500</v>
      </c>
      <c r="Q16">
        <f>AVERAGE(N30:N31)</f>
        <v>36.105000000000004</v>
      </c>
    </row>
    <row r="17" spans="1:17" x14ac:dyDescent="0.25">
      <c r="A17">
        <v>1</v>
      </c>
      <c r="B17">
        <v>800</v>
      </c>
      <c r="C17">
        <v>0.06</v>
      </c>
      <c r="D17">
        <v>0.18</v>
      </c>
      <c r="E17">
        <v>0.12</v>
      </c>
      <c r="F17">
        <v>13.54</v>
      </c>
      <c r="G17">
        <v>13.73</v>
      </c>
      <c r="H17">
        <v>13.61</v>
      </c>
      <c r="I17">
        <v>0</v>
      </c>
      <c r="J17">
        <v>0</v>
      </c>
      <c r="K17">
        <v>0</v>
      </c>
      <c r="L17">
        <v>13.63</v>
      </c>
      <c r="M17">
        <v>13.85</v>
      </c>
      <c r="N17">
        <v>13.73</v>
      </c>
      <c r="P17">
        <f t="shared" si="0"/>
        <v>1600</v>
      </c>
      <c r="Q17">
        <f>AVERAGE(N32:N33)</f>
        <v>38.049999999999997</v>
      </c>
    </row>
    <row r="18" spans="1:17" x14ac:dyDescent="0.25">
      <c r="A18">
        <v>0</v>
      </c>
      <c r="B18">
        <v>900</v>
      </c>
      <c r="C18">
        <v>1.1299999999999999</v>
      </c>
      <c r="D18">
        <v>1.36</v>
      </c>
      <c r="E18">
        <v>1.2</v>
      </c>
      <c r="F18">
        <v>9.01</v>
      </c>
      <c r="G18">
        <v>9.2100000000000009</v>
      </c>
      <c r="H18">
        <v>9.11</v>
      </c>
      <c r="I18">
        <v>24.58</v>
      </c>
      <c r="J18">
        <v>31.73</v>
      </c>
      <c r="K18">
        <v>27.34</v>
      </c>
      <c r="L18">
        <v>34.83</v>
      </c>
      <c r="M18">
        <v>42.14</v>
      </c>
      <c r="N18">
        <v>37.65</v>
      </c>
      <c r="P18">
        <f t="shared" si="0"/>
        <v>1700</v>
      </c>
      <c r="Q18">
        <f>AVERAGE(N34:N35)</f>
        <v>39.725000000000001</v>
      </c>
    </row>
    <row r="19" spans="1:17" x14ac:dyDescent="0.25">
      <c r="A19">
        <v>1</v>
      </c>
      <c r="B19">
        <v>900</v>
      </c>
      <c r="C19">
        <v>7.0000000000000007E-2</v>
      </c>
      <c r="D19">
        <v>0.17</v>
      </c>
      <c r="E19">
        <v>0.13</v>
      </c>
      <c r="F19">
        <v>15.05</v>
      </c>
      <c r="G19">
        <v>15.26</v>
      </c>
      <c r="H19">
        <v>15.11</v>
      </c>
      <c r="I19">
        <v>0</v>
      </c>
      <c r="J19">
        <v>0</v>
      </c>
      <c r="K19">
        <v>0</v>
      </c>
      <c r="L19">
        <v>15.18</v>
      </c>
      <c r="M19">
        <v>15.37</v>
      </c>
      <c r="N19">
        <v>15.24</v>
      </c>
      <c r="P19">
        <f t="shared" si="0"/>
        <v>1800</v>
      </c>
      <c r="Q19">
        <f>AVERAGE(N36:N37)</f>
        <v>41.16</v>
      </c>
    </row>
    <row r="20" spans="1:17" x14ac:dyDescent="0.25">
      <c r="A20">
        <v>0</v>
      </c>
      <c r="B20">
        <v>1000</v>
      </c>
      <c r="C20">
        <v>1.17</v>
      </c>
      <c r="D20">
        <v>1.41</v>
      </c>
      <c r="E20">
        <v>1.24</v>
      </c>
      <c r="F20">
        <v>9.91</v>
      </c>
      <c r="G20">
        <v>10.220000000000001</v>
      </c>
      <c r="H20">
        <v>10.029999999999999</v>
      </c>
      <c r="I20">
        <v>23.71</v>
      </c>
      <c r="J20">
        <v>33.979999999999997</v>
      </c>
      <c r="K20">
        <v>26.98</v>
      </c>
      <c r="L20">
        <v>34.92</v>
      </c>
      <c r="M20">
        <v>45.39</v>
      </c>
      <c r="N20">
        <v>38.24</v>
      </c>
      <c r="P20">
        <f t="shared" si="0"/>
        <v>1900</v>
      </c>
      <c r="Q20">
        <f>AVERAGE(N38:N39)</f>
        <v>42.725000000000001</v>
      </c>
    </row>
    <row r="21" spans="1:17" x14ac:dyDescent="0.25">
      <c r="A21">
        <v>1</v>
      </c>
      <c r="B21">
        <v>1000</v>
      </c>
      <c r="C21">
        <v>7.0000000000000007E-2</v>
      </c>
      <c r="D21">
        <v>0.17</v>
      </c>
      <c r="E21">
        <v>0.14000000000000001</v>
      </c>
      <c r="F21">
        <v>16.829999999999998</v>
      </c>
      <c r="G21">
        <v>16.95</v>
      </c>
      <c r="H21">
        <v>16.87</v>
      </c>
      <c r="I21">
        <v>0</v>
      </c>
      <c r="J21">
        <v>0</v>
      </c>
      <c r="K21">
        <v>0</v>
      </c>
      <c r="L21">
        <v>16.91</v>
      </c>
      <c r="M21">
        <v>17.11</v>
      </c>
      <c r="N21">
        <v>17.010000000000002</v>
      </c>
      <c r="P21">
        <f t="shared" si="0"/>
        <v>2000</v>
      </c>
      <c r="Q21">
        <f>AVERAGE(N40:N41)</f>
        <v>44.325000000000003</v>
      </c>
    </row>
    <row r="22" spans="1:17" x14ac:dyDescent="0.25">
      <c r="A22">
        <v>0</v>
      </c>
      <c r="B22">
        <v>1100</v>
      </c>
      <c r="C22">
        <v>1.19</v>
      </c>
      <c r="D22">
        <v>1.41</v>
      </c>
      <c r="E22">
        <v>1.25</v>
      </c>
      <c r="F22">
        <v>11</v>
      </c>
      <c r="G22">
        <v>11.19</v>
      </c>
      <c r="H22">
        <v>11.09</v>
      </c>
      <c r="I22">
        <v>24.12</v>
      </c>
      <c r="J22">
        <v>36.64</v>
      </c>
      <c r="K22">
        <v>27.49</v>
      </c>
      <c r="L22">
        <v>36.46</v>
      </c>
      <c r="M22">
        <v>49.03</v>
      </c>
      <c r="N22">
        <v>39.83</v>
      </c>
      <c r="P22">
        <f t="shared" si="0"/>
        <v>2100</v>
      </c>
      <c r="Q22">
        <f>AVERAGE(N42:N43)</f>
        <v>46.045000000000002</v>
      </c>
    </row>
    <row r="23" spans="1:17" x14ac:dyDescent="0.25">
      <c r="A23">
        <v>1</v>
      </c>
      <c r="B23">
        <v>1100</v>
      </c>
      <c r="C23">
        <v>7.0000000000000007E-2</v>
      </c>
      <c r="D23">
        <v>0.17</v>
      </c>
      <c r="E23">
        <v>0.13</v>
      </c>
      <c r="F23">
        <v>18.43</v>
      </c>
      <c r="G23">
        <v>18.600000000000001</v>
      </c>
      <c r="H23">
        <v>18.48</v>
      </c>
      <c r="I23">
        <v>0</v>
      </c>
      <c r="J23">
        <v>0</v>
      </c>
      <c r="K23">
        <v>0</v>
      </c>
      <c r="L23">
        <v>18.52</v>
      </c>
      <c r="M23">
        <v>18.73</v>
      </c>
      <c r="N23">
        <v>18.61</v>
      </c>
      <c r="P23">
        <f t="shared" si="0"/>
        <v>2200</v>
      </c>
      <c r="Q23">
        <f>AVERAGE(N44:N45)</f>
        <v>46.995000000000005</v>
      </c>
    </row>
    <row r="24" spans="1:17" x14ac:dyDescent="0.25">
      <c r="A24">
        <v>0</v>
      </c>
      <c r="B24">
        <v>1200</v>
      </c>
      <c r="C24">
        <v>1.21</v>
      </c>
      <c r="D24">
        <v>1.39</v>
      </c>
      <c r="E24">
        <v>1.28</v>
      </c>
      <c r="F24">
        <v>12.07</v>
      </c>
      <c r="G24">
        <v>12.24</v>
      </c>
      <c r="H24">
        <v>12.14</v>
      </c>
      <c r="I24">
        <v>25.25</v>
      </c>
      <c r="J24">
        <v>35.18</v>
      </c>
      <c r="K24">
        <v>28.75</v>
      </c>
      <c r="L24">
        <v>38.619999999999997</v>
      </c>
      <c r="M24">
        <v>48.68</v>
      </c>
      <c r="N24">
        <v>42.18</v>
      </c>
      <c r="P24">
        <f t="shared" si="0"/>
        <v>2300</v>
      </c>
      <c r="Q24">
        <f>AVERAGE(N46:N47)</f>
        <v>50.225000000000001</v>
      </c>
    </row>
    <row r="25" spans="1:17" x14ac:dyDescent="0.25">
      <c r="A25">
        <v>1</v>
      </c>
      <c r="B25">
        <v>1200</v>
      </c>
      <c r="C25">
        <v>0.06</v>
      </c>
      <c r="D25">
        <v>0.16</v>
      </c>
      <c r="E25">
        <v>0.11</v>
      </c>
      <c r="F25">
        <v>20.25</v>
      </c>
      <c r="G25">
        <v>20.45</v>
      </c>
      <c r="H25">
        <v>20.350000000000001</v>
      </c>
      <c r="I25">
        <v>0</v>
      </c>
      <c r="J25">
        <v>0</v>
      </c>
      <c r="K25">
        <v>0</v>
      </c>
      <c r="L25">
        <v>20.329999999999998</v>
      </c>
      <c r="M25">
        <v>20.58</v>
      </c>
      <c r="N25">
        <v>20.46</v>
      </c>
      <c r="P25">
        <f t="shared" si="0"/>
        <v>2400</v>
      </c>
      <c r="Q25">
        <f>AVERAGE(N48:N49)</f>
        <v>52.21</v>
      </c>
    </row>
    <row r="26" spans="1:17" x14ac:dyDescent="0.25">
      <c r="A26">
        <v>0</v>
      </c>
      <c r="B26">
        <v>1300</v>
      </c>
      <c r="C26">
        <v>1.29</v>
      </c>
      <c r="D26">
        <v>1.5</v>
      </c>
      <c r="E26">
        <v>1.34</v>
      </c>
      <c r="F26">
        <v>13.01</v>
      </c>
      <c r="G26">
        <v>13.24</v>
      </c>
      <c r="H26">
        <v>13.1</v>
      </c>
      <c r="I26">
        <v>26.58</v>
      </c>
      <c r="J26">
        <v>33.61</v>
      </c>
      <c r="K26">
        <v>29.52</v>
      </c>
      <c r="L26">
        <v>40.98</v>
      </c>
      <c r="M26">
        <v>48.01</v>
      </c>
      <c r="N26">
        <v>43.96</v>
      </c>
      <c r="P26">
        <f t="shared" si="0"/>
        <v>2500</v>
      </c>
      <c r="Q26">
        <f>AVERAGE(N50:N51)</f>
        <v>52.709999999999994</v>
      </c>
    </row>
    <row r="27" spans="1:17" x14ac:dyDescent="0.25">
      <c r="A27">
        <v>1</v>
      </c>
      <c r="B27">
        <v>1300</v>
      </c>
      <c r="C27">
        <v>7.0000000000000007E-2</v>
      </c>
      <c r="D27">
        <v>0.16</v>
      </c>
      <c r="E27">
        <v>0.14000000000000001</v>
      </c>
      <c r="F27">
        <v>21.85</v>
      </c>
      <c r="G27">
        <v>21.92</v>
      </c>
      <c r="H27">
        <v>21.89</v>
      </c>
      <c r="I27">
        <v>0</v>
      </c>
      <c r="J27">
        <v>0</v>
      </c>
      <c r="K27">
        <v>0</v>
      </c>
      <c r="L27">
        <v>21.95</v>
      </c>
      <c r="M27">
        <v>22.07</v>
      </c>
      <c r="N27">
        <v>22.03</v>
      </c>
      <c r="P27">
        <f t="shared" si="0"/>
        <v>2600</v>
      </c>
      <c r="Q27">
        <f>AVERAGE(N52:N53)</f>
        <v>54.045000000000002</v>
      </c>
    </row>
    <row r="28" spans="1:17" x14ac:dyDescent="0.25">
      <c r="A28">
        <v>0</v>
      </c>
      <c r="B28">
        <v>1400</v>
      </c>
      <c r="C28">
        <v>1.34</v>
      </c>
      <c r="D28">
        <v>1.52</v>
      </c>
      <c r="E28">
        <v>1.42</v>
      </c>
      <c r="F28">
        <v>13.88</v>
      </c>
      <c r="G28">
        <v>14.07</v>
      </c>
      <c r="H28">
        <v>13.96</v>
      </c>
      <c r="I28">
        <v>26.69</v>
      </c>
      <c r="J28">
        <v>36.729999999999997</v>
      </c>
      <c r="K28">
        <v>30.04</v>
      </c>
      <c r="L28">
        <v>42.05</v>
      </c>
      <c r="M28">
        <v>52.21</v>
      </c>
      <c r="N28">
        <v>45.42</v>
      </c>
      <c r="P28">
        <f t="shared" si="0"/>
        <v>2700</v>
      </c>
      <c r="Q28">
        <f>AVERAGE(N54:N55)</f>
        <v>55.585000000000001</v>
      </c>
    </row>
    <row r="29" spans="1:17" x14ac:dyDescent="0.25">
      <c r="A29">
        <v>1</v>
      </c>
      <c r="B29">
        <v>1400</v>
      </c>
      <c r="C29">
        <v>0.06</v>
      </c>
      <c r="D29">
        <v>0.17</v>
      </c>
      <c r="E29">
        <v>0.12</v>
      </c>
      <c r="F29">
        <v>23.53</v>
      </c>
      <c r="G29">
        <v>23.68</v>
      </c>
      <c r="H29">
        <v>23.58</v>
      </c>
      <c r="I29">
        <v>0</v>
      </c>
      <c r="J29">
        <v>0</v>
      </c>
      <c r="K29">
        <v>0</v>
      </c>
      <c r="L29">
        <v>23.62</v>
      </c>
      <c r="M29">
        <v>23.78</v>
      </c>
      <c r="N29">
        <v>23.7</v>
      </c>
      <c r="P29">
        <f t="shared" si="0"/>
        <v>2800</v>
      </c>
      <c r="Q29">
        <f>AVERAGE(N56:N57)</f>
        <v>57.185000000000002</v>
      </c>
    </row>
    <row r="30" spans="1:17" x14ac:dyDescent="0.25">
      <c r="A30">
        <v>0</v>
      </c>
      <c r="B30">
        <v>1500</v>
      </c>
      <c r="C30">
        <v>1.38</v>
      </c>
      <c r="D30">
        <v>1.58</v>
      </c>
      <c r="E30">
        <v>1.45</v>
      </c>
      <c r="F30">
        <v>14.71</v>
      </c>
      <c r="G30">
        <v>15.24</v>
      </c>
      <c r="H30">
        <v>14.97</v>
      </c>
      <c r="I30">
        <v>27.62</v>
      </c>
      <c r="J30">
        <v>39.46</v>
      </c>
      <c r="K30">
        <v>30.54</v>
      </c>
      <c r="L30">
        <v>43.75</v>
      </c>
      <c r="M30">
        <v>55.92</v>
      </c>
      <c r="N30">
        <v>46.96</v>
      </c>
      <c r="P30">
        <v>2900</v>
      </c>
      <c r="Q30">
        <f>AVERAGE(N58:N59)</f>
        <v>59.534999999999997</v>
      </c>
    </row>
    <row r="31" spans="1:17" x14ac:dyDescent="0.25">
      <c r="A31">
        <v>1</v>
      </c>
      <c r="B31">
        <v>1500</v>
      </c>
      <c r="C31">
        <v>0.05</v>
      </c>
      <c r="D31">
        <v>0.17</v>
      </c>
      <c r="E31">
        <v>0.12</v>
      </c>
      <c r="F31">
        <v>25.05</v>
      </c>
      <c r="G31">
        <v>25.25</v>
      </c>
      <c r="H31">
        <v>25.13</v>
      </c>
      <c r="I31">
        <v>0</v>
      </c>
      <c r="J31">
        <v>0</v>
      </c>
      <c r="K31">
        <v>0</v>
      </c>
      <c r="L31">
        <v>25.13</v>
      </c>
      <c r="M31">
        <v>25.34</v>
      </c>
      <c r="N31">
        <v>25.25</v>
      </c>
      <c r="P31">
        <v>3000</v>
      </c>
      <c r="Q31">
        <f>AVERAGE(N60:N61)</f>
        <v>61.664999999999999</v>
      </c>
    </row>
    <row r="32" spans="1:17" x14ac:dyDescent="0.25">
      <c r="A32">
        <v>0</v>
      </c>
      <c r="B32">
        <v>1600</v>
      </c>
      <c r="C32">
        <v>1.43</v>
      </c>
      <c r="D32">
        <v>1.68</v>
      </c>
      <c r="E32">
        <v>1.52</v>
      </c>
      <c r="F32">
        <v>16.32</v>
      </c>
      <c r="G32">
        <v>16.61</v>
      </c>
      <c r="H32">
        <v>16.440000000000001</v>
      </c>
      <c r="I32">
        <v>27.28</v>
      </c>
      <c r="J32">
        <v>38.369999999999997</v>
      </c>
      <c r="K32">
        <v>30.87</v>
      </c>
      <c r="L32">
        <v>45.15</v>
      </c>
      <c r="M32">
        <v>56.5</v>
      </c>
      <c r="N32">
        <v>48.82</v>
      </c>
    </row>
    <row r="33" spans="1:14" x14ac:dyDescent="0.25">
      <c r="A33">
        <v>1</v>
      </c>
      <c r="B33">
        <v>1600</v>
      </c>
      <c r="C33">
        <v>0.05</v>
      </c>
      <c r="D33">
        <v>0.47</v>
      </c>
      <c r="E33">
        <v>0.12</v>
      </c>
      <c r="F33">
        <v>27.07</v>
      </c>
      <c r="G33">
        <v>27.27</v>
      </c>
      <c r="H33">
        <v>27.16</v>
      </c>
      <c r="I33">
        <v>0</v>
      </c>
      <c r="J33">
        <v>0</v>
      </c>
      <c r="K33">
        <v>0</v>
      </c>
      <c r="L33">
        <v>27.14</v>
      </c>
      <c r="M33">
        <v>27.69</v>
      </c>
      <c r="N33">
        <v>27.28</v>
      </c>
    </row>
    <row r="34" spans="1:14" x14ac:dyDescent="0.25">
      <c r="A34">
        <v>0</v>
      </c>
      <c r="B34">
        <v>1700</v>
      </c>
      <c r="C34">
        <v>1.48</v>
      </c>
      <c r="D34">
        <v>1.68</v>
      </c>
      <c r="E34">
        <v>1.58</v>
      </c>
      <c r="F34">
        <v>17.239999999999998</v>
      </c>
      <c r="G34">
        <v>17.54</v>
      </c>
      <c r="H34">
        <v>17.37</v>
      </c>
      <c r="I34">
        <v>28.26</v>
      </c>
      <c r="J34">
        <v>42.66</v>
      </c>
      <c r="K34">
        <v>31.59</v>
      </c>
      <c r="L34">
        <v>47.04</v>
      </c>
      <c r="M34">
        <v>61.82</v>
      </c>
      <c r="N34">
        <v>50.54</v>
      </c>
    </row>
    <row r="35" spans="1:14" x14ac:dyDescent="0.25">
      <c r="A35">
        <v>1</v>
      </c>
      <c r="B35">
        <v>1700</v>
      </c>
      <c r="C35">
        <v>0.05</v>
      </c>
      <c r="D35">
        <v>0.17</v>
      </c>
      <c r="E35">
        <v>0.12</v>
      </c>
      <c r="F35">
        <v>28.7</v>
      </c>
      <c r="G35">
        <v>28.95</v>
      </c>
      <c r="H35">
        <v>28.79</v>
      </c>
      <c r="I35">
        <v>0</v>
      </c>
      <c r="J35">
        <v>0</v>
      </c>
      <c r="K35">
        <v>0</v>
      </c>
      <c r="L35">
        <v>28.79</v>
      </c>
      <c r="M35">
        <v>29.07</v>
      </c>
      <c r="N35">
        <v>28.91</v>
      </c>
    </row>
    <row r="36" spans="1:14" x14ac:dyDescent="0.25">
      <c r="A36">
        <v>0</v>
      </c>
      <c r="B36">
        <v>1800</v>
      </c>
      <c r="C36">
        <v>1.52</v>
      </c>
      <c r="D36">
        <v>1.86</v>
      </c>
      <c r="E36">
        <v>1.63</v>
      </c>
      <c r="F36">
        <v>17.82</v>
      </c>
      <c r="G36">
        <v>18.16</v>
      </c>
      <c r="H36">
        <v>17.97</v>
      </c>
      <c r="I36">
        <v>28.33</v>
      </c>
      <c r="J36">
        <v>42.54</v>
      </c>
      <c r="K36">
        <v>32.44</v>
      </c>
      <c r="L36">
        <v>47.8</v>
      </c>
      <c r="M36">
        <v>62.28</v>
      </c>
      <c r="N36">
        <v>52.04</v>
      </c>
    </row>
    <row r="37" spans="1:14" x14ac:dyDescent="0.25">
      <c r="A37">
        <v>1</v>
      </c>
      <c r="B37">
        <v>1800</v>
      </c>
      <c r="C37">
        <v>0.08</v>
      </c>
      <c r="D37">
        <v>0.17</v>
      </c>
      <c r="E37">
        <v>0.13</v>
      </c>
      <c r="F37">
        <v>30.07</v>
      </c>
      <c r="G37">
        <v>30.3</v>
      </c>
      <c r="H37">
        <v>30.15</v>
      </c>
      <c r="I37">
        <v>0</v>
      </c>
      <c r="J37">
        <v>0</v>
      </c>
      <c r="K37">
        <v>0</v>
      </c>
      <c r="L37">
        <v>30.16</v>
      </c>
      <c r="M37">
        <v>30.4</v>
      </c>
      <c r="N37">
        <v>30.28</v>
      </c>
    </row>
    <row r="38" spans="1:14" x14ac:dyDescent="0.25">
      <c r="A38">
        <v>0</v>
      </c>
      <c r="B38">
        <v>1900</v>
      </c>
      <c r="C38">
        <v>1.62</v>
      </c>
      <c r="D38">
        <v>1.83</v>
      </c>
      <c r="E38">
        <v>1.69</v>
      </c>
      <c r="F38">
        <v>18.96</v>
      </c>
      <c r="G38">
        <v>19.41</v>
      </c>
      <c r="H38">
        <v>19.149999999999999</v>
      </c>
      <c r="I38">
        <v>28.57</v>
      </c>
      <c r="J38">
        <v>40.51</v>
      </c>
      <c r="K38">
        <v>32.74</v>
      </c>
      <c r="L38">
        <v>49.28</v>
      </c>
      <c r="M38">
        <v>61.64</v>
      </c>
      <c r="N38">
        <v>53.58</v>
      </c>
    </row>
    <row r="39" spans="1:14" x14ac:dyDescent="0.25">
      <c r="A39">
        <v>1</v>
      </c>
      <c r="B39">
        <v>1900</v>
      </c>
      <c r="C39">
        <v>0.06</v>
      </c>
      <c r="D39">
        <v>0.16</v>
      </c>
      <c r="E39">
        <v>0.12</v>
      </c>
      <c r="F39">
        <v>31.67</v>
      </c>
      <c r="G39">
        <v>31.88</v>
      </c>
      <c r="H39">
        <v>31.76</v>
      </c>
      <c r="I39">
        <v>0</v>
      </c>
      <c r="J39">
        <v>0</v>
      </c>
      <c r="K39">
        <v>0</v>
      </c>
      <c r="L39">
        <v>31.79</v>
      </c>
      <c r="M39">
        <v>31.99</v>
      </c>
      <c r="N39">
        <v>31.87</v>
      </c>
    </row>
    <row r="40" spans="1:14" x14ac:dyDescent="0.25">
      <c r="A40">
        <v>0</v>
      </c>
      <c r="B40">
        <v>2000</v>
      </c>
      <c r="C40">
        <v>1.2</v>
      </c>
      <c r="D40">
        <v>1.93</v>
      </c>
      <c r="E40">
        <v>1.73</v>
      </c>
      <c r="F40">
        <v>18.95</v>
      </c>
      <c r="G40">
        <v>20.67</v>
      </c>
      <c r="H40">
        <v>20.170000000000002</v>
      </c>
      <c r="I40">
        <v>10</v>
      </c>
      <c r="J40">
        <v>58.78</v>
      </c>
      <c r="K40">
        <v>32.96</v>
      </c>
      <c r="L40">
        <v>30.22</v>
      </c>
      <c r="M40">
        <v>81.38</v>
      </c>
      <c r="N40">
        <v>54.86</v>
      </c>
    </row>
    <row r="41" spans="1:14" x14ac:dyDescent="0.25">
      <c r="A41">
        <v>1</v>
      </c>
      <c r="B41">
        <v>2000</v>
      </c>
      <c r="C41">
        <v>0.06</v>
      </c>
      <c r="D41">
        <v>0.17</v>
      </c>
      <c r="E41">
        <v>0.12</v>
      </c>
      <c r="F41">
        <v>33.51</v>
      </c>
      <c r="G41">
        <v>33.81</v>
      </c>
      <c r="H41">
        <v>33.67</v>
      </c>
      <c r="I41">
        <v>0</v>
      </c>
      <c r="J41">
        <v>0</v>
      </c>
      <c r="K41">
        <v>0</v>
      </c>
      <c r="L41">
        <v>33.590000000000003</v>
      </c>
      <c r="M41">
        <v>33.93</v>
      </c>
      <c r="N41">
        <v>33.79</v>
      </c>
    </row>
    <row r="42" spans="1:14" x14ac:dyDescent="0.25">
      <c r="A42">
        <v>0</v>
      </c>
      <c r="B42">
        <v>2100</v>
      </c>
      <c r="C42">
        <v>1.73</v>
      </c>
      <c r="D42">
        <v>1.89</v>
      </c>
      <c r="E42">
        <v>1.82</v>
      </c>
      <c r="F42">
        <v>21.29</v>
      </c>
      <c r="G42">
        <v>21.58</v>
      </c>
      <c r="H42">
        <v>21.44</v>
      </c>
      <c r="I42">
        <v>29.26</v>
      </c>
      <c r="J42">
        <v>40.39</v>
      </c>
      <c r="K42">
        <v>33.17</v>
      </c>
      <c r="L42">
        <v>52.55</v>
      </c>
      <c r="M42">
        <v>63.73</v>
      </c>
      <c r="N42">
        <v>56.43</v>
      </c>
    </row>
    <row r="43" spans="1:14" x14ac:dyDescent="0.25">
      <c r="A43">
        <v>1</v>
      </c>
      <c r="B43">
        <v>2100</v>
      </c>
      <c r="C43">
        <v>0.06</v>
      </c>
      <c r="D43">
        <v>0.16</v>
      </c>
      <c r="E43">
        <v>0.11</v>
      </c>
      <c r="F43">
        <v>35.450000000000003</v>
      </c>
      <c r="G43">
        <v>35.69</v>
      </c>
      <c r="H43">
        <v>35.54</v>
      </c>
      <c r="I43">
        <v>0</v>
      </c>
      <c r="J43">
        <v>0</v>
      </c>
      <c r="K43">
        <v>0</v>
      </c>
      <c r="L43">
        <v>35.53</v>
      </c>
      <c r="M43">
        <v>35.78</v>
      </c>
      <c r="N43">
        <v>35.659999999999997</v>
      </c>
    </row>
    <row r="44" spans="1:14" x14ac:dyDescent="0.25">
      <c r="A44">
        <v>0</v>
      </c>
      <c r="B44">
        <v>2200</v>
      </c>
      <c r="C44">
        <v>1.79</v>
      </c>
      <c r="D44">
        <v>2</v>
      </c>
      <c r="E44">
        <v>1.88</v>
      </c>
      <c r="F44">
        <v>21.8</v>
      </c>
      <c r="G44">
        <v>22.25</v>
      </c>
      <c r="H44">
        <v>22.02</v>
      </c>
      <c r="I44">
        <v>29.86</v>
      </c>
      <c r="J44">
        <v>38.85</v>
      </c>
      <c r="K44">
        <v>33.130000000000003</v>
      </c>
      <c r="L44">
        <v>53.73</v>
      </c>
      <c r="M44">
        <v>62.93</v>
      </c>
      <c r="N44">
        <v>57.03</v>
      </c>
    </row>
    <row r="45" spans="1:14" x14ac:dyDescent="0.25">
      <c r="A45">
        <v>1</v>
      </c>
      <c r="B45">
        <v>2200</v>
      </c>
      <c r="C45">
        <v>7.0000000000000007E-2</v>
      </c>
      <c r="D45">
        <v>0.17</v>
      </c>
      <c r="E45">
        <v>0.12</v>
      </c>
      <c r="F45">
        <v>36.68</v>
      </c>
      <c r="G45">
        <v>37.03</v>
      </c>
      <c r="H45">
        <v>36.840000000000003</v>
      </c>
      <c r="I45">
        <v>0</v>
      </c>
      <c r="J45">
        <v>0</v>
      </c>
      <c r="K45">
        <v>0</v>
      </c>
      <c r="L45">
        <v>36.770000000000003</v>
      </c>
      <c r="M45">
        <v>37.159999999999997</v>
      </c>
      <c r="N45">
        <v>36.96</v>
      </c>
    </row>
    <row r="46" spans="1:14" x14ac:dyDescent="0.25">
      <c r="A46">
        <v>0</v>
      </c>
      <c r="B46">
        <v>2300</v>
      </c>
      <c r="C46">
        <v>1.86</v>
      </c>
      <c r="D46">
        <v>2.27</v>
      </c>
      <c r="E46">
        <v>1.95</v>
      </c>
      <c r="F46">
        <v>23.24</v>
      </c>
      <c r="G46">
        <v>24.13</v>
      </c>
      <c r="H46">
        <v>23.48</v>
      </c>
      <c r="I46">
        <v>31.02</v>
      </c>
      <c r="J46">
        <v>69.53</v>
      </c>
      <c r="K46">
        <v>36.25</v>
      </c>
      <c r="L46">
        <v>56.31</v>
      </c>
      <c r="M46">
        <v>95.73</v>
      </c>
      <c r="N46">
        <v>61.68</v>
      </c>
    </row>
    <row r="47" spans="1:14" x14ac:dyDescent="0.25">
      <c r="A47">
        <v>1</v>
      </c>
      <c r="B47">
        <v>2300</v>
      </c>
      <c r="C47">
        <v>0.06</v>
      </c>
      <c r="D47">
        <v>0.16</v>
      </c>
      <c r="E47">
        <v>0.11</v>
      </c>
      <c r="F47">
        <v>38.57</v>
      </c>
      <c r="G47">
        <v>38.840000000000003</v>
      </c>
      <c r="H47">
        <v>38.67</v>
      </c>
      <c r="I47">
        <v>0</v>
      </c>
      <c r="J47">
        <v>0</v>
      </c>
      <c r="K47">
        <v>0</v>
      </c>
      <c r="L47">
        <v>38.65</v>
      </c>
      <c r="M47">
        <v>38.93</v>
      </c>
      <c r="N47">
        <v>38.770000000000003</v>
      </c>
    </row>
    <row r="48" spans="1:14" x14ac:dyDescent="0.25">
      <c r="A48">
        <v>0</v>
      </c>
      <c r="B48">
        <v>2400</v>
      </c>
      <c r="C48">
        <v>1.93</v>
      </c>
      <c r="D48">
        <v>2.36</v>
      </c>
      <c r="E48">
        <v>2.04</v>
      </c>
      <c r="F48">
        <v>24.34</v>
      </c>
      <c r="G48">
        <v>25.32</v>
      </c>
      <c r="H48">
        <v>24.61</v>
      </c>
      <c r="I48">
        <v>31.2</v>
      </c>
      <c r="J48">
        <v>69.39</v>
      </c>
      <c r="K48">
        <v>36.85</v>
      </c>
      <c r="L48">
        <v>57.69</v>
      </c>
      <c r="M48">
        <v>96.81</v>
      </c>
      <c r="N48">
        <v>63.5</v>
      </c>
    </row>
    <row r="49" spans="1:14" x14ac:dyDescent="0.25">
      <c r="A49">
        <v>1</v>
      </c>
      <c r="B49">
        <v>2400</v>
      </c>
      <c r="C49">
        <v>0.05</v>
      </c>
      <c r="D49">
        <v>0.18</v>
      </c>
      <c r="E49">
        <v>0.11</v>
      </c>
      <c r="F49">
        <v>40.700000000000003</v>
      </c>
      <c r="G49">
        <v>40.99</v>
      </c>
      <c r="H49">
        <v>40.81</v>
      </c>
      <c r="I49">
        <v>0</v>
      </c>
      <c r="J49">
        <v>0</v>
      </c>
      <c r="K49">
        <v>0</v>
      </c>
      <c r="L49">
        <v>40.78</v>
      </c>
      <c r="M49">
        <v>41.1</v>
      </c>
      <c r="N49">
        <v>40.92</v>
      </c>
    </row>
    <row r="50" spans="1:14" x14ac:dyDescent="0.25">
      <c r="A50">
        <v>0</v>
      </c>
      <c r="B50">
        <v>2500</v>
      </c>
      <c r="C50">
        <v>1.92</v>
      </c>
      <c r="D50">
        <v>2.2599999999999998</v>
      </c>
      <c r="E50">
        <v>2.0499999999999998</v>
      </c>
      <c r="F50">
        <v>25.38</v>
      </c>
      <c r="G50">
        <v>25.96</v>
      </c>
      <c r="H50">
        <v>25.63</v>
      </c>
      <c r="I50">
        <v>32.1</v>
      </c>
      <c r="J50">
        <v>41.1</v>
      </c>
      <c r="K50">
        <v>35.340000000000003</v>
      </c>
      <c r="L50">
        <v>59.56</v>
      </c>
      <c r="M50">
        <v>69</v>
      </c>
      <c r="N50">
        <v>63.01</v>
      </c>
    </row>
    <row r="51" spans="1:14" x14ac:dyDescent="0.25">
      <c r="A51">
        <v>1</v>
      </c>
      <c r="B51">
        <v>2500</v>
      </c>
      <c r="C51">
        <v>0.06</v>
      </c>
      <c r="D51">
        <v>0.16</v>
      </c>
      <c r="E51">
        <v>0.1</v>
      </c>
      <c r="F51">
        <v>42.17</v>
      </c>
      <c r="G51">
        <v>42.5</v>
      </c>
      <c r="H51">
        <v>42.31</v>
      </c>
      <c r="I51">
        <v>0</v>
      </c>
      <c r="J51">
        <v>0</v>
      </c>
      <c r="K51">
        <v>0</v>
      </c>
      <c r="L51">
        <v>42.25</v>
      </c>
      <c r="M51">
        <v>42.59</v>
      </c>
      <c r="N51">
        <v>42.41</v>
      </c>
    </row>
    <row r="52" spans="1:14" x14ac:dyDescent="0.25">
      <c r="A52">
        <v>0</v>
      </c>
      <c r="B52">
        <v>2600</v>
      </c>
      <c r="C52">
        <v>2.0099999999999998</v>
      </c>
      <c r="D52">
        <v>2.21</v>
      </c>
      <c r="E52">
        <v>2.09</v>
      </c>
      <c r="F52">
        <v>26.36</v>
      </c>
      <c r="G52">
        <v>26.96</v>
      </c>
      <c r="H52">
        <v>26.57</v>
      </c>
      <c r="I52">
        <v>32.82</v>
      </c>
      <c r="J52">
        <v>50</v>
      </c>
      <c r="K52">
        <v>35.57</v>
      </c>
      <c r="L52">
        <v>61.37</v>
      </c>
      <c r="M52">
        <v>79.150000000000006</v>
      </c>
      <c r="N52">
        <v>64.23</v>
      </c>
    </row>
    <row r="53" spans="1:14" x14ac:dyDescent="0.25">
      <c r="A53">
        <v>1</v>
      </c>
      <c r="B53">
        <v>2600</v>
      </c>
      <c r="C53">
        <v>0.06</v>
      </c>
      <c r="D53">
        <v>0.16</v>
      </c>
      <c r="E53">
        <v>0.1</v>
      </c>
      <c r="F53">
        <v>43.68</v>
      </c>
      <c r="G53">
        <v>43.88</v>
      </c>
      <c r="H53">
        <v>43.76</v>
      </c>
      <c r="I53">
        <v>0</v>
      </c>
      <c r="J53">
        <v>0</v>
      </c>
      <c r="K53">
        <v>0</v>
      </c>
      <c r="L53">
        <v>43.74</v>
      </c>
      <c r="M53">
        <v>43.98</v>
      </c>
      <c r="N53">
        <v>43.86</v>
      </c>
    </row>
    <row r="54" spans="1:14" x14ac:dyDescent="0.25">
      <c r="A54">
        <v>0</v>
      </c>
      <c r="B54">
        <v>2700</v>
      </c>
      <c r="C54">
        <v>2.1</v>
      </c>
      <c r="D54">
        <v>2.37</v>
      </c>
      <c r="E54">
        <v>2.2200000000000002</v>
      </c>
      <c r="F54">
        <v>27.21</v>
      </c>
      <c r="G54">
        <v>27.54</v>
      </c>
      <c r="H54">
        <v>27.39</v>
      </c>
      <c r="I54">
        <v>32.82</v>
      </c>
      <c r="J54">
        <v>41.33</v>
      </c>
      <c r="K54">
        <v>36.01</v>
      </c>
      <c r="L54">
        <v>62.26</v>
      </c>
      <c r="M54">
        <v>71.06</v>
      </c>
      <c r="N54">
        <v>65.61</v>
      </c>
    </row>
    <row r="55" spans="1:14" x14ac:dyDescent="0.25">
      <c r="A55">
        <v>1</v>
      </c>
      <c r="B55">
        <v>2700</v>
      </c>
      <c r="C55">
        <v>0.06</v>
      </c>
      <c r="D55">
        <v>0.16</v>
      </c>
      <c r="E55">
        <v>0.1</v>
      </c>
      <c r="F55">
        <v>45.37</v>
      </c>
      <c r="G55">
        <v>45.56</v>
      </c>
      <c r="H55">
        <v>45.46</v>
      </c>
      <c r="I55">
        <v>0</v>
      </c>
      <c r="J55">
        <v>0</v>
      </c>
      <c r="K55">
        <v>0</v>
      </c>
      <c r="L55">
        <v>45.45</v>
      </c>
      <c r="M55">
        <v>45.67</v>
      </c>
      <c r="N55">
        <v>45.56</v>
      </c>
    </row>
    <row r="56" spans="1:14" x14ac:dyDescent="0.25">
      <c r="A56">
        <v>0</v>
      </c>
      <c r="B56">
        <v>2800</v>
      </c>
      <c r="C56">
        <v>2.14</v>
      </c>
      <c r="D56">
        <v>2.2999999999999998</v>
      </c>
      <c r="E56">
        <v>2.2200000000000002</v>
      </c>
      <c r="F56">
        <v>28.39</v>
      </c>
      <c r="G56">
        <v>28.82</v>
      </c>
      <c r="H56">
        <v>28.57</v>
      </c>
      <c r="I56">
        <v>33.17</v>
      </c>
      <c r="J56">
        <v>43.87</v>
      </c>
      <c r="K56">
        <v>36.14</v>
      </c>
      <c r="L56">
        <v>63.91</v>
      </c>
      <c r="M56">
        <v>74.97</v>
      </c>
      <c r="N56">
        <v>66.930000000000007</v>
      </c>
    </row>
    <row r="57" spans="1:14" x14ac:dyDescent="0.25">
      <c r="A57">
        <v>1</v>
      </c>
      <c r="B57">
        <v>2800</v>
      </c>
      <c r="C57">
        <v>0.06</v>
      </c>
      <c r="D57">
        <v>0.17</v>
      </c>
      <c r="E57">
        <v>0.1</v>
      </c>
      <c r="F57">
        <v>47.21</v>
      </c>
      <c r="G57">
        <v>47.46</v>
      </c>
      <c r="H57">
        <v>47.34</v>
      </c>
      <c r="I57">
        <v>0</v>
      </c>
      <c r="J57">
        <v>0</v>
      </c>
      <c r="K57">
        <v>0</v>
      </c>
      <c r="L57">
        <v>47.3</v>
      </c>
      <c r="M57">
        <v>47.58</v>
      </c>
      <c r="N57">
        <v>47.44</v>
      </c>
    </row>
    <row r="58" spans="1:14" x14ac:dyDescent="0.25">
      <c r="A58">
        <v>0</v>
      </c>
      <c r="B58">
        <v>2900</v>
      </c>
      <c r="C58">
        <v>2.21</v>
      </c>
      <c r="D58">
        <v>2.41</v>
      </c>
      <c r="E58">
        <v>2.31</v>
      </c>
      <c r="F58">
        <v>30.35</v>
      </c>
      <c r="G58">
        <v>30.87</v>
      </c>
      <c r="H58">
        <v>30.58</v>
      </c>
      <c r="I58">
        <v>34.14</v>
      </c>
      <c r="J58">
        <v>41.29</v>
      </c>
      <c r="K58">
        <v>36.93</v>
      </c>
      <c r="L58">
        <v>66.77</v>
      </c>
      <c r="M58">
        <v>74.44</v>
      </c>
      <c r="N58">
        <v>69.819999999999993</v>
      </c>
    </row>
    <row r="59" spans="1:14" x14ac:dyDescent="0.25">
      <c r="A59">
        <v>1</v>
      </c>
      <c r="B59">
        <v>2900</v>
      </c>
      <c r="C59">
        <v>0.06</v>
      </c>
      <c r="D59">
        <v>0.15</v>
      </c>
      <c r="E59">
        <v>0.09</v>
      </c>
      <c r="F59">
        <v>49.02</v>
      </c>
      <c r="G59">
        <v>49.28</v>
      </c>
      <c r="H59">
        <v>49.16</v>
      </c>
      <c r="I59">
        <v>0</v>
      </c>
      <c r="J59">
        <v>0</v>
      </c>
      <c r="K59">
        <v>0</v>
      </c>
      <c r="L59">
        <v>49.1</v>
      </c>
      <c r="M59">
        <v>49.37</v>
      </c>
      <c r="N59">
        <v>49.25</v>
      </c>
    </row>
    <row r="60" spans="1:14" x14ac:dyDescent="0.25">
      <c r="A60">
        <v>0</v>
      </c>
      <c r="B60">
        <v>3000</v>
      </c>
      <c r="C60">
        <v>2.25</v>
      </c>
      <c r="D60">
        <v>2.5499999999999998</v>
      </c>
      <c r="E60">
        <v>2.39</v>
      </c>
      <c r="F60">
        <v>31.44</v>
      </c>
      <c r="G60">
        <v>32.119999999999997</v>
      </c>
      <c r="H60">
        <v>31.73</v>
      </c>
      <c r="I60">
        <v>34.64</v>
      </c>
      <c r="J60">
        <v>45.97</v>
      </c>
      <c r="K60">
        <v>37.71</v>
      </c>
      <c r="L60">
        <v>68.61</v>
      </c>
      <c r="M60">
        <v>80.28</v>
      </c>
      <c r="N60">
        <v>71.83</v>
      </c>
    </row>
    <row r="61" spans="1:14" x14ac:dyDescent="0.25">
      <c r="A61">
        <v>1</v>
      </c>
      <c r="B61">
        <v>3000</v>
      </c>
      <c r="C61">
        <v>0.06</v>
      </c>
      <c r="D61">
        <v>0.34</v>
      </c>
      <c r="E61">
        <v>0.1</v>
      </c>
      <c r="F61">
        <v>51.21</v>
      </c>
      <c r="G61">
        <v>51.71</v>
      </c>
      <c r="H61">
        <v>51.4</v>
      </c>
      <c r="I61">
        <v>0</v>
      </c>
      <c r="J61">
        <v>0</v>
      </c>
      <c r="K61">
        <v>0</v>
      </c>
      <c r="L61">
        <v>51.31</v>
      </c>
      <c r="M61">
        <v>51.89</v>
      </c>
      <c r="N61">
        <v>51.5</v>
      </c>
    </row>
    <row r="62" spans="1:14" x14ac:dyDescent="0.25">
      <c r="A62">
        <v>0</v>
      </c>
      <c r="B62">
        <v>3100</v>
      </c>
      <c r="C62">
        <v>2.29</v>
      </c>
      <c r="D62">
        <v>2.5299999999999998</v>
      </c>
      <c r="E62">
        <v>2.38</v>
      </c>
      <c r="F62">
        <v>32.130000000000003</v>
      </c>
      <c r="G62">
        <v>32.61</v>
      </c>
      <c r="H62">
        <v>32.409999999999997</v>
      </c>
      <c r="I62">
        <v>35.17</v>
      </c>
      <c r="J62">
        <v>45.52</v>
      </c>
      <c r="K62">
        <v>38.83</v>
      </c>
      <c r="L62">
        <v>69.77</v>
      </c>
      <c r="M62">
        <v>80.53</v>
      </c>
      <c r="N62">
        <v>73.62</v>
      </c>
    </row>
    <row r="63" spans="1:14" x14ac:dyDescent="0.25">
      <c r="A63">
        <v>1</v>
      </c>
      <c r="B63">
        <v>3100</v>
      </c>
      <c r="C63">
        <v>0.06</v>
      </c>
      <c r="D63">
        <v>0.15</v>
      </c>
      <c r="E63">
        <v>0.1</v>
      </c>
      <c r="F63">
        <v>52.25</v>
      </c>
      <c r="G63">
        <v>52.51</v>
      </c>
      <c r="H63">
        <v>52.38</v>
      </c>
      <c r="I63">
        <v>0</v>
      </c>
      <c r="J63">
        <v>0</v>
      </c>
      <c r="K63">
        <v>0</v>
      </c>
      <c r="L63">
        <v>52.32</v>
      </c>
      <c r="M63">
        <v>52.61</v>
      </c>
      <c r="N63">
        <v>52.48</v>
      </c>
    </row>
    <row r="64" spans="1:14" x14ac:dyDescent="0.25">
      <c r="A64">
        <v>0</v>
      </c>
      <c r="B64">
        <v>3200</v>
      </c>
      <c r="C64">
        <v>2.41</v>
      </c>
      <c r="D64">
        <v>2.63</v>
      </c>
      <c r="E64">
        <v>2.5</v>
      </c>
      <c r="F64">
        <v>33.69</v>
      </c>
      <c r="G64">
        <v>34.130000000000003</v>
      </c>
      <c r="H64">
        <v>33.9</v>
      </c>
      <c r="I64">
        <v>35.08</v>
      </c>
      <c r="J64">
        <v>46.35</v>
      </c>
      <c r="K64">
        <v>38.700000000000003</v>
      </c>
      <c r="L64">
        <v>71.349999999999994</v>
      </c>
      <c r="M64">
        <v>82.88</v>
      </c>
      <c r="N64">
        <v>75.09</v>
      </c>
    </row>
    <row r="65" spans="1:14" x14ac:dyDescent="0.25">
      <c r="A65">
        <v>1</v>
      </c>
      <c r="B65">
        <v>3200</v>
      </c>
      <c r="C65">
        <v>0.06</v>
      </c>
      <c r="D65">
        <v>0.17</v>
      </c>
      <c r="E65">
        <v>0.1</v>
      </c>
      <c r="F65">
        <v>54.9</v>
      </c>
      <c r="G65">
        <v>55.24</v>
      </c>
      <c r="H65">
        <v>55.07</v>
      </c>
      <c r="I65">
        <v>0</v>
      </c>
      <c r="J65">
        <v>0</v>
      </c>
      <c r="K65">
        <v>0</v>
      </c>
      <c r="L65">
        <v>55</v>
      </c>
      <c r="M65">
        <v>55.33</v>
      </c>
      <c r="N65">
        <v>55.18</v>
      </c>
    </row>
    <row r="66" spans="1:14" x14ac:dyDescent="0.25">
      <c r="A66">
        <v>0</v>
      </c>
      <c r="B66">
        <v>3300</v>
      </c>
      <c r="C66">
        <v>2.42</v>
      </c>
      <c r="D66">
        <v>2.73</v>
      </c>
      <c r="E66">
        <v>2.54</v>
      </c>
      <c r="F66">
        <v>34.51</v>
      </c>
      <c r="G66">
        <v>35.159999999999997</v>
      </c>
      <c r="H66">
        <v>34.81</v>
      </c>
      <c r="I66">
        <v>35.880000000000003</v>
      </c>
      <c r="J66">
        <v>44.29</v>
      </c>
      <c r="K66">
        <v>38.85</v>
      </c>
      <c r="L66">
        <v>73.08</v>
      </c>
      <c r="M66">
        <v>81.849999999999994</v>
      </c>
      <c r="N66">
        <v>76.2</v>
      </c>
    </row>
    <row r="67" spans="1:14" x14ac:dyDescent="0.25">
      <c r="A67">
        <v>1</v>
      </c>
      <c r="B67">
        <v>3300</v>
      </c>
      <c r="C67">
        <v>0.06</v>
      </c>
      <c r="D67">
        <v>0.17</v>
      </c>
      <c r="E67">
        <v>0.11</v>
      </c>
      <c r="F67">
        <v>55.32</v>
      </c>
      <c r="G67">
        <v>55.58</v>
      </c>
      <c r="H67">
        <v>55.47</v>
      </c>
      <c r="I67">
        <v>0</v>
      </c>
      <c r="J67">
        <v>0</v>
      </c>
      <c r="K67">
        <v>0</v>
      </c>
      <c r="L67">
        <v>55.44</v>
      </c>
      <c r="M67">
        <v>55.72</v>
      </c>
      <c r="N67">
        <v>55.58</v>
      </c>
    </row>
    <row r="68" spans="1:14" x14ac:dyDescent="0.25">
      <c r="A68">
        <v>0</v>
      </c>
      <c r="B68">
        <v>3400</v>
      </c>
      <c r="C68">
        <v>2.48</v>
      </c>
      <c r="D68">
        <v>2.74</v>
      </c>
      <c r="E68">
        <v>2.57</v>
      </c>
      <c r="F68">
        <v>35.659999999999997</v>
      </c>
      <c r="G68">
        <v>36.07</v>
      </c>
      <c r="H68">
        <v>35.840000000000003</v>
      </c>
      <c r="I68">
        <v>36.15</v>
      </c>
      <c r="J68">
        <v>43.36</v>
      </c>
      <c r="K68">
        <v>39.56</v>
      </c>
      <c r="L68">
        <v>74.540000000000006</v>
      </c>
      <c r="M68">
        <v>82.06</v>
      </c>
      <c r="N68">
        <v>77.98</v>
      </c>
    </row>
    <row r="69" spans="1:14" x14ac:dyDescent="0.25">
      <c r="A69">
        <v>1</v>
      </c>
      <c r="B69">
        <v>3400</v>
      </c>
      <c r="C69">
        <v>7.0000000000000007E-2</v>
      </c>
      <c r="D69">
        <v>0.17</v>
      </c>
      <c r="E69">
        <v>0.1</v>
      </c>
      <c r="F69">
        <v>57.43</v>
      </c>
      <c r="G69">
        <v>57.69</v>
      </c>
      <c r="H69">
        <v>57.57</v>
      </c>
      <c r="I69">
        <v>0</v>
      </c>
      <c r="J69">
        <v>0</v>
      </c>
      <c r="K69">
        <v>0</v>
      </c>
      <c r="L69">
        <v>57.53</v>
      </c>
      <c r="M69">
        <v>57.78</v>
      </c>
      <c r="N69">
        <v>57.67</v>
      </c>
    </row>
    <row r="70" spans="1:14" x14ac:dyDescent="0.25">
      <c r="A70">
        <v>0</v>
      </c>
      <c r="B70">
        <v>3500</v>
      </c>
      <c r="C70">
        <v>2.66</v>
      </c>
      <c r="D70">
        <v>2.66</v>
      </c>
      <c r="E70">
        <v>2.66</v>
      </c>
      <c r="F70">
        <v>36.82</v>
      </c>
      <c r="G70">
        <v>36.82</v>
      </c>
      <c r="H70">
        <v>36.82</v>
      </c>
      <c r="I70">
        <v>39.619999999999997</v>
      </c>
      <c r="J70">
        <v>39.619999999999997</v>
      </c>
      <c r="K70">
        <v>39.619999999999997</v>
      </c>
      <c r="L70">
        <v>79.09</v>
      </c>
      <c r="M70">
        <v>79.09</v>
      </c>
      <c r="N70">
        <v>79.09</v>
      </c>
    </row>
    <row r="71" spans="1:14" x14ac:dyDescent="0.25">
      <c r="A71">
        <v>1</v>
      </c>
      <c r="B71">
        <v>3500</v>
      </c>
      <c r="C71">
        <v>7.0000000000000007E-2</v>
      </c>
      <c r="D71">
        <v>7.0000000000000007E-2</v>
      </c>
      <c r="E71">
        <v>7.0000000000000007E-2</v>
      </c>
      <c r="F71">
        <v>58.96</v>
      </c>
      <c r="G71">
        <v>58.96</v>
      </c>
      <c r="H71">
        <v>58.96</v>
      </c>
      <c r="I71">
        <v>0</v>
      </c>
      <c r="J71">
        <v>0</v>
      </c>
      <c r="K71">
        <v>0</v>
      </c>
      <c r="L71">
        <v>59.03</v>
      </c>
      <c r="M71">
        <v>59.03</v>
      </c>
      <c r="N71">
        <v>59.03</v>
      </c>
    </row>
    <row r="74" spans="1:14" x14ac:dyDescent="0.25">
      <c r="A74" t="s">
        <v>13</v>
      </c>
      <c r="B74" t="s">
        <v>14</v>
      </c>
    </row>
    <row r="75" spans="1:14" x14ac:dyDescent="0.25">
      <c r="A75" t="s">
        <v>15</v>
      </c>
      <c r="B75">
        <v>15</v>
      </c>
    </row>
    <row r="76" spans="1:14" x14ac:dyDescent="0.25">
      <c r="A76" t="s">
        <v>16</v>
      </c>
      <c r="B76" t="s">
        <v>17</v>
      </c>
    </row>
    <row r="77" spans="1:14" x14ac:dyDescent="0.25">
      <c r="A77" t="s">
        <v>18</v>
      </c>
      <c r="B77">
        <v>15</v>
      </c>
    </row>
    <row r="78" spans="1:14" x14ac:dyDescent="0.25">
      <c r="A78" t="s">
        <v>19</v>
      </c>
      <c r="B78" t="s">
        <v>17</v>
      </c>
    </row>
    <row r="79" spans="1:14" x14ac:dyDescent="0.25">
      <c r="A79" t="s">
        <v>20</v>
      </c>
      <c r="B79" t="s">
        <v>17</v>
      </c>
    </row>
    <row r="80" spans="1:14" x14ac:dyDescent="0.25">
      <c r="A80" t="s">
        <v>21</v>
      </c>
      <c r="B80">
        <v>15</v>
      </c>
    </row>
    <row r="81" spans="1:2" x14ac:dyDescent="0.25">
      <c r="A81" t="s">
        <v>22</v>
      </c>
      <c r="B81" t="s">
        <v>17</v>
      </c>
    </row>
    <row r="82" spans="1:2" x14ac:dyDescent="0.25">
      <c r="A82" t="s">
        <v>23</v>
      </c>
      <c r="B82" t="s">
        <v>17</v>
      </c>
    </row>
    <row r="83" spans="1:2" x14ac:dyDescent="0.25">
      <c r="A83" t="s">
        <v>24</v>
      </c>
      <c r="B83" t="s">
        <v>17</v>
      </c>
    </row>
    <row r="84" spans="1:2" x14ac:dyDescent="0.25">
      <c r="A84" t="s">
        <v>25</v>
      </c>
      <c r="B84" t="s">
        <v>17</v>
      </c>
    </row>
    <row r="85" spans="1:2" x14ac:dyDescent="0.25">
      <c r="A85" t="s">
        <v>26</v>
      </c>
      <c r="B85" t="s">
        <v>34</v>
      </c>
    </row>
    <row r="87" spans="1:2" x14ac:dyDescent="0.25">
      <c r="A87" t="s">
        <v>27</v>
      </c>
    </row>
    <row r="88" spans="1:2" x14ac:dyDescent="0.25">
      <c r="A88" t="s">
        <v>28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88"/>
  <sheetViews>
    <sheetView workbookViewId="0">
      <selection activeCell="Q2" sqref="Q2:Q3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s="1" t="s">
        <v>12</v>
      </c>
    </row>
    <row r="2" spans="1:17" x14ac:dyDescent="0.25">
      <c r="A2">
        <v>0</v>
      </c>
      <c r="B2">
        <v>100</v>
      </c>
      <c r="C2">
        <v>0.1</v>
      </c>
      <c r="D2">
        <v>0.16</v>
      </c>
      <c r="E2">
        <v>0.14000000000000001</v>
      </c>
      <c r="F2">
        <v>0.05</v>
      </c>
      <c r="G2">
        <v>0.05</v>
      </c>
      <c r="H2">
        <v>0.05</v>
      </c>
      <c r="I2">
        <v>1.66</v>
      </c>
      <c r="J2">
        <v>1.76</v>
      </c>
      <c r="K2">
        <v>1.71</v>
      </c>
      <c r="L2">
        <v>1.85</v>
      </c>
      <c r="M2">
        <v>1.97</v>
      </c>
      <c r="N2">
        <v>1.89</v>
      </c>
      <c r="P2">
        <v>100</v>
      </c>
      <c r="Q2">
        <f>AVERAGE(N2:N3)</f>
        <v>0.995</v>
      </c>
    </row>
    <row r="3" spans="1:17" x14ac:dyDescent="0.25">
      <c r="A3">
        <v>1</v>
      </c>
      <c r="B3">
        <v>100</v>
      </c>
      <c r="C3">
        <v>0.09</v>
      </c>
      <c r="D3">
        <v>0.11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0.09</v>
      </c>
      <c r="M3">
        <v>0.11</v>
      </c>
      <c r="N3">
        <v>0.1</v>
      </c>
      <c r="P3">
        <f>P2+100</f>
        <v>200</v>
      </c>
      <c r="Q3">
        <f>AVERAGE(N4:N5)</f>
        <v>13.280000000000001</v>
      </c>
    </row>
    <row r="4" spans="1:17" x14ac:dyDescent="0.25">
      <c r="A4">
        <v>0</v>
      </c>
      <c r="B4">
        <v>200</v>
      </c>
      <c r="C4">
        <v>0.11</v>
      </c>
      <c r="D4">
        <v>0.16</v>
      </c>
      <c r="E4">
        <v>0.13</v>
      </c>
      <c r="F4">
        <v>1.68</v>
      </c>
      <c r="G4">
        <v>1.81</v>
      </c>
      <c r="H4">
        <v>1.73</v>
      </c>
      <c r="I4">
        <v>18.39</v>
      </c>
      <c r="J4">
        <v>28.53</v>
      </c>
      <c r="K4">
        <v>21.44</v>
      </c>
      <c r="L4">
        <v>20.25</v>
      </c>
      <c r="M4">
        <v>30.41</v>
      </c>
      <c r="N4">
        <v>23.3</v>
      </c>
      <c r="P4">
        <f t="shared" ref="P4:P29" si="0">P3+100</f>
        <v>300</v>
      </c>
      <c r="Q4">
        <f>AVERAGE(N6:N7)</f>
        <v>14.35</v>
      </c>
    </row>
    <row r="5" spans="1:17" x14ac:dyDescent="0.25">
      <c r="A5">
        <v>1</v>
      </c>
      <c r="B5">
        <v>200</v>
      </c>
      <c r="C5">
        <v>0.12</v>
      </c>
      <c r="D5">
        <v>0.15</v>
      </c>
      <c r="E5">
        <v>0.14000000000000001</v>
      </c>
      <c r="F5">
        <v>3.12</v>
      </c>
      <c r="G5">
        <v>3.14</v>
      </c>
      <c r="H5">
        <v>3.12</v>
      </c>
      <c r="I5">
        <v>0</v>
      </c>
      <c r="J5">
        <v>0</v>
      </c>
      <c r="K5">
        <v>0</v>
      </c>
      <c r="L5">
        <v>3.23</v>
      </c>
      <c r="M5">
        <v>3.29</v>
      </c>
      <c r="N5">
        <v>3.26</v>
      </c>
      <c r="P5">
        <f t="shared" si="0"/>
        <v>400</v>
      </c>
      <c r="Q5">
        <f>AVERAGE(N8:N9)</f>
        <v>16.18</v>
      </c>
    </row>
    <row r="6" spans="1:17" x14ac:dyDescent="0.25">
      <c r="A6">
        <v>0</v>
      </c>
      <c r="B6">
        <v>300</v>
      </c>
      <c r="C6">
        <v>0.11</v>
      </c>
      <c r="D6">
        <v>0.17</v>
      </c>
      <c r="E6">
        <v>0.14000000000000001</v>
      </c>
      <c r="F6">
        <v>2.2599999999999998</v>
      </c>
      <c r="G6">
        <v>2.35</v>
      </c>
      <c r="H6">
        <v>2.31</v>
      </c>
      <c r="I6">
        <v>19.3</v>
      </c>
      <c r="J6">
        <v>25.55</v>
      </c>
      <c r="K6">
        <v>21.45</v>
      </c>
      <c r="L6">
        <v>21.76</v>
      </c>
      <c r="M6">
        <v>28</v>
      </c>
      <c r="N6">
        <v>23.89</v>
      </c>
      <c r="P6">
        <f t="shared" si="0"/>
        <v>500</v>
      </c>
      <c r="Q6">
        <f>AVERAGE(N10:N11)</f>
        <v>17.585000000000001</v>
      </c>
    </row>
    <row r="7" spans="1:17" x14ac:dyDescent="0.25">
      <c r="A7">
        <v>1</v>
      </c>
      <c r="B7">
        <v>300</v>
      </c>
      <c r="C7">
        <v>0.09</v>
      </c>
      <c r="D7">
        <v>0.15</v>
      </c>
      <c r="E7">
        <v>0.13</v>
      </c>
      <c r="F7">
        <v>4.66</v>
      </c>
      <c r="G7">
        <v>4.7</v>
      </c>
      <c r="H7">
        <v>4.68</v>
      </c>
      <c r="I7">
        <v>0</v>
      </c>
      <c r="J7">
        <v>0</v>
      </c>
      <c r="K7">
        <v>0</v>
      </c>
      <c r="L7">
        <v>4.76</v>
      </c>
      <c r="M7">
        <v>4.8499999999999996</v>
      </c>
      <c r="N7">
        <v>4.8099999999999996</v>
      </c>
      <c r="P7">
        <f t="shared" si="0"/>
        <v>600</v>
      </c>
      <c r="Q7">
        <f>AVERAGE(N12:N13)</f>
        <v>19.350000000000001</v>
      </c>
    </row>
    <row r="8" spans="1:17" x14ac:dyDescent="0.25">
      <c r="A8">
        <v>0</v>
      </c>
      <c r="B8">
        <v>400</v>
      </c>
      <c r="C8">
        <v>0.1</v>
      </c>
      <c r="D8">
        <v>0.19</v>
      </c>
      <c r="E8">
        <v>0.14000000000000001</v>
      </c>
      <c r="F8">
        <v>2.93</v>
      </c>
      <c r="G8">
        <v>3.02</v>
      </c>
      <c r="H8">
        <v>2.97</v>
      </c>
      <c r="I8">
        <v>20.38</v>
      </c>
      <c r="J8">
        <v>26</v>
      </c>
      <c r="K8">
        <v>22.77</v>
      </c>
      <c r="L8">
        <v>23.49</v>
      </c>
      <c r="M8">
        <v>29.14</v>
      </c>
      <c r="N8">
        <v>25.87</v>
      </c>
      <c r="P8">
        <f t="shared" si="0"/>
        <v>700</v>
      </c>
      <c r="Q8">
        <f>AVERAGE(N14:N15)</f>
        <v>21.47</v>
      </c>
    </row>
    <row r="9" spans="1:17" x14ac:dyDescent="0.25">
      <c r="A9">
        <v>1</v>
      </c>
      <c r="B9">
        <v>400</v>
      </c>
      <c r="C9">
        <v>7.0000000000000007E-2</v>
      </c>
      <c r="D9">
        <v>0.15</v>
      </c>
      <c r="E9">
        <v>0.12</v>
      </c>
      <c r="F9">
        <v>6.33</v>
      </c>
      <c r="G9">
        <v>6.49</v>
      </c>
      <c r="H9">
        <v>6.37</v>
      </c>
      <c r="I9">
        <v>0</v>
      </c>
      <c r="J9">
        <v>0</v>
      </c>
      <c r="K9">
        <v>0</v>
      </c>
      <c r="L9">
        <v>6.42</v>
      </c>
      <c r="M9">
        <v>6.61</v>
      </c>
      <c r="N9">
        <v>6.49</v>
      </c>
      <c r="P9">
        <f t="shared" si="0"/>
        <v>800</v>
      </c>
      <c r="Q9">
        <f>AVERAGE(N16:N17)</f>
        <v>22.055</v>
      </c>
    </row>
    <row r="10" spans="1:17" x14ac:dyDescent="0.25">
      <c r="A10">
        <v>0</v>
      </c>
      <c r="B10">
        <v>500</v>
      </c>
      <c r="C10">
        <v>0.1</v>
      </c>
      <c r="D10">
        <v>0.19</v>
      </c>
      <c r="E10">
        <v>0.14000000000000001</v>
      </c>
      <c r="F10">
        <v>3.51</v>
      </c>
      <c r="G10">
        <v>3.69</v>
      </c>
      <c r="H10">
        <v>3.57</v>
      </c>
      <c r="I10">
        <v>21.15</v>
      </c>
      <c r="J10">
        <v>27.43</v>
      </c>
      <c r="K10">
        <v>23.52</v>
      </c>
      <c r="L10">
        <v>24.94</v>
      </c>
      <c r="M10">
        <v>31.09</v>
      </c>
      <c r="N10">
        <v>27.24</v>
      </c>
      <c r="P10">
        <f t="shared" si="0"/>
        <v>900</v>
      </c>
      <c r="Q10">
        <f>AVERAGE(N18:N19)</f>
        <v>23.11</v>
      </c>
    </row>
    <row r="11" spans="1:17" x14ac:dyDescent="0.25">
      <c r="A11">
        <v>1</v>
      </c>
      <c r="B11">
        <v>500</v>
      </c>
      <c r="C11">
        <v>7.0000000000000007E-2</v>
      </c>
      <c r="D11">
        <v>0.15</v>
      </c>
      <c r="E11">
        <v>0.13</v>
      </c>
      <c r="F11">
        <v>7.77</v>
      </c>
      <c r="G11">
        <v>7.94</v>
      </c>
      <c r="H11">
        <v>7.8</v>
      </c>
      <c r="I11">
        <v>0</v>
      </c>
      <c r="J11">
        <v>0</v>
      </c>
      <c r="K11">
        <v>0</v>
      </c>
      <c r="L11">
        <v>7.86</v>
      </c>
      <c r="M11">
        <v>8.0299999999999994</v>
      </c>
      <c r="N11">
        <v>7.93</v>
      </c>
      <c r="P11">
        <f t="shared" si="0"/>
        <v>1000</v>
      </c>
      <c r="Q11">
        <f>AVERAGE(N20:N21)</f>
        <v>24.36</v>
      </c>
    </row>
    <row r="12" spans="1:17" x14ac:dyDescent="0.25">
      <c r="A12">
        <v>0</v>
      </c>
      <c r="B12">
        <v>600</v>
      </c>
      <c r="C12">
        <v>0.1</v>
      </c>
      <c r="D12">
        <v>0.23</v>
      </c>
      <c r="E12">
        <v>0.15</v>
      </c>
      <c r="F12">
        <v>4.13</v>
      </c>
      <c r="G12">
        <v>4.29</v>
      </c>
      <c r="H12">
        <v>4.1900000000000004</v>
      </c>
      <c r="I12">
        <v>21.62</v>
      </c>
      <c r="J12">
        <v>59.08</v>
      </c>
      <c r="K12">
        <v>24.85</v>
      </c>
      <c r="L12">
        <v>25.92</v>
      </c>
      <c r="M12">
        <v>63.55</v>
      </c>
      <c r="N12">
        <v>29.18</v>
      </c>
      <c r="P12">
        <f t="shared" si="0"/>
        <v>1100</v>
      </c>
      <c r="Q12">
        <f>AVERAGE(N22:N23)</f>
        <v>25.78</v>
      </c>
    </row>
    <row r="13" spans="1:17" x14ac:dyDescent="0.25">
      <c r="A13">
        <v>1</v>
      </c>
      <c r="B13">
        <v>600</v>
      </c>
      <c r="C13">
        <v>7.0000000000000007E-2</v>
      </c>
      <c r="D13">
        <v>0.15</v>
      </c>
      <c r="E13">
        <v>0.13</v>
      </c>
      <c r="F13">
        <v>9.36</v>
      </c>
      <c r="G13">
        <v>9.5299999999999994</v>
      </c>
      <c r="H13">
        <v>9.39</v>
      </c>
      <c r="I13">
        <v>0</v>
      </c>
      <c r="J13">
        <v>0</v>
      </c>
      <c r="K13">
        <v>0</v>
      </c>
      <c r="L13">
        <v>9.48</v>
      </c>
      <c r="M13">
        <v>9.65</v>
      </c>
      <c r="N13">
        <v>9.52</v>
      </c>
      <c r="P13">
        <f t="shared" si="0"/>
        <v>1200</v>
      </c>
      <c r="Q13">
        <f>AVERAGE(N24:N25)</f>
        <v>27.729999999999997</v>
      </c>
    </row>
    <row r="14" spans="1:17" x14ac:dyDescent="0.25">
      <c r="A14">
        <v>0</v>
      </c>
      <c r="B14">
        <v>700</v>
      </c>
      <c r="C14">
        <v>0.11</v>
      </c>
      <c r="D14">
        <v>0.2</v>
      </c>
      <c r="E14">
        <v>0.15</v>
      </c>
      <c r="F14">
        <v>4.76</v>
      </c>
      <c r="G14">
        <v>4.99</v>
      </c>
      <c r="H14">
        <v>4.8099999999999996</v>
      </c>
      <c r="I14">
        <v>22.89</v>
      </c>
      <c r="J14">
        <v>78.489999999999995</v>
      </c>
      <c r="K14">
        <v>26.86</v>
      </c>
      <c r="L14">
        <v>27.86</v>
      </c>
      <c r="M14">
        <v>83.63</v>
      </c>
      <c r="N14">
        <v>31.83</v>
      </c>
      <c r="P14">
        <f t="shared" si="0"/>
        <v>1300</v>
      </c>
      <c r="Q14">
        <f>AVERAGE(N26:N27)</f>
        <v>28.825000000000003</v>
      </c>
    </row>
    <row r="15" spans="1:17" x14ac:dyDescent="0.25">
      <c r="A15">
        <v>1</v>
      </c>
      <c r="B15">
        <v>700</v>
      </c>
      <c r="C15">
        <v>0.06</v>
      </c>
      <c r="D15">
        <v>0.16</v>
      </c>
      <c r="E15">
        <v>0.13</v>
      </c>
      <c r="F15">
        <v>10.93</v>
      </c>
      <c r="G15">
        <v>11.12</v>
      </c>
      <c r="H15">
        <v>10.98</v>
      </c>
      <c r="I15">
        <v>0</v>
      </c>
      <c r="J15">
        <v>0</v>
      </c>
      <c r="K15">
        <v>0</v>
      </c>
      <c r="L15">
        <v>11.01</v>
      </c>
      <c r="M15">
        <v>11.21</v>
      </c>
      <c r="N15">
        <v>11.11</v>
      </c>
      <c r="P15">
        <f t="shared" si="0"/>
        <v>1400</v>
      </c>
      <c r="Q15">
        <f>AVERAGE(N28:N29)</f>
        <v>29.954999999999998</v>
      </c>
    </row>
    <row r="16" spans="1:17" x14ac:dyDescent="0.25">
      <c r="A16">
        <v>0</v>
      </c>
      <c r="B16">
        <v>800</v>
      </c>
      <c r="C16">
        <v>0.11</v>
      </c>
      <c r="D16">
        <v>0.19</v>
      </c>
      <c r="E16">
        <v>0.15</v>
      </c>
      <c r="F16">
        <v>5.46</v>
      </c>
      <c r="G16">
        <v>5.58</v>
      </c>
      <c r="H16">
        <v>5.52</v>
      </c>
      <c r="I16">
        <v>23.24</v>
      </c>
      <c r="J16">
        <v>32.979999999999997</v>
      </c>
      <c r="K16">
        <v>25.53</v>
      </c>
      <c r="L16">
        <v>28.88</v>
      </c>
      <c r="M16">
        <v>38.68</v>
      </c>
      <c r="N16">
        <v>31.2</v>
      </c>
      <c r="P16">
        <f t="shared" si="0"/>
        <v>1500</v>
      </c>
      <c r="Q16">
        <f>AVERAGE(N30:N31)</f>
        <v>31.83</v>
      </c>
    </row>
    <row r="17" spans="1:17" x14ac:dyDescent="0.25">
      <c r="A17">
        <v>1</v>
      </c>
      <c r="B17">
        <v>800</v>
      </c>
      <c r="C17">
        <v>7.0000000000000007E-2</v>
      </c>
      <c r="D17">
        <v>0.17</v>
      </c>
      <c r="E17">
        <v>0.12</v>
      </c>
      <c r="F17">
        <v>12.72</v>
      </c>
      <c r="G17">
        <v>12.9</v>
      </c>
      <c r="H17">
        <v>12.79</v>
      </c>
      <c r="I17">
        <v>0</v>
      </c>
      <c r="J17">
        <v>0</v>
      </c>
      <c r="K17">
        <v>0</v>
      </c>
      <c r="L17">
        <v>12.81</v>
      </c>
      <c r="M17">
        <v>13</v>
      </c>
      <c r="N17">
        <v>12.91</v>
      </c>
      <c r="P17">
        <f t="shared" si="0"/>
        <v>1600</v>
      </c>
      <c r="Q17">
        <f>AVERAGE(N32:N33)</f>
        <v>33</v>
      </c>
    </row>
    <row r="18" spans="1:17" x14ac:dyDescent="0.25">
      <c r="A18">
        <v>0</v>
      </c>
      <c r="B18">
        <v>900</v>
      </c>
      <c r="C18">
        <v>0.11</v>
      </c>
      <c r="D18">
        <v>0.23</v>
      </c>
      <c r="E18">
        <v>0.16</v>
      </c>
      <c r="F18">
        <v>5.46</v>
      </c>
      <c r="G18">
        <v>6.16</v>
      </c>
      <c r="H18">
        <v>6.03</v>
      </c>
      <c r="I18">
        <v>10.94</v>
      </c>
      <c r="J18">
        <v>55.89</v>
      </c>
      <c r="K18">
        <v>25.96</v>
      </c>
      <c r="L18">
        <v>16.559999999999999</v>
      </c>
      <c r="M18">
        <v>62.16</v>
      </c>
      <c r="N18">
        <v>32.15</v>
      </c>
      <c r="P18">
        <f t="shared" si="0"/>
        <v>1700</v>
      </c>
      <c r="Q18">
        <f>AVERAGE(N34:N35)</f>
        <v>34.285000000000004</v>
      </c>
    </row>
    <row r="19" spans="1:17" x14ac:dyDescent="0.25">
      <c r="A19">
        <v>1</v>
      </c>
      <c r="B19">
        <v>900</v>
      </c>
      <c r="C19">
        <v>0.12</v>
      </c>
      <c r="D19">
        <v>0.16</v>
      </c>
      <c r="E19">
        <v>0.14000000000000001</v>
      </c>
      <c r="F19">
        <v>13.88</v>
      </c>
      <c r="G19">
        <v>13.98</v>
      </c>
      <c r="H19">
        <v>13.93</v>
      </c>
      <c r="I19">
        <v>0</v>
      </c>
      <c r="J19">
        <v>0</v>
      </c>
      <c r="K19">
        <v>0</v>
      </c>
      <c r="L19">
        <v>14.01</v>
      </c>
      <c r="M19">
        <v>14.13</v>
      </c>
      <c r="N19">
        <v>14.07</v>
      </c>
      <c r="P19">
        <f t="shared" si="0"/>
        <v>1800</v>
      </c>
      <c r="Q19">
        <f>AVERAGE(N36:N37)</f>
        <v>35.35</v>
      </c>
    </row>
    <row r="20" spans="1:17" x14ac:dyDescent="0.25">
      <c r="A20">
        <v>0</v>
      </c>
      <c r="B20">
        <v>1000</v>
      </c>
      <c r="C20">
        <v>0.09</v>
      </c>
      <c r="D20">
        <v>0.21</v>
      </c>
      <c r="E20">
        <v>0.14000000000000001</v>
      </c>
      <c r="F20">
        <v>6.65</v>
      </c>
      <c r="G20">
        <v>7.03</v>
      </c>
      <c r="H20">
        <v>6.74</v>
      </c>
      <c r="I20">
        <v>23.45</v>
      </c>
      <c r="J20">
        <v>29.62</v>
      </c>
      <c r="K20">
        <v>26.12</v>
      </c>
      <c r="L20">
        <v>30.39</v>
      </c>
      <c r="M20">
        <v>36.5</v>
      </c>
      <c r="N20">
        <v>33</v>
      </c>
      <c r="P20">
        <f t="shared" si="0"/>
        <v>1900</v>
      </c>
      <c r="Q20">
        <f>AVERAGE(N38:N39)</f>
        <v>37.204999999999998</v>
      </c>
    </row>
    <row r="21" spans="1:17" x14ac:dyDescent="0.25">
      <c r="A21">
        <v>1</v>
      </c>
      <c r="B21">
        <v>1000</v>
      </c>
      <c r="C21">
        <v>7.0000000000000007E-2</v>
      </c>
      <c r="D21">
        <v>0.16</v>
      </c>
      <c r="E21">
        <v>0.13</v>
      </c>
      <c r="F21">
        <v>15.54</v>
      </c>
      <c r="G21">
        <v>15.71</v>
      </c>
      <c r="H21">
        <v>15.59</v>
      </c>
      <c r="I21">
        <v>0</v>
      </c>
      <c r="J21">
        <v>0</v>
      </c>
      <c r="K21">
        <v>0</v>
      </c>
      <c r="L21">
        <v>15.64</v>
      </c>
      <c r="M21">
        <v>15.81</v>
      </c>
      <c r="N21">
        <v>15.72</v>
      </c>
      <c r="P21">
        <f t="shared" si="0"/>
        <v>2000</v>
      </c>
      <c r="Q21">
        <f>AVERAGE(N40:N41)</f>
        <v>39.07</v>
      </c>
    </row>
    <row r="22" spans="1:17" x14ac:dyDescent="0.25">
      <c r="A22">
        <v>0</v>
      </c>
      <c r="B22">
        <v>1100</v>
      </c>
      <c r="C22">
        <v>7.0000000000000007E-2</v>
      </c>
      <c r="D22">
        <v>0.2</v>
      </c>
      <c r="E22">
        <v>0.14000000000000001</v>
      </c>
      <c r="F22">
        <v>7.22</v>
      </c>
      <c r="G22">
        <v>7.37</v>
      </c>
      <c r="H22">
        <v>7.29</v>
      </c>
      <c r="I22">
        <v>24.81</v>
      </c>
      <c r="J22">
        <v>31.49</v>
      </c>
      <c r="K22">
        <v>27.02</v>
      </c>
      <c r="L22">
        <v>32.21</v>
      </c>
      <c r="M22">
        <v>38.94</v>
      </c>
      <c r="N22">
        <v>34.450000000000003</v>
      </c>
      <c r="P22">
        <f t="shared" si="0"/>
        <v>2100</v>
      </c>
      <c r="Q22">
        <f>AVERAGE(N42:N43)</f>
        <v>40.08</v>
      </c>
    </row>
    <row r="23" spans="1:17" x14ac:dyDescent="0.25">
      <c r="A23">
        <v>1</v>
      </c>
      <c r="B23">
        <v>1100</v>
      </c>
      <c r="C23">
        <v>0.06</v>
      </c>
      <c r="D23">
        <v>0.17</v>
      </c>
      <c r="E23">
        <v>0.12</v>
      </c>
      <c r="F23">
        <v>16.93</v>
      </c>
      <c r="G23">
        <v>17.13</v>
      </c>
      <c r="H23">
        <v>16.989999999999998</v>
      </c>
      <c r="I23">
        <v>0</v>
      </c>
      <c r="J23">
        <v>0</v>
      </c>
      <c r="K23">
        <v>0</v>
      </c>
      <c r="L23">
        <v>17.03</v>
      </c>
      <c r="M23">
        <v>17.260000000000002</v>
      </c>
      <c r="N23">
        <v>17.11</v>
      </c>
      <c r="P23">
        <f t="shared" si="0"/>
        <v>2200</v>
      </c>
      <c r="Q23">
        <f>AVERAGE(N44:N45)</f>
        <v>41.03</v>
      </c>
    </row>
    <row r="24" spans="1:17" x14ac:dyDescent="0.25">
      <c r="A24">
        <v>0</v>
      </c>
      <c r="B24">
        <v>1200</v>
      </c>
      <c r="C24">
        <v>7.0000000000000007E-2</v>
      </c>
      <c r="D24">
        <v>0.19</v>
      </c>
      <c r="E24">
        <v>0.13</v>
      </c>
      <c r="F24">
        <v>7.96</v>
      </c>
      <c r="G24">
        <v>8.24</v>
      </c>
      <c r="H24">
        <v>8.02</v>
      </c>
      <c r="I24">
        <v>25.46</v>
      </c>
      <c r="J24">
        <v>70.489999999999995</v>
      </c>
      <c r="K24">
        <v>28.29</v>
      </c>
      <c r="L24">
        <v>33.58</v>
      </c>
      <c r="M24">
        <v>78.87</v>
      </c>
      <c r="N24">
        <v>36.44</v>
      </c>
      <c r="P24">
        <f t="shared" si="0"/>
        <v>2300</v>
      </c>
      <c r="Q24">
        <f>AVERAGE(N46:N47)</f>
        <v>41.56</v>
      </c>
    </row>
    <row r="25" spans="1:17" x14ac:dyDescent="0.25">
      <c r="A25">
        <v>1</v>
      </c>
      <c r="B25">
        <v>1200</v>
      </c>
      <c r="C25">
        <v>0.06</v>
      </c>
      <c r="D25">
        <v>0.15</v>
      </c>
      <c r="E25">
        <v>0.12</v>
      </c>
      <c r="F25">
        <v>18.84</v>
      </c>
      <c r="G25">
        <v>19.05</v>
      </c>
      <c r="H25">
        <v>18.91</v>
      </c>
      <c r="I25">
        <v>0</v>
      </c>
      <c r="J25">
        <v>0</v>
      </c>
      <c r="K25">
        <v>0</v>
      </c>
      <c r="L25">
        <v>18.93</v>
      </c>
      <c r="M25">
        <v>19.149999999999999</v>
      </c>
      <c r="N25">
        <v>19.02</v>
      </c>
      <c r="P25">
        <f t="shared" si="0"/>
        <v>2400</v>
      </c>
      <c r="Q25">
        <f>AVERAGE(N48:N49)</f>
        <v>44.25</v>
      </c>
    </row>
    <row r="26" spans="1:17" x14ac:dyDescent="0.25">
      <c r="A26">
        <v>0</v>
      </c>
      <c r="B26">
        <v>1300</v>
      </c>
      <c r="C26">
        <v>0.1</v>
      </c>
      <c r="D26">
        <v>0.15</v>
      </c>
      <c r="E26">
        <v>0.12</v>
      </c>
      <c r="F26">
        <v>8.6199999999999992</v>
      </c>
      <c r="G26">
        <v>8.82</v>
      </c>
      <c r="H26">
        <v>8.6999999999999993</v>
      </c>
      <c r="I26">
        <v>25.88</v>
      </c>
      <c r="J26">
        <v>36.18</v>
      </c>
      <c r="K26">
        <v>28.46</v>
      </c>
      <c r="L26">
        <v>34.659999999999997</v>
      </c>
      <c r="M26">
        <v>45.14</v>
      </c>
      <c r="N26">
        <v>37.28</v>
      </c>
      <c r="P26">
        <f t="shared" si="0"/>
        <v>2500</v>
      </c>
      <c r="Q26">
        <f>AVERAGE(N50:N51)</f>
        <v>45.995000000000005</v>
      </c>
    </row>
    <row r="27" spans="1:17" x14ac:dyDescent="0.25">
      <c r="A27">
        <v>1</v>
      </c>
      <c r="B27">
        <v>1300</v>
      </c>
      <c r="C27">
        <v>0.09</v>
      </c>
      <c r="D27">
        <v>0.15</v>
      </c>
      <c r="E27">
        <v>0.14000000000000001</v>
      </c>
      <c r="F27">
        <v>20.190000000000001</v>
      </c>
      <c r="G27">
        <v>20.29</v>
      </c>
      <c r="H27">
        <v>20.239999999999998</v>
      </c>
      <c r="I27">
        <v>0</v>
      </c>
      <c r="J27">
        <v>0</v>
      </c>
      <c r="K27">
        <v>0</v>
      </c>
      <c r="L27">
        <v>20.309999999999999</v>
      </c>
      <c r="M27">
        <v>20.45</v>
      </c>
      <c r="N27">
        <v>20.37</v>
      </c>
      <c r="P27">
        <f t="shared" si="0"/>
        <v>2600</v>
      </c>
      <c r="Q27">
        <f>AVERAGE(N52:N53)</f>
        <v>47.14</v>
      </c>
    </row>
    <row r="28" spans="1:17" x14ac:dyDescent="0.25">
      <c r="A28">
        <v>0</v>
      </c>
      <c r="B28">
        <v>1400</v>
      </c>
      <c r="C28">
        <v>0.08</v>
      </c>
      <c r="D28">
        <v>0.17</v>
      </c>
      <c r="E28">
        <v>0.12</v>
      </c>
      <c r="F28">
        <v>9.1300000000000008</v>
      </c>
      <c r="G28">
        <v>9.2799999999999994</v>
      </c>
      <c r="H28">
        <v>9.19</v>
      </c>
      <c r="I28">
        <v>26.3</v>
      </c>
      <c r="J28">
        <v>34.32</v>
      </c>
      <c r="K28">
        <v>28.79</v>
      </c>
      <c r="L28">
        <v>35.6</v>
      </c>
      <c r="M28">
        <v>43.72</v>
      </c>
      <c r="N28">
        <v>38.1</v>
      </c>
      <c r="P28">
        <f t="shared" si="0"/>
        <v>2700</v>
      </c>
      <c r="Q28">
        <f>AVERAGE(N54:N55)</f>
        <v>48.14</v>
      </c>
    </row>
    <row r="29" spans="1:17" x14ac:dyDescent="0.25">
      <c r="A29">
        <v>1</v>
      </c>
      <c r="B29">
        <v>1400</v>
      </c>
      <c r="C29">
        <v>0.05</v>
      </c>
      <c r="D29">
        <v>0.15</v>
      </c>
      <c r="E29">
        <v>0.12</v>
      </c>
      <c r="F29">
        <v>21.63</v>
      </c>
      <c r="G29">
        <v>21.84</v>
      </c>
      <c r="H29">
        <v>21.69</v>
      </c>
      <c r="I29">
        <v>0</v>
      </c>
      <c r="J29">
        <v>0</v>
      </c>
      <c r="K29">
        <v>0</v>
      </c>
      <c r="L29">
        <v>21.71</v>
      </c>
      <c r="M29">
        <v>21.94</v>
      </c>
      <c r="N29">
        <v>21.81</v>
      </c>
      <c r="P29">
        <f t="shared" si="0"/>
        <v>2800</v>
      </c>
      <c r="Q29">
        <f>AVERAGE(N56:N57)</f>
        <v>50.424999999999997</v>
      </c>
    </row>
    <row r="30" spans="1:17" x14ac:dyDescent="0.25">
      <c r="A30">
        <v>0</v>
      </c>
      <c r="B30">
        <v>1500</v>
      </c>
      <c r="C30">
        <v>0.05</v>
      </c>
      <c r="D30">
        <v>0.17</v>
      </c>
      <c r="E30">
        <v>0.12</v>
      </c>
      <c r="F30">
        <v>9.6300000000000008</v>
      </c>
      <c r="G30">
        <v>10.37</v>
      </c>
      <c r="H30">
        <v>9.83</v>
      </c>
      <c r="I30">
        <v>27.14</v>
      </c>
      <c r="J30">
        <v>85.76</v>
      </c>
      <c r="K30">
        <v>30.39</v>
      </c>
      <c r="L30">
        <v>37.06</v>
      </c>
      <c r="M30">
        <v>96.28</v>
      </c>
      <c r="N30">
        <v>40.33</v>
      </c>
      <c r="P30">
        <v>2900</v>
      </c>
      <c r="Q30">
        <f>AVERAGE(N58:N59)</f>
        <v>51.805</v>
      </c>
    </row>
    <row r="31" spans="1:17" x14ac:dyDescent="0.25">
      <c r="A31">
        <v>1</v>
      </c>
      <c r="B31">
        <v>1500</v>
      </c>
      <c r="C31">
        <v>7.0000000000000007E-2</v>
      </c>
      <c r="D31">
        <v>0.16</v>
      </c>
      <c r="E31">
        <v>0.12</v>
      </c>
      <c r="F31">
        <v>23.11</v>
      </c>
      <c r="G31">
        <v>23.44</v>
      </c>
      <c r="H31">
        <v>23.22</v>
      </c>
      <c r="I31">
        <v>0</v>
      </c>
      <c r="J31">
        <v>0</v>
      </c>
      <c r="K31">
        <v>0</v>
      </c>
      <c r="L31">
        <v>23.2</v>
      </c>
      <c r="M31">
        <v>23.52</v>
      </c>
      <c r="N31">
        <v>23.33</v>
      </c>
      <c r="P31">
        <v>3000</v>
      </c>
      <c r="Q31">
        <f>AVERAGE(N60:N61)</f>
        <v>52.905000000000001</v>
      </c>
    </row>
    <row r="32" spans="1:17" x14ac:dyDescent="0.25">
      <c r="A32">
        <v>0</v>
      </c>
      <c r="B32">
        <v>1600</v>
      </c>
      <c r="C32">
        <v>0.05</v>
      </c>
      <c r="D32">
        <v>0.18</v>
      </c>
      <c r="E32">
        <v>0.12</v>
      </c>
      <c r="F32">
        <v>10.46</v>
      </c>
      <c r="G32">
        <v>10.79</v>
      </c>
      <c r="H32">
        <v>10.6</v>
      </c>
      <c r="I32">
        <v>27.05</v>
      </c>
      <c r="J32">
        <v>46.66</v>
      </c>
      <c r="K32">
        <v>30.1</v>
      </c>
      <c r="L32">
        <v>37.700000000000003</v>
      </c>
      <c r="M32">
        <v>57.62</v>
      </c>
      <c r="N32">
        <v>40.83</v>
      </c>
    </row>
    <row r="33" spans="1:14" x14ac:dyDescent="0.25">
      <c r="A33">
        <v>1</v>
      </c>
      <c r="B33">
        <v>1600</v>
      </c>
      <c r="C33">
        <v>0.06</v>
      </c>
      <c r="D33">
        <v>0.16</v>
      </c>
      <c r="E33">
        <v>0.12</v>
      </c>
      <c r="F33">
        <v>24.96</v>
      </c>
      <c r="G33">
        <v>25.19</v>
      </c>
      <c r="H33">
        <v>25.05</v>
      </c>
      <c r="I33">
        <v>0</v>
      </c>
      <c r="J33">
        <v>0</v>
      </c>
      <c r="K33">
        <v>0</v>
      </c>
      <c r="L33">
        <v>25.06</v>
      </c>
      <c r="M33">
        <v>25.3</v>
      </c>
      <c r="N33">
        <v>25.17</v>
      </c>
    </row>
    <row r="34" spans="1:14" x14ac:dyDescent="0.25">
      <c r="A34">
        <v>0</v>
      </c>
      <c r="B34">
        <v>1700</v>
      </c>
      <c r="C34">
        <v>0.03</v>
      </c>
      <c r="D34">
        <v>0.17</v>
      </c>
      <c r="E34">
        <v>0.12</v>
      </c>
      <c r="F34">
        <v>11.42</v>
      </c>
      <c r="G34">
        <v>11.64</v>
      </c>
      <c r="H34">
        <v>11.52</v>
      </c>
      <c r="I34">
        <v>27.67</v>
      </c>
      <c r="J34">
        <v>33.08</v>
      </c>
      <c r="K34">
        <v>30.06</v>
      </c>
      <c r="L34">
        <v>39.32</v>
      </c>
      <c r="M34">
        <v>44.76</v>
      </c>
      <c r="N34">
        <v>41.7</v>
      </c>
    </row>
    <row r="35" spans="1:14" x14ac:dyDescent="0.25">
      <c r="A35">
        <v>1</v>
      </c>
      <c r="B35">
        <v>1700</v>
      </c>
      <c r="C35">
        <v>0.06</v>
      </c>
      <c r="D35">
        <v>0.16</v>
      </c>
      <c r="E35">
        <v>0.12</v>
      </c>
      <c r="F35">
        <v>26.66</v>
      </c>
      <c r="G35">
        <v>26.91</v>
      </c>
      <c r="H35">
        <v>26.76</v>
      </c>
      <c r="I35">
        <v>0</v>
      </c>
      <c r="J35">
        <v>0</v>
      </c>
      <c r="K35">
        <v>0</v>
      </c>
      <c r="L35">
        <v>26.77</v>
      </c>
      <c r="M35">
        <v>27.02</v>
      </c>
      <c r="N35">
        <v>26.87</v>
      </c>
    </row>
    <row r="36" spans="1:14" x14ac:dyDescent="0.25">
      <c r="A36">
        <v>0</v>
      </c>
      <c r="B36">
        <v>1800</v>
      </c>
      <c r="C36">
        <v>0.04</v>
      </c>
      <c r="D36">
        <v>0.19</v>
      </c>
      <c r="E36">
        <v>0.12</v>
      </c>
      <c r="F36">
        <v>11.58</v>
      </c>
      <c r="G36">
        <v>11.84</v>
      </c>
      <c r="H36">
        <v>11.69</v>
      </c>
      <c r="I36">
        <v>28.33</v>
      </c>
      <c r="J36">
        <v>38.04</v>
      </c>
      <c r="K36">
        <v>30.96</v>
      </c>
      <c r="L36">
        <v>40.17</v>
      </c>
      <c r="M36">
        <v>49.97</v>
      </c>
      <c r="N36">
        <v>42.78</v>
      </c>
    </row>
    <row r="37" spans="1:14" x14ac:dyDescent="0.25">
      <c r="A37">
        <v>1</v>
      </c>
      <c r="B37">
        <v>1800</v>
      </c>
      <c r="C37">
        <v>0.06</v>
      </c>
      <c r="D37">
        <v>0.16</v>
      </c>
      <c r="E37">
        <v>0.12</v>
      </c>
      <c r="F37">
        <v>27.73</v>
      </c>
      <c r="G37">
        <v>27.94</v>
      </c>
      <c r="H37">
        <v>27.8</v>
      </c>
      <c r="I37">
        <v>0</v>
      </c>
      <c r="J37">
        <v>0</v>
      </c>
      <c r="K37">
        <v>0</v>
      </c>
      <c r="L37">
        <v>27.85</v>
      </c>
      <c r="M37">
        <v>28.04</v>
      </c>
      <c r="N37">
        <v>27.92</v>
      </c>
    </row>
    <row r="38" spans="1:14" x14ac:dyDescent="0.25">
      <c r="A38">
        <v>0</v>
      </c>
      <c r="B38">
        <v>1900</v>
      </c>
      <c r="C38">
        <v>0.06</v>
      </c>
      <c r="D38">
        <v>0.17</v>
      </c>
      <c r="E38">
        <v>0.12</v>
      </c>
      <c r="F38">
        <v>12.41</v>
      </c>
      <c r="G38">
        <v>12.71</v>
      </c>
      <c r="H38">
        <v>12.57</v>
      </c>
      <c r="I38">
        <v>29.61</v>
      </c>
      <c r="J38">
        <v>39.53</v>
      </c>
      <c r="K38">
        <v>32.14</v>
      </c>
      <c r="L38">
        <v>42.29</v>
      </c>
      <c r="M38">
        <v>52.26</v>
      </c>
      <c r="N38">
        <v>44.82</v>
      </c>
    </row>
    <row r="39" spans="1:14" x14ac:dyDescent="0.25">
      <c r="A39">
        <v>1</v>
      </c>
      <c r="B39">
        <v>1900</v>
      </c>
      <c r="C39">
        <v>0.06</v>
      </c>
      <c r="D39">
        <v>0.15</v>
      </c>
      <c r="E39">
        <v>0.11</v>
      </c>
      <c r="F39">
        <v>29.36</v>
      </c>
      <c r="G39">
        <v>29.66</v>
      </c>
      <c r="H39">
        <v>29.48</v>
      </c>
      <c r="I39">
        <v>0</v>
      </c>
      <c r="J39">
        <v>0</v>
      </c>
      <c r="K39">
        <v>0</v>
      </c>
      <c r="L39">
        <v>29.42</v>
      </c>
      <c r="M39">
        <v>29.76</v>
      </c>
      <c r="N39">
        <v>29.59</v>
      </c>
    </row>
    <row r="40" spans="1:14" x14ac:dyDescent="0.25">
      <c r="A40">
        <v>0</v>
      </c>
      <c r="B40">
        <v>2000</v>
      </c>
      <c r="C40">
        <v>0.04</v>
      </c>
      <c r="D40">
        <v>0.18</v>
      </c>
      <c r="E40">
        <v>0.12</v>
      </c>
      <c r="F40">
        <v>13.1</v>
      </c>
      <c r="G40">
        <v>13.78</v>
      </c>
      <c r="H40">
        <v>13.33</v>
      </c>
      <c r="I40">
        <v>29.4</v>
      </c>
      <c r="J40">
        <v>79.64</v>
      </c>
      <c r="K40">
        <v>33.18</v>
      </c>
      <c r="L40">
        <v>42.62</v>
      </c>
      <c r="M40">
        <v>93.56</v>
      </c>
      <c r="N40">
        <v>46.62</v>
      </c>
    </row>
    <row r="41" spans="1:14" x14ac:dyDescent="0.25">
      <c r="A41">
        <v>1</v>
      </c>
      <c r="B41">
        <v>2000</v>
      </c>
      <c r="C41">
        <v>0.06</v>
      </c>
      <c r="D41">
        <v>0.15</v>
      </c>
      <c r="E41">
        <v>0.12</v>
      </c>
      <c r="F41">
        <v>31.21</v>
      </c>
      <c r="G41">
        <v>31.48</v>
      </c>
      <c r="H41">
        <v>31.4</v>
      </c>
      <c r="I41">
        <v>0</v>
      </c>
      <c r="J41">
        <v>0</v>
      </c>
      <c r="K41">
        <v>0</v>
      </c>
      <c r="L41">
        <v>31.33</v>
      </c>
      <c r="M41">
        <v>31.62</v>
      </c>
      <c r="N41">
        <v>31.52</v>
      </c>
    </row>
    <row r="42" spans="1:14" x14ac:dyDescent="0.25">
      <c r="A42">
        <v>0</v>
      </c>
      <c r="B42">
        <v>2100</v>
      </c>
      <c r="C42">
        <v>0.06</v>
      </c>
      <c r="D42">
        <v>0.2</v>
      </c>
      <c r="E42">
        <v>0.12</v>
      </c>
      <c r="F42">
        <v>13.96</v>
      </c>
      <c r="G42">
        <v>14.29</v>
      </c>
      <c r="H42">
        <v>14.13</v>
      </c>
      <c r="I42">
        <v>29.65</v>
      </c>
      <c r="J42">
        <v>40.57</v>
      </c>
      <c r="K42">
        <v>32.58</v>
      </c>
      <c r="L42">
        <v>43.93</v>
      </c>
      <c r="M42">
        <v>54.88</v>
      </c>
      <c r="N42">
        <v>46.82</v>
      </c>
    </row>
    <row r="43" spans="1:14" x14ac:dyDescent="0.25">
      <c r="A43">
        <v>1</v>
      </c>
      <c r="B43">
        <v>2100</v>
      </c>
      <c r="C43">
        <v>7.0000000000000007E-2</v>
      </c>
      <c r="D43">
        <v>0.16</v>
      </c>
      <c r="E43">
        <v>0.11</v>
      </c>
      <c r="F43">
        <v>33.130000000000003</v>
      </c>
      <c r="G43">
        <v>33.39</v>
      </c>
      <c r="H43">
        <v>33.229999999999997</v>
      </c>
      <c r="I43">
        <v>0</v>
      </c>
      <c r="J43">
        <v>0</v>
      </c>
      <c r="K43">
        <v>0</v>
      </c>
      <c r="L43">
        <v>33.22</v>
      </c>
      <c r="M43">
        <v>33.5</v>
      </c>
      <c r="N43">
        <v>33.340000000000003</v>
      </c>
    </row>
    <row r="44" spans="1:14" x14ac:dyDescent="0.25">
      <c r="A44">
        <v>0</v>
      </c>
      <c r="B44">
        <v>2200</v>
      </c>
      <c r="C44">
        <v>0.03</v>
      </c>
      <c r="D44">
        <v>0.16</v>
      </c>
      <c r="E44">
        <v>0.12</v>
      </c>
      <c r="F44">
        <v>14.07</v>
      </c>
      <c r="G44">
        <v>14.64</v>
      </c>
      <c r="H44">
        <v>14.36</v>
      </c>
      <c r="I44">
        <v>30.41</v>
      </c>
      <c r="J44">
        <v>37.07</v>
      </c>
      <c r="K44">
        <v>33.270000000000003</v>
      </c>
      <c r="L44">
        <v>44.63</v>
      </c>
      <c r="M44">
        <v>51.54</v>
      </c>
      <c r="N44">
        <v>47.75</v>
      </c>
    </row>
    <row r="45" spans="1:14" x14ac:dyDescent="0.25">
      <c r="A45">
        <v>1</v>
      </c>
      <c r="B45">
        <v>2200</v>
      </c>
      <c r="C45">
        <v>0.06</v>
      </c>
      <c r="D45">
        <v>0.16</v>
      </c>
      <c r="E45">
        <v>0.11</v>
      </c>
      <c r="F45">
        <v>34.020000000000003</v>
      </c>
      <c r="G45">
        <v>34.4</v>
      </c>
      <c r="H45">
        <v>34.21</v>
      </c>
      <c r="I45">
        <v>0</v>
      </c>
      <c r="J45">
        <v>0</v>
      </c>
      <c r="K45">
        <v>0</v>
      </c>
      <c r="L45">
        <v>34.130000000000003</v>
      </c>
      <c r="M45">
        <v>34.5</v>
      </c>
      <c r="N45">
        <v>34.31</v>
      </c>
    </row>
    <row r="46" spans="1:14" x14ac:dyDescent="0.25">
      <c r="A46">
        <v>0</v>
      </c>
      <c r="B46">
        <v>2300</v>
      </c>
      <c r="C46">
        <v>7.0000000000000007E-2</v>
      </c>
      <c r="D46">
        <v>0.18</v>
      </c>
      <c r="E46">
        <v>0.12</v>
      </c>
      <c r="F46">
        <v>14.92</v>
      </c>
      <c r="G46">
        <v>15.25</v>
      </c>
      <c r="H46">
        <v>15.05</v>
      </c>
      <c r="I46">
        <v>29.83</v>
      </c>
      <c r="J46">
        <v>40.51</v>
      </c>
      <c r="K46">
        <v>32.409999999999997</v>
      </c>
      <c r="L46">
        <v>44.96</v>
      </c>
      <c r="M46">
        <v>55.9</v>
      </c>
      <c r="N46">
        <v>47.58</v>
      </c>
    </row>
    <row r="47" spans="1:14" x14ac:dyDescent="0.25">
      <c r="A47">
        <v>1</v>
      </c>
      <c r="B47">
        <v>2300</v>
      </c>
      <c r="C47">
        <v>0.06</v>
      </c>
      <c r="D47">
        <v>0.16</v>
      </c>
      <c r="E47">
        <v>0.11</v>
      </c>
      <c r="F47">
        <v>35.32</v>
      </c>
      <c r="G47">
        <v>35.58</v>
      </c>
      <c r="H47">
        <v>35.43</v>
      </c>
      <c r="I47">
        <v>0</v>
      </c>
      <c r="J47">
        <v>0</v>
      </c>
      <c r="K47">
        <v>0</v>
      </c>
      <c r="L47">
        <v>35.44</v>
      </c>
      <c r="M47">
        <v>35.68</v>
      </c>
      <c r="N47">
        <v>35.54</v>
      </c>
    </row>
    <row r="48" spans="1:14" x14ac:dyDescent="0.25">
      <c r="A48">
        <v>0</v>
      </c>
      <c r="B48">
        <v>2400</v>
      </c>
      <c r="C48">
        <v>7.0000000000000007E-2</v>
      </c>
      <c r="D48">
        <v>0.19</v>
      </c>
      <c r="E48">
        <v>0.12</v>
      </c>
      <c r="F48">
        <v>15.76</v>
      </c>
      <c r="G48">
        <v>16.2</v>
      </c>
      <c r="H48">
        <v>15.95</v>
      </c>
      <c r="I48">
        <v>32.549999999999997</v>
      </c>
      <c r="J48">
        <v>41.25</v>
      </c>
      <c r="K48">
        <v>34.799999999999997</v>
      </c>
      <c r="L48">
        <v>48.66</v>
      </c>
      <c r="M48">
        <v>57.64</v>
      </c>
      <c r="N48">
        <v>50.86</v>
      </c>
    </row>
    <row r="49" spans="1:14" x14ac:dyDescent="0.25">
      <c r="A49">
        <v>1</v>
      </c>
      <c r="B49">
        <v>2400</v>
      </c>
      <c r="C49">
        <v>0.06</v>
      </c>
      <c r="D49">
        <v>0.16</v>
      </c>
      <c r="E49">
        <v>0.11</v>
      </c>
      <c r="F49">
        <v>37.39</v>
      </c>
      <c r="G49">
        <v>37.68</v>
      </c>
      <c r="H49">
        <v>37.53</v>
      </c>
      <c r="I49">
        <v>0</v>
      </c>
      <c r="J49">
        <v>0</v>
      </c>
      <c r="K49">
        <v>0</v>
      </c>
      <c r="L49">
        <v>37.51</v>
      </c>
      <c r="M49">
        <v>37.81</v>
      </c>
      <c r="N49">
        <v>37.64</v>
      </c>
    </row>
    <row r="50" spans="1:14" x14ac:dyDescent="0.25">
      <c r="A50">
        <v>0</v>
      </c>
      <c r="B50">
        <v>2500</v>
      </c>
      <c r="C50">
        <v>7.0000000000000007E-2</v>
      </c>
      <c r="D50">
        <v>0.16</v>
      </c>
      <c r="E50">
        <v>0.12</v>
      </c>
      <c r="F50">
        <v>16.54</v>
      </c>
      <c r="G50">
        <v>17.16</v>
      </c>
      <c r="H50">
        <v>16.829999999999998</v>
      </c>
      <c r="I50">
        <v>32.24</v>
      </c>
      <c r="J50">
        <v>38.799999999999997</v>
      </c>
      <c r="K50">
        <v>35.5</v>
      </c>
      <c r="L50">
        <v>48.98</v>
      </c>
      <c r="M50">
        <v>56.03</v>
      </c>
      <c r="N50">
        <v>52.45</v>
      </c>
    </row>
    <row r="51" spans="1:14" x14ac:dyDescent="0.25">
      <c r="A51">
        <v>1</v>
      </c>
      <c r="B51">
        <v>2500</v>
      </c>
      <c r="C51">
        <v>7.0000000000000007E-2</v>
      </c>
      <c r="D51">
        <v>0.16</v>
      </c>
      <c r="E51">
        <v>0.1</v>
      </c>
      <c r="F51">
        <v>39.28</v>
      </c>
      <c r="G51">
        <v>39.64</v>
      </c>
      <c r="H51">
        <v>39.44</v>
      </c>
      <c r="I51">
        <v>0</v>
      </c>
      <c r="J51">
        <v>0</v>
      </c>
      <c r="K51">
        <v>0</v>
      </c>
      <c r="L51">
        <v>39.35</v>
      </c>
      <c r="M51">
        <v>39.729999999999997</v>
      </c>
      <c r="N51">
        <v>39.54</v>
      </c>
    </row>
    <row r="52" spans="1:14" x14ac:dyDescent="0.25">
      <c r="A52">
        <v>0</v>
      </c>
      <c r="B52">
        <v>2600</v>
      </c>
      <c r="C52">
        <v>0.05</v>
      </c>
      <c r="D52">
        <v>0.17</v>
      </c>
      <c r="E52">
        <v>0.12</v>
      </c>
      <c r="F52">
        <v>17.170000000000002</v>
      </c>
      <c r="G52">
        <v>17.54</v>
      </c>
      <c r="H52">
        <v>17.34</v>
      </c>
      <c r="I52">
        <v>33.61</v>
      </c>
      <c r="J52">
        <v>40.869999999999997</v>
      </c>
      <c r="K52">
        <v>36.020000000000003</v>
      </c>
      <c r="L52">
        <v>50.94</v>
      </c>
      <c r="M52">
        <v>58.58</v>
      </c>
      <c r="N52">
        <v>53.48</v>
      </c>
    </row>
    <row r="53" spans="1:14" x14ac:dyDescent="0.25">
      <c r="A53">
        <v>1</v>
      </c>
      <c r="B53">
        <v>2600</v>
      </c>
      <c r="C53">
        <v>0.06</v>
      </c>
      <c r="D53">
        <v>0.16</v>
      </c>
      <c r="E53">
        <v>0.11</v>
      </c>
      <c r="F53">
        <v>40.58</v>
      </c>
      <c r="G53">
        <v>40.85</v>
      </c>
      <c r="H53">
        <v>40.700000000000003</v>
      </c>
      <c r="I53">
        <v>0</v>
      </c>
      <c r="J53">
        <v>0</v>
      </c>
      <c r="K53">
        <v>0</v>
      </c>
      <c r="L53">
        <v>40.67</v>
      </c>
      <c r="M53">
        <v>40.94</v>
      </c>
      <c r="N53">
        <v>40.799999999999997</v>
      </c>
    </row>
    <row r="54" spans="1:14" x14ac:dyDescent="0.25">
      <c r="A54">
        <v>0</v>
      </c>
      <c r="B54">
        <v>2700</v>
      </c>
      <c r="C54">
        <v>0.05</v>
      </c>
      <c r="D54">
        <v>0.18</v>
      </c>
      <c r="E54">
        <v>0.12</v>
      </c>
      <c r="F54">
        <v>17.47</v>
      </c>
      <c r="G54">
        <v>17.86</v>
      </c>
      <c r="H54">
        <v>17.68</v>
      </c>
      <c r="I54">
        <v>33.57</v>
      </c>
      <c r="J54">
        <v>41.83</v>
      </c>
      <c r="K54">
        <v>36.36</v>
      </c>
      <c r="L54">
        <v>51.35</v>
      </c>
      <c r="M54">
        <v>59.78</v>
      </c>
      <c r="N54">
        <v>54.16</v>
      </c>
    </row>
    <row r="55" spans="1:14" x14ac:dyDescent="0.25">
      <c r="A55">
        <v>1</v>
      </c>
      <c r="B55">
        <v>2700</v>
      </c>
      <c r="C55">
        <v>0.06</v>
      </c>
      <c r="D55">
        <v>0.15</v>
      </c>
      <c r="E55">
        <v>0.1</v>
      </c>
      <c r="F55">
        <v>41.87</v>
      </c>
      <c r="G55">
        <v>42.22</v>
      </c>
      <c r="H55">
        <v>42.02</v>
      </c>
      <c r="I55">
        <v>0</v>
      </c>
      <c r="J55">
        <v>0</v>
      </c>
      <c r="K55">
        <v>0</v>
      </c>
      <c r="L55">
        <v>41.97</v>
      </c>
      <c r="M55">
        <v>42.32</v>
      </c>
      <c r="N55">
        <v>42.12</v>
      </c>
    </row>
    <row r="56" spans="1:14" x14ac:dyDescent="0.25">
      <c r="A56">
        <v>0</v>
      </c>
      <c r="B56">
        <v>2800</v>
      </c>
      <c r="C56">
        <v>0.06</v>
      </c>
      <c r="D56">
        <v>0.16</v>
      </c>
      <c r="E56">
        <v>0.12</v>
      </c>
      <c r="F56">
        <v>18.260000000000002</v>
      </c>
      <c r="G56">
        <v>19.11</v>
      </c>
      <c r="H56">
        <v>18.489999999999998</v>
      </c>
      <c r="I56">
        <v>34.35</v>
      </c>
      <c r="J56">
        <v>71.63</v>
      </c>
      <c r="K56">
        <v>38.21</v>
      </c>
      <c r="L56">
        <v>52.73</v>
      </c>
      <c r="M56">
        <v>90.88</v>
      </c>
      <c r="N56">
        <v>56.81</v>
      </c>
    </row>
    <row r="57" spans="1:14" x14ac:dyDescent="0.25">
      <c r="A57">
        <v>1</v>
      </c>
      <c r="B57">
        <v>2800</v>
      </c>
      <c r="C57">
        <v>0.05</v>
      </c>
      <c r="D57">
        <v>0.16</v>
      </c>
      <c r="E57">
        <v>0.1</v>
      </c>
      <c r="F57">
        <v>43.78</v>
      </c>
      <c r="G57">
        <v>44.09</v>
      </c>
      <c r="H57">
        <v>43.94</v>
      </c>
      <c r="I57">
        <v>0</v>
      </c>
      <c r="J57">
        <v>0</v>
      </c>
      <c r="K57">
        <v>0</v>
      </c>
      <c r="L57">
        <v>43.85</v>
      </c>
      <c r="M57">
        <v>44.2</v>
      </c>
      <c r="N57">
        <v>44.04</v>
      </c>
    </row>
    <row r="58" spans="1:14" x14ac:dyDescent="0.25">
      <c r="A58">
        <v>0</v>
      </c>
      <c r="B58">
        <v>2900</v>
      </c>
      <c r="C58">
        <v>0.06</v>
      </c>
      <c r="D58">
        <v>0.17</v>
      </c>
      <c r="E58">
        <v>0.12</v>
      </c>
      <c r="F58">
        <v>19.93</v>
      </c>
      <c r="G58">
        <v>20.329999999999998</v>
      </c>
      <c r="H58">
        <v>20.13</v>
      </c>
      <c r="I58">
        <v>34.880000000000003</v>
      </c>
      <c r="J58">
        <v>45.8</v>
      </c>
      <c r="K58">
        <v>37.68</v>
      </c>
      <c r="L58">
        <v>55.02</v>
      </c>
      <c r="M58">
        <v>66.09</v>
      </c>
      <c r="N58">
        <v>57.93</v>
      </c>
    </row>
    <row r="59" spans="1:14" x14ac:dyDescent="0.25">
      <c r="A59">
        <v>1</v>
      </c>
      <c r="B59">
        <v>2900</v>
      </c>
      <c r="C59">
        <v>0.06</v>
      </c>
      <c r="D59">
        <v>0.16</v>
      </c>
      <c r="E59">
        <v>0.12</v>
      </c>
      <c r="F59">
        <v>45.44</v>
      </c>
      <c r="G59">
        <v>45.73</v>
      </c>
      <c r="H59">
        <v>45.56</v>
      </c>
      <c r="I59">
        <v>0</v>
      </c>
      <c r="J59">
        <v>0</v>
      </c>
      <c r="K59">
        <v>0</v>
      </c>
      <c r="L59">
        <v>45.53</v>
      </c>
      <c r="M59">
        <v>45.84</v>
      </c>
      <c r="N59">
        <v>45.68</v>
      </c>
    </row>
    <row r="60" spans="1:14" x14ac:dyDescent="0.25">
      <c r="A60">
        <v>0</v>
      </c>
      <c r="B60">
        <v>3000</v>
      </c>
      <c r="C60">
        <v>0.05</v>
      </c>
      <c r="D60">
        <v>0.17</v>
      </c>
      <c r="E60">
        <v>0.11</v>
      </c>
      <c r="F60">
        <v>20.54</v>
      </c>
      <c r="G60">
        <v>21.17</v>
      </c>
      <c r="H60">
        <v>20.87</v>
      </c>
      <c r="I60">
        <v>34.880000000000003</v>
      </c>
      <c r="J60">
        <v>42.36</v>
      </c>
      <c r="K60">
        <v>37.69</v>
      </c>
      <c r="L60">
        <v>55.58</v>
      </c>
      <c r="M60">
        <v>63.64</v>
      </c>
      <c r="N60">
        <v>58.68</v>
      </c>
    </row>
    <row r="61" spans="1:14" x14ac:dyDescent="0.25">
      <c r="A61">
        <v>1</v>
      </c>
      <c r="B61">
        <v>3000</v>
      </c>
      <c r="C61">
        <v>0.06</v>
      </c>
      <c r="D61">
        <v>0.16</v>
      </c>
      <c r="E61">
        <v>0.1</v>
      </c>
      <c r="F61">
        <v>46.79</v>
      </c>
      <c r="G61">
        <v>47.23</v>
      </c>
      <c r="H61">
        <v>47.02</v>
      </c>
      <c r="I61">
        <v>0</v>
      </c>
      <c r="J61">
        <v>0</v>
      </c>
      <c r="K61">
        <v>0</v>
      </c>
      <c r="L61">
        <v>46.88</v>
      </c>
      <c r="M61">
        <v>47.35</v>
      </c>
      <c r="N61">
        <v>47.13</v>
      </c>
    </row>
    <row r="62" spans="1:14" x14ac:dyDescent="0.25">
      <c r="A62">
        <v>0</v>
      </c>
      <c r="B62">
        <v>3100</v>
      </c>
      <c r="C62">
        <v>2.29</v>
      </c>
      <c r="D62">
        <v>2.5299999999999998</v>
      </c>
      <c r="E62">
        <v>2.38</v>
      </c>
      <c r="F62">
        <v>32.130000000000003</v>
      </c>
      <c r="G62">
        <v>32.61</v>
      </c>
      <c r="H62">
        <v>32.409999999999997</v>
      </c>
      <c r="I62">
        <v>35.17</v>
      </c>
      <c r="J62">
        <v>45.52</v>
      </c>
      <c r="K62">
        <v>38.83</v>
      </c>
      <c r="L62">
        <v>69.77</v>
      </c>
      <c r="M62">
        <v>80.53</v>
      </c>
      <c r="N62">
        <v>73.62</v>
      </c>
    </row>
    <row r="63" spans="1:14" x14ac:dyDescent="0.25">
      <c r="A63">
        <v>1</v>
      </c>
      <c r="B63">
        <v>3100</v>
      </c>
      <c r="C63">
        <v>0.06</v>
      </c>
      <c r="D63">
        <v>0.15</v>
      </c>
      <c r="E63">
        <v>0.1</v>
      </c>
      <c r="F63">
        <v>52.25</v>
      </c>
      <c r="G63">
        <v>52.51</v>
      </c>
      <c r="H63">
        <v>52.38</v>
      </c>
      <c r="I63">
        <v>0</v>
      </c>
      <c r="J63">
        <v>0</v>
      </c>
      <c r="K63">
        <v>0</v>
      </c>
      <c r="L63">
        <v>52.32</v>
      </c>
      <c r="M63">
        <v>52.61</v>
      </c>
      <c r="N63">
        <v>52.48</v>
      </c>
    </row>
    <row r="64" spans="1:14" x14ac:dyDescent="0.25">
      <c r="A64">
        <v>0</v>
      </c>
      <c r="B64">
        <v>3200</v>
      </c>
      <c r="C64">
        <v>2.41</v>
      </c>
      <c r="D64">
        <v>2.63</v>
      </c>
      <c r="E64">
        <v>2.5</v>
      </c>
      <c r="F64">
        <v>33.69</v>
      </c>
      <c r="G64">
        <v>34.130000000000003</v>
      </c>
      <c r="H64">
        <v>33.9</v>
      </c>
      <c r="I64">
        <v>35.08</v>
      </c>
      <c r="J64">
        <v>46.35</v>
      </c>
      <c r="K64">
        <v>38.700000000000003</v>
      </c>
      <c r="L64">
        <v>71.349999999999994</v>
      </c>
      <c r="M64">
        <v>82.88</v>
      </c>
      <c r="N64">
        <v>75.09</v>
      </c>
    </row>
    <row r="65" spans="1:14" x14ac:dyDescent="0.25">
      <c r="A65">
        <v>1</v>
      </c>
      <c r="B65">
        <v>3200</v>
      </c>
      <c r="C65">
        <v>0.06</v>
      </c>
      <c r="D65">
        <v>0.17</v>
      </c>
      <c r="E65">
        <v>0.1</v>
      </c>
      <c r="F65">
        <v>54.9</v>
      </c>
      <c r="G65">
        <v>55.24</v>
      </c>
      <c r="H65">
        <v>55.07</v>
      </c>
      <c r="I65">
        <v>0</v>
      </c>
      <c r="J65">
        <v>0</v>
      </c>
      <c r="K65">
        <v>0</v>
      </c>
      <c r="L65">
        <v>55</v>
      </c>
      <c r="M65">
        <v>55.33</v>
      </c>
      <c r="N65">
        <v>55.18</v>
      </c>
    </row>
    <row r="66" spans="1:14" x14ac:dyDescent="0.25">
      <c r="A66">
        <v>0</v>
      </c>
      <c r="B66">
        <v>3300</v>
      </c>
      <c r="C66">
        <v>2.42</v>
      </c>
      <c r="D66">
        <v>2.73</v>
      </c>
      <c r="E66">
        <v>2.54</v>
      </c>
      <c r="F66">
        <v>34.51</v>
      </c>
      <c r="G66">
        <v>35.159999999999997</v>
      </c>
      <c r="H66">
        <v>34.81</v>
      </c>
      <c r="I66">
        <v>35.880000000000003</v>
      </c>
      <c r="J66">
        <v>44.29</v>
      </c>
      <c r="K66">
        <v>38.85</v>
      </c>
      <c r="L66">
        <v>73.08</v>
      </c>
      <c r="M66">
        <v>81.849999999999994</v>
      </c>
      <c r="N66">
        <v>76.2</v>
      </c>
    </row>
    <row r="67" spans="1:14" x14ac:dyDescent="0.25">
      <c r="A67">
        <v>1</v>
      </c>
      <c r="B67">
        <v>3300</v>
      </c>
      <c r="C67">
        <v>0.06</v>
      </c>
      <c r="D67">
        <v>0.17</v>
      </c>
      <c r="E67">
        <v>0.11</v>
      </c>
      <c r="F67">
        <v>55.32</v>
      </c>
      <c r="G67">
        <v>55.58</v>
      </c>
      <c r="H67">
        <v>55.47</v>
      </c>
      <c r="I67">
        <v>0</v>
      </c>
      <c r="J67">
        <v>0</v>
      </c>
      <c r="K67">
        <v>0</v>
      </c>
      <c r="L67">
        <v>55.44</v>
      </c>
      <c r="M67">
        <v>55.72</v>
      </c>
      <c r="N67">
        <v>55.58</v>
      </c>
    </row>
    <row r="68" spans="1:14" x14ac:dyDescent="0.25">
      <c r="A68">
        <v>0</v>
      </c>
      <c r="B68">
        <v>3400</v>
      </c>
      <c r="C68">
        <v>2.48</v>
      </c>
      <c r="D68">
        <v>2.74</v>
      </c>
      <c r="E68">
        <v>2.57</v>
      </c>
      <c r="F68">
        <v>35.659999999999997</v>
      </c>
      <c r="G68">
        <v>36.07</v>
      </c>
      <c r="H68">
        <v>35.840000000000003</v>
      </c>
      <c r="I68">
        <v>36.15</v>
      </c>
      <c r="J68">
        <v>43.36</v>
      </c>
      <c r="K68">
        <v>39.56</v>
      </c>
      <c r="L68">
        <v>74.540000000000006</v>
      </c>
      <c r="M68">
        <v>82.06</v>
      </c>
      <c r="N68">
        <v>77.98</v>
      </c>
    </row>
    <row r="69" spans="1:14" x14ac:dyDescent="0.25">
      <c r="A69">
        <v>1</v>
      </c>
      <c r="B69">
        <v>3400</v>
      </c>
      <c r="C69">
        <v>7.0000000000000007E-2</v>
      </c>
      <c r="D69">
        <v>0.17</v>
      </c>
      <c r="E69">
        <v>0.1</v>
      </c>
      <c r="F69">
        <v>57.43</v>
      </c>
      <c r="G69">
        <v>57.69</v>
      </c>
      <c r="H69">
        <v>57.57</v>
      </c>
      <c r="I69">
        <v>0</v>
      </c>
      <c r="J69">
        <v>0</v>
      </c>
      <c r="K69">
        <v>0</v>
      </c>
      <c r="L69">
        <v>57.53</v>
      </c>
      <c r="M69">
        <v>57.78</v>
      </c>
      <c r="N69">
        <v>57.67</v>
      </c>
    </row>
    <row r="70" spans="1:14" x14ac:dyDescent="0.25">
      <c r="A70">
        <v>0</v>
      </c>
      <c r="B70">
        <v>3500</v>
      </c>
      <c r="C70">
        <v>2.66</v>
      </c>
      <c r="D70">
        <v>2.66</v>
      </c>
      <c r="E70">
        <v>2.66</v>
      </c>
      <c r="F70">
        <v>36.82</v>
      </c>
      <c r="G70">
        <v>36.82</v>
      </c>
      <c r="H70">
        <v>36.82</v>
      </c>
      <c r="I70">
        <v>39.619999999999997</v>
      </c>
      <c r="J70">
        <v>39.619999999999997</v>
      </c>
      <c r="K70">
        <v>39.619999999999997</v>
      </c>
      <c r="L70">
        <v>79.09</v>
      </c>
      <c r="M70">
        <v>79.09</v>
      </c>
      <c r="N70">
        <v>79.09</v>
      </c>
    </row>
    <row r="71" spans="1:14" x14ac:dyDescent="0.25">
      <c r="A71">
        <v>1</v>
      </c>
      <c r="B71">
        <v>3500</v>
      </c>
      <c r="C71">
        <v>7.0000000000000007E-2</v>
      </c>
      <c r="D71">
        <v>7.0000000000000007E-2</v>
      </c>
      <c r="E71">
        <v>7.0000000000000007E-2</v>
      </c>
      <c r="F71">
        <v>58.96</v>
      </c>
      <c r="G71">
        <v>58.96</v>
      </c>
      <c r="H71">
        <v>58.96</v>
      </c>
      <c r="I71">
        <v>0</v>
      </c>
      <c r="J71">
        <v>0</v>
      </c>
      <c r="K71">
        <v>0</v>
      </c>
      <c r="L71">
        <v>59.03</v>
      </c>
      <c r="M71">
        <v>59.03</v>
      </c>
      <c r="N71">
        <v>59.03</v>
      </c>
    </row>
    <row r="74" spans="1:14" x14ac:dyDescent="0.25">
      <c r="A74" t="s">
        <v>13</v>
      </c>
      <c r="B74" t="s">
        <v>14</v>
      </c>
    </row>
    <row r="75" spans="1:14" x14ac:dyDescent="0.25">
      <c r="A75" t="s">
        <v>15</v>
      </c>
      <c r="B75">
        <v>15</v>
      </c>
    </row>
    <row r="76" spans="1:14" x14ac:dyDescent="0.25">
      <c r="A76" t="s">
        <v>16</v>
      </c>
      <c r="B76" t="s">
        <v>17</v>
      </c>
    </row>
    <row r="77" spans="1:14" x14ac:dyDescent="0.25">
      <c r="A77" t="s">
        <v>18</v>
      </c>
      <c r="B77">
        <v>15</v>
      </c>
    </row>
    <row r="78" spans="1:14" x14ac:dyDescent="0.25">
      <c r="A78" t="s">
        <v>19</v>
      </c>
      <c r="B78" t="s">
        <v>17</v>
      </c>
    </row>
    <row r="79" spans="1:14" x14ac:dyDescent="0.25">
      <c r="A79" t="s">
        <v>20</v>
      </c>
      <c r="B79" t="s">
        <v>17</v>
      </c>
    </row>
    <row r="80" spans="1:14" x14ac:dyDescent="0.25">
      <c r="A80" t="s">
        <v>21</v>
      </c>
      <c r="B80">
        <v>15</v>
      </c>
    </row>
    <row r="81" spans="1:2" x14ac:dyDescent="0.25">
      <c r="A81" t="s">
        <v>22</v>
      </c>
      <c r="B81" t="s">
        <v>17</v>
      </c>
    </row>
    <row r="82" spans="1:2" x14ac:dyDescent="0.25">
      <c r="A82" t="s">
        <v>23</v>
      </c>
      <c r="B82" t="s">
        <v>17</v>
      </c>
    </row>
    <row r="83" spans="1:2" x14ac:dyDescent="0.25">
      <c r="A83" t="s">
        <v>24</v>
      </c>
      <c r="B83" t="s">
        <v>17</v>
      </c>
    </row>
    <row r="84" spans="1:2" x14ac:dyDescent="0.25">
      <c r="A84" t="s">
        <v>25</v>
      </c>
      <c r="B84" t="s">
        <v>17</v>
      </c>
    </row>
    <row r="85" spans="1:2" x14ac:dyDescent="0.25">
      <c r="A85" t="s">
        <v>26</v>
      </c>
      <c r="B85" t="s">
        <v>34</v>
      </c>
    </row>
    <row r="87" spans="1:2" x14ac:dyDescent="0.25">
      <c r="A87" t="s">
        <v>27</v>
      </c>
    </row>
    <row r="88" spans="1:2" x14ac:dyDescent="0.25">
      <c r="A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x64_ui  Regression</vt:lpstr>
      <vt:lpstr>Test_Data_9033_UI_2020 B78</vt:lpstr>
      <vt:lpstr>Test_Data_9033_UI_2018rc1</vt:lpstr>
      <vt:lpstr>Test_Data_9033_UI_2018b10</vt:lpstr>
      <vt:lpstr>Test_Data_9033_UI_2017</vt:lpstr>
      <vt:lpstr>Test_Data_9033_UI_2017b6</vt:lpstr>
      <vt:lpstr>Test_Data_9033_UI_2017a17</vt:lpstr>
      <vt:lpstr>Test_Data_9033_UI_16.0</vt:lpstr>
      <vt:lpstr>Test_Data_9033_UI_2016.0b59</vt:lpstr>
      <vt:lpstr>Test_Data_9033_2015b64</vt:lpstr>
      <vt:lpstr>Test_Data_9033_UI_2015b26</vt:lpstr>
      <vt:lpstr>Test_Data_9033_UI_2015rc1</vt:lpstr>
      <vt:lpstr>Test_Data_9033_UI_2017a17!_9033_with_UI</vt:lpstr>
      <vt:lpstr>Test_Data_9033_UI_2017!test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Dikshita Sheth</dc:creator>
  <cp:lastModifiedBy>Hemanth Kumar Kothari</cp:lastModifiedBy>
  <dcterms:created xsi:type="dcterms:W3CDTF">2015-03-31T12:17:27Z</dcterms:created>
  <dcterms:modified xsi:type="dcterms:W3CDTF">2020-02-25T08:09:16Z</dcterms:modified>
</cp:coreProperties>
</file>