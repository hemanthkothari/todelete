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T Entire\Perf trigger for 2019\Bigg App results\19.0 final build runs\"/>
    </mc:Choice>
  </mc:AlternateContent>
  <xr:revisionPtr revIDLastSave="0" documentId="13_ncr:1_{107C15D1-5D16-4DFC-814D-9C1625B3F6EF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8108 Regression" sheetId="4" r:id="rId1"/>
    <sheet name="rawdata_8108" sheetId="5" r:id="rId2"/>
    <sheet name="Sheet1" sheetId="1" r:id="rId3"/>
    <sheet name="Sheet2" sheetId="2" r:id="rId4"/>
    <sheet name="Sheet3" sheetId="3" r:id="rId5"/>
  </sheets>
  <definedNames>
    <definedName name="_8108_1" localSheetId="1">rawdata_8108!$V$2:$AA$28</definedName>
    <definedName name="ExternalData_1" localSheetId="1" hidden="1">rawdata_8108!$O$58:$T$80</definedName>
    <definedName name="test" localSheetId="1">rawdata_8108!$H$58:$M$81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4" l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8108" type="6" refreshedVersion="4" background="1" saveData="1">
    <textPr codePage="437" sourceFile="C:\Users\kjois\Documents\Krupa Documents\Projects\LVRT\Impt\Perofrmance Testing\2017 Perf Results\Big App\17.0a17\8108\8108.csv">
      <textFields count="6">
        <textField/>
        <textField/>
        <textField/>
        <textField/>
        <textField/>
        <textField/>
      </textFields>
    </textPr>
  </connection>
  <connection id="2" xr16:uid="{00000000-0015-0000-FFFF-FFFF01000000}" keepAlive="1" name="Query - 8018" description="Connection to the '8018' query in the workbook." type="5" refreshedVersion="6" background="1" saveData="1">
    <dbPr connection="Provider=Microsoft.Mashup.OleDb.1;Data Source=$Workbook$;Location=8018;Extended Properties=&quot;&quot;" command="SELECT * FROM [8018]"/>
  </connection>
  <connection id="3" xr16:uid="{00000000-0015-0000-FFFF-FFFF02000000}" name="test" type="6" refreshedVersion="6" background="1" saveData="1">
    <textPr codePage="437" sourceFile="C:\Users\kjois\Desktop\test.txt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<sst xmlns="http://schemas.openxmlformats.org/spreadsheetml/2006/main" count="85" uniqueCount="19">
  <si>
    <t>Average CPU Usage (%)</t>
  </si>
  <si>
    <t>Loop Rate (Hz)</t>
  </si>
  <si>
    <t>2014b</t>
  </si>
  <si>
    <t>2014rc</t>
  </si>
  <si>
    <t>2015b26</t>
  </si>
  <si>
    <t>2015b35</t>
  </si>
  <si>
    <t>Sleep</t>
  </si>
  <si>
    <t>Rate</t>
  </si>
  <si>
    <t>ISRs</t>
  </si>
  <si>
    <t>TL</t>
  </si>
  <si>
    <t>Other</t>
  </si>
  <si>
    <t>Total</t>
  </si>
  <si>
    <t>Software</t>
  </si>
  <si>
    <t>2015b64</t>
  </si>
  <si>
    <t>2015rc1</t>
  </si>
  <si>
    <t>2017a17</t>
  </si>
  <si>
    <t>2017b8</t>
  </si>
  <si>
    <t>2018b13</t>
  </si>
  <si>
    <t>2019b27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</si>
</sst>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right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</a:rPr>
              <a:t>Big DAQ App - Average CPU Usage vs Loop Rate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Lower is better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4405797101449276E-2"/>
          <c:y val="0.10399089115897174"/>
          <c:w val="0.75080488623132624"/>
          <c:h val="0.74925999179012581"/>
        </c:manualLayout>
      </c:layout>
      <c:scatterChart>
        <c:scatterStyle val="lineMarker"/>
        <c:varyColors val="0"/>
        <c:ser>
          <c:idx val="2"/>
          <c:order val="0"/>
          <c:tx>
            <c:strRef>
              <c:f>'8108 Regression'!$D$2</c:f>
              <c:strCache>
                <c:ptCount val="1"/>
                <c:pt idx="0">
                  <c:v>2014b</c:v>
                </c:pt>
              </c:strCache>
            </c:strRef>
          </c:tx>
          <c:marker>
            <c:symbol val="none"/>
          </c:marker>
          <c:xVal>
            <c:numRef>
              <c:f>'8108 Regression'!$A$3:$A$26</c:f>
              <c:numCache>
                <c:formatCode>General</c:formatCode>
                <c:ptCount val="2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</c:numCache>
            </c:numRef>
          </c:xVal>
          <c:yVal>
            <c:numRef>
              <c:f>'8108 Regression'!$D$3:$D$26</c:f>
            </c:numRef>
          </c:yVal>
          <c:smooth val="0"/>
          <c:extLst>
            <c:ext xmlns:c16="http://schemas.microsoft.com/office/drawing/2014/chart" uri="{C3380CC4-5D6E-409C-BE32-E72D297353CC}">
              <c16:uniqueId val="{00000000-CC81-4E6E-BB91-E17CD6262CEA}"/>
            </c:ext>
          </c:extLst>
        </c:ser>
        <c:ser>
          <c:idx val="3"/>
          <c:order val="1"/>
          <c:tx>
            <c:strRef>
              <c:f>'8108 Regression'!$E$2</c:f>
              <c:strCache>
                <c:ptCount val="1"/>
                <c:pt idx="0">
                  <c:v>2014rc</c:v>
                </c:pt>
              </c:strCache>
            </c:strRef>
          </c:tx>
          <c:marker>
            <c:symbol val="none"/>
          </c:marker>
          <c:xVal>
            <c:numRef>
              <c:f>'8108 Regression'!$A$3:$A$26</c:f>
              <c:numCache>
                <c:formatCode>General</c:formatCode>
                <c:ptCount val="2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</c:numCache>
            </c:numRef>
          </c:xVal>
          <c:yVal>
            <c:numRef>
              <c:f>'8108 Regression'!$E$3:$E$26</c:f>
              <c:numCache>
                <c:formatCode>General</c:formatCode>
                <c:ptCount val="24"/>
                <c:pt idx="0">
                  <c:v>3.6</c:v>
                </c:pt>
                <c:pt idx="1">
                  <c:v>7.14</c:v>
                </c:pt>
                <c:pt idx="2">
                  <c:v>10.69</c:v>
                </c:pt>
                <c:pt idx="3">
                  <c:v>14.23</c:v>
                </c:pt>
                <c:pt idx="4">
                  <c:v>17.84</c:v>
                </c:pt>
                <c:pt idx="5">
                  <c:v>21.45</c:v>
                </c:pt>
                <c:pt idx="6">
                  <c:v>24.98</c:v>
                </c:pt>
                <c:pt idx="7">
                  <c:v>28.51</c:v>
                </c:pt>
                <c:pt idx="8">
                  <c:v>32.17</c:v>
                </c:pt>
                <c:pt idx="9">
                  <c:v>35.64</c:v>
                </c:pt>
                <c:pt idx="10">
                  <c:v>39.200000000000003</c:v>
                </c:pt>
                <c:pt idx="11">
                  <c:v>42.88</c:v>
                </c:pt>
                <c:pt idx="12">
                  <c:v>46.45</c:v>
                </c:pt>
                <c:pt idx="13">
                  <c:v>49.95</c:v>
                </c:pt>
                <c:pt idx="14">
                  <c:v>53.64</c:v>
                </c:pt>
                <c:pt idx="15">
                  <c:v>57.26</c:v>
                </c:pt>
                <c:pt idx="16">
                  <c:v>60.82</c:v>
                </c:pt>
                <c:pt idx="17">
                  <c:v>64.3</c:v>
                </c:pt>
                <c:pt idx="18">
                  <c:v>67.98</c:v>
                </c:pt>
                <c:pt idx="19">
                  <c:v>71.55</c:v>
                </c:pt>
                <c:pt idx="20">
                  <c:v>74.930000000000007</c:v>
                </c:pt>
                <c:pt idx="21">
                  <c:v>78.62</c:v>
                </c:pt>
                <c:pt idx="22">
                  <c:v>82.1</c:v>
                </c:pt>
                <c:pt idx="23">
                  <c:v>85.76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1-4E6E-BB91-E17CD6262CEA}"/>
            </c:ext>
          </c:extLst>
        </c:ser>
        <c:ser>
          <c:idx val="6"/>
          <c:order val="2"/>
          <c:tx>
            <c:v>2015rc1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Regression'!$I$3:$I$24</c:f>
              <c:numCache>
                <c:formatCode>General</c:formatCode>
                <c:ptCount val="22"/>
                <c:pt idx="0">
                  <c:v>3.74</c:v>
                </c:pt>
                <c:pt idx="1">
                  <c:v>7.37</c:v>
                </c:pt>
                <c:pt idx="2">
                  <c:v>11.11</c:v>
                </c:pt>
                <c:pt idx="3">
                  <c:v>14.76</c:v>
                </c:pt>
                <c:pt idx="4">
                  <c:v>18.47</c:v>
                </c:pt>
                <c:pt idx="5">
                  <c:v>22.16</c:v>
                </c:pt>
                <c:pt idx="6">
                  <c:v>25.83</c:v>
                </c:pt>
                <c:pt idx="7">
                  <c:v>29.51</c:v>
                </c:pt>
                <c:pt idx="8">
                  <c:v>33.229999999999997</c:v>
                </c:pt>
                <c:pt idx="9">
                  <c:v>36.909999999999997</c:v>
                </c:pt>
                <c:pt idx="10">
                  <c:v>40.64</c:v>
                </c:pt>
                <c:pt idx="11">
                  <c:v>44.22</c:v>
                </c:pt>
                <c:pt idx="12">
                  <c:v>47.99</c:v>
                </c:pt>
                <c:pt idx="13">
                  <c:v>51.6</c:v>
                </c:pt>
                <c:pt idx="14">
                  <c:v>55.44</c:v>
                </c:pt>
                <c:pt idx="15">
                  <c:v>59.15</c:v>
                </c:pt>
                <c:pt idx="16">
                  <c:v>62.92</c:v>
                </c:pt>
                <c:pt idx="17">
                  <c:v>66.44</c:v>
                </c:pt>
                <c:pt idx="18">
                  <c:v>70.27</c:v>
                </c:pt>
                <c:pt idx="19">
                  <c:v>73.89</c:v>
                </c:pt>
                <c:pt idx="20">
                  <c:v>77.84</c:v>
                </c:pt>
                <c:pt idx="21">
                  <c:v>81.47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1-4E6E-BB91-E17CD6262CEA}"/>
            </c:ext>
          </c:extLst>
        </c:ser>
        <c:ser>
          <c:idx val="0"/>
          <c:order val="3"/>
          <c:tx>
            <c:strRef>
              <c:f>'8108 Regression'!$J$2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Regression'!$J$3:$J$27</c:f>
              <c:numCache>
                <c:formatCode>General</c:formatCode>
                <c:ptCount val="25"/>
                <c:pt idx="0">
                  <c:v>3.6</c:v>
                </c:pt>
                <c:pt idx="1">
                  <c:v>7.17</c:v>
                </c:pt>
                <c:pt idx="2">
                  <c:v>10.77</c:v>
                </c:pt>
                <c:pt idx="3">
                  <c:v>14.37</c:v>
                </c:pt>
                <c:pt idx="4">
                  <c:v>17.97</c:v>
                </c:pt>
                <c:pt idx="5">
                  <c:v>21.61</c:v>
                </c:pt>
                <c:pt idx="6">
                  <c:v>25.09</c:v>
                </c:pt>
                <c:pt idx="7">
                  <c:v>28.63</c:v>
                </c:pt>
                <c:pt idx="8">
                  <c:v>32.25</c:v>
                </c:pt>
                <c:pt idx="9">
                  <c:v>35.979999999999997</c:v>
                </c:pt>
                <c:pt idx="10">
                  <c:v>39.479999999999997</c:v>
                </c:pt>
                <c:pt idx="11">
                  <c:v>43.02</c:v>
                </c:pt>
                <c:pt idx="12">
                  <c:v>46.57</c:v>
                </c:pt>
                <c:pt idx="13">
                  <c:v>50.27</c:v>
                </c:pt>
                <c:pt idx="14">
                  <c:v>53.74</c:v>
                </c:pt>
                <c:pt idx="15">
                  <c:v>57.38</c:v>
                </c:pt>
                <c:pt idx="16">
                  <c:v>60.98</c:v>
                </c:pt>
                <c:pt idx="17">
                  <c:v>64.66</c:v>
                </c:pt>
                <c:pt idx="18">
                  <c:v>68.09</c:v>
                </c:pt>
                <c:pt idx="19">
                  <c:v>71.69</c:v>
                </c:pt>
                <c:pt idx="20">
                  <c:v>75.22</c:v>
                </c:pt>
                <c:pt idx="21">
                  <c:v>78.900000000000006</c:v>
                </c:pt>
                <c:pt idx="22">
                  <c:v>82.33</c:v>
                </c:pt>
                <c:pt idx="23">
                  <c:v>86.03</c:v>
                </c:pt>
                <c:pt idx="24">
                  <c:v>89.74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81-4E6E-BB91-E17CD6262CEA}"/>
            </c:ext>
          </c:extLst>
        </c:ser>
        <c:ser>
          <c:idx val="1"/>
          <c:order val="4"/>
          <c:tx>
            <c:strRef>
              <c:f>'8108 Regression'!$K$2</c:f>
              <c:strCache>
                <c:ptCount val="1"/>
                <c:pt idx="0">
                  <c:v>2017a17</c:v>
                </c:pt>
              </c:strCache>
            </c:strRef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Regression'!$K$3:$K$27</c:f>
              <c:numCache>
                <c:formatCode>General</c:formatCode>
                <c:ptCount val="25"/>
                <c:pt idx="0">
                  <c:v>3.66</c:v>
                </c:pt>
                <c:pt idx="1">
                  <c:v>7.18</c:v>
                </c:pt>
                <c:pt idx="2">
                  <c:v>10.81</c:v>
                </c:pt>
                <c:pt idx="3">
                  <c:v>14.37</c:v>
                </c:pt>
                <c:pt idx="4">
                  <c:v>17.989999999999998</c:v>
                </c:pt>
                <c:pt idx="5">
                  <c:v>21.63</c:v>
                </c:pt>
                <c:pt idx="6">
                  <c:v>25.23</c:v>
                </c:pt>
                <c:pt idx="7">
                  <c:v>28.64</c:v>
                </c:pt>
                <c:pt idx="8">
                  <c:v>32.270000000000003</c:v>
                </c:pt>
                <c:pt idx="9">
                  <c:v>35.9</c:v>
                </c:pt>
                <c:pt idx="10">
                  <c:v>39.43</c:v>
                </c:pt>
                <c:pt idx="11">
                  <c:v>43</c:v>
                </c:pt>
                <c:pt idx="12">
                  <c:v>46.57</c:v>
                </c:pt>
                <c:pt idx="13">
                  <c:v>50.4</c:v>
                </c:pt>
                <c:pt idx="14">
                  <c:v>53.92</c:v>
                </c:pt>
                <c:pt idx="15">
                  <c:v>57.33</c:v>
                </c:pt>
                <c:pt idx="16">
                  <c:v>61.1</c:v>
                </c:pt>
                <c:pt idx="17">
                  <c:v>64.540000000000006</c:v>
                </c:pt>
                <c:pt idx="18">
                  <c:v>68.25</c:v>
                </c:pt>
                <c:pt idx="19">
                  <c:v>71.78</c:v>
                </c:pt>
                <c:pt idx="20">
                  <c:v>75.430000000000007</c:v>
                </c:pt>
                <c:pt idx="21">
                  <c:v>78.89</c:v>
                </c:pt>
                <c:pt idx="22">
                  <c:v>82.63</c:v>
                </c:pt>
                <c:pt idx="23">
                  <c:v>86.3</c:v>
                </c:pt>
                <c:pt idx="24">
                  <c:v>89.63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81-4E6E-BB91-E17CD6262CEA}"/>
            </c:ext>
          </c:extLst>
        </c:ser>
        <c:ser>
          <c:idx val="4"/>
          <c:order val="5"/>
          <c:tx>
            <c:v>2017b8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Regression'!$L$3:$L$27</c:f>
              <c:numCache>
                <c:formatCode>General</c:formatCode>
                <c:ptCount val="25"/>
                <c:pt idx="0">
                  <c:v>3.61</c:v>
                </c:pt>
                <c:pt idx="1">
                  <c:v>7.15</c:v>
                </c:pt>
                <c:pt idx="2">
                  <c:v>10.78</c:v>
                </c:pt>
                <c:pt idx="3">
                  <c:v>14.34</c:v>
                </c:pt>
                <c:pt idx="4">
                  <c:v>17.96</c:v>
                </c:pt>
                <c:pt idx="5">
                  <c:v>21.48</c:v>
                </c:pt>
                <c:pt idx="6">
                  <c:v>25.16</c:v>
                </c:pt>
                <c:pt idx="7">
                  <c:v>28.57</c:v>
                </c:pt>
                <c:pt idx="8">
                  <c:v>32.18</c:v>
                </c:pt>
                <c:pt idx="9">
                  <c:v>35.76</c:v>
                </c:pt>
                <c:pt idx="10">
                  <c:v>39.409999999999997</c:v>
                </c:pt>
                <c:pt idx="11">
                  <c:v>42.95</c:v>
                </c:pt>
                <c:pt idx="12">
                  <c:v>46.45</c:v>
                </c:pt>
                <c:pt idx="13">
                  <c:v>50.07</c:v>
                </c:pt>
                <c:pt idx="14">
                  <c:v>53.72</c:v>
                </c:pt>
                <c:pt idx="15">
                  <c:v>57.31</c:v>
                </c:pt>
                <c:pt idx="16">
                  <c:v>60.82</c:v>
                </c:pt>
                <c:pt idx="17">
                  <c:v>64.44</c:v>
                </c:pt>
                <c:pt idx="18">
                  <c:v>68</c:v>
                </c:pt>
                <c:pt idx="19">
                  <c:v>71.61</c:v>
                </c:pt>
                <c:pt idx="20">
                  <c:v>75.290000000000006</c:v>
                </c:pt>
                <c:pt idx="21">
                  <c:v>78.72</c:v>
                </c:pt>
                <c:pt idx="22">
                  <c:v>82.27</c:v>
                </c:pt>
                <c:pt idx="23">
                  <c:v>85.96</c:v>
                </c:pt>
                <c:pt idx="24">
                  <c:v>89.46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81-4E6E-BB91-E17CD6262CEA}"/>
            </c:ext>
          </c:extLst>
        </c:ser>
        <c:ser>
          <c:idx val="5"/>
          <c:order val="6"/>
          <c:tx>
            <c:v>2017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Regression'!$M$3:$M$25</c:f>
              <c:numCache>
                <c:formatCode>General</c:formatCode>
                <c:ptCount val="23"/>
                <c:pt idx="0">
                  <c:v>3.63</c:v>
                </c:pt>
                <c:pt idx="1">
                  <c:v>7.18</c:v>
                </c:pt>
                <c:pt idx="2">
                  <c:v>10.78</c:v>
                </c:pt>
                <c:pt idx="3">
                  <c:v>14.42</c:v>
                </c:pt>
                <c:pt idx="4">
                  <c:v>18.04</c:v>
                </c:pt>
                <c:pt idx="5">
                  <c:v>21.63</c:v>
                </c:pt>
                <c:pt idx="6">
                  <c:v>25.24</c:v>
                </c:pt>
                <c:pt idx="7">
                  <c:v>28.76</c:v>
                </c:pt>
                <c:pt idx="8">
                  <c:v>32.340000000000003</c:v>
                </c:pt>
                <c:pt idx="9">
                  <c:v>35.880000000000003</c:v>
                </c:pt>
                <c:pt idx="10">
                  <c:v>39.51</c:v>
                </c:pt>
                <c:pt idx="11">
                  <c:v>43.16</c:v>
                </c:pt>
                <c:pt idx="12">
                  <c:v>46.82</c:v>
                </c:pt>
                <c:pt idx="13">
                  <c:v>50.36</c:v>
                </c:pt>
                <c:pt idx="14">
                  <c:v>53.93</c:v>
                </c:pt>
                <c:pt idx="15">
                  <c:v>57.68</c:v>
                </c:pt>
                <c:pt idx="16">
                  <c:v>61.09</c:v>
                </c:pt>
                <c:pt idx="17">
                  <c:v>64.91</c:v>
                </c:pt>
                <c:pt idx="18">
                  <c:v>68.25</c:v>
                </c:pt>
                <c:pt idx="19">
                  <c:v>71.900000000000006</c:v>
                </c:pt>
                <c:pt idx="20">
                  <c:v>75.599999999999994</c:v>
                </c:pt>
                <c:pt idx="21">
                  <c:v>79.14</c:v>
                </c:pt>
                <c:pt idx="22">
                  <c:v>82.7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0-4F01-AB73-C22DFB120445}"/>
            </c:ext>
          </c:extLst>
        </c:ser>
        <c:ser>
          <c:idx val="7"/>
          <c:order val="7"/>
          <c:tx>
            <c:v>2018b13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Regression'!$N$3:$N$24</c:f>
              <c:numCache>
                <c:formatCode>General</c:formatCode>
                <c:ptCount val="22"/>
                <c:pt idx="0">
                  <c:v>3.59</c:v>
                </c:pt>
                <c:pt idx="1">
                  <c:v>7.1</c:v>
                </c:pt>
                <c:pt idx="2">
                  <c:v>10.69</c:v>
                </c:pt>
                <c:pt idx="3">
                  <c:v>14.2</c:v>
                </c:pt>
                <c:pt idx="4">
                  <c:v>17.88</c:v>
                </c:pt>
                <c:pt idx="5">
                  <c:v>21.37</c:v>
                </c:pt>
                <c:pt idx="6">
                  <c:v>24.88</c:v>
                </c:pt>
                <c:pt idx="7">
                  <c:v>28.51</c:v>
                </c:pt>
                <c:pt idx="8">
                  <c:v>32.04</c:v>
                </c:pt>
                <c:pt idx="9">
                  <c:v>35.69</c:v>
                </c:pt>
                <c:pt idx="10">
                  <c:v>39.18</c:v>
                </c:pt>
                <c:pt idx="11">
                  <c:v>42.75</c:v>
                </c:pt>
                <c:pt idx="12">
                  <c:v>46.32</c:v>
                </c:pt>
                <c:pt idx="13">
                  <c:v>49.84</c:v>
                </c:pt>
                <c:pt idx="14">
                  <c:v>53.4</c:v>
                </c:pt>
                <c:pt idx="15">
                  <c:v>57.1</c:v>
                </c:pt>
                <c:pt idx="16">
                  <c:v>60.63</c:v>
                </c:pt>
                <c:pt idx="17">
                  <c:v>64.17</c:v>
                </c:pt>
                <c:pt idx="18">
                  <c:v>67.61</c:v>
                </c:pt>
                <c:pt idx="19">
                  <c:v>71.38</c:v>
                </c:pt>
                <c:pt idx="20">
                  <c:v>74.81</c:v>
                </c:pt>
                <c:pt idx="21">
                  <c:v>78.790000000000006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4-412C-B680-0BED78DB3BA2}"/>
            </c:ext>
          </c:extLst>
        </c:ser>
        <c:ser>
          <c:idx val="8"/>
          <c:order val="8"/>
          <c:tx>
            <c:v>2018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Regression'!$O$3:$O$27</c:f>
              <c:numCache>
                <c:formatCode>General</c:formatCode>
                <c:ptCount val="25"/>
                <c:pt idx="0">
                  <c:v>3.64</c:v>
                </c:pt>
                <c:pt idx="1">
                  <c:v>7.17</c:v>
                </c:pt>
                <c:pt idx="2">
                  <c:v>10.75</c:v>
                </c:pt>
                <c:pt idx="3">
                  <c:v>14.37</c:v>
                </c:pt>
                <c:pt idx="4">
                  <c:v>17.98</c:v>
                </c:pt>
                <c:pt idx="5">
                  <c:v>21.6</c:v>
                </c:pt>
                <c:pt idx="6">
                  <c:v>25.26</c:v>
                </c:pt>
                <c:pt idx="7">
                  <c:v>28.75</c:v>
                </c:pt>
                <c:pt idx="8">
                  <c:v>32.26</c:v>
                </c:pt>
                <c:pt idx="9">
                  <c:v>35.75</c:v>
                </c:pt>
                <c:pt idx="10">
                  <c:v>39.5</c:v>
                </c:pt>
                <c:pt idx="11">
                  <c:v>43.04</c:v>
                </c:pt>
                <c:pt idx="12">
                  <c:v>46.59</c:v>
                </c:pt>
                <c:pt idx="13">
                  <c:v>50.26</c:v>
                </c:pt>
                <c:pt idx="14">
                  <c:v>53.72</c:v>
                </c:pt>
                <c:pt idx="15">
                  <c:v>57.39</c:v>
                </c:pt>
                <c:pt idx="16">
                  <c:v>60.84</c:v>
                </c:pt>
                <c:pt idx="17">
                  <c:v>64.5</c:v>
                </c:pt>
                <c:pt idx="18">
                  <c:v>68.11</c:v>
                </c:pt>
                <c:pt idx="19">
                  <c:v>71.650000000000006</c:v>
                </c:pt>
                <c:pt idx="20">
                  <c:v>75.25</c:v>
                </c:pt>
                <c:pt idx="21">
                  <c:v>78.97</c:v>
                </c:pt>
                <c:pt idx="22">
                  <c:v>82.52</c:v>
                </c:pt>
                <c:pt idx="23">
                  <c:v>86.27</c:v>
                </c:pt>
                <c:pt idx="24">
                  <c:v>90.01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D-4F9C-9208-FF708951B583}"/>
            </c:ext>
          </c:extLst>
        </c:ser>
        <c:ser>
          <c:idx val="9"/>
          <c:order val="9"/>
          <c:tx>
            <c:v>2019b27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Regression'!$P$3:$P$22</c:f>
              <c:numCache>
                <c:formatCode>General</c:formatCode>
                <c:ptCount val="20"/>
                <c:pt idx="0">
                  <c:v>3.7</c:v>
                </c:pt>
                <c:pt idx="1">
                  <c:v>7.33</c:v>
                </c:pt>
                <c:pt idx="2">
                  <c:v>11.03</c:v>
                </c:pt>
                <c:pt idx="3">
                  <c:v>14.67</c:v>
                </c:pt>
                <c:pt idx="4">
                  <c:v>18.420000000000002</c:v>
                </c:pt>
                <c:pt idx="5">
                  <c:v>22.03</c:v>
                </c:pt>
                <c:pt idx="6">
                  <c:v>25.8</c:v>
                </c:pt>
                <c:pt idx="7">
                  <c:v>29.35</c:v>
                </c:pt>
                <c:pt idx="8">
                  <c:v>32.979999999999997</c:v>
                </c:pt>
                <c:pt idx="9">
                  <c:v>36.700000000000003</c:v>
                </c:pt>
                <c:pt idx="10">
                  <c:v>40.46</c:v>
                </c:pt>
                <c:pt idx="11">
                  <c:v>44.08</c:v>
                </c:pt>
                <c:pt idx="12">
                  <c:v>47.86</c:v>
                </c:pt>
                <c:pt idx="13">
                  <c:v>51.39</c:v>
                </c:pt>
                <c:pt idx="14">
                  <c:v>55.26</c:v>
                </c:pt>
                <c:pt idx="15">
                  <c:v>58.86</c:v>
                </c:pt>
                <c:pt idx="16">
                  <c:v>62.48</c:v>
                </c:pt>
                <c:pt idx="17">
                  <c:v>66.25</c:v>
                </c:pt>
                <c:pt idx="18">
                  <c:v>69.91</c:v>
                </c:pt>
                <c:pt idx="19">
                  <c:v>73.62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47-4E91-AF42-56FB1B44B2E8}"/>
            </c:ext>
          </c:extLst>
        </c:ser>
        <c:ser>
          <c:idx val="10"/>
          <c:order val="10"/>
          <c:tx>
            <c:strRef>
              <c:f>'8108 Regression'!$Q$2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xVal>
            <c:numRef>
              <c:f>'8108 Regression'!$Q$3:$Q$25</c:f>
              <c:numCache>
                <c:formatCode>General</c:formatCode>
                <c:ptCount val="23"/>
                <c:pt idx="0">
                  <c:v>3.65</c:v>
                </c:pt>
                <c:pt idx="1">
                  <c:v>7.19</c:v>
                </c:pt>
                <c:pt idx="2">
                  <c:v>10.78</c:v>
                </c:pt>
                <c:pt idx="3">
                  <c:v>14.39</c:v>
                </c:pt>
                <c:pt idx="4">
                  <c:v>18</c:v>
                </c:pt>
                <c:pt idx="5">
                  <c:v>21.64</c:v>
                </c:pt>
                <c:pt idx="6">
                  <c:v>25.21</c:v>
                </c:pt>
                <c:pt idx="7">
                  <c:v>28.72</c:v>
                </c:pt>
                <c:pt idx="8">
                  <c:v>32.39</c:v>
                </c:pt>
                <c:pt idx="9">
                  <c:v>35.9</c:v>
                </c:pt>
                <c:pt idx="10">
                  <c:v>39.520000000000003</c:v>
                </c:pt>
                <c:pt idx="11">
                  <c:v>43.04</c:v>
                </c:pt>
                <c:pt idx="12">
                  <c:v>46.6</c:v>
                </c:pt>
                <c:pt idx="13">
                  <c:v>50.28</c:v>
                </c:pt>
                <c:pt idx="14">
                  <c:v>53.85</c:v>
                </c:pt>
                <c:pt idx="15">
                  <c:v>57.57</c:v>
                </c:pt>
                <c:pt idx="16">
                  <c:v>61.17</c:v>
                </c:pt>
                <c:pt idx="17">
                  <c:v>64.77</c:v>
                </c:pt>
                <c:pt idx="18">
                  <c:v>68.260000000000005</c:v>
                </c:pt>
                <c:pt idx="19">
                  <c:v>71.89</c:v>
                </c:pt>
                <c:pt idx="20">
                  <c:v>75.56</c:v>
                </c:pt>
                <c:pt idx="21">
                  <c:v>79.099999999999994</c:v>
                </c:pt>
                <c:pt idx="22">
                  <c:v>82.71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2E78-4444-B7C5-08AEF82D7B02}"/>
            </c:ext>
          </c:extLst>
        </c:ser>
        <c:ser>
          <c:idx val="11"/>
          <c:order val="11"/>
          <c:tx>
            <c:strRef>
              <c:f>'8108 Regression'!$Q$2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Regression'!$Q$3:$Q$25</c:f>
              <c:numCache>
                <c:formatCode>General</c:formatCode>
                <c:ptCount val="23"/>
                <c:pt idx="0">
                  <c:v>3.65</c:v>
                </c:pt>
                <c:pt idx="1">
                  <c:v>7.19</c:v>
                </c:pt>
                <c:pt idx="2">
                  <c:v>10.78</c:v>
                </c:pt>
                <c:pt idx="3">
                  <c:v>14.39</c:v>
                </c:pt>
                <c:pt idx="4">
                  <c:v>18</c:v>
                </c:pt>
                <c:pt idx="5">
                  <c:v>21.64</c:v>
                </c:pt>
                <c:pt idx="6">
                  <c:v>25.21</c:v>
                </c:pt>
                <c:pt idx="7">
                  <c:v>28.72</c:v>
                </c:pt>
                <c:pt idx="8">
                  <c:v>32.39</c:v>
                </c:pt>
                <c:pt idx="9">
                  <c:v>35.9</c:v>
                </c:pt>
                <c:pt idx="10">
                  <c:v>39.520000000000003</c:v>
                </c:pt>
                <c:pt idx="11">
                  <c:v>43.04</c:v>
                </c:pt>
                <c:pt idx="12">
                  <c:v>46.6</c:v>
                </c:pt>
                <c:pt idx="13">
                  <c:v>50.28</c:v>
                </c:pt>
                <c:pt idx="14">
                  <c:v>53.85</c:v>
                </c:pt>
                <c:pt idx="15">
                  <c:v>57.57</c:v>
                </c:pt>
                <c:pt idx="16">
                  <c:v>61.17</c:v>
                </c:pt>
                <c:pt idx="17">
                  <c:v>64.77</c:v>
                </c:pt>
                <c:pt idx="18">
                  <c:v>68.260000000000005</c:v>
                </c:pt>
                <c:pt idx="19">
                  <c:v>71.89</c:v>
                </c:pt>
                <c:pt idx="20">
                  <c:v>75.56</c:v>
                </c:pt>
                <c:pt idx="21">
                  <c:v>79.099999999999994</c:v>
                </c:pt>
                <c:pt idx="22">
                  <c:v>82.71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78-4444-B7C5-08AEF82D7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607040"/>
        <c:axId val="1"/>
      </c:scatterChart>
      <c:valAx>
        <c:axId val="35860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Loop Rate (Hz)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Average CPU Usage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860704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85968</xdr:colOff>
      <xdr:row>2</xdr:row>
      <xdr:rowOff>92852</xdr:rowOff>
    </xdr:from>
    <xdr:to>
      <xdr:col>30</xdr:col>
      <xdr:colOff>458173</xdr:colOff>
      <xdr:row>27</xdr:row>
      <xdr:rowOff>3031</xdr:rowOff>
    </xdr:to>
    <xdr:graphicFrame macro="">
      <xdr:nvGraphicFramePr>
        <xdr:cNvPr id="1430" name="Chart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1009650</xdr:colOff>
      <xdr:row>45</xdr:row>
      <xdr:rowOff>57150</xdr:rowOff>
    </xdr:from>
    <xdr:to>
      <xdr:col>2</xdr:col>
      <xdr:colOff>66675</xdr:colOff>
      <xdr:row>46</xdr:row>
      <xdr:rowOff>171450</xdr:rowOff>
    </xdr:to>
    <xdr:sp macro="" textlink="">
      <xdr:nvSpPr>
        <xdr:cNvPr id="1431" name="AutoShape 15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2419350" y="8629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114300</xdr:rowOff>
    </xdr:to>
    <xdr:sp macro="" textlink="">
      <xdr:nvSpPr>
        <xdr:cNvPr id="1432" name="AutoShape 16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114300</xdr:rowOff>
    </xdr:to>
    <xdr:sp macro="" textlink="">
      <xdr:nvSpPr>
        <xdr:cNvPr id="1433" name="AutoShape 17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667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114300</xdr:rowOff>
    </xdr:to>
    <xdr:sp macro="" textlink="">
      <xdr:nvSpPr>
        <xdr:cNvPr id="1434" name="AutoShape 18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114300</xdr:rowOff>
    </xdr:to>
    <xdr:sp macro="" textlink="">
      <xdr:nvSpPr>
        <xdr:cNvPr id="1435" name="AutoShape 19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114300</xdr:rowOff>
    </xdr:to>
    <xdr:sp macro="" textlink="">
      <xdr:nvSpPr>
        <xdr:cNvPr id="1436" name="AutoShape 20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239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114300</xdr:rowOff>
    </xdr:to>
    <xdr:sp macro="" textlink="">
      <xdr:nvSpPr>
        <xdr:cNvPr id="1437" name="AutoShape 21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42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114300</xdr:rowOff>
    </xdr:to>
    <xdr:sp macro="" textlink="">
      <xdr:nvSpPr>
        <xdr:cNvPr id="1438" name="AutoShape 22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114300</xdr:rowOff>
    </xdr:to>
    <xdr:sp macro="" textlink="">
      <xdr:nvSpPr>
        <xdr:cNvPr id="1439" name="AutoShape 23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114300</xdr:rowOff>
    </xdr:to>
    <xdr:sp macro="" textlink="">
      <xdr:nvSpPr>
        <xdr:cNvPr id="1440" name="AutoShape 24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1441" name="AutoShape 25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114300</xdr:rowOff>
    </xdr:to>
    <xdr:sp macro="" textlink="">
      <xdr:nvSpPr>
        <xdr:cNvPr id="1442" name="AutoShape 26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382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114300</xdr:rowOff>
    </xdr:to>
    <xdr:sp macro="" textlink="">
      <xdr:nvSpPr>
        <xdr:cNvPr id="1443" name="AutoShape 27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572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114300</xdr:rowOff>
    </xdr:to>
    <xdr:sp macro="" textlink="">
      <xdr:nvSpPr>
        <xdr:cNvPr id="1444" name="AutoShape 28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76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38100</xdr:rowOff>
    </xdr:from>
    <xdr:to>
      <xdr:col>5</xdr:col>
      <xdr:colOff>561975</xdr:colOff>
      <xdr:row>45</xdr:row>
      <xdr:rowOff>95250</xdr:rowOff>
    </xdr:to>
    <xdr:pic>
      <xdr:nvPicPr>
        <xdr:cNvPr id="3101" name="Picture 1">
          <a:extLst>
            <a:ext uri="{FF2B5EF4-FFF2-40B4-BE49-F238E27FC236}">
              <a16:creationId xmlns:a16="http://schemas.microsoft.com/office/drawing/2014/main" id="{00000000-0008-0000-01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0"/>
          <a:ext cx="3609975" cy="310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2000000}" autoFormatId="16" applyNumberFormats="0" applyBorderFormats="0" applyFontFormats="0" applyPatternFormats="0" applyAlignmentFormats="0" applyWidthHeightFormats="0">
  <queryTableRefresh nextId="7">
    <queryTableFields count="6">
      <queryTableField id="1" name="Sleep" tableColumnId="1"/>
      <queryTableField id="2" name="Rate" tableColumnId="2"/>
      <queryTableField id="3" name="ISRs" tableColumnId="3"/>
      <queryTableField id="4" name="TL" tableColumnId="4"/>
      <queryTableField id="5" name="Other" tableColumnId="5"/>
      <queryTableField id="6" name="Tota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108_1" connectionId="1" xr16:uid="{00000000-0016-0000-0100-000000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3" xr16:uid="{00000000-0016-0000-0100-000001000000}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781F6-CC17-457A-BF92-A03BC501F9BC}" name="_8018" displayName="_8018" ref="O58:T80" tableType="queryTable" totalsRowShown="0" headerRowDxfId="10" dataDxfId="8" headerRowBorderDxfId="9" tableBorderDxfId="7" totalsRowBorderDxfId="6" dataCellStyle="Normal">
  <tableColumns count="6">
    <tableColumn id="1" xr3:uid="{A708CBE8-95E4-4C3A-A83F-52614C126584}" uniqueName="1" name="Sleep" queryTableFieldId="1" dataDxfId="5" dataCellStyle="Normal"/>
    <tableColumn id="2" xr3:uid="{552AFA8D-58E3-42AE-9732-0A0095B1070C}" uniqueName="2" name="Rate" queryTableFieldId="2" dataDxfId="4" dataCellStyle="Normal"/>
    <tableColumn id="3" xr3:uid="{35DB0EB7-40F1-4651-93FB-F9B9F5B97C1C}" uniqueName="3" name="ISRs" queryTableFieldId="3" dataDxfId="3" dataCellStyle="Normal"/>
    <tableColumn id="4" xr3:uid="{A74F8B5F-8707-4404-A17F-4F6BDC758F4B}" uniqueName="4" name="TL" queryTableFieldId="4" dataDxfId="2" dataCellStyle="Normal"/>
    <tableColumn id="5" xr3:uid="{B05172C4-B045-43BC-B3B3-6A448AF770A7}" uniqueName="5" name="Other" queryTableFieldId="5" dataDxfId="1" dataCellStyle="Normal"/>
    <tableColumn id="6" xr3:uid="{AA1D21AD-1603-4E0B-BCE8-6204FEADDBDF}" uniqueName="6" name="Total" queryTableFieldId="6" dataDxfId="0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85" zoomScaleNormal="85" workbookViewId="0">
      <selection activeCell="Z36" sqref="Z36"/>
    </sheetView>
  </sheetViews>
  <sheetFormatPr defaultRowHeight="15" x14ac:dyDescent="0.25"/>
  <cols>
    <col min="1" max="1" width="21.140625" style="4" bestFit="1" customWidth="1"/>
    <col min="2" max="2" width="18.7109375" style="4" bestFit="1" customWidth="1"/>
    <col min="3" max="3" width="11.28515625" style="4" customWidth="1"/>
    <col min="4" max="4" width="0" style="4" hidden="1" customWidth="1"/>
    <col min="5" max="5" width="9.140625" style="4"/>
    <col min="6" max="6" width="10" style="4" bestFit="1" customWidth="1"/>
    <col min="7" max="8" width="12" style="4" bestFit="1" customWidth="1"/>
    <col min="9" max="16384" width="9.140625" style="4"/>
  </cols>
  <sheetData>
    <row r="1" spans="1:17" x14ac:dyDescent="0.25">
      <c r="B1" s="15" t="s">
        <v>0</v>
      </c>
      <c r="C1" s="15"/>
      <c r="D1" s="15"/>
      <c r="E1" s="15"/>
    </row>
    <row r="2" spans="1:17" x14ac:dyDescent="0.25">
      <c r="A2" s="5" t="s">
        <v>1</v>
      </c>
      <c r="B2" s="5">
        <v>2012</v>
      </c>
      <c r="C2" s="5">
        <v>2013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13</v>
      </c>
      <c r="I2" s="5" t="s">
        <v>14</v>
      </c>
      <c r="J2" s="5">
        <v>2016</v>
      </c>
      <c r="K2" s="5" t="s">
        <v>15</v>
      </c>
      <c r="L2" s="5" t="s">
        <v>16</v>
      </c>
      <c r="M2" s="5">
        <v>2017</v>
      </c>
      <c r="N2" s="3" t="s">
        <v>17</v>
      </c>
      <c r="O2" s="3">
        <v>2018</v>
      </c>
      <c r="P2" s="3" t="s">
        <v>18</v>
      </c>
      <c r="Q2" s="3">
        <v>2019</v>
      </c>
    </row>
    <row r="3" spans="1:17" x14ac:dyDescent="0.25">
      <c r="A3" s="4">
        <v>500</v>
      </c>
      <c r="B3" s="4">
        <v>3.47</v>
      </c>
      <c r="C3" s="4">
        <v>3.58</v>
      </c>
      <c r="D3" s="4">
        <v>3.6</v>
      </c>
      <c r="E3" s="4">
        <v>3.6</v>
      </c>
      <c r="F3" s="4">
        <v>3.72</v>
      </c>
      <c r="G3" s="4">
        <v>3.69</v>
      </c>
      <c r="H3" s="4">
        <v>3.71</v>
      </c>
      <c r="I3" s="4">
        <v>3.74</v>
      </c>
      <c r="J3" s="4">
        <v>3.6</v>
      </c>
      <c r="K3" s="4">
        <v>3.66</v>
      </c>
      <c r="L3" s="6">
        <v>3.61</v>
      </c>
      <c r="M3" s="6">
        <v>3.63</v>
      </c>
      <c r="N3" s="13">
        <v>3.59</v>
      </c>
      <c r="O3">
        <v>3.64</v>
      </c>
      <c r="P3">
        <v>3.7</v>
      </c>
      <c r="Q3">
        <v>3.65</v>
      </c>
    </row>
    <row r="4" spans="1:17" x14ac:dyDescent="0.25">
      <c r="A4" s="4">
        <f>A3+500</f>
        <v>1000</v>
      </c>
      <c r="B4" s="4">
        <v>6.93</v>
      </c>
      <c r="C4" s="4">
        <v>7.07</v>
      </c>
      <c r="D4" s="4">
        <v>7.11</v>
      </c>
      <c r="E4" s="4">
        <v>7.14</v>
      </c>
      <c r="F4" s="4">
        <v>7.37</v>
      </c>
      <c r="G4" s="4">
        <v>7.33</v>
      </c>
      <c r="H4" s="4">
        <v>7.34</v>
      </c>
      <c r="I4" s="4">
        <v>7.37</v>
      </c>
      <c r="J4" s="4">
        <v>7.17</v>
      </c>
      <c r="K4" s="4">
        <v>7.18</v>
      </c>
      <c r="L4" s="6">
        <v>7.15</v>
      </c>
      <c r="M4" s="6">
        <v>7.18</v>
      </c>
      <c r="N4" s="13">
        <v>7.1</v>
      </c>
      <c r="O4">
        <v>7.17</v>
      </c>
      <c r="P4">
        <v>7.33</v>
      </c>
      <c r="Q4">
        <v>7.19</v>
      </c>
    </row>
    <row r="5" spans="1:17" x14ac:dyDescent="0.25">
      <c r="A5" s="4">
        <f t="shared" ref="A5:A27" si="0">A4+500</f>
        <v>1500</v>
      </c>
      <c r="B5" s="4">
        <v>10.32</v>
      </c>
      <c r="C5" s="4">
        <v>10.63</v>
      </c>
      <c r="D5" s="4">
        <v>10.67</v>
      </c>
      <c r="E5" s="4">
        <v>10.69</v>
      </c>
      <c r="F5" s="4">
        <v>11.05</v>
      </c>
      <c r="G5" s="4">
        <v>11</v>
      </c>
      <c r="H5" s="4">
        <v>11.01</v>
      </c>
      <c r="I5" s="4">
        <v>11.11</v>
      </c>
      <c r="J5" s="4">
        <v>10.77</v>
      </c>
      <c r="K5" s="4">
        <v>10.81</v>
      </c>
      <c r="L5" s="6">
        <v>10.78</v>
      </c>
      <c r="M5" s="6">
        <v>10.78</v>
      </c>
      <c r="N5" s="13">
        <v>10.69</v>
      </c>
      <c r="O5">
        <v>10.75</v>
      </c>
      <c r="P5">
        <v>11.03</v>
      </c>
      <c r="Q5">
        <v>10.78</v>
      </c>
    </row>
    <row r="6" spans="1:17" x14ac:dyDescent="0.25">
      <c r="A6" s="4">
        <f t="shared" si="0"/>
        <v>2000</v>
      </c>
      <c r="B6" s="4">
        <v>13.76</v>
      </c>
      <c r="C6" s="4">
        <v>14.15</v>
      </c>
      <c r="D6" s="4">
        <v>14.22</v>
      </c>
      <c r="E6" s="4">
        <v>14.23</v>
      </c>
      <c r="F6" s="4">
        <v>14.78</v>
      </c>
      <c r="G6" s="4">
        <v>14.62</v>
      </c>
      <c r="H6" s="4">
        <v>14.69</v>
      </c>
      <c r="I6" s="4">
        <v>14.76</v>
      </c>
      <c r="J6" s="4">
        <v>14.37</v>
      </c>
      <c r="K6" s="4">
        <v>14.37</v>
      </c>
      <c r="L6" s="6">
        <v>14.34</v>
      </c>
      <c r="M6" s="6">
        <v>14.42</v>
      </c>
      <c r="N6" s="13">
        <v>14.2</v>
      </c>
      <c r="O6">
        <v>14.37</v>
      </c>
      <c r="P6">
        <v>14.67</v>
      </c>
      <c r="Q6">
        <v>14.39</v>
      </c>
    </row>
    <row r="7" spans="1:17" x14ac:dyDescent="0.25">
      <c r="A7" s="4">
        <f t="shared" si="0"/>
        <v>2500</v>
      </c>
      <c r="B7" s="4">
        <v>17.2</v>
      </c>
      <c r="C7" s="4">
        <v>17.68</v>
      </c>
      <c r="D7" s="4">
        <v>17.79</v>
      </c>
      <c r="E7" s="4">
        <v>17.84</v>
      </c>
      <c r="F7" s="4">
        <v>18.45</v>
      </c>
      <c r="G7" s="4">
        <v>18.3</v>
      </c>
      <c r="H7" s="4">
        <v>18.38</v>
      </c>
      <c r="I7" s="4">
        <v>18.47</v>
      </c>
      <c r="J7" s="4">
        <v>17.97</v>
      </c>
      <c r="K7" s="4">
        <v>17.989999999999998</v>
      </c>
      <c r="L7" s="6">
        <v>17.96</v>
      </c>
      <c r="M7" s="6">
        <v>18.04</v>
      </c>
      <c r="N7" s="13">
        <v>17.88</v>
      </c>
      <c r="O7">
        <v>17.98</v>
      </c>
      <c r="P7">
        <v>18.420000000000002</v>
      </c>
      <c r="Q7">
        <v>18</v>
      </c>
    </row>
    <row r="8" spans="1:17" x14ac:dyDescent="0.25">
      <c r="A8" s="4">
        <f t="shared" si="0"/>
        <v>3000</v>
      </c>
      <c r="B8" s="4">
        <v>20.67</v>
      </c>
      <c r="C8" s="4">
        <v>21.27</v>
      </c>
      <c r="D8" s="4">
        <v>21.38</v>
      </c>
      <c r="E8" s="4">
        <v>21.45</v>
      </c>
      <c r="F8" s="4">
        <v>22.14</v>
      </c>
      <c r="G8" s="4">
        <v>21.96</v>
      </c>
      <c r="H8" s="4">
        <v>22.12</v>
      </c>
      <c r="I8" s="4">
        <v>22.16</v>
      </c>
      <c r="J8" s="4">
        <v>21.61</v>
      </c>
      <c r="K8" s="4">
        <v>21.63</v>
      </c>
      <c r="L8" s="6">
        <v>21.48</v>
      </c>
      <c r="M8" s="6">
        <v>21.63</v>
      </c>
      <c r="N8" s="13">
        <v>21.37</v>
      </c>
      <c r="O8">
        <v>21.6</v>
      </c>
      <c r="P8">
        <v>22.03</v>
      </c>
      <c r="Q8">
        <v>21.64</v>
      </c>
    </row>
    <row r="9" spans="1:17" x14ac:dyDescent="0.25">
      <c r="A9" s="4">
        <f t="shared" si="0"/>
        <v>3500</v>
      </c>
      <c r="B9" s="4">
        <v>24.04</v>
      </c>
      <c r="C9" s="4">
        <v>24.76</v>
      </c>
      <c r="D9" s="4">
        <v>24.96</v>
      </c>
      <c r="E9" s="4">
        <v>24.98</v>
      </c>
      <c r="F9" s="4">
        <v>25.92</v>
      </c>
      <c r="G9" s="4">
        <v>25.64</v>
      </c>
      <c r="H9" s="4">
        <v>25.77</v>
      </c>
      <c r="I9" s="4">
        <v>25.83</v>
      </c>
      <c r="J9" s="4">
        <v>25.09</v>
      </c>
      <c r="K9" s="4">
        <v>25.23</v>
      </c>
      <c r="L9" s="6">
        <v>25.16</v>
      </c>
      <c r="M9" s="6">
        <v>25.24</v>
      </c>
      <c r="N9" s="13">
        <v>24.88</v>
      </c>
      <c r="O9">
        <v>25.26</v>
      </c>
      <c r="P9">
        <v>25.8</v>
      </c>
      <c r="Q9">
        <v>25.21</v>
      </c>
    </row>
    <row r="10" spans="1:17" x14ac:dyDescent="0.25">
      <c r="A10" s="4">
        <f t="shared" si="0"/>
        <v>4000</v>
      </c>
      <c r="B10" s="4">
        <v>27.5</v>
      </c>
      <c r="C10" s="4">
        <v>28.27</v>
      </c>
      <c r="D10" s="4">
        <v>28.61</v>
      </c>
      <c r="E10" s="4">
        <v>28.51</v>
      </c>
      <c r="F10" s="4">
        <v>29.56</v>
      </c>
      <c r="G10" s="4">
        <v>29.29</v>
      </c>
      <c r="H10" s="4">
        <v>29.41</v>
      </c>
      <c r="I10" s="4">
        <v>29.51</v>
      </c>
      <c r="J10" s="4">
        <v>28.63</v>
      </c>
      <c r="K10" s="4">
        <v>28.64</v>
      </c>
      <c r="L10" s="6">
        <v>28.57</v>
      </c>
      <c r="M10" s="6">
        <v>28.76</v>
      </c>
      <c r="N10" s="13">
        <v>28.51</v>
      </c>
      <c r="O10">
        <v>28.75</v>
      </c>
      <c r="P10">
        <v>29.35</v>
      </c>
      <c r="Q10">
        <v>28.72</v>
      </c>
    </row>
    <row r="11" spans="1:17" x14ac:dyDescent="0.25">
      <c r="A11" s="4">
        <f t="shared" si="0"/>
        <v>4500</v>
      </c>
      <c r="B11" s="4">
        <v>30.96</v>
      </c>
      <c r="C11" s="4">
        <v>31.86</v>
      </c>
      <c r="D11" s="4">
        <v>32.07</v>
      </c>
      <c r="E11" s="4">
        <v>32.17</v>
      </c>
      <c r="F11" s="4">
        <v>33.19</v>
      </c>
      <c r="G11" s="4">
        <v>32.94</v>
      </c>
      <c r="H11" s="4">
        <v>33.049999999999997</v>
      </c>
      <c r="I11" s="4">
        <v>33.229999999999997</v>
      </c>
      <c r="J11" s="4">
        <v>32.25</v>
      </c>
      <c r="K11" s="4">
        <v>32.270000000000003</v>
      </c>
      <c r="L11" s="6">
        <v>32.18</v>
      </c>
      <c r="M11" s="6">
        <v>32.340000000000003</v>
      </c>
      <c r="N11" s="13">
        <v>32.04</v>
      </c>
      <c r="O11">
        <v>32.26</v>
      </c>
      <c r="P11">
        <v>32.979999999999997</v>
      </c>
      <c r="Q11">
        <v>32.39</v>
      </c>
    </row>
    <row r="12" spans="1:17" x14ac:dyDescent="0.25">
      <c r="A12" s="4">
        <f t="shared" si="0"/>
        <v>5000</v>
      </c>
      <c r="B12" s="4">
        <v>34.39</v>
      </c>
      <c r="C12" s="4">
        <v>35.33</v>
      </c>
      <c r="D12" s="4">
        <v>35.69</v>
      </c>
      <c r="E12" s="4">
        <v>35.64</v>
      </c>
      <c r="F12" s="4">
        <v>36.97</v>
      </c>
      <c r="G12" s="4">
        <v>36.619999999999997</v>
      </c>
      <c r="H12" s="4">
        <v>36.74</v>
      </c>
      <c r="I12" s="4">
        <v>36.909999999999997</v>
      </c>
      <c r="J12" s="4">
        <v>35.979999999999997</v>
      </c>
      <c r="K12" s="4">
        <v>35.9</v>
      </c>
      <c r="L12" s="6">
        <v>35.76</v>
      </c>
      <c r="M12" s="6">
        <v>35.880000000000003</v>
      </c>
      <c r="N12" s="13">
        <v>35.69</v>
      </c>
      <c r="O12">
        <v>35.75</v>
      </c>
      <c r="P12">
        <v>36.700000000000003</v>
      </c>
      <c r="Q12">
        <v>35.9</v>
      </c>
    </row>
    <row r="13" spans="1:17" x14ac:dyDescent="0.25">
      <c r="A13" s="4">
        <f t="shared" si="0"/>
        <v>5500</v>
      </c>
      <c r="B13" s="4">
        <v>37.86</v>
      </c>
      <c r="C13" s="4">
        <v>38.97</v>
      </c>
      <c r="D13" s="4">
        <v>39.229999999999997</v>
      </c>
      <c r="E13" s="4">
        <v>39.200000000000003</v>
      </c>
      <c r="F13" s="4">
        <v>40.69</v>
      </c>
      <c r="G13" s="4">
        <v>40.19</v>
      </c>
      <c r="H13" s="4">
        <v>40.54</v>
      </c>
      <c r="I13" s="4">
        <v>40.64</v>
      </c>
      <c r="J13" s="4">
        <v>39.479999999999997</v>
      </c>
      <c r="K13" s="4">
        <v>39.43</v>
      </c>
      <c r="L13" s="6">
        <v>39.409999999999997</v>
      </c>
      <c r="M13" s="6">
        <v>39.51</v>
      </c>
      <c r="N13" s="13">
        <v>39.18</v>
      </c>
      <c r="O13">
        <v>39.5</v>
      </c>
      <c r="P13">
        <v>40.46</v>
      </c>
      <c r="Q13">
        <v>39.520000000000003</v>
      </c>
    </row>
    <row r="14" spans="1:17" x14ac:dyDescent="0.25">
      <c r="A14" s="4">
        <f t="shared" si="0"/>
        <v>6000</v>
      </c>
      <c r="B14" s="4">
        <v>41.36</v>
      </c>
      <c r="C14" s="4">
        <v>42.51</v>
      </c>
      <c r="D14" s="4">
        <v>42.85</v>
      </c>
      <c r="E14" s="4">
        <v>42.88</v>
      </c>
      <c r="F14" s="4">
        <v>44.41</v>
      </c>
      <c r="G14" s="4">
        <v>43.88</v>
      </c>
      <c r="H14" s="4">
        <v>44.09</v>
      </c>
      <c r="I14" s="4">
        <v>44.22</v>
      </c>
      <c r="J14" s="4">
        <v>43.02</v>
      </c>
      <c r="K14" s="4">
        <v>43</v>
      </c>
      <c r="L14" s="6">
        <v>42.95</v>
      </c>
      <c r="M14" s="6">
        <v>43.16</v>
      </c>
      <c r="N14" s="13">
        <v>42.75</v>
      </c>
      <c r="O14">
        <v>43.04</v>
      </c>
      <c r="P14">
        <v>44.08</v>
      </c>
      <c r="Q14">
        <v>43.04</v>
      </c>
    </row>
    <row r="15" spans="1:17" x14ac:dyDescent="0.25">
      <c r="A15" s="4">
        <f t="shared" si="0"/>
        <v>6500</v>
      </c>
      <c r="B15" s="4">
        <v>44.7</v>
      </c>
      <c r="C15" s="4">
        <v>46.03</v>
      </c>
      <c r="D15" s="4">
        <v>46.37</v>
      </c>
      <c r="E15" s="4">
        <v>46.45</v>
      </c>
      <c r="F15" s="4">
        <v>48.05</v>
      </c>
      <c r="G15" s="4">
        <v>47.59</v>
      </c>
      <c r="H15" s="4">
        <v>47.88</v>
      </c>
      <c r="I15" s="4">
        <v>47.99</v>
      </c>
      <c r="J15" s="4">
        <v>46.57</v>
      </c>
      <c r="K15" s="4">
        <v>46.57</v>
      </c>
      <c r="L15" s="6">
        <v>46.45</v>
      </c>
      <c r="M15" s="6">
        <v>46.82</v>
      </c>
      <c r="N15" s="13">
        <v>46.32</v>
      </c>
      <c r="O15">
        <v>46.59</v>
      </c>
      <c r="P15">
        <v>47.86</v>
      </c>
      <c r="Q15">
        <v>46.6</v>
      </c>
    </row>
    <row r="16" spans="1:17" x14ac:dyDescent="0.25">
      <c r="A16" s="4">
        <f t="shared" si="0"/>
        <v>7000</v>
      </c>
      <c r="B16" s="4">
        <v>48.23</v>
      </c>
      <c r="C16" s="4">
        <v>49.46</v>
      </c>
      <c r="D16" s="4">
        <v>49.92</v>
      </c>
      <c r="E16" s="4">
        <v>49.95</v>
      </c>
      <c r="F16" s="4">
        <v>51.78</v>
      </c>
      <c r="G16" s="4">
        <v>51.15</v>
      </c>
      <c r="H16" s="4">
        <v>51.47</v>
      </c>
      <c r="I16" s="4">
        <v>51.6</v>
      </c>
      <c r="J16" s="4">
        <v>50.27</v>
      </c>
      <c r="K16" s="4">
        <v>50.4</v>
      </c>
      <c r="L16" s="6">
        <v>50.07</v>
      </c>
      <c r="M16" s="6">
        <v>50.36</v>
      </c>
      <c r="N16" s="13">
        <v>49.84</v>
      </c>
      <c r="O16">
        <v>50.26</v>
      </c>
      <c r="P16">
        <v>51.39</v>
      </c>
      <c r="Q16">
        <v>50.28</v>
      </c>
    </row>
    <row r="17" spans="1:17" x14ac:dyDescent="0.25">
      <c r="A17" s="4">
        <f t="shared" si="0"/>
        <v>7500</v>
      </c>
      <c r="B17" s="4">
        <v>51.67</v>
      </c>
      <c r="C17" s="4">
        <v>53.16</v>
      </c>
      <c r="D17" s="4">
        <v>53.53</v>
      </c>
      <c r="E17" s="4">
        <v>53.64</v>
      </c>
      <c r="F17" s="4">
        <v>55.55</v>
      </c>
      <c r="G17" s="4">
        <v>54.9</v>
      </c>
      <c r="H17" s="4">
        <v>55.18</v>
      </c>
      <c r="I17" s="4">
        <v>55.44</v>
      </c>
      <c r="J17" s="4">
        <v>53.74</v>
      </c>
      <c r="K17" s="4">
        <v>53.92</v>
      </c>
      <c r="L17" s="6">
        <v>53.72</v>
      </c>
      <c r="M17" s="6">
        <v>53.93</v>
      </c>
      <c r="N17" s="13">
        <v>53.4</v>
      </c>
      <c r="O17">
        <v>53.72</v>
      </c>
      <c r="P17">
        <v>55.26</v>
      </c>
      <c r="Q17">
        <v>53.85</v>
      </c>
    </row>
    <row r="18" spans="1:17" x14ac:dyDescent="0.25">
      <c r="A18" s="4">
        <f t="shared" si="0"/>
        <v>8000</v>
      </c>
      <c r="B18" s="4">
        <v>55.08</v>
      </c>
      <c r="C18" s="4">
        <v>56.66</v>
      </c>
      <c r="D18" s="4">
        <v>57.03</v>
      </c>
      <c r="E18" s="4">
        <v>57.26</v>
      </c>
      <c r="F18" s="4">
        <v>59.07</v>
      </c>
      <c r="G18" s="4">
        <v>58.54</v>
      </c>
      <c r="H18" s="4">
        <v>58.89</v>
      </c>
      <c r="I18" s="4">
        <v>59.15</v>
      </c>
      <c r="J18" s="4">
        <v>57.38</v>
      </c>
      <c r="K18" s="4">
        <v>57.33</v>
      </c>
      <c r="L18" s="6">
        <v>57.31</v>
      </c>
      <c r="M18" s="6">
        <v>57.68</v>
      </c>
      <c r="N18" s="13">
        <v>57.1</v>
      </c>
      <c r="O18">
        <v>57.39</v>
      </c>
      <c r="P18">
        <v>58.86</v>
      </c>
      <c r="Q18">
        <v>57.57</v>
      </c>
    </row>
    <row r="19" spans="1:17" x14ac:dyDescent="0.25">
      <c r="A19" s="4">
        <f t="shared" si="0"/>
        <v>8500</v>
      </c>
      <c r="B19" s="4">
        <v>58.61</v>
      </c>
      <c r="C19" s="4">
        <v>60.23</v>
      </c>
      <c r="D19" s="4">
        <v>60.65</v>
      </c>
      <c r="E19" s="4">
        <v>60.82</v>
      </c>
      <c r="F19" s="4">
        <v>62.92</v>
      </c>
      <c r="G19" s="4">
        <v>62.27</v>
      </c>
      <c r="H19" s="4">
        <v>62.65</v>
      </c>
      <c r="I19" s="4">
        <v>62.92</v>
      </c>
      <c r="J19" s="4">
        <v>60.98</v>
      </c>
      <c r="K19" s="4">
        <v>61.1</v>
      </c>
      <c r="L19" s="6">
        <v>60.82</v>
      </c>
      <c r="M19" s="6">
        <v>61.09</v>
      </c>
      <c r="N19" s="13">
        <v>60.63</v>
      </c>
      <c r="O19">
        <v>60.84</v>
      </c>
      <c r="P19">
        <v>62.48</v>
      </c>
      <c r="Q19">
        <v>61.17</v>
      </c>
    </row>
    <row r="20" spans="1:17" x14ac:dyDescent="0.25">
      <c r="A20" s="4">
        <f t="shared" si="0"/>
        <v>9000</v>
      </c>
      <c r="B20" s="4">
        <v>61.95</v>
      </c>
      <c r="C20" s="4">
        <v>63.74</v>
      </c>
      <c r="D20" s="4">
        <v>64.040000000000006</v>
      </c>
      <c r="E20" s="4">
        <v>64.3</v>
      </c>
      <c r="F20" s="4">
        <v>66.64</v>
      </c>
      <c r="G20" s="4">
        <v>65.739999999999995</v>
      </c>
      <c r="H20" s="4">
        <v>66.38</v>
      </c>
      <c r="I20" s="4">
        <v>66.44</v>
      </c>
      <c r="J20" s="4">
        <v>64.66</v>
      </c>
      <c r="K20" s="4">
        <v>64.540000000000006</v>
      </c>
      <c r="L20" s="6">
        <v>64.44</v>
      </c>
      <c r="M20" s="6">
        <v>64.91</v>
      </c>
      <c r="N20" s="13">
        <v>64.17</v>
      </c>
      <c r="O20">
        <v>64.5</v>
      </c>
      <c r="P20">
        <v>66.25</v>
      </c>
      <c r="Q20">
        <v>64.77</v>
      </c>
    </row>
    <row r="21" spans="1:17" x14ac:dyDescent="0.25">
      <c r="A21" s="4">
        <f t="shared" si="0"/>
        <v>9500</v>
      </c>
      <c r="B21" s="4">
        <v>65.61</v>
      </c>
      <c r="C21" s="4">
        <v>67.36</v>
      </c>
      <c r="D21" s="4">
        <v>67.849999999999994</v>
      </c>
      <c r="E21" s="4">
        <v>67.98</v>
      </c>
      <c r="F21" s="4">
        <v>70.41</v>
      </c>
      <c r="G21" s="4">
        <v>69.66</v>
      </c>
      <c r="H21" s="4">
        <v>70.17</v>
      </c>
      <c r="I21" s="4">
        <v>70.27</v>
      </c>
      <c r="J21" s="4">
        <v>68.09</v>
      </c>
      <c r="K21" s="4">
        <v>68.25</v>
      </c>
      <c r="L21" s="6">
        <v>68</v>
      </c>
      <c r="M21" s="6">
        <v>68.25</v>
      </c>
      <c r="N21" s="13">
        <v>67.61</v>
      </c>
      <c r="O21">
        <v>68.11</v>
      </c>
      <c r="P21">
        <v>69.91</v>
      </c>
      <c r="Q21">
        <v>68.260000000000005</v>
      </c>
    </row>
    <row r="22" spans="1:17" x14ac:dyDescent="0.25">
      <c r="A22" s="4">
        <f t="shared" si="0"/>
        <v>10000</v>
      </c>
      <c r="B22" s="4">
        <v>69.040000000000006</v>
      </c>
      <c r="C22" s="4">
        <v>71.03</v>
      </c>
      <c r="D22" s="4">
        <v>71.540000000000006</v>
      </c>
      <c r="E22" s="4">
        <v>71.55</v>
      </c>
      <c r="F22" s="4">
        <v>73.930000000000007</v>
      </c>
      <c r="G22" s="4">
        <v>73.23</v>
      </c>
      <c r="H22" s="4">
        <v>73.599999999999994</v>
      </c>
      <c r="I22" s="4">
        <v>73.89</v>
      </c>
      <c r="J22" s="4">
        <v>71.69</v>
      </c>
      <c r="K22" s="4">
        <v>71.78</v>
      </c>
      <c r="L22" s="6">
        <v>71.61</v>
      </c>
      <c r="M22" s="6">
        <v>71.900000000000006</v>
      </c>
      <c r="N22" s="13">
        <v>71.38</v>
      </c>
      <c r="O22">
        <v>71.650000000000006</v>
      </c>
      <c r="P22">
        <v>73.62</v>
      </c>
      <c r="Q22">
        <v>71.89</v>
      </c>
    </row>
    <row r="23" spans="1:17" x14ac:dyDescent="0.25">
      <c r="A23" s="4">
        <f t="shared" si="0"/>
        <v>10500</v>
      </c>
      <c r="B23" s="4">
        <v>72.42</v>
      </c>
      <c r="C23" s="4">
        <v>74.680000000000007</v>
      </c>
      <c r="D23" s="4">
        <v>75.180000000000007</v>
      </c>
      <c r="E23" s="4">
        <v>74.930000000000007</v>
      </c>
      <c r="F23" s="4">
        <v>77.8</v>
      </c>
      <c r="G23" s="4">
        <v>76.91</v>
      </c>
      <c r="H23" s="4">
        <v>77.510000000000005</v>
      </c>
      <c r="I23" s="4">
        <v>77.84</v>
      </c>
      <c r="J23" s="4">
        <v>75.22</v>
      </c>
      <c r="K23" s="4">
        <v>75.430000000000007</v>
      </c>
      <c r="L23" s="6">
        <v>75.290000000000006</v>
      </c>
      <c r="M23" s="6">
        <v>75.599999999999994</v>
      </c>
      <c r="N23" s="13">
        <v>74.81</v>
      </c>
      <c r="O23">
        <v>75.25</v>
      </c>
      <c r="P23"/>
      <c r="Q23">
        <v>75.56</v>
      </c>
    </row>
    <row r="24" spans="1:17" x14ac:dyDescent="0.25">
      <c r="A24" s="4">
        <f t="shared" si="0"/>
        <v>11000</v>
      </c>
      <c r="B24" s="4">
        <v>75.78</v>
      </c>
      <c r="C24" s="4">
        <v>78.069999999999993</v>
      </c>
      <c r="D24" s="4">
        <v>78.66</v>
      </c>
      <c r="E24" s="4">
        <v>78.62</v>
      </c>
      <c r="F24" s="4">
        <v>81.62</v>
      </c>
      <c r="G24" s="4">
        <v>80.510000000000005</v>
      </c>
      <c r="H24" s="4">
        <v>81.11</v>
      </c>
      <c r="I24" s="4">
        <v>81.47</v>
      </c>
      <c r="J24" s="4">
        <v>78.900000000000006</v>
      </c>
      <c r="K24" s="4">
        <v>78.89</v>
      </c>
      <c r="L24" s="6">
        <v>78.72</v>
      </c>
      <c r="M24" s="6">
        <v>79.14</v>
      </c>
      <c r="N24" s="13">
        <v>78.790000000000006</v>
      </c>
      <c r="O24">
        <v>78.97</v>
      </c>
      <c r="P24"/>
      <c r="Q24">
        <v>79.099999999999994</v>
      </c>
    </row>
    <row r="25" spans="1:17" x14ac:dyDescent="0.25">
      <c r="A25" s="4">
        <f t="shared" si="0"/>
        <v>11500</v>
      </c>
      <c r="B25" s="4">
        <v>79.23</v>
      </c>
      <c r="C25" s="4">
        <v>81.72</v>
      </c>
      <c r="D25" s="4">
        <v>82.2</v>
      </c>
      <c r="E25" s="4">
        <v>82.1</v>
      </c>
      <c r="F25" s="4">
        <v>85.35</v>
      </c>
      <c r="G25" s="4">
        <v>84.31</v>
      </c>
      <c r="H25" s="4">
        <v>84.92</v>
      </c>
      <c r="J25" s="4">
        <v>82.33</v>
      </c>
      <c r="K25" s="4">
        <v>82.63</v>
      </c>
      <c r="L25" s="6">
        <v>82.27</v>
      </c>
      <c r="M25" s="6">
        <v>82.7</v>
      </c>
      <c r="O25">
        <v>82.52</v>
      </c>
      <c r="P25"/>
      <c r="Q25">
        <v>82.71</v>
      </c>
    </row>
    <row r="26" spans="1:17" x14ac:dyDescent="0.25">
      <c r="A26" s="4">
        <f t="shared" si="0"/>
        <v>12000</v>
      </c>
      <c r="B26" s="4">
        <v>82.66</v>
      </c>
      <c r="C26" s="4">
        <v>85.28</v>
      </c>
      <c r="D26" s="4">
        <v>85.8</v>
      </c>
      <c r="E26" s="4">
        <v>85.76</v>
      </c>
      <c r="G26" s="4">
        <v>88.39</v>
      </c>
      <c r="J26" s="4">
        <v>86.03</v>
      </c>
      <c r="K26" s="4">
        <v>86.3</v>
      </c>
      <c r="L26" s="6">
        <v>85.96</v>
      </c>
      <c r="O26">
        <v>86.27</v>
      </c>
      <c r="P26"/>
      <c r="Q26"/>
    </row>
    <row r="27" spans="1:17" x14ac:dyDescent="0.25">
      <c r="A27" s="4">
        <f t="shared" si="0"/>
        <v>12500</v>
      </c>
      <c r="B27" s="5"/>
      <c r="C27" s="4">
        <v>88.88</v>
      </c>
      <c r="D27" s="4">
        <v>89.48</v>
      </c>
      <c r="E27" s="4">
        <v>89.45</v>
      </c>
      <c r="G27" s="4">
        <v>91.75</v>
      </c>
      <c r="J27" s="4">
        <v>89.74</v>
      </c>
      <c r="K27" s="4">
        <v>89.63</v>
      </c>
      <c r="L27" s="6">
        <v>89.46</v>
      </c>
      <c r="O27">
        <v>90.01</v>
      </c>
      <c r="P27"/>
      <c r="Q27"/>
    </row>
    <row r="28" spans="1:17" x14ac:dyDescent="0.25">
      <c r="A28" s="7"/>
      <c r="D28" s="4">
        <v>0.2</v>
      </c>
    </row>
    <row r="29" spans="1:17" x14ac:dyDescent="0.25">
      <c r="A29" s="8"/>
    </row>
    <row r="30" spans="1:17" x14ac:dyDescent="0.25">
      <c r="A30" s="7"/>
    </row>
    <row r="31" spans="1:17" x14ac:dyDescent="0.25">
      <c r="A31" s="7"/>
    </row>
    <row r="32" spans="1:17" x14ac:dyDescent="0.25">
      <c r="A32" s="9"/>
    </row>
    <row r="33" spans="1:1" x14ac:dyDescent="0.25">
      <c r="A33" s="10"/>
    </row>
    <row r="34" spans="1:1" x14ac:dyDescent="0.25">
      <c r="A34" s="11"/>
    </row>
    <row r="35" spans="1:1" x14ac:dyDescent="0.25">
      <c r="A35" s="11"/>
    </row>
    <row r="36" spans="1:1" x14ac:dyDescent="0.25">
      <c r="A36" s="12"/>
    </row>
    <row r="37" spans="1:1" x14ac:dyDescent="0.25">
      <c r="A37" s="12"/>
    </row>
    <row r="38" spans="1:1" x14ac:dyDescent="0.25">
      <c r="A38" s="12"/>
    </row>
    <row r="39" spans="1:1" x14ac:dyDescent="0.25">
      <c r="A39" s="11"/>
    </row>
    <row r="40" spans="1:1" x14ac:dyDescent="0.25">
      <c r="A40" s="11"/>
    </row>
    <row r="41" spans="1:1" x14ac:dyDescent="0.25">
      <c r="A41" s="11"/>
    </row>
    <row r="42" spans="1:1" x14ac:dyDescent="0.25">
      <c r="A42" s="11"/>
    </row>
    <row r="43" spans="1:1" x14ac:dyDescent="0.25">
      <c r="A43" s="12"/>
    </row>
    <row r="44" spans="1:1" x14ac:dyDescent="0.25">
      <c r="A44" s="12"/>
    </row>
    <row r="45" spans="1:1" x14ac:dyDescent="0.25">
      <c r="A45" s="12"/>
    </row>
    <row r="46" spans="1:1" x14ac:dyDescent="0.25">
      <c r="A46" s="12"/>
    </row>
    <row r="47" spans="1:1" x14ac:dyDescent="0.25">
      <c r="A47" s="11"/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1"/>
  <sheetViews>
    <sheetView topLeftCell="G78" workbookViewId="0">
      <selection activeCell="N89" sqref="N89:N111"/>
    </sheetView>
  </sheetViews>
  <sheetFormatPr defaultRowHeight="15" x14ac:dyDescent="0.25"/>
  <sheetData>
    <row r="1" spans="1:20" x14ac:dyDescent="0.25">
      <c r="A1" s="1" t="s">
        <v>4</v>
      </c>
      <c r="H1" s="1" t="s">
        <v>5</v>
      </c>
      <c r="O1" s="1" t="s">
        <v>14</v>
      </c>
    </row>
    <row r="2" spans="1:2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</row>
    <row r="3" spans="1:20" x14ac:dyDescent="0.25">
      <c r="A3">
        <v>0</v>
      </c>
      <c r="B3">
        <v>500</v>
      </c>
      <c r="C3">
        <v>0</v>
      </c>
      <c r="D3">
        <v>3.72</v>
      </c>
      <c r="E3">
        <v>0</v>
      </c>
      <c r="F3">
        <v>3.72</v>
      </c>
      <c r="H3">
        <v>0</v>
      </c>
      <c r="I3">
        <v>500</v>
      </c>
      <c r="J3">
        <v>0</v>
      </c>
      <c r="K3">
        <v>3.69</v>
      </c>
      <c r="L3">
        <v>0</v>
      </c>
      <c r="M3">
        <v>3.69</v>
      </c>
      <c r="O3">
        <v>0</v>
      </c>
      <c r="P3">
        <v>500</v>
      </c>
      <c r="Q3">
        <v>0</v>
      </c>
      <c r="R3">
        <v>3.74</v>
      </c>
      <c r="S3">
        <v>0</v>
      </c>
      <c r="T3">
        <v>3.74</v>
      </c>
    </row>
    <row r="4" spans="1:20" x14ac:dyDescent="0.25">
      <c r="A4">
        <v>0</v>
      </c>
      <c r="B4">
        <v>1000</v>
      </c>
      <c r="C4">
        <v>0</v>
      </c>
      <c r="D4">
        <v>7.37</v>
      </c>
      <c r="E4">
        <v>0</v>
      </c>
      <c r="F4">
        <v>7.37</v>
      </c>
      <c r="H4">
        <v>0</v>
      </c>
      <c r="I4">
        <v>1000</v>
      </c>
      <c r="J4">
        <v>0</v>
      </c>
      <c r="K4">
        <v>7.33</v>
      </c>
      <c r="L4">
        <v>0</v>
      </c>
      <c r="M4">
        <v>7.33</v>
      </c>
      <c r="O4">
        <v>0</v>
      </c>
      <c r="P4">
        <v>1000</v>
      </c>
      <c r="Q4">
        <v>0</v>
      </c>
      <c r="R4">
        <v>7.37</v>
      </c>
      <c r="S4">
        <v>0</v>
      </c>
      <c r="T4">
        <v>7.37</v>
      </c>
    </row>
    <row r="5" spans="1:20" x14ac:dyDescent="0.25">
      <c r="A5">
        <v>0</v>
      </c>
      <c r="B5">
        <v>1500</v>
      </c>
      <c r="C5">
        <v>0</v>
      </c>
      <c r="D5">
        <v>11.05</v>
      </c>
      <c r="E5">
        <v>0</v>
      </c>
      <c r="F5">
        <v>11.05</v>
      </c>
      <c r="H5">
        <v>0</v>
      </c>
      <c r="I5">
        <v>1500</v>
      </c>
      <c r="J5">
        <v>0</v>
      </c>
      <c r="K5">
        <v>11</v>
      </c>
      <c r="L5">
        <v>0</v>
      </c>
      <c r="M5">
        <v>11</v>
      </c>
      <c r="O5">
        <v>0</v>
      </c>
      <c r="P5">
        <v>1500</v>
      </c>
      <c r="Q5">
        <v>0</v>
      </c>
      <c r="R5">
        <v>11.11</v>
      </c>
      <c r="S5">
        <v>0</v>
      </c>
      <c r="T5">
        <v>11.11</v>
      </c>
    </row>
    <row r="6" spans="1:20" x14ac:dyDescent="0.25">
      <c r="A6">
        <v>0</v>
      </c>
      <c r="B6">
        <v>2000</v>
      </c>
      <c r="C6">
        <v>0</v>
      </c>
      <c r="D6">
        <v>14.78</v>
      </c>
      <c r="E6">
        <v>0</v>
      </c>
      <c r="F6">
        <v>14.78</v>
      </c>
      <c r="H6">
        <v>0</v>
      </c>
      <c r="I6">
        <v>2000</v>
      </c>
      <c r="J6">
        <v>0</v>
      </c>
      <c r="K6">
        <v>14.62</v>
      </c>
      <c r="L6">
        <v>0</v>
      </c>
      <c r="M6">
        <v>14.62</v>
      </c>
      <c r="O6">
        <v>0</v>
      </c>
      <c r="P6">
        <v>2000</v>
      </c>
      <c r="Q6">
        <v>0</v>
      </c>
      <c r="R6">
        <v>14.76</v>
      </c>
      <c r="S6">
        <v>0</v>
      </c>
      <c r="T6">
        <v>14.76</v>
      </c>
    </row>
    <row r="7" spans="1:20" x14ac:dyDescent="0.25">
      <c r="A7">
        <v>0</v>
      </c>
      <c r="B7">
        <v>2500</v>
      </c>
      <c r="C7">
        <v>0</v>
      </c>
      <c r="D7">
        <v>18.45</v>
      </c>
      <c r="E7">
        <v>0</v>
      </c>
      <c r="F7">
        <v>18.45</v>
      </c>
      <c r="H7">
        <v>0</v>
      </c>
      <c r="I7">
        <v>2500</v>
      </c>
      <c r="J7">
        <v>0</v>
      </c>
      <c r="K7">
        <v>18.3</v>
      </c>
      <c r="L7">
        <v>0</v>
      </c>
      <c r="M7">
        <v>18.3</v>
      </c>
      <c r="O7">
        <v>0</v>
      </c>
      <c r="P7">
        <v>2500</v>
      </c>
      <c r="Q7">
        <v>0</v>
      </c>
      <c r="R7">
        <v>18.47</v>
      </c>
      <c r="S7">
        <v>0</v>
      </c>
      <c r="T7">
        <v>18.47</v>
      </c>
    </row>
    <row r="8" spans="1:20" x14ac:dyDescent="0.25">
      <c r="A8">
        <v>0</v>
      </c>
      <c r="B8">
        <v>3000</v>
      </c>
      <c r="C8">
        <v>0</v>
      </c>
      <c r="D8">
        <v>22.14</v>
      </c>
      <c r="E8">
        <v>0</v>
      </c>
      <c r="F8">
        <v>22.14</v>
      </c>
      <c r="H8">
        <v>0</v>
      </c>
      <c r="I8">
        <v>3000</v>
      </c>
      <c r="J8">
        <v>0</v>
      </c>
      <c r="K8">
        <v>21.96</v>
      </c>
      <c r="L8">
        <v>0</v>
      </c>
      <c r="M8">
        <v>21.96</v>
      </c>
      <c r="O8">
        <v>0</v>
      </c>
      <c r="P8">
        <v>3000</v>
      </c>
      <c r="Q8">
        <v>0</v>
      </c>
      <c r="R8">
        <v>22.16</v>
      </c>
      <c r="S8">
        <v>0</v>
      </c>
      <c r="T8">
        <v>22.16</v>
      </c>
    </row>
    <row r="9" spans="1:20" x14ac:dyDescent="0.25">
      <c r="A9">
        <v>0</v>
      </c>
      <c r="B9">
        <v>3500</v>
      </c>
      <c r="C9">
        <v>0</v>
      </c>
      <c r="D9">
        <v>25.92</v>
      </c>
      <c r="E9">
        <v>0</v>
      </c>
      <c r="F9">
        <v>25.92</v>
      </c>
      <c r="H9">
        <v>0</v>
      </c>
      <c r="I9">
        <v>3500</v>
      </c>
      <c r="J9">
        <v>0</v>
      </c>
      <c r="K9">
        <v>25.64</v>
      </c>
      <c r="L9">
        <v>0</v>
      </c>
      <c r="M9">
        <v>25.64</v>
      </c>
      <c r="O9">
        <v>0</v>
      </c>
      <c r="P9">
        <v>3500</v>
      </c>
      <c r="Q9">
        <v>0</v>
      </c>
      <c r="R9">
        <v>25.83</v>
      </c>
      <c r="S9">
        <v>0</v>
      </c>
      <c r="T9">
        <v>25.83</v>
      </c>
    </row>
    <row r="10" spans="1:20" x14ac:dyDescent="0.25">
      <c r="A10">
        <v>0</v>
      </c>
      <c r="B10">
        <v>4000</v>
      </c>
      <c r="C10">
        <v>0</v>
      </c>
      <c r="D10">
        <v>29.56</v>
      </c>
      <c r="E10">
        <v>0</v>
      </c>
      <c r="F10">
        <v>29.56</v>
      </c>
      <c r="H10">
        <v>0</v>
      </c>
      <c r="I10">
        <v>4000</v>
      </c>
      <c r="J10">
        <v>0</v>
      </c>
      <c r="K10">
        <v>29.29</v>
      </c>
      <c r="L10">
        <v>0</v>
      </c>
      <c r="M10">
        <v>29.29</v>
      </c>
      <c r="O10">
        <v>0</v>
      </c>
      <c r="P10">
        <v>4000</v>
      </c>
      <c r="Q10">
        <v>0</v>
      </c>
      <c r="R10">
        <v>29.5</v>
      </c>
      <c r="S10">
        <v>0</v>
      </c>
      <c r="T10">
        <v>29.51</v>
      </c>
    </row>
    <row r="11" spans="1:20" x14ac:dyDescent="0.25">
      <c r="A11">
        <v>0</v>
      </c>
      <c r="B11">
        <v>4500</v>
      </c>
      <c r="C11">
        <v>0</v>
      </c>
      <c r="D11">
        <v>33.19</v>
      </c>
      <c r="E11">
        <v>0</v>
      </c>
      <c r="F11">
        <v>33.19</v>
      </c>
      <c r="H11">
        <v>0</v>
      </c>
      <c r="I11">
        <v>4500</v>
      </c>
      <c r="J11">
        <v>0</v>
      </c>
      <c r="K11">
        <v>32.94</v>
      </c>
      <c r="L11">
        <v>0</v>
      </c>
      <c r="M11">
        <v>32.94</v>
      </c>
      <c r="O11">
        <v>0</v>
      </c>
      <c r="P11">
        <v>4500</v>
      </c>
      <c r="Q11">
        <v>0</v>
      </c>
      <c r="R11">
        <v>33.229999999999997</v>
      </c>
      <c r="S11">
        <v>0</v>
      </c>
      <c r="T11">
        <v>33.229999999999997</v>
      </c>
    </row>
    <row r="12" spans="1:20" x14ac:dyDescent="0.25">
      <c r="A12">
        <v>0</v>
      </c>
      <c r="B12">
        <v>5000</v>
      </c>
      <c r="C12">
        <v>0</v>
      </c>
      <c r="D12">
        <v>36.97</v>
      </c>
      <c r="E12">
        <v>0</v>
      </c>
      <c r="F12">
        <v>36.97</v>
      </c>
      <c r="H12">
        <v>0</v>
      </c>
      <c r="I12">
        <v>5000</v>
      </c>
      <c r="J12">
        <v>0</v>
      </c>
      <c r="K12">
        <v>36.61</v>
      </c>
      <c r="L12">
        <v>0</v>
      </c>
      <c r="M12">
        <v>36.619999999999997</v>
      </c>
      <c r="O12">
        <v>0</v>
      </c>
      <c r="P12">
        <v>5000</v>
      </c>
      <c r="Q12">
        <v>0</v>
      </c>
      <c r="R12">
        <v>36.909999999999997</v>
      </c>
      <c r="S12">
        <v>0</v>
      </c>
      <c r="T12">
        <v>36.909999999999997</v>
      </c>
    </row>
    <row r="13" spans="1:20" x14ac:dyDescent="0.25">
      <c r="A13">
        <v>0</v>
      </c>
      <c r="B13">
        <v>5500</v>
      </c>
      <c r="C13">
        <v>0</v>
      </c>
      <c r="D13">
        <v>40.69</v>
      </c>
      <c r="E13">
        <v>0</v>
      </c>
      <c r="F13">
        <v>40.69</v>
      </c>
      <c r="H13">
        <v>0</v>
      </c>
      <c r="I13">
        <v>5500</v>
      </c>
      <c r="J13">
        <v>0</v>
      </c>
      <c r="K13">
        <v>40.19</v>
      </c>
      <c r="L13">
        <v>0</v>
      </c>
      <c r="M13">
        <v>40.19</v>
      </c>
      <c r="O13">
        <v>0</v>
      </c>
      <c r="P13">
        <v>5500</v>
      </c>
      <c r="Q13">
        <v>0</v>
      </c>
      <c r="R13">
        <v>40.64</v>
      </c>
      <c r="S13">
        <v>0</v>
      </c>
      <c r="T13">
        <v>40.64</v>
      </c>
    </row>
    <row r="14" spans="1:20" x14ac:dyDescent="0.25">
      <c r="A14">
        <v>0</v>
      </c>
      <c r="B14">
        <v>6000</v>
      </c>
      <c r="C14">
        <v>0</v>
      </c>
      <c r="D14">
        <v>44.41</v>
      </c>
      <c r="E14">
        <v>0</v>
      </c>
      <c r="F14">
        <v>44.41</v>
      </c>
      <c r="H14">
        <v>0</v>
      </c>
      <c r="I14">
        <v>6000</v>
      </c>
      <c r="J14">
        <v>0</v>
      </c>
      <c r="K14">
        <v>43.88</v>
      </c>
      <c r="L14">
        <v>0</v>
      </c>
      <c r="M14">
        <v>43.88</v>
      </c>
      <c r="O14">
        <v>0</v>
      </c>
      <c r="P14">
        <v>6000</v>
      </c>
      <c r="Q14">
        <v>0</v>
      </c>
      <c r="R14">
        <v>44.22</v>
      </c>
      <c r="S14">
        <v>0</v>
      </c>
      <c r="T14">
        <v>44.22</v>
      </c>
    </row>
    <row r="15" spans="1:20" x14ac:dyDescent="0.25">
      <c r="A15">
        <v>0</v>
      </c>
      <c r="B15">
        <v>6500</v>
      </c>
      <c r="C15">
        <v>0</v>
      </c>
      <c r="D15">
        <v>48.05</v>
      </c>
      <c r="E15">
        <v>0</v>
      </c>
      <c r="F15">
        <v>48.05</v>
      </c>
      <c r="H15">
        <v>0</v>
      </c>
      <c r="I15">
        <v>6500</v>
      </c>
      <c r="J15">
        <v>0.01</v>
      </c>
      <c r="K15">
        <v>47.59</v>
      </c>
      <c r="L15">
        <v>0</v>
      </c>
      <c r="M15">
        <v>47.59</v>
      </c>
      <c r="O15">
        <v>0</v>
      </c>
      <c r="P15">
        <v>6500</v>
      </c>
      <c r="Q15">
        <v>0</v>
      </c>
      <c r="R15">
        <v>47.99</v>
      </c>
      <c r="S15">
        <v>0</v>
      </c>
      <c r="T15">
        <v>47.99</v>
      </c>
    </row>
    <row r="16" spans="1:20" x14ac:dyDescent="0.25">
      <c r="A16">
        <v>0</v>
      </c>
      <c r="B16">
        <v>7000</v>
      </c>
      <c r="C16">
        <v>0</v>
      </c>
      <c r="D16">
        <v>51.78</v>
      </c>
      <c r="E16">
        <v>0</v>
      </c>
      <c r="F16">
        <v>51.78</v>
      </c>
      <c r="H16">
        <v>0</v>
      </c>
      <c r="I16">
        <v>7000</v>
      </c>
      <c r="J16">
        <v>0</v>
      </c>
      <c r="K16">
        <v>51.15</v>
      </c>
      <c r="L16">
        <v>0</v>
      </c>
      <c r="M16">
        <v>51.15</v>
      </c>
      <c r="O16">
        <v>0</v>
      </c>
      <c r="P16">
        <v>7000</v>
      </c>
      <c r="Q16">
        <v>0</v>
      </c>
      <c r="R16">
        <v>51.6</v>
      </c>
      <c r="S16">
        <v>0</v>
      </c>
      <c r="T16">
        <v>51.6</v>
      </c>
    </row>
    <row r="17" spans="1:27" x14ac:dyDescent="0.25">
      <c r="A17">
        <v>0</v>
      </c>
      <c r="B17">
        <v>7500</v>
      </c>
      <c r="C17">
        <v>0</v>
      </c>
      <c r="D17">
        <v>55.55</v>
      </c>
      <c r="E17">
        <v>0</v>
      </c>
      <c r="F17">
        <v>55.55</v>
      </c>
      <c r="H17">
        <v>0</v>
      </c>
      <c r="I17">
        <v>7500</v>
      </c>
      <c r="J17">
        <v>0</v>
      </c>
      <c r="K17">
        <v>54.9</v>
      </c>
      <c r="L17">
        <v>0</v>
      </c>
      <c r="M17">
        <v>54.9</v>
      </c>
      <c r="O17">
        <v>0</v>
      </c>
      <c r="P17">
        <v>7500</v>
      </c>
      <c r="Q17">
        <v>0</v>
      </c>
      <c r="R17">
        <v>55.44</v>
      </c>
      <c r="S17">
        <v>0</v>
      </c>
      <c r="T17">
        <v>55.44</v>
      </c>
    </row>
    <row r="18" spans="1:27" x14ac:dyDescent="0.25">
      <c r="A18">
        <v>0</v>
      </c>
      <c r="B18">
        <v>8000</v>
      </c>
      <c r="C18">
        <v>0</v>
      </c>
      <c r="D18">
        <v>59.07</v>
      </c>
      <c r="E18">
        <v>0</v>
      </c>
      <c r="F18">
        <v>59.07</v>
      </c>
      <c r="H18">
        <v>0</v>
      </c>
      <c r="I18">
        <v>8000</v>
      </c>
      <c r="J18">
        <v>0</v>
      </c>
      <c r="K18">
        <v>58.53</v>
      </c>
      <c r="L18">
        <v>0</v>
      </c>
      <c r="M18">
        <v>58.54</v>
      </c>
      <c r="O18">
        <v>0</v>
      </c>
      <c r="P18">
        <v>8000</v>
      </c>
      <c r="Q18">
        <v>0</v>
      </c>
      <c r="R18">
        <v>59.15</v>
      </c>
      <c r="S18">
        <v>0</v>
      </c>
      <c r="T18">
        <v>59.15</v>
      </c>
    </row>
    <row r="19" spans="1:27" x14ac:dyDescent="0.25">
      <c r="A19">
        <v>0</v>
      </c>
      <c r="B19">
        <v>8500</v>
      </c>
      <c r="C19">
        <v>0</v>
      </c>
      <c r="D19">
        <v>62.92</v>
      </c>
      <c r="E19">
        <v>0</v>
      </c>
      <c r="F19">
        <v>62.92</v>
      </c>
      <c r="H19">
        <v>0</v>
      </c>
      <c r="I19">
        <v>8500</v>
      </c>
      <c r="J19">
        <v>0</v>
      </c>
      <c r="K19">
        <v>62.27</v>
      </c>
      <c r="L19">
        <v>0</v>
      </c>
      <c r="M19">
        <v>62.27</v>
      </c>
      <c r="O19">
        <v>0</v>
      </c>
      <c r="P19">
        <v>8500</v>
      </c>
      <c r="Q19">
        <v>0.01</v>
      </c>
      <c r="R19">
        <v>62.91</v>
      </c>
      <c r="S19">
        <v>0</v>
      </c>
      <c r="T19">
        <v>62.92</v>
      </c>
    </row>
    <row r="20" spans="1:27" x14ac:dyDescent="0.25">
      <c r="A20">
        <v>0</v>
      </c>
      <c r="B20">
        <v>9000</v>
      </c>
      <c r="C20">
        <v>0</v>
      </c>
      <c r="D20">
        <v>66.64</v>
      </c>
      <c r="E20">
        <v>0</v>
      </c>
      <c r="F20">
        <v>66.64</v>
      </c>
      <c r="H20">
        <v>0</v>
      </c>
      <c r="I20">
        <v>9000</v>
      </c>
      <c r="J20">
        <v>0</v>
      </c>
      <c r="K20">
        <v>65.739999999999995</v>
      </c>
      <c r="L20">
        <v>0</v>
      </c>
      <c r="M20">
        <v>65.739999999999995</v>
      </c>
      <c r="O20">
        <v>0</v>
      </c>
      <c r="P20">
        <v>9000</v>
      </c>
      <c r="Q20">
        <v>0</v>
      </c>
      <c r="R20">
        <v>66.44</v>
      </c>
      <c r="S20">
        <v>0</v>
      </c>
      <c r="T20">
        <v>66.44</v>
      </c>
    </row>
    <row r="21" spans="1:27" x14ac:dyDescent="0.25">
      <c r="A21">
        <v>0</v>
      </c>
      <c r="B21">
        <v>9500</v>
      </c>
      <c r="C21">
        <v>0</v>
      </c>
      <c r="D21">
        <v>70.41</v>
      </c>
      <c r="E21">
        <v>0</v>
      </c>
      <c r="F21">
        <v>70.41</v>
      </c>
      <c r="H21">
        <v>0</v>
      </c>
      <c r="I21">
        <v>9500</v>
      </c>
      <c r="J21">
        <v>0</v>
      </c>
      <c r="K21">
        <v>69.650000000000006</v>
      </c>
      <c r="L21">
        <v>0</v>
      </c>
      <c r="M21">
        <v>69.66</v>
      </c>
      <c r="O21">
        <v>0</v>
      </c>
      <c r="P21">
        <v>9500</v>
      </c>
      <c r="Q21">
        <v>0</v>
      </c>
      <c r="R21">
        <v>70.27</v>
      </c>
      <c r="S21">
        <v>0</v>
      </c>
      <c r="T21">
        <v>70.27</v>
      </c>
    </row>
    <row r="22" spans="1:27" x14ac:dyDescent="0.25">
      <c r="A22">
        <v>0</v>
      </c>
      <c r="B22">
        <v>10000</v>
      </c>
      <c r="C22">
        <v>0</v>
      </c>
      <c r="D22">
        <v>73.930000000000007</v>
      </c>
      <c r="E22">
        <v>0</v>
      </c>
      <c r="F22">
        <v>73.930000000000007</v>
      </c>
      <c r="H22">
        <v>0</v>
      </c>
      <c r="I22">
        <v>10000</v>
      </c>
      <c r="J22">
        <v>0</v>
      </c>
      <c r="K22">
        <v>73.22</v>
      </c>
      <c r="L22">
        <v>0</v>
      </c>
      <c r="M22">
        <v>73.23</v>
      </c>
      <c r="O22">
        <v>0</v>
      </c>
      <c r="P22">
        <v>10000</v>
      </c>
      <c r="Q22">
        <v>0</v>
      </c>
      <c r="R22">
        <v>73.89</v>
      </c>
      <c r="S22">
        <v>0</v>
      </c>
      <c r="T22">
        <v>73.89</v>
      </c>
    </row>
    <row r="23" spans="1:27" x14ac:dyDescent="0.25">
      <c r="A23">
        <v>0</v>
      </c>
      <c r="B23">
        <v>10500</v>
      </c>
      <c r="C23">
        <v>0</v>
      </c>
      <c r="D23">
        <v>77.8</v>
      </c>
      <c r="E23">
        <v>0</v>
      </c>
      <c r="F23">
        <v>77.8</v>
      </c>
      <c r="H23">
        <v>0</v>
      </c>
      <c r="I23">
        <v>10500</v>
      </c>
      <c r="J23">
        <v>0</v>
      </c>
      <c r="K23">
        <v>76.900000000000006</v>
      </c>
      <c r="L23">
        <v>0</v>
      </c>
      <c r="M23">
        <v>76.91</v>
      </c>
      <c r="O23">
        <v>0</v>
      </c>
      <c r="P23">
        <v>10500</v>
      </c>
      <c r="Q23">
        <v>0</v>
      </c>
      <c r="R23">
        <v>77.84</v>
      </c>
      <c r="S23">
        <v>0</v>
      </c>
      <c r="T23">
        <v>77.84</v>
      </c>
    </row>
    <row r="24" spans="1:27" x14ac:dyDescent="0.25">
      <c r="A24">
        <v>0</v>
      </c>
      <c r="B24">
        <v>11000</v>
      </c>
      <c r="C24">
        <v>0</v>
      </c>
      <c r="D24">
        <v>81.62</v>
      </c>
      <c r="E24">
        <v>0</v>
      </c>
      <c r="F24">
        <v>81.62</v>
      </c>
      <c r="H24">
        <v>0</v>
      </c>
      <c r="I24">
        <v>11000</v>
      </c>
      <c r="J24">
        <v>0</v>
      </c>
      <c r="K24">
        <v>80.510000000000005</v>
      </c>
      <c r="L24">
        <v>0</v>
      </c>
      <c r="M24">
        <v>80.510000000000005</v>
      </c>
      <c r="O24">
        <v>0</v>
      </c>
      <c r="P24">
        <v>11000</v>
      </c>
      <c r="Q24">
        <v>0</v>
      </c>
      <c r="R24">
        <v>81.47</v>
      </c>
      <c r="S24">
        <v>0</v>
      </c>
      <c r="T24">
        <v>81.47</v>
      </c>
    </row>
    <row r="25" spans="1:27" x14ac:dyDescent="0.25">
      <c r="A25">
        <v>0</v>
      </c>
      <c r="B25">
        <v>11500</v>
      </c>
      <c r="C25">
        <v>0</v>
      </c>
      <c r="D25">
        <v>85.34</v>
      </c>
      <c r="E25">
        <v>0</v>
      </c>
      <c r="F25">
        <v>85.35</v>
      </c>
      <c r="H25">
        <v>0</v>
      </c>
      <c r="I25">
        <v>11500</v>
      </c>
      <c r="J25">
        <v>0</v>
      </c>
      <c r="K25">
        <v>84.31</v>
      </c>
      <c r="L25">
        <v>0</v>
      </c>
      <c r="M25">
        <v>84.31</v>
      </c>
    </row>
    <row r="26" spans="1:27" x14ac:dyDescent="0.25">
      <c r="H26">
        <v>0</v>
      </c>
      <c r="I26">
        <v>12000</v>
      </c>
      <c r="J26">
        <v>0</v>
      </c>
      <c r="K26">
        <v>88.39</v>
      </c>
      <c r="L26">
        <v>0</v>
      </c>
      <c r="M26">
        <v>88.39</v>
      </c>
    </row>
    <row r="27" spans="1:27" x14ac:dyDescent="0.25">
      <c r="H27">
        <v>0</v>
      </c>
      <c r="I27">
        <v>12500</v>
      </c>
      <c r="J27">
        <v>0</v>
      </c>
      <c r="K27">
        <v>91.75</v>
      </c>
      <c r="L27">
        <v>0</v>
      </c>
      <c r="M27">
        <v>91.75</v>
      </c>
    </row>
    <row r="28" spans="1:27" x14ac:dyDescent="0.25">
      <c r="V28" s="2"/>
      <c r="W28" s="2"/>
      <c r="X28" s="2"/>
      <c r="Y28" s="2"/>
      <c r="Z28" s="2"/>
      <c r="AA28" s="2"/>
    </row>
    <row r="29" spans="1:27" x14ac:dyDescent="0.25">
      <c r="A29" s="1" t="s">
        <v>12</v>
      </c>
      <c r="H29" s="1">
        <v>2016</v>
      </c>
      <c r="O29" s="1" t="s">
        <v>15</v>
      </c>
      <c r="P29" s="1"/>
      <c r="Q29" s="1"/>
      <c r="R29" s="1"/>
      <c r="S29" s="1"/>
      <c r="T29" s="1"/>
      <c r="V29" s="1" t="s">
        <v>16</v>
      </c>
    </row>
    <row r="30" spans="1:27" x14ac:dyDescent="0.25">
      <c r="H30" s="1" t="s">
        <v>6</v>
      </c>
      <c r="I30" s="1" t="s">
        <v>7</v>
      </c>
      <c r="J30" s="1" t="s">
        <v>8</v>
      </c>
      <c r="K30" s="1" t="s">
        <v>9</v>
      </c>
      <c r="L30" s="1" t="s">
        <v>10</v>
      </c>
      <c r="M30" s="1" t="s">
        <v>11</v>
      </c>
      <c r="O30" s="3" t="s">
        <v>6</v>
      </c>
      <c r="P30" s="3" t="s">
        <v>7</v>
      </c>
      <c r="Q30" s="3" t="s">
        <v>8</v>
      </c>
      <c r="R30" s="3" t="s">
        <v>9</v>
      </c>
      <c r="S30" s="3" t="s">
        <v>10</v>
      </c>
      <c r="T30" s="3" t="s">
        <v>11</v>
      </c>
      <c r="V30" s="1" t="s">
        <v>6</v>
      </c>
      <c r="W30" s="1" t="s">
        <v>7</v>
      </c>
      <c r="X30" s="1" t="s">
        <v>8</v>
      </c>
      <c r="Y30" s="1" t="s">
        <v>9</v>
      </c>
      <c r="Z30" s="1" t="s">
        <v>10</v>
      </c>
      <c r="AA30" s="1" t="s">
        <v>11</v>
      </c>
    </row>
    <row r="31" spans="1:27" x14ac:dyDescent="0.25">
      <c r="H31">
        <v>0</v>
      </c>
      <c r="I31">
        <v>500</v>
      </c>
      <c r="J31">
        <v>0</v>
      </c>
      <c r="K31">
        <v>3.6</v>
      </c>
      <c r="L31">
        <v>0</v>
      </c>
      <c r="M31">
        <v>3.6</v>
      </c>
      <c r="O31" s="2">
        <v>0</v>
      </c>
      <c r="P31" s="2">
        <v>500</v>
      </c>
      <c r="Q31" s="2">
        <v>0</v>
      </c>
      <c r="R31" s="2">
        <v>3.66</v>
      </c>
      <c r="S31" s="2">
        <v>0</v>
      </c>
      <c r="T31" s="2">
        <v>3.66</v>
      </c>
      <c r="V31">
        <v>0</v>
      </c>
      <c r="W31">
        <v>500</v>
      </c>
      <c r="X31">
        <v>0</v>
      </c>
      <c r="Y31">
        <v>3.61</v>
      </c>
      <c r="Z31">
        <v>0</v>
      </c>
      <c r="AA31">
        <v>3.61</v>
      </c>
    </row>
    <row r="32" spans="1:27" x14ac:dyDescent="0.25">
      <c r="H32">
        <v>0</v>
      </c>
      <c r="I32">
        <v>1000</v>
      </c>
      <c r="J32">
        <v>0</v>
      </c>
      <c r="K32">
        <v>7.17</v>
      </c>
      <c r="L32">
        <v>0</v>
      </c>
      <c r="M32">
        <v>7.17</v>
      </c>
      <c r="O32" s="2">
        <v>0</v>
      </c>
      <c r="P32" s="2">
        <v>1000</v>
      </c>
      <c r="Q32" s="2">
        <v>0</v>
      </c>
      <c r="R32" s="2">
        <v>7.18</v>
      </c>
      <c r="S32" s="2">
        <v>0</v>
      </c>
      <c r="T32" s="2">
        <v>7.18</v>
      </c>
      <c r="V32">
        <v>0</v>
      </c>
      <c r="W32">
        <v>1000</v>
      </c>
      <c r="X32">
        <v>0</v>
      </c>
      <c r="Y32">
        <v>7.15</v>
      </c>
      <c r="Z32">
        <v>0</v>
      </c>
      <c r="AA32">
        <v>7.15</v>
      </c>
    </row>
    <row r="33" spans="8:27" x14ac:dyDescent="0.25">
      <c r="H33">
        <v>0</v>
      </c>
      <c r="I33">
        <v>1500</v>
      </c>
      <c r="J33">
        <v>0</v>
      </c>
      <c r="K33">
        <v>10.77</v>
      </c>
      <c r="L33">
        <v>0</v>
      </c>
      <c r="M33">
        <v>10.77</v>
      </c>
      <c r="O33" s="2">
        <v>0</v>
      </c>
      <c r="P33" s="2">
        <v>1500</v>
      </c>
      <c r="Q33" s="2">
        <v>0</v>
      </c>
      <c r="R33" s="2">
        <v>10.81</v>
      </c>
      <c r="S33" s="2">
        <v>0</v>
      </c>
      <c r="T33" s="2">
        <v>10.81</v>
      </c>
      <c r="V33">
        <v>0</v>
      </c>
      <c r="W33">
        <v>1500</v>
      </c>
      <c r="X33">
        <v>0</v>
      </c>
      <c r="Y33">
        <v>10.78</v>
      </c>
      <c r="Z33">
        <v>0</v>
      </c>
      <c r="AA33">
        <v>10.78</v>
      </c>
    </row>
    <row r="34" spans="8:27" x14ac:dyDescent="0.25">
      <c r="H34">
        <v>0</v>
      </c>
      <c r="I34">
        <v>2000</v>
      </c>
      <c r="J34">
        <v>0</v>
      </c>
      <c r="K34">
        <v>14.37</v>
      </c>
      <c r="L34">
        <v>0</v>
      </c>
      <c r="M34">
        <v>14.37</v>
      </c>
      <c r="O34" s="2">
        <v>0</v>
      </c>
      <c r="P34" s="2">
        <v>2000</v>
      </c>
      <c r="Q34" s="2">
        <v>0</v>
      </c>
      <c r="R34" s="2">
        <v>14.37</v>
      </c>
      <c r="S34" s="2">
        <v>0</v>
      </c>
      <c r="T34" s="2">
        <v>14.37</v>
      </c>
      <c r="V34">
        <v>0</v>
      </c>
      <c r="W34">
        <v>2000</v>
      </c>
      <c r="X34">
        <v>0</v>
      </c>
      <c r="Y34">
        <v>14.34</v>
      </c>
      <c r="Z34">
        <v>0</v>
      </c>
      <c r="AA34">
        <v>14.34</v>
      </c>
    </row>
    <row r="35" spans="8:27" x14ac:dyDescent="0.25">
      <c r="H35">
        <v>0</v>
      </c>
      <c r="I35">
        <v>2500</v>
      </c>
      <c r="J35">
        <v>0</v>
      </c>
      <c r="K35">
        <v>17.97</v>
      </c>
      <c r="L35">
        <v>0</v>
      </c>
      <c r="M35">
        <v>17.97</v>
      </c>
      <c r="O35" s="2">
        <v>0</v>
      </c>
      <c r="P35" s="2">
        <v>2500</v>
      </c>
      <c r="Q35" s="2">
        <v>0</v>
      </c>
      <c r="R35" s="2">
        <v>17.989999999999998</v>
      </c>
      <c r="S35" s="2">
        <v>0</v>
      </c>
      <c r="T35" s="2">
        <v>17.989999999999998</v>
      </c>
      <c r="V35">
        <v>0</v>
      </c>
      <c r="W35">
        <v>2500</v>
      </c>
      <c r="X35">
        <v>0</v>
      </c>
      <c r="Y35">
        <v>17.96</v>
      </c>
      <c r="Z35">
        <v>0</v>
      </c>
      <c r="AA35">
        <v>17.96</v>
      </c>
    </row>
    <row r="36" spans="8:27" x14ac:dyDescent="0.25">
      <c r="H36">
        <v>0</v>
      </c>
      <c r="I36">
        <v>3000</v>
      </c>
      <c r="J36">
        <v>0</v>
      </c>
      <c r="K36">
        <v>21.61</v>
      </c>
      <c r="L36">
        <v>0</v>
      </c>
      <c r="M36">
        <v>21.61</v>
      </c>
      <c r="O36" s="2">
        <v>0</v>
      </c>
      <c r="P36" s="2">
        <v>3000</v>
      </c>
      <c r="Q36" s="2">
        <v>0</v>
      </c>
      <c r="R36" s="2">
        <v>21.63</v>
      </c>
      <c r="S36" s="2">
        <v>0</v>
      </c>
      <c r="T36" s="2">
        <v>21.63</v>
      </c>
      <c r="V36">
        <v>0</v>
      </c>
      <c r="W36">
        <v>3000</v>
      </c>
      <c r="X36">
        <v>0</v>
      </c>
      <c r="Y36">
        <v>21.48</v>
      </c>
      <c r="Z36">
        <v>0</v>
      </c>
      <c r="AA36">
        <v>21.48</v>
      </c>
    </row>
    <row r="37" spans="8:27" x14ac:dyDescent="0.25">
      <c r="H37">
        <v>0</v>
      </c>
      <c r="I37">
        <v>3500</v>
      </c>
      <c r="J37">
        <v>0</v>
      </c>
      <c r="K37">
        <v>25.08</v>
      </c>
      <c r="L37">
        <v>0</v>
      </c>
      <c r="M37">
        <v>25.09</v>
      </c>
      <c r="O37" s="2">
        <v>0</v>
      </c>
      <c r="P37" s="2">
        <v>3500</v>
      </c>
      <c r="Q37" s="2">
        <v>0</v>
      </c>
      <c r="R37" s="2">
        <v>25.23</v>
      </c>
      <c r="S37" s="2">
        <v>0</v>
      </c>
      <c r="T37" s="2">
        <v>25.23</v>
      </c>
      <c r="V37">
        <v>0</v>
      </c>
      <c r="W37">
        <v>3500</v>
      </c>
      <c r="X37">
        <v>0</v>
      </c>
      <c r="Y37">
        <v>25.16</v>
      </c>
      <c r="Z37">
        <v>0</v>
      </c>
      <c r="AA37">
        <v>25.16</v>
      </c>
    </row>
    <row r="38" spans="8:27" x14ac:dyDescent="0.25">
      <c r="H38">
        <v>0</v>
      </c>
      <c r="I38">
        <v>4000</v>
      </c>
      <c r="J38">
        <v>0</v>
      </c>
      <c r="K38">
        <v>28.63</v>
      </c>
      <c r="L38">
        <v>0</v>
      </c>
      <c r="M38">
        <v>28.63</v>
      </c>
      <c r="O38" s="2">
        <v>0</v>
      </c>
      <c r="P38" s="2">
        <v>4000</v>
      </c>
      <c r="Q38" s="2">
        <v>0</v>
      </c>
      <c r="R38" s="2">
        <v>28.64</v>
      </c>
      <c r="S38" s="2">
        <v>0</v>
      </c>
      <c r="T38" s="2">
        <v>28.64</v>
      </c>
      <c r="V38">
        <v>0</v>
      </c>
      <c r="W38">
        <v>4000</v>
      </c>
      <c r="X38">
        <v>0</v>
      </c>
      <c r="Y38">
        <v>28.57</v>
      </c>
      <c r="Z38">
        <v>0</v>
      </c>
      <c r="AA38">
        <v>28.57</v>
      </c>
    </row>
    <row r="39" spans="8:27" x14ac:dyDescent="0.25">
      <c r="H39">
        <v>0</v>
      </c>
      <c r="I39">
        <v>4500</v>
      </c>
      <c r="J39">
        <v>0</v>
      </c>
      <c r="K39">
        <v>32.25</v>
      </c>
      <c r="L39">
        <v>0</v>
      </c>
      <c r="M39">
        <v>32.25</v>
      </c>
      <c r="O39" s="2">
        <v>0</v>
      </c>
      <c r="P39" s="2">
        <v>4500</v>
      </c>
      <c r="Q39" s="2">
        <v>0</v>
      </c>
      <c r="R39" s="2">
        <v>32.270000000000003</v>
      </c>
      <c r="S39" s="2">
        <v>0</v>
      </c>
      <c r="T39" s="2">
        <v>32.270000000000003</v>
      </c>
      <c r="V39">
        <v>0</v>
      </c>
      <c r="W39">
        <v>4500</v>
      </c>
      <c r="X39">
        <v>0</v>
      </c>
      <c r="Y39">
        <v>32.18</v>
      </c>
      <c r="Z39">
        <v>0</v>
      </c>
      <c r="AA39">
        <v>32.18</v>
      </c>
    </row>
    <row r="40" spans="8:27" x14ac:dyDescent="0.25">
      <c r="H40">
        <v>0</v>
      </c>
      <c r="I40">
        <v>5000</v>
      </c>
      <c r="J40">
        <v>0</v>
      </c>
      <c r="K40">
        <v>35.979999999999997</v>
      </c>
      <c r="L40">
        <v>0</v>
      </c>
      <c r="M40">
        <v>35.979999999999997</v>
      </c>
      <c r="O40" s="2">
        <v>0</v>
      </c>
      <c r="P40" s="2">
        <v>5000</v>
      </c>
      <c r="Q40" s="2">
        <v>0</v>
      </c>
      <c r="R40" s="2">
        <v>35.9</v>
      </c>
      <c r="S40" s="2">
        <v>0</v>
      </c>
      <c r="T40" s="2">
        <v>35.9</v>
      </c>
      <c r="V40">
        <v>0</v>
      </c>
      <c r="W40">
        <v>5000</v>
      </c>
      <c r="X40">
        <v>0</v>
      </c>
      <c r="Y40">
        <v>35.75</v>
      </c>
      <c r="Z40">
        <v>0</v>
      </c>
      <c r="AA40">
        <v>35.76</v>
      </c>
    </row>
    <row r="41" spans="8:27" x14ac:dyDescent="0.25">
      <c r="H41">
        <v>0</v>
      </c>
      <c r="I41">
        <v>5500</v>
      </c>
      <c r="J41">
        <v>0</v>
      </c>
      <c r="K41">
        <v>39.479999999999997</v>
      </c>
      <c r="L41">
        <v>0</v>
      </c>
      <c r="M41">
        <v>39.479999999999997</v>
      </c>
      <c r="O41" s="2">
        <v>0</v>
      </c>
      <c r="P41" s="2">
        <v>5500</v>
      </c>
      <c r="Q41" s="2">
        <v>0</v>
      </c>
      <c r="R41" s="2">
        <v>39.42</v>
      </c>
      <c r="S41" s="2">
        <v>0</v>
      </c>
      <c r="T41" s="2">
        <v>39.43</v>
      </c>
      <c r="V41">
        <v>0</v>
      </c>
      <c r="W41">
        <v>5500</v>
      </c>
      <c r="X41">
        <v>0</v>
      </c>
      <c r="Y41">
        <v>39.409999999999997</v>
      </c>
      <c r="Z41">
        <v>0</v>
      </c>
      <c r="AA41">
        <v>39.409999999999997</v>
      </c>
    </row>
    <row r="42" spans="8:27" x14ac:dyDescent="0.25">
      <c r="H42">
        <v>0</v>
      </c>
      <c r="I42">
        <v>6000</v>
      </c>
      <c r="J42">
        <v>0</v>
      </c>
      <c r="K42">
        <v>43.02</v>
      </c>
      <c r="L42">
        <v>0</v>
      </c>
      <c r="M42">
        <v>43.02</v>
      </c>
      <c r="O42" s="2">
        <v>0</v>
      </c>
      <c r="P42" s="2">
        <v>6000</v>
      </c>
      <c r="Q42" s="2">
        <v>0</v>
      </c>
      <c r="R42" s="2">
        <v>43</v>
      </c>
      <c r="S42" s="2">
        <v>0</v>
      </c>
      <c r="T42" s="2">
        <v>43</v>
      </c>
      <c r="V42">
        <v>0</v>
      </c>
      <c r="W42">
        <v>6000</v>
      </c>
      <c r="X42">
        <v>0</v>
      </c>
      <c r="Y42">
        <v>42.95</v>
      </c>
      <c r="Z42">
        <v>0</v>
      </c>
      <c r="AA42">
        <v>42.95</v>
      </c>
    </row>
    <row r="43" spans="8:27" x14ac:dyDescent="0.25">
      <c r="H43">
        <v>0</v>
      </c>
      <c r="I43">
        <v>6500</v>
      </c>
      <c r="J43">
        <v>0</v>
      </c>
      <c r="K43">
        <v>46.57</v>
      </c>
      <c r="L43">
        <v>0</v>
      </c>
      <c r="M43">
        <v>46.57</v>
      </c>
      <c r="O43" s="2">
        <v>0</v>
      </c>
      <c r="P43" s="2">
        <v>6500</v>
      </c>
      <c r="Q43" s="2">
        <v>0</v>
      </c>
      <c r="R43" s="2">
        <v>46.57</v>
      </c>
      <c r="S43" s="2">
        <v>0</v>
      </c>
      <c r="T43" s="2">
        <v>46.57</v>
      </c>
      <c r="V43">
        <v>0</v>
      </c>
      <c r="W43">
        <v>6500</v>
      </c>
      <c r="X43">
        <v>0</v>
      </c>
      <c r="Y43">
        <v>46.45</v>
      </c>
      <c r="Z43">
        <v>0</v>
      </c>
      <c r="AA43">
        <v>46.45</v>
      </c>
    </row>
    <row r="44" spans="8:27" x14ac:dyDescent="0.25">
      <c r="H44">
        <v>0</v>
      </c>
      <c r="I44">
        <v>7000</v>
      </c>
      <c r="J44">
        <v>0</v>
      </c>
      <c r="K44">
        <v>50.27</v>
      </c>
      <c r="L44">
        <v>0</v>
      </c>
      <c r="M44">
        <v>50.27</v>
      </c>
      <c r="O44" s="2">
        <v>0</v>
      </c>
      <c r="P44" s="2">
        <v>7000</v>
      </c>
      <c r="Q44" s="2">
        <v>0</v>
      </c>
      <c r="R44" s="2">
        <v>50.4</v>
      </c>
      <c r="S44" s="2">
        <v>0</v>
      </c>
      <c r="T44" s="2">
        <v>50.4</v>
      </c>
      <c r="V44">
        <v>0</v>
      </c>
      <c r="W44">
        <v>7000</v>
      </c>
      <c r="X44">
        <v>0</v>
      </c>
      <c r="Y44">
        <v>50.07</v>
      </c>
      <c r="Z44">
        <v>0</v>
      </c>
      <c r="AA44">
        <v>50.07</v>
      </c>
    </row>
    <row r="45" spans="8:27" x14ac:dyDescent="0.25">
      <c r="H45">
        <v>0</v>
      </c>
      <c r="I45">
        <v>7500</v>
      </c>
      <c r="J45">
        <v>0</v>
      </c>
      <c r="K45">
        <v>53.74</v>
      </c>
      <c r="L45">
        <v>0</v>
      </c>
      <c r="M45">
        <v>53.74</v>
      </c>
      <c r="O45" s="2">
        <v>0</v>
      </c>
      <c r="P45" s="2">
        <v>7500</v>
      </c>
      <c r="Q45" s="2">
        <v>0</v>
      </c>
      <c r="R45" s="2">
        <v>53.92</v>
      </c>
      <c r="S45" s="2">
        <v>0</v>
      </c>
      <c r="T45" s="2">
        <v>53.92</v>
      </c>
      <c r="V45">
        <v>0</v>
      </c>
      <c r="W45">
        <v>7500</v>
      </c>
      <c r="X45">
        <v>0</v>
      </c>
      <c r="Y45">
        <v>53.72</v>
      </c>
      <c r="Z45">
        <v>0</v>
      </c>
      <c r="AA45">
        <v>53.72</v>
      </c>
    </row>
    <row r="46" spans="8:27" x14ac:dyDescent="0.25">
      <c r="H46">
        <v>0</v>
      </c>
      <c r="I46">
        <v>8000</v>
      </c>
      <c r="J46">
        <v>0</v>
      </c>
      <c r="K46">
        <v>57.38</v>
      </c>
      <c r="L46">
        <v>0</v>
      </c>
      <c r="M46">
        <v>57.38</v>
      </c>
      <c r="O46" s="2">
        <v>0</v>
      </c>
      <c r="P46" s="2">
        <v>8000</v>
      </c>
      <c r="Q46" s="2">
        <v>0</v>
      </c>
      <c r="R46" s="2">
        <v>57.33</v>
      </c>
      <c r="S46" s="2">
        <v>0</v>
      </c>
      <c r="T46" s="2">
        <v>57.33</v>
      </c>
      <c r="V46">
        <v>0</v>
      </c>
      <c r="W46">
        <v>8000</v>
      </c>
      <c r="X46">
        <v>0</v>
      </c>
      <c r="Y46">
        <v>57.31</v>
      </c>
      <c r="Z46">
        <v>0</v>
      </c>
      <c r="AA46">
        <v>57.31</v>
      </c>
    </row>
    <row r="47" spans="8:27" x14ac:dyDescent="0.25">
      <c r="H47">
        <v>0</v>
      </c>
      <c r="I47">
        <v>8500</v>
      </c>
      <c r="J47">
        <v>0</v>
      </c>
      <c r="K47">
        <v>60.98</v>
      </c>
      <c r="L47">
        <v>0</v>
      </c>
      <c r="M47">
        <v>60.98</v>
      </c>
      <c r="O47" s="2">
        <v>0</v>
      </c>
      <c r="P47" s="2">
        <v>8500</v>
      </c>
      <c r="Q47" s="2">
        <v>0</v>
      </c>
      <c r="R47" s="2">
        <v>61.1</v>
      </c>
      <c r="S47" s="2">
        <v>0</v>
      </c>
      <c r="T47" s="2">
        <v>61.1</v>
      </c>
      <c r="V47">
        <v>0</v>
      </c>
      <c r="W47">
        <v>8500</v>
      </c>
      <c r="X47">
        <v>0</v>
      </c>
      <c r="Y47">
        <v>60.81</v>
      </c>
      <c r="Z47">
        <v>0</v>
      </c>
      <c r="AA47">
        <v>60.82</v>
      </c>
    </row>
    <row r="48" spans="8:27" x14ac:dyDescent="0.25">
      <c r="H48">
        <v>0</v>
      </c>
      <c r="I48">
        <v>9000</v>
      </c>
      <c r="J48">
        <v>0</v>
      </c>
      <c r="K48">
        <v>64.66</v>
      </c>
      <c r="L48">
        <v>0</v>
      </c>
      <c r="M48">
        <v>64.66</v>
      </c>
      <c r="O48" s="2">
        <v>0</v>
      </c>
      <c r="P48" s="2">
        <v>9000</v>
      </c>
      <c r="Q48" s="2">
        <v>0</v>
      </c>
      <c r="R48" s="2">
        <v>64.540000000000006</v>
      </c>
      <c r="S48" s="2">
        <v>0</v>
      </c>
      <c r="T48" s="2">
        <v>64.540000000000006</v>
      </c>
      <c r="V48">
        <v>0</v>
      </c>
      <c r="W48">
        <v>9000</v>
      </c>
      <c r="X48">
        <v>0</v>
      </c>
      <c r="Y48">
        <v>64.44</v>
      </c>
      <c r="Z48">
        <v>0</v>
      </c>
      <c r="AA48">
        <v>64.44</v>
      </c>
    </row>
    <row r="49" spans="8:27" x14ac:dyDescent="0.25">
      <c r="H49">
        <v>0</v>
      </c>
      <c r="I49">
        <v>9500</v>
      </c>
      <c r="J49">
        <v>0</v>
      </c>
      <c r="K49">
        <v>68.09</v>
      </c>
      <c r="L49">
        <v>0</v>
      </c>
      <c r="M49">
        <v>68.09</v>
      </c>
      <c r="O49" s="2">
        <v>0</v>
      </c>
      <c r="P49" s="2">
        <v>9500</v>
      </c>
      <c r="Q49" s="2">
        <v>0</v>
      </c>
      <c r="R49" s="2">
        <v>68.25</v>
      </c>
      <c r="S49" s="2">
        <v>0</v>
      </c>
      <c r="T49" s="2">
        <v>68.25</v>
      </c>
      <c r="V49">
        <v>0</v>
      </c>
      <c r="W49">
        <v>9500</v>
      </c>
      <c r="X49">
        <v>0</v>
      </c>
      <c r="Y49">
        <v>67.989999999999995</v>
      </c>
      <c r="Z49">
        <v>0</v>
      </c>
      <c r="AA49">
        <v>68</v>
      </c>
    </row>
    <row r="50" spans="8:27" x14ac:dyDescent="0.25">
      <c r="H50">
        <v>0</v>
      </c>
      <c r="I50">
        <v>10000</v>
      </c>
      <c r="J50">
        <v>0</v>
      </c>
      <c r="K50">
        <v>71.69</v>
      </c>
      <c r="L50">
        <v>0</v>
      </c>
      <c r="M50">
        <v>71.69</v>
      </c>
      <c r="O50" s="2">
        <v>0</v>
      </c>
      <c r="P50" s="2">
        <v>10000</v>
      </c>
      <c r="Q50" s="2">
        <v>0.01</v>
      </c>
      <c r="R50" s="2">
        <v>71.78</v>
      </c>
      <c r="S50" s="2">
        <v>0</v>
      </c>
      <c r="T50" s="2">
        <v>71.78</v>
      </c>
      <c r="V50">
        <v>0</v>
      </c>
      <c r="W50">
        <v>10000</v>
      </c>
      <c r="X50">
        <v>0</v>
      </c>
      <c r="Y50">
        <v>71.61</v>
      </c>
      <c r="Z50">
        <v>0</v>
      </c>
      <c r="AA50">
        <v>71.61</v>
      </c>
    </row>
    <row r="51" spans="8:27" x14ac:dyDescent="0.25">
      <c r="H51">
        <v>0</v>
      </c>
      <c r="I51">
        <v>10500</v>
      </c>
      <c r="J51">
        <v>0</v>
      </c>
      <c r="K51">
        <v>75.22</v>
      </c>
      <c r="L51">
        <v>0</v>
      </c>
      <c r="M51">
        <v>75.22</v>
      </c>
      <c r="O51" s="2">
        <v>0</v>
      </c>
      <c r="P51" s="2">
        <v>10500</v>
      </c>
      <c r="Q51" s="2">
        <v>0.01</v>
      </c>
      <c r="R51" s="2">
        <v>75.42</v>
      </c>
      <c r="S51" s="2">
        <v>0</v>
      </c>
      <c r="T51" s="2">
        <v>75.430000000000007</v>
      </c>
      <c r="V51">
        <v>0</v>
      </c>
      <c r="W51">
        <v>10500</v>
      </c>
      <c r="X51">
        <v>0</v>
      </c>
      <c r="Y51">
        <v>75.28</v>
      </c>
      <c r="Z51">
        <v>0</v>
      </c>
      <c r="AA51">
        <v>75.290000000000006</v>
      </c>
    </row>
    <row r="52" spans="8:27" x14ac:dyDescent="0.25">
      <c r="H52">
        <v>0</v>
      </c>
      <c r="I52">
        <v>11000</v>
      </c>
      <c r="J52">
        <v>0</v>
      </c>
      <c r="K52">
        <v>78.900000000000006</v>
      </c>
      <c r="L52">
        <v>0</v>
      </c>
      <c r="M52">
        <v>78.900000000000006</v>
      </c>
      <c r="O52" s="2">
        <v>0</v>
      </c>
      <c r="P52" s="2">
        <v>11000</v>
      </c>
      <c r="Q52" s="2">
        <v>0</v>
      </c>
      <c r="R52" s="2">
        <v>78.89</v>
      </c>
      <c r="S52" s="2">
        <v>0</v>
      </c>
      <c r="T52" s="2">
        <v>78.89</v>
      </c>
      <c r="V52">
        <v>0</v>
      </c>
      <c r="W52">
        <v>11000</v>
      </c>
      <c r="X52">
        <v>0</v>
      </c>
      <c r="Y52">
        <v>78.72</v>
      </c>
      <c r="Z52">
        <v>0</v>
      </c>
      <c r="AA52">
        <v>78.72</v>
      </c>
    </row>
    <row r="53" spans="8:27" x14ac:dyDescent="0.25">
      <c r="H53">
        <v>0</v>
      </c>
      <c r="I53">
        <v>11500</v>
      </c>
      <c r="J53">
        <v>0</v>
      </c>
      <c r="K53">
        <v>82.33</v>
      </c>
      <c r="L53">
        <v>0</v>
      </c>
      <c r="M53">
        <v>82.33</v>
      </c>
      <c r="O53" s="2">
        <v>0</v>
      </c>
      <c r="P53" s="2">
        <v>11500</v>
      </c>
      <c r="Q53" s="2">
        <v>0</v>
      </c>
      <c r="R53" s="2">
        <v>82.62</v>
      </c>
      <c r="S53" s="2">
        <v>0</v>
      </c>
      <c r="T53" s="2">
        <v>82.63</v>
      </c>
      <c r="V53">
        <v>0</v>
      </c>
      <c r="W53">
        <v>11500</v>
      </c>
      <c r="X53">
        <v>0</v>
      </c>
      <c r="Y53">
        <v>82.27</v>
      </c>
      <c r="Z53">
        <v>0</v>
      </c>
      <c r="AA53">
        <v>82.27</v>
      </c>
    </row>
    <row r="54" spans="8:27" x14ac:dyDescent="0.25">
      <c r="H54">
        <v>0</v>
      </c>
      <c r="I54">
        <v>12000</v>
      </c>
      <c r="J54">
        <v>0</v>
      </c>
      <c r="K54">
        <v>86.03</v>
      </c>
      <c r="L54">
        <v>0</v>
      </c>
      <c r="M54">
        <v>86.03</v>
      </c>
      <c r="O54" s="2">
        <v>0</v>
      </c>
      <c r="P54" s="2">
        <v>12000</v>
      </c>
      <c r="Q54" s="2">
        <v>0.01</v>
      </c>
      <c r="R54" s="2">
        <v>86.29</v>
      </c>
      <c r="S54" s="2">
        <v>0</v>
      </c>
      <c r="T54" s="2">
        <v>86.3</v>
      </c>
      <c r="V54">
        <v>0</v>
      </c>
      <c r="W54">
        <v>12000</v>
      </c>
      <c r="X54">
        <v>0</v>
      </c>
      <c r="Y54">
        <v>85.96</v>
      </c>
      <c r="Z54">
        <v>0</v>
      </c>
      <c r="AA54">
        <v>85.96</v>
      </c>
    </row>
    <row r="55" spans="8:27" x14ac:dyDescent="0.25">
      <c r="H55">
        <v>0</v>
      </c>
      <c r="I55">
        <v>12500</v>
      </c>
      <c r="J55">
        <v>0</v>
      </c>
      <c r="K55">
        <v>89.74</v>
      </c>
      <c r="L55">
        <v>0</v>
      </c>
      <c r="M55">
        <v>89.74</v>
      </c>
      <c r="O55" s="2">
        <v>0</v>
      </c>
      <c r="P55" s="2">
        <v>12500</v>
      </c>
      <c r="Q55" s="2">
        <v>0</v>
      </c>
      <c r="R55" s="2">
        <v>89.63</v>
      </c>
      <c r="S55" s="2">
        <v>0</v>
      </c>
      <c r="T55" s="2">
        <v>89.63</v>
      </c>
      <c r="V55">
        <v>0</v>
      </c>
      <c r="W55">
        <v>12500</v>
      </c>
      <c r="X55">
        <v>0</v>
      </c>
      <c r="Y55">
        <v>89.46</v>
      </c>
      <c r="Z55">
        <v>0</v>
      </c>
      <c r="AA55">
        <v>89.46</v>
      </c>
    </row>
    <row r="56" spans="8:27" x14ac:dyDescent="0.25">
      <c r="V56">
        <v>0</v>
      </c>
      <c r="W56">
        <v>13000</v>
      </c>
      <c r="X56">
        <v>0</v>
      </c>
      <c r="Y56">
        <v>0</v>
      </c>
      <c r="Z56">
        <v>0</v>
      </c>
      <c r="AA56">
        <v>0</v>
      </c>
    </row>
    <row r="57" spans="8:27" x14ac:dyDescent="0.25">
      <c r="H57" s="3">
        <v>2017</v>
      </c>
      <c r="O57" t="s">
        <v>17</v>
      </c>
      <c r="V57" s="2">
        <v>2018</v>
      </c>
    </row>
    <row r="58" spans="8:27" x14ac:dyDescent="0.25">
      <c r="H58" s="1" t="s">
        <v>6</v>
      </c>
      <c r="I58" s="1" t="s">
        <v>7</v>
      </c>
      <c r="J58" s="1" t="s">
        <v>8</v>
      </c>
      <c r="K58" s="1" t="s">
        <v>9</v>
      </c>
      <c r="L58" s="1" t="s">
        <v>10</v>
      </c>
      <c r="M58" s="1" t="s">
        <v>11</v>
      </c>
      <c r="O58" s="14" t="s">
        <v>6</v>
      </c>
      <c r="P58" s="14" t="s">
        <v>7</v>
      </c>
      <c r="Q58" s="14" t="s">
        <v>8</v>
      </c>
      <c r="R58" s="14" t="s">
        <v>9</v>
      </c>
      <c r="S58" s="14" t="s">
        <v>10</v>
      </c>
      <c r="T58" s="14" t="s">
        <v>11</v>
      </c>
      <c r="V58" s="1" t="s">
        <v>6</v>
      </c>
      <c r="W58" s="1" t="s">
        <v>7</v>
      </c>
      <c r="X58" s="1" t="s">
        <v>8</v>
      </c>
      <c r="Y58" s="1" t="s">
        <v>9</v>
      </c>
      <c r="Z58" s="1" t="s">
        <v>10</v>
      </c>
      <c r="AA58" s="1" t="s">
        <v>11</v>
      </c>
    </row>
    <row r="59" spans="8:27" x14ac:dyDescent="0.25">
      <c r="H59">
        <v>0</v>
      </c>
      <c r="I59">
        <v>500</v>
      </c>
      <c r="J59">
        <v>0</v>
      </c>
      <c r="K59">
        <v>3.63</v>
      </c>
      <c r="L59">
        <v>0</v>
      </c>
      <c r="M59">
        <v>3.63</v>
      </c>
      <c r="O59" s="14">
        <v>0</v>
      </c>
      <c r="P59" s="14">
        <v>500</v>
      </c>
      <c r="Q59" s="14">
        <v>0</v>
      </c>
      <c r="R59" s="14">
        <v>3.59</v>
      </c>
      <c r="S59" s="14">
        <v>0</v>
      </c>
      <c r="T59" s="14">
        <v>3.59</v>
      </c>
      <c r="V59">
        <v>0</v>
      </c>
      <c r="W59">
        <v>500</v>
      </c>
      <c r="X59">
        <v>0</v>
      </c>
      <c r="Y59">
        <v>3.64</v>
      </c>
      <c r="Z59">
        <v>0</v>
      </c>
      <c r="AA59">
        <v>3.64</v>
      </c>
    </row>
    <row r="60" spans="8:27" x14ac:dyDescent="0.25">
      <c r="H60">
        <v>0</v>
      </c>
      <c r="I60">
        <v>1000</v>
      </c>
      <c r="J60">
        <v>0</v>
      </c>
      <c r="K60">
        <v>7.18</v>
      </c>
      <c r="L60">
        <v>0</v>
      </c>
      <c r="M60">
        <v>7.18</v>
      </c>
      <c r="O60" s="14">
        <v>0</v>
      </c>
      <c r="P60" s="14">
        <v>1000</v>
      </c>
      <c r="Q60" s="14">
        <v>0</v>
      </c>
      <c r="R60" s="14">
        <v>7.1</v>
      </c>
      <c r="S60" s="14">
        <v>0</v>
      </c>
      <c r="T60" s="14">
        <v>7.1</v>
      </c>
      <c r="V60">
        <v>0</v>
      </c>
      <c r="W60">
        <v>1000</v>
      </c>
      <c r="X60">
        <v>0</v>
      </c>
      <c r="Y60">
        <v>7.17</v>
      </c>
      <c r="Z60">
        <v>0</v>
      </c>
      <c r="AA60">
        <v>7.17</v>
      </c>
    </row>
    <row r="61" spans="8:27" x14ac:dyDescent="0.25">
      <c r="H61">
        <v>0</v>
      </c>
      <c r="I61">
        <v>1500</v>
      </c>
      <c r="J61">
        <v>0</v>
      </c>
      <c r="K61">
        <v>10.78</v>
      </c>
      <c r="L61">
        <v>0</v>
      </c>
      <c r="M61">
        <v>10.78</v>
      </c>
      <c r="O61" s="14">
        <v>0</v>
      </c>
      <c r="P61" s="14">
        <v>1500</v>
      </c>
      <c r="Q61" s="14">
        <v>0</v>
      </c>
      <c r="R61" s="14">
        <v>10.69</v>
      </c>
      <c r="S61" s="14">
        <v>0</v>
      </c>
      <c r="T61" s="14">
        <v>10.69</v>
      </c>
      <c r="V61">
        <v>0</v>
      </c>
      <c r="W61">
        <v>1500</v>
      </c>
      <c r="X61">
        <v>0</v>
      </c>
      <c r="Y61">
        <v>10.75</v>
      </c>
      <c r="Z61">
        <v>0</v>
      </c>
      <c r="AA61">
        <v>10.75</v>
      </c>
    </row>
    <row r="62" spans="8:27" x14ac:dyDescent="0.25">
      <c r="H62">
        <v>0</v>
      </c>
      <c r="I62">
        <v>2000</v>
      </c>
      <c r="J62">
        <v>0</v>
      </c>
      <c r="K62">
        <v>14.42</v>
      </c>
      <c r="L62">
        <v>0</v>
      </c>
      <c r="M62">
        <v>14.42</v>
      </c>
      <c r="O62">
        <v>0</v>
      </c>
      <c r="P62">
        <v>2000</v>
      </c>
      <c r="Q62">
        <v>0</v>
      </c>
      <c r="R62">
        <v>14.2</v>
      </c>
      <c r="S62">
        <v>0</v>
      </c>
      <c r="T62">
        <v>14.2</v>
      </c>
      <c r="V62">
        <v>0</v>
      </c>
      <c r="W62">
        <v>2000</v>
      </c>
      <c r="X62">
        <v>0</v>
      </c>
      <c r="Y62">
        <v>14.37</v>
      </c>
      <c r="Z62">
        <v>0</v>
      </c>
      <c r="AA62">
        <v>14.37</v>
      </c>
    </row>
    <row r="63" spans="8:27" x14ac:dyDescent="0.25">
      <c r="H63">
        <v>0</v>
      </c>
      <c r="I63">
        <v>2500</v>
      </c>
      <c r="J63">
        <v>0</v>
      </c>
      <c r="K63">
        <v>18.04</v>
      </c>
      <c r="L63">
        <v>0</v>
      </c>
      <c r="M63">
        <v>18.04</v>
      </c>
      <c r="O63" s="14">
        <v>0</v>
      </c>
      <c r="P63" s="14">
        <v>2500</v>
      </c>
      <c r="Q63" s="14">
        <v>0</v>
      </c>
      <c r="R63" s="14">
        <v>17.88</v>
      </c>
      <c r="S63" s="14">
        <v>0</v>
      </c>
      <c r="T63" s="14">
        <v>17.88</v>
      </c>
      <c r="V63">
        <v>0</v>
      </c>
      <c r="W63">
        <v>2500</v>
      </c>
      <c r="X63">
        <v>0</v>
      </c>
      <c r="Y63">
        <v>17.98</v>
      </c>
      <c r="Z63">
        <v>0</v>
      </c>
      <c r="AA63">
        <v>17.98</v>
      </c>
    </row>
    <row r="64" spans="8:27" x14ac:dyDescent="0.25">
      <c r="H64">
        <v>0</v>
      </c>
      <c r="I64">
        <v>3000</v>
      </c>
      <c r="J64">
        <v>0</v>
      </c>
      <c r="K64">
        <v>21.63</v>
      </c>
      <c r="L64">
        <v>0</v>
      </c>
      <c r="M64">
        <v>21.63</v>
      </c>
      <c r="O64" s="14">
        <v>0</v>
      </c>
      <c r="P64" s="14">
        <v>3000</v>
      </c>
      <c r="Q64" s="14">
        <v>0</v>
      </c>
      <c r="R64" s="14">
        <v>21.37</v>
      </c>
      <c r="S64" s="14">
        <v>0</v>
      </c>
      <c r="T64" s="14">
        <v>21.37</v>
      </c>
      <c r="V64">
        <v>0</v>
      </c>
      <c r="W64">
        <v>3000</v>
      </c>
      <c r="X64">
        <v>0</v>
      </c>
      <c r="Y64">
        <v>21.6</v>
      </c>
      <c r="Z64">
        <v>0</v>
      </c>
      <c r="AA64">
        <v>21.6</v>
      </c>
    </row>
    <row r="65" spans="8:27" x14ac:dyDescent="0.25">
      <c r="H65">
        <v>0</v>
      </c>
      <c r="I65">
        <v>3500</v>
      </c>
      <c r="J65">
        <v>0</v>
      </c>
      <c r="K65">
        <v>25.24</v>
      </c>
      <c r="L65">
        <v>0</v>
      </c>
      <c r="M65">
        <v>25.24</v>
      </c>
      <c r="O65" s="14">
        <v>0</v>
      </c>
      <c r="P65" s="14">
        <v>3500</v>
      </c>
      <c r="Q65" s="14">
        <v>0</v>
      </c>
      <c r="R65" s="14">
        <v>24.88</v>
      </c>
      <c r="S65" s="14">
        <v>0</v>
      </c>
      <c r="T65" s="14">
        <v>24.88</v>
      </c>
      <c r="V65">
        <v>0</v>
      </c>
      <c r="W65">
        <v>3500</v>
      </c>
      <c r="X65">
        <v>0</v>
      </c>
      <c r="Y65">
        <v>25.26</v>
      </c>
      <c r="Z65">
        <v>0</v>
      </c>
      <c r="AA65">
        <v>25.26</v>
      </c>
    </row>
    <row r="66" spans="8:27" x14ac:dyDescent="0.25">
      <c r="H66">
        <v>0</v>
      </c>
      <c r="I66">
        <v>4000</v>
      </c>
      <c r="J66">
        <v>0</v>
      </c>
      <c r="K66">
        <v>28.76</v>
      </c>
      <c r="L66">
        <v>0</v>
      </c>
      <c r="M66">
        <v>28.76</v>
      </c>
      <c r="O66" s="14">
        <v>0</v>
      </c>
      <c r="P66" s="14">
        <v>4000</v>
      </c>
      <c r="Q66" s="14">
        <v>0</v>
      </c>
      <c r="R66" s="14">
        <v>28.51</v>
      </c>
      <c r="S66" s="14">
        <v>0</v>
      </c>
      <c r="T66" s="14">
        <v>28.51</v>
      </c>
      <c r="V66">
        <v>0</v>
      </c>
      <c r="W66">
        <v>4000</v>
      </c>
      <c r="X66">
        <v>0</v>
      </c>
      <c r="Y66">
        <v>28.75</v>
      </c>
      <c r="Z66">
        <v>0</v>
      </c>
      <c r="AA66">
        <v>28.75</v>
      </c>
    </row>
    <row r="67" spans="8:27" x14ac:dyDescent="0.25">
      <c r="H67">
        <v>0</v>
      </c>
      <c r="I67">
        <v>4500</v>
      </c>
      <c r="J67">
        <v>0</v>
      </c>
      <c r="K67">
        <v>32.33</v>
      </c>
      <c r="L67">
        <v>0</v>
      </c>
      <c r="M67">
        <v>32.340000000000003</v>
      </c>
      <c r="O67" s="14">
        <v>0</v>
      </c>
      <c r="P67" s="14">
        <v>4500</v>
      </c>
      <c r="Q67" s="14">
        <v>0</v>
      </c>
      <c r="R67" s="14">
        <v>32.04</v>
      </c>
      <c r="S67" s="14">
        <v>0</v>
      </c>
      <c r="T67" s="14">
        <v>32.04</v>
      </c>
      <c r="V67">
        <v>0</v>
      </c>
      <c r="W67">
        <v>4500</v>
      </c>
      <c r="X67">
        <v>0</v>
      </c>
      <c r="Y67">
        <v>32.26</v>
      </c>
      <c r="Z67">
        <v>0</v>
      </c>
      <c r="AA67">
        <v>32.26</v>
      </c>
    </row>
    <row r="68" spans="8:27" x14ac:dyDescent="0.25">
      <c r="H68">
        <v>0</v>
      </c>
      <c r="I68">
        <v>5000</v>
      </c>
      <c r="J68">
        <v>0</v>
      </c>
      <c r="K68">
        <v>35.880000000000003</v>
      </c>
      <c r="L68">
        <v>0</v>
      </c>
      <c r="M68">
        <v>35.880000000000003</v>
      </c>
      <c r="O68" s="14">
        <v>0</v>
      </c>
      <c r="P68" s="14">
        <v>5000</v>
      </c>
      <c r="Q68" s="14">
        <v>0</v>
      </c>
      <c r="R68" s="14">
        <v>35.69</v>
      </c>
      <c r="S68" s="14">
        <v>0</v>
      </c>
      <c r="T68" s="14">
        <v>35.69</v>
      </c>
      <c r="V68">
        <v>0</v>
      </c>
      <c r="W68">
        <v>5000</v>
      </c>
      <c r="X68">
        <v>0</v>
      </c>
      <c r="Y68">
        <v>35.75</v>
      </c>
      <c r="Z68">
        <v>0</v>
      </c>
      <c r="AA68">
        <v>35.75</v>
      </c>
    </row>
    <row r="69" spans="8:27" x14ac:dyDescent="0.25">
      <c r="H69">
        <v>0</v>
      </c>
      <c r="I69">
        <v>5500</v>
      </c>
      <c r="J69">
        <v>0</v>
      </c>
      <c r="K69">
        <v>39.51</v>
      </c>
      <c r="L69">
        <v>0</v>
      </c>
      <c r="M69">
        <v>39.51</v>
      </c>
      <c r="O69" s="14">
        <v>0</v>
      </c>
      <c r="P69" s="14">
        <v>5500</v>
      </c>
      <c r="Q69" s="14">
        <v>0</v>
      </c>
      <c r="R69" s="14">
        <v>39.17</v>
      </c>
      <c r="S69" s="14">
        <v>0</v>
      </c>
      <c r="T69" s="14">
        <v>39.18</v>
      </c>
      <c r="V69">
        <v>0</v>
      </c>
      <c r="W69">
        <v>5500</v>
      </c>
      <c r="X69">
        <v>0</v>
      </c>
      <c r="Y69">
        <v>39.5</v>
      </c>
      <c r="Z69">
        <v>0</v>
      </c>
      <c r="AA69">
        <v>39.5</v>
      </c>
    </row>
    <row r="70" spans="8:27" x14ac:dyDescent="0.25">
      <c r="H70">
        <v>0</v>
      </c>
      <c r="I70">
        <v>6000</v>
      </c>
      <c r="J70">
        <v>0</v>
      </c>
      <c r="K70">
        <v>43.16</v>
      </c>
      <c r="L70">
        <v>0</v>
      </c>
      <c r="M70">
        <v>43.16</v>
      </c>
      <c r="O70" s="14">
        <v>0</v>
      </c>
      <c r="P70" s="14">
        <v>6000</v>
      </c>
      <c r="Q70" s="14">
        <v>0</v>
      </c>
      <c r="R70" s="14">
        <v>42.75</v>
      </c>
      <c r="S70" s="14">
        <v>0</v>
      </c>
      <c r="T70" s="14">
        <v>42.75</v>
      </c>
      <c r="V70">
        <v>0</v>
      </c>
      <c r="W70">
        <v>6000</v>
      </c>
      <c r="X70">
        <v>0</v>
      </c>
      <c r="Y70">
        <v>43.04</v>
      </c>
      <c r="Z70">
        <v>0</v>
      </c>
      <c r="AA70">
        <v>43.04</v>
      </c>
    </row>
    <row r="71" spans="8:27" x14ac:dyDescent="0.25">
      <c r="H71">
        <v>0</v>
      </c>
      <c r="I71">
        <v>6500</v>
      </c>
      <c r="J71">
        <v>0</v>
      </c>
      <c r="K71">
        <v>46.82</v>
      </c>
      <c r="L71">
        <v>0</v>
      </c>
      <c r="M71">
        <v>46.82</v>
      </c>
      <c r="O71" s="14">
        <v>0</v>
      </c>
      <c r="P71" s="14">
        <v>6500</v>
      </c>
      <c r="Q71" s="14">
        <v>0</v>
      </c>
      <c r="R71" s="14">
        <v>46.31</v>
      </c>
      <c r="S71" s="14">
        <v>0</v>
      </c>
      <c r="T71" s="14">
        <v>46.32</v>
      </c>
      <c r="V71">
        <v>0</v>
      </c>
      <c r="W71">
        <v>6500</v>
      </c>
      <c r="X71">
        <v>0</v>
      </c>
      <c r="Y71">
        <v>46.59</v>
      </c>
      <c r="Z71">
        <v>0</v>
      </c>
      <c r="AA71">
        <v>46.59</v>
      </c>
    </row>
    <row r="72" spans="8:27" x14ac:dyDescent="0.25">
      <c r="H72">
        <v>0</v>
      </c>
      <c r="I72">
        <v>7000</v>
      </c>
      <c r="J72">
        <v>0</v>
      </c>
      <c r="K72">
        <v>50.36</v>
      </c>
      <c r="L72">
        <v>0</v>
      </c>
      <c r="M72">
        <v>50.36</v>
      </c>
      <c r="O72" s="14">
        <v>0</v>
      </c>
      <c r="P72" s="14">
        <v>7000</v>
      </c>
      <c r="Q72" s="14">
        <v>0</v>
      </c>
      <c r="R72" s="14">
        <v>49.84</v>
      </c>
      <c r="S72" s="14">
        <v>0</v>
      </c>
      <c r="T72" s="14">
        <v>49.84</v>
      </c>
      <c r="V72">
        <v>0</v>
      </c>
      <c r="W72">
        <v>7000</v>
      </c>
      <c r="X72">
        <v>0</v>
      </c>
      <c r="Y72">
        <v>50.26</v>
      </c>
      <c r="Z72">
        <v>0</v>
      </c>
      <c r="AA72">
        <v>50.26</v>
      </c>
    </row>
    <row r="73" spans="8:27" x14ac:dyDescent="0.25">
      <c r="H73">
        <v>0</v>
      </c>
      <c r="I73">
        <v>7500</v>
      </c>
      <c r="J73">
        <v>0</v>
      </c>
      <c r="K73">
        <v>53.93</v>
      </c>
      <c r="L73">
        <v>0</v>
      </c>
      <c r="M73">
        <v>53.93</v>
      </c>
      <c r="O73" s="14">
        <v>0</v>
      </c>
      <c r="P73" s="14">
        <v>7500</v>
      </c>
      <c r="Q73" s="14">
        <v>0</v>
      </c>
      <c r="R73" s="14">
        <v>53.39</v>
      </c>
      <c r="S73" s="14">
        <v>0</v>
      </c>
      <c r="T73" s="14">
        <v>53.4</v>
      </c>
      <c r="V73">
        <v>0</v>
      </c>
      <c r="W73">
        <v>7500</v>
      </c>
      <c r="X73">
        <v>0</v>
      </c>
      <c r="Y73">
        <v>53.72</v>
      </c>
      <c r="Z73">
        <v>0</v>
      </c>
      <c r="AA73">
        <v>53.72</v>
      </c>
    </row>
    <row r="74" spans="8:27" x14ac:dyDescent="0.25">
      <c r="H74">
        <v>0</v>
      </c>
      <c r="I74">
        <v>8000</v>
      </c>
      <c r="J74">
        <v>0.01</v>
      </c>
      <c r="K74">
        <v>57.67</v>
      </c>
      <c r="L74">
        <v>0</v>
      </c>
      <c r="M74">
        <v>57.68</v>
      </c>
      <c r="O74" s="14">
        <v>0</v>
      </c>
      <c r="P74" s="14">
        <v>8000</v>
      </c>
      <c r="Q74" s="14">
        <v>0</v>
      </c>
      <c r="R74" s="14">
        <v>57.09</v>
      </c>
      <c r="S74" s="14">
        <v>0</v>
      </c>
      <c r="T74" s="14">
        <v>57.1</v>
      </c>
      <c r="V74">
        <v>0</v>
      </c>
      <c r="W74">
        <v>8000</v>
      </c>
      <c r="X74">
        <v>0</v>
      </c>
      <c r="Y74">
        <v>57.38</v>
      </c>
      <c r="Z74">
        <v>0</v>
      </c>
      <c r="AA74">
        <v>57.39</v>
      </c>
    </row>
    <row r="75" spans="8:27" x14ac:dyDescent="0.25">
      <c r="H75">
        <v>0</v>
      </c>
      <c r="I75">
        <v>8500</v>
      </c>
      <c r="J75">
        <v>0</v>
      </c>
      <c r="K75">
        <v>61.09</v>
      </c>
      <c r="L75">
        <v>0</v>
      </c>
      <c r="M75">
        <v>61.09</v>
      </c>
      <c r="O75" s="14">
        <v>0</v>
      </c>
      <c r="P75" s="14">
        <v>8500</v>
      </c>
      <c r="Q75" s="14">
        <v>0</v>
      </c>
      <c r="R75" s="14">
        <v>60.63</v>
      </c>
      <c r="S75" s="14">
        <v>0</v>
      </c>
      <c r="T75" s="14">
        <v>60.63</v>
      </c>
      <c r="V75">
        <v>0</v>
      </c>
      <c r="W75">
        <v>8500</v>
      </c>
      <c r="X75">
        <v>0</v>
      </c>
      <c r="Y75">
        <v>60.84</v>
      </c>
      <c r="Z75">
        <v>0</v>
      </c>
      <c r="AA75">
        <v>60.84</v>
      </c>
    </row>
    <row r="76" spans="8:27" x14ac:dyDescent="0.25">
      <c r="H76">
        <v>0</v>
      </c>
      <c r="I76">
        <v>9000</v>
      </c>
      <c r="J76">
        <v>0</v>
      </c>
      <c r="K76">
        <v>64.91</v>
      </c>
      <c r="L76">
        <v>0</v>
      </c>
      <c r="M76">
        <v>64.91</v>
      </c>
      <c r="O76" s="14">
        <v>0</v>
      </c>
      <c r="P76" s="14">
        <v>9000</v>
      </c>
      <c r="Q76" s="14">
        <v>0</v>
      </c>
      <c r="R76" s="14">
        <v>64.16</v>
      </c>
      <c r="S76" s="14">
        <v>0</v>
      </c>
      <c r="T76" s="14">
        <v>64.17</v>
      </c>
      <c r="V76">
        <v>0</v>
      </c>
      <c r="W76">
        <v>9000</v>
      </c>
      <c r="X76">
        <v>0</v>
      </c>
      <c r="Y76">
        <v>64.5</v>
      </c>
      <c r="Z76">
        <v>0</v>
      </c>
      <c r="AA76">
        <v>64.5</v>
      </c>
    </row>
    <row r="77" spans="8:27" x14ac:dyDescent="0.25">
      <c r="H77">
        <v>0</v>
      </c>
      <c r="I77">
        <v>9500</v>
      </c>
      <c r="J77">
        <v>0</v>
      </c>
      <c r="K77">
        <v>68.25</v>
      </c>
      <c r="L77">
        <v>0</v>
      </c>
      <c r="M77">
        <v>68.25</v>
      </c>
      <c r="O77" s="14">
        <v>0</v>
      </c>
      <c r="P77" s="14">
        <v>9500</v>
      </c>
      <c r="Q77" s="14">
        <v>0</v>
      </c>
      <c r="R77" s="14">
        <v>67.61</v>
      </c>
      <c r="S77" s="14">
        <v>0</v>
      </c>
      <c r="T77" s="14">
        <v>67.61</v>
      </c>
      <c r="V77">
        <v>0</v>
      </c>
      <c r="W77">
        <v>9500</v>
      </c>
      <c r="X77">
        <v>0</v>
      </c>
      <c r="Y77">
        <v>68.11</v>
      </c>
      <c r="Z77">
        <v>0</v>
      </c>
      <c r="AA77">
        <v>68.11</v>
      </c>
    </row>
    <row r="78" spans="8:27" x14ac:dyDescent="0.25">
      <c r="H78">
        <v>0</v>
      </c>
      <c r="I78">
        <v>10000</v>
      </c>
      <c r="J78">
        <v>0</v>
      </c>
      <c r="K78">
        <v>71.900000000000006</v>
      </c>
      <c r="L78">
        <v>0</v>
      </c>
      <c r="M78">
        <v>71.900000000000006</v>
      </c>
      <c r="O78" s="14">
        <v>0</v>
      </c>
      <c r="P78" s="14">
        <v>10000</v>
      </c>
      <c r="Q78" s="14">
        <v>0</v>
      </c>
      <c r="R78" s="14">
        <v>71.38</v>
      </c>
      <c r="S78" s="14">
        <v>0</v>
      </c>
      <c r="T78" s="14">
        <v>71.38</v>
      </c>
      <c r="V78">
        <v>0</v>
      </c>
      <c r="W78">
        <v>10000</v>
      </c>
      <c r="X78">
        <v>0</v>
      </c>
      <c r="Y78">
        <v>71.650000000000006</v>
      </c>
      <c r="Z78">
        <v>0</v>
      </c>
      <c r="AA78">
        <v>71.650000000000006</v>
      </c>
    </row>
    <row r="79" spans="8:27" x14ac:dyDescent="0.25">
      <c r="H79">
        <v>0</v>
      </c>
      <c r="I79">
        <v>10500</v>
      </c>
      <c r="J79">
        <v>0</v>
      </c>
      <c r="K79">
        <v>75.59</v>
      </c>
      <c r="L79">
        <v>0</v>
      </c>
      <c r="M79">
        <v>75.599999999999994</v>
      </c>
      <c r="O79" s="14">
        <v>0</v>
      </c>
      <c r="P79" s="14">
        <v>10500</v>
      </c>
      <c r="Q79" s="14">
        <v>0</v>
      </c>
      <c r="R79" s="14">
        <v>74.8</v>
      </c>
      <c r="S79" s="14">
        <v>0</v>
      </c>
      <c r="T79" s="14">
        <v>74.81</v>
      </c>
      <c r="V79">
        <v>0</v>
      </c>
      <c r="W79">
        <v>10500</v>
      </c>
      <c r="X79">
        <v>0</v>
      </c>
      <c r="Y79">
        <v>75.239999999999995</v>
      </c>
      <c r="Z79">
        <v>0</v>
      </c>
      <c r="AA79">
        <v>75.25</v>
      </c>
    </row>
    <row r="80" spans="8:27" x14ac:dyDescent="0.25">
      <c r="H80">
        <v>0</v>
      </c>
      <c r="I80">
        <v>11000</v>
      </c>
      <c r="J80">
        <v>0</v>
      </c>
      <c r="K80">
        <v>79.14</v>
      </c>
      <c r="L80">
        <v>0</v>
      </c>
      <c r="M80">
        <v>79.14</v>
      </c>
      <c r="O80" s="14">
        <v>0</v>
      </c>
      <c r="P80" s="14">
        <v>11000</v>
      </c>
      <c r="Q80" s="14">
        <v>0</v>
      </c>
      <c r="R80" s="14">
        <v>78.790000000000006</v>
      </c>
      <c r="S80" s="14">
        <v>0</v>
      </c>
      <c r="T80" s="14">
        <v>78.790000000000006</v>
      </c>
      <c r="V80">
        <v>0</v>
      </c>
      <c r="W80">
        <v>11000</v>
      </c>
      <c r="X80">
        <v>0</v>
      </c>
      <c r="Y80">
        <v>78.97</v>
      </c>
      <c r="Z80">
        <v>0</v>
      </c>
      <c r="AA80">
        <v>78.97</v>
      </c>
    </row>
    <row r="81" spans="8:27" x14ac:dyDescent="0.25">
      <c r="H81">
        <v>0</v>
      </c>
      <c r="I81">
        <v>11500</v>
      </c>
      <c r="J81">
        <v>0</v>
      </c>
      <c r="K81">
        <v>82.7</v>
      </c>
      <c r="L81">
        <v>0</v>
      </c>
      <c r="M81">
        <v>82.7</v>
      </c>
      <c r="V81">
        <v>0</v>
      </c>
      <c r="W81">
        <v>11500</v>
      </c>
      <c r="X81">
        <v>0</v>
      </c>
      <c r="Y81">
        <v>82.52</v>
      </c>
      <c r="Z81">
        <v>0</v>
      </c>
      <c r="AA81">
        <v>82.52</v>
      </c>
    </row>
    <row r="82" spans="8:27" x14ac:dyDescent="0.25">
      <c r="V82">
        <v>0</v>
      </c>
      <c r="W82">
        <v>12000</v>
      </c>
      <c r="X82">
        <v>0</v>
      </c>
      <c r="Y82">
        <v>86.27</v>
      </c>
      <c r="Z82">
        <v>0</v>
      </c>
      <c r="AA82">
        <v>86.27</v>
      </c>
    </row>
    <row r="83" spans="8:27" x14ac:dyDescent="0.25">
      <c r="V83">
        <v>0</v>
      </c>
      <c r="W83">
        <v>12500</v>
      </c>
      <c r="X83">
        <v>0</v>
      </c>
      <c r="Y83">
        <v>90.01</v>
      </c>
      <c r="Z83">
        <v>0</v>
      </c>
      <c r="AA83">
        <v>90.01</v>
      </c>
    </row>
    <row r="87" spans="8:27" x14ac:dyDescent="0.25">
      <c r="I87" s="1">
        <v>2019</v>
      </c>
    </row>
    <row r="88" spans="8:27" x14ac:dyDescent="0.25">
      <c r="I88" s="16" t="s">
        <v>6</v>
      </c>
      <c r="J88" s="16" t="s">
        <v>7</v>
      </c>
      <c r="K88" s="16" t="s">
        <v>8</v>
      </c>
      <c r="L88" s="16" t="s">
        <v>9</v>
      </c>
      <c r="M88" s="16" t="s">
        <v>10</v>
      </c>
      <c r="N88" s="16" t="s">
        <v>11</v>
      </c>
    </row>
    <row r="89" spans="8:27" x14ac:dyDescent="0.25">
      <c r="I89">
        <v>0</v>
      </c>
      <c r="J89">
        <v>500</v>
      </c>
      <c r="K89">
        <v>0</v>
      </c>
      <c r="L89">
        <v>3.65</v>
      </c>
      <c r="M89">
        <v>0</v>
      </c>
      <c r="N89">
        <v>3.65</v>
      </c>
    </row>
    <row r="90" spans="8:27" x14ac:dyDescent="0.25">
      <c r="I90">
        <v>0</v>
      </c>
      <c r="J90">
        <v>1000</v>
      </c>
      <c r="K90">
        <v>0</v>
      </c>
      <c r="L90">
        <v>7.19</v>
      </c>
      <c r="M90">
        <v>0</v>
      </c>
      <c r="N90">
        <v>7.19</v>
      </c>
    </row>
    <row r="91" spans="8:27" x14ac:dyDescent="0.25">
      <c r="I91">
        <v>0</v>
      </c>
      <c r="J91">
        <v>1500</v>
      </c>
      <c r="K91">
        <v>0</v>
      </c>
      <c r="L91">
        <v>10.78</v>
      </c>
      <c r="M91">
        <v>0</v>
      </c>
      <c r="N91">
        <v>10.78</v>
      </c>
    </row>
    <row r="92" spans="8:27" x14ac:dyDescent="0.25">
      <c r="I92">
        <v>0</v>
      </c>
      <c r="J92">
        <v>2000</v>
      </c>
      <c r="K92">
        <v>0</v>
      </c>
      <c r="L92">
        <v>14.39</v>
      </c>
      <c r="M92">
        <v>0</v>
      </c>
      <c r="N92">
        <v>14.39</v>
      </c>
    </row>
    <row r="93" spans="8:27" x14ac:dyDescent="0.25">
      <c r="I93">
        <v>0</v>
      </c>
      <c r="J93">
        <v>2500</v>
      </c>
      <c r="K93">
        <v>0</v>
      </c>
      <c r="L93">
        <v>18</v>
      </c>
      <c r="M93">
        <v>0</v>
      </c>
      <c r="N93">
        <v>18</v>
      </c>
    </row>
    <row r="94" spans="8:27" x14ac:dyDescent="0.25">
      <c r="I94">
        <v>0</v>
      </c>
      <c r="J94">
        <v>3000</v>
      </c>
      <c r="K94">
        <v>0</v>
      </c>
      <c r="L94">
        <v>21.64</v>
      </c>
      <c r="M94">
        <v>0</v>
      </c>
      <c r="N94">
        <v>21.64</v>
      </c>
    </row>
    <row r="95" spans="8:27" x14ac:dyDescent="0.25">
      <c r="I95">
        <v>0</v>
      </c>
      <c r="J95">
        <v>3500</v>
      </c>
      <c r="K95">
        <v>0</v>
      </c>
      <c r="L95">
        <v>25.21</v>
      </c>
      <c r="M95">
        <v>0</v>
      </c>
      <c r="N95">
        <v>25.21</v>
      </c>
    </row>
    <row r="96" spans="8:27" x14ac:dyDescent="0.25">
      <c r="I96">
        <v>0</v>
      </c>
      <c r="J96">
        <v>4000</v>
      </c>
      <c r="K96">
        <v>0</v>
      </c>
      <c r="L96">
        <v>28.72</v>
      </c>
      <c r="M96">
        <v>0</v>
      </c>
      <c r="N96">
        <v>28.72</v>
      </c>
    </row>
    <row r="97" spans="9:14" x14ac:dyDescent="0.25">
      <c r="I97">
        <v>0</v>
      </c>
      <c r="J97">
        <v>4500</v>
      </c>
      <c r="K97">
        <v>0</v>
      </c>
      <c r="L97">
        <v>32.39</v>
      </c>
      <c r="M97">
        <v>0</v>
      </c>
      <c r="N97">
        <v>32.39</v>
      </c>
    </row>
    <row r="98" spans="9:14" x14ac:dyDescent="0.25">
      <c r="I98">
        <v>0</v>
      </c>
      <c r="J98">
        <v>5000</v>
      </c>
      <c r="K98">
        <v>0</v>
      </c>
      <c r="L98">
        <v>35.9</v>
      </c>
      <c r="M98">
        <v>0</v>
      </c>
      <c r="N98">
        <v>35.9</v>
      </c>
    </row>
    <row r="99" spans="9:14" x14ac:dyDescent="0.25">
      <c r="I99">
        <v>0</v>
      </c>
      <c r="J99">
        <v>5500</v>
      </c>
      <c r="K99">
        <v>0</v>
      </c>
      <c r="L99">
        <v>39.520000000000003</v>
      </c>
      <c r="M99">
        <v>0</v>
      </c>
      <c r="N99">
        <v>39.520000000000003</v>
      </c>
    </row>
    <row r="100" spans="9:14" x14ac:dyDescent="0.25">
      <c r="I100">
        <v>0</v>
      </c>
      <c r="J100">
        <v>6000</v>
      </c>
      <c r="K100">
        <v>0</v>
      </c>
      <c r="L100">
        <v>43.04</v>
      </c>
      <c r="M100">
        <v>0</v>
      </c>
      <c r="N100">
        <v>43.04</v>
      </c>
    </row>
    <row r="101" spans="9:14" x14ac:dyDescent="0.25">
      <c r="I101">
        <v>0</v>
      </c>
      <c r="J101">
        <v>6500</v>
      </c>
      <c r="K101">
        <v>0</v>
      </c>
      <c r="L101">
        <v>46.6</v>
      </c>
      <c r="M101">
        <v>0</v>
      </c>
      <c r="N101">
        <v>46.6</v>
      </c>
    </row>
    <row r="102" spans="9:14" x14ac:dyDescent="0.25">
      <c r="I102">
        <v>0</v>
      </c>
      <c r="J102">
        <v>7000</v>
      </c>
      <c r="K102">
        <v>0</v>
      </c>
      <c r="L102">
        <v>50.28</v>
      </c>
      <c r="M102">
        <v>0</v>
      </c>
      <c r="N102">
        <v>50.28</v>
      </c>
    </row>
    <row r="103" spans="9:14" x14ac:dyDescent="0.25">
      <c r="I103">
        <v>0</v>
      </c>
      <c r="J103">
        <v>7500</v>
      </c>
      <c r="K103">
        <v>0</v>
      </c>
      <c r="L103">
        <v>53.85</v>
      </c>
      <c r="M103">
        <v>0</v>
      </c>
      <c r="N103">
        <v>53.85</v>
      </c>
    </row>
    <row r="104" spans="9:14" x14ac:dyDescent="0.25">
      <c r="I104">
        <v>0</v>
      </c>
      <c r="J104">
        <v>8000</v>
      </c>
      <c r="K104">
        <v>0</v>
      </c>
      <c r="L104">
        <v>57.57</v>
      </c>
      <c r="M104">
        <v>0</v>
      </c>
      <c r="N104">
        <v>57.57</v>
      </c>
    </row>
    <row r="105" spans="9:14" x14ac:dyDescent="0.25">
      <c r="I105">
        <v>0</v>
      </c>
      <c r="J105">
        <v>8500</v>
      </c>
      <c r="K105">
        <v>0</v>
      </c>
      <c r="L105">
        <v>61.17</v>
      </c>
      <c r="M105">
        <v>0</v>
      </c>
      <c r="N105">
        <v>61.17</v>
      </c>
    </row>
    <row r="106" spans="9:14" x14ac:dyDescent="0.25">
      <c r="I106">
        <v>0</v>
      </c>
      <c r="J106">
        <v>9000</v>
      </c>
      <c r="K106">
        <v>0</v>
      </c>
      <c r="L106">
        <v>64.77</v>
      </c>
      <c r="M106">
        <v>0</v>
      </c>
      <c r="N106">
        <v>64.77</v>
      </c>
    </row>
    <row r="107" spans="9:14" x14ac:dyDescent="0.25">
      <c r="I107">
        <v>0</v>
      </c>
      <c r="J107">
        <v>9500</v>
      </c>
      <c r="K107">
        <v>0</v>
      </c>
      <c r="L107">
        <v>68.260000000000005</v>
      </c>
      <c r="M107">
        <v>0</v>
      </c>
      <c r="N107">
        <v>68.260000000000005</v>
      </c>
    </row>
    <row r="108" spans="9:14" x14ac:dyDescent="0.25">
      <c r="I108">
        <v>0</v>
      </c>
      <c r="J108">
        <v>10000</v>
      </c>
      <c r="K108">
        <v>0</v>
      </c>
      <c r="L108">
        <v>71.89</v>
      </c>
      <c r="M108">
        <v>0</v>
      </c>
      <c r="N108">
        <v>71.89</v>
      </c>
    </row>
    <row r="109" spans="9:14" x14ac:dyDescent="0.25">
      <c r="I109">
        <v>0</v>
      </c>
      <c r="J109">
        <v>10500</v>
      </c>
      <c r="K109">
        <v>0.01</v>
      </c>
      <c r="L109">
        <v>75.55</v>
      </c>
      <c r="M109">
        <v>0</v>
      </c>
      <c r="N109">
        <v>75.56</v>
      </c>
    </row>
    <row r="110" spans="9:14" x14ac:dyDescent="0.25">
      <c r="I110">
        <v>0</v>
      </c>
      <c r="J110">
        <v>11000</v>
      </c>
      <c r="K110">
        <v>0</v>
      </c>
      <c r="L110">
        <v>79.099999999999994</v>
      </c>
      <c r="M110">
        <v>0</v>
      </c>
      <c r="N110">
        <v>79.099999999999994</v>
      </c>
    </row>
    <row r="111" spans="9:14" x14ac:dyDescent="0.25">
      <c r="I111">
        <v>0</v>
      </c>
      <c r="J111">
        <v>11500</v>
      </c>
      <c r="K111">
        <v>0</v>
      </c>
      <c r="L111">
        <v>82.71</v>
      </c>
      <c r="M111">
        <v>0</v>
      </c>
      <c r="N111">
        <v>82.71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F31" sqref="F31"/>
    </sheetView>
  </sheetViews>
  <sheetFormatPr defaultRowHeight="15" x14ac:dyDescent="0.25"/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>
        <v>0</v>
      </c>
      <c r="B2">
        <v>500</v>
      </c>
      <c r="C2">
        <v>0</v>
      </c>
      <c r="D2">
        <v>3.71</v>
      </c>
      <c r="E2">
        <v>0</v>
      </c>
      <c r="F2">
        <v>3.71</v>
      </c>
    </row>
    <row r="3" spans="1:6" x14ac:dyDescent="0.25">
      <c r="A3">
        <v>0</v>
      </c>
      <c r="B3">
        <v>1000</v>
      </c>
      <c r="C3">
        <v>0</v>
      </c>
      <c r="D3">
        <v>7.34</v>
      </c>
      <c r="E3">
        <v>0</v>
      </c>
      <c r="F3">
        <v>7.34</v>
      </c>
    </row>
    <row r="4" spans="1:6" x14ac:dyDescent="0.25">
      <c r="A4">
        <v>0</v>
      </c>
      <c r="B4">
        <v>1500</v>
      </c>
      <c r="C4">
        <v>0</v>
      </c>
      <c r="D4">
        <v>11.01</v>
      </c>
      <c r="E4">
        <v>0</v>
      </c>
      <c r="F4">
        <v>11.01</v>
      </c>
    </row>
    <row r="5" spans="1:6" x14ac:dyDescent="0.25">
      <c r="A5">
        <v>0</v>
      </c>
      <c r="B5">
        <v>2000</v>
      </c>
      <c r="C5">
        <v>0</v>
      </c>
      <c r="D5">
        <v>14.69</v>
      </c>
      <c r="E5">
        <v>0</v>
      </c>
      <c r="F5">
        <v>14.69</v>
      </c>
    </row>
    <row r="6" spans="1:6" x14ac:dyDescent="0.25">
      <c r="A6">
        <v>0</v>
      </c>
      <c r="B6">
        <v>2500</v>
      </c>
      <c r="C6">
        <v>0</v>
      </c>
      <c r="D6">
        <v>18.38</v>
      </c>
      <c r="E6">
        <v>0</v>
      </c>
      <c r="F6">
        <v>18.38</v>
      </c>
    </row>
    <row r="7" spans="1:6" x14ac:dyDescent="0.25">
      <c r="A7">
        <v>0</v>
      </c>
      <c r="B7">
        <v>3000</v>
      </c>
      <c r="C7">
        <v>0</v>
      </c>
      <c r="D7">
        <v>22.12</v>
      </c>
      <c r="E7">
        <v>0</v>
      </c>
      <c r="F7">
        <v>22.12</v>
      </c>
    </row>
    <row r="8" spans="1:6" x14ac:dyDescent="0.25">
      <c r="A8">
        <v>0</v>
      </c>
      <c r="B8">
        <v>3500</v>
      </c>
      <c r="C8">
        <v>0</v>
      </c>
      <c r="D8">
        <v>25.77</v>
      </c>
      <c r="E8">
        <v>0</v>
      </c>
      <c r="F8">
        <v>25.77</v>
      </c>
    </row>
    <row r="9" spans="1:6" x14ac:dyDescent="0.25">
      <c r="A9">
        <v>0</v>
      </c>
      <c r="B9">
        <v>4000</v>
      </c>
      <c r="C9">
        <v>0</v>
      </c>
      <c r="D9">
        <v>29.41</v>
      </c>
      <c r="E9">
        <v>0</v>
      </c>
      <c r="F9">
        <v>29.41</v>
      </c>
    </row>
    <row r="10" spans="1:6" x14ac:dyDescent="0.25">
      <c r="A10">
        <v>0</v>
      </c>
      <c r="B10">
        <v>4500</v>
      </c>
      <c r="C10">
        <v>0</v>
      </c>
      <c r="D10">
        <v>33.049999999999997</v>
      </c>
      <c r="E10">
        <v>0</v>
      </c>
      <c r="F10">
        <v>33.049999999999997</v>
      </c>
    </row>
    <row r="11" spans="1:6" x14ac:dyDescent="0.25">
      <c r="A11">
        <v>0</v>
      </c>
      <c r="B11">
        <v>5000</v>
      </c>
      <c r="C11">
        <v>0</v>
      </c>
      <c r="D11">
        <v>36.74</v>
      </c>
      <c r="E11">
        <v>0</v>
      </c>
      <c r="F11">
        <v>36.74</v>
      </c>
    </row>
    <row r="12" spans="1:6" x14ac:dyDescent="0.25">
      <c r="A12">
        <v>0</v>
      </c>
      <c r="B12">
        <v>5500</v>
      </c>
      <c r="C12">
        <v>0</v>
      </c>
      <c r="D12">
        <v>40.54</v>
      </c>
      <c r="E12">
        <v>0</v>
      </c>
      <c r="F12">
        <v>40.54</v>
      </c>
    </row>
    <row r="13" spans="1:6" x14ac:dyDescent="0.25">
      <c r="A13">
        <v>0</v>
      </c>
      <c r="B13">
        <v>6000</v>
      </c>
      <c r="C13">
        <v>0</v>
      </c>
      <c r="D13">
        <v>44.09</v>
      </c>
      <c r="E13">
        <v>0</v>
      </c>
      <c r="F13">
        <v>44.09</v>
      </c>
    </row>
    <row r="14" spans="1:6" x14ac:dyDescent="0.25">
      <c r="A14">
        <v>0</v>
      </c>
      <c r="B14">
        <v>6500</v>
      </c>
      <c r="C14">
        <v>0</v>
      </c>
      <c r="D14">
        <v>47.88</v>
      </c>
      <c r="E14">
        <v>0</v>
      </c>
      <c r="F14">
        <v>47.88</v>
      </c>
    </row>
    <row r="15" spans="1:6" x14ac:dyDescent="0.25">
      <c r="A15">
        <v>0</v>
      </c>
      <c r="B15">
        <v>7000</v>
      </c>
      <c r="C15">
        <v>0</v>
      </c>
      <c r="D15">
        <v>51.47</v>
      </c>
      <c r="E15">
        <v>0</v>
      </c>
      <c r="F15">
        <v>51.47</v>
      </c>
    </row>
    <row r="16" spans="1:6" x14ac:dyDescent="0.25">
      <c r="A16">
        <v>0</v>
      </c>
      <c r="B16">
        <v>7500</v>
      </c>
      <c r="C16">
        <v>0</v>
      </c>
      <c r="D16">
        <v>55.18</v>
      </c>
      <c r="E16">
        <v>0</v>
      </c>
      <c r="F16">
        <v>55.18</v>
      </c>
    </row>
    <row r="17" spans="1:6" x14ac:dyDescent="0.25">
      <c r="A17">
        <v>0</v>
      </c>
      <c r="B17">
        <v>8000</v>
      </c>
      <c r="C17">
        <v>0</v>
      </c>
      <c r="D17">
        <v>58.89</v>
      </c>
      <c r="E17">
        <v>0</v>
      </c>
      <c r="F17">
        <v>58.89</v>
      </c>
    </row>
    <row r="18" spans="1:6" x14ac:dyDescent="0.25">
      <c r="A18">
        <v>0</v>
      </c>
      <c r="B18">
        <v>8500</v>
      </c>
      <c r="C18">
        <v>0</v>
      </c>
      <c r="D18">
        <v>62.65</v>
      </c>
      <c r="E18">
        <v>0</v>
      </c>
      <c r="F18">
        <v>62.65</v>
      </c>
    </row>
    <row r="19" spans="1:6" x14ac:dyDescent="0.25">
      <c r="A19">
        <v>0</v>
      </c>
      <c r="B19">
        <v>9000</v>
      </c>
      <c r="C19">
        <v>0</v>
      </c>
      <c r="D19">
        <v>66.37</v>
      </c>
      <c r="E19">
        <v>0</v>
      </c>
      <c r="F19">
        <v>66.38</v>
      </c>
    </row>
    <row r="20" spans="1:6" x14ac:dyDescent="0.25">
      <c r="A20">
        <v>0</v>
      </c>
      <c r="B20">
        <v>9500</v>
      </c>
      <c r="C20">
        <v>0</v>
      </c>
      <c r="D20">
        <v>70.17</v>
      </c>
      <c r="E20">
        <v>0</v>
      </c>
      <c r="F20">
        <v>70.17</v>
      </c>
    </row>
    <row r="21" spans="1:6" x14ac:dyDescent="0.25">
      <c r="A21">
        <v>0</v>
      </c>
      <c r="B21">
        <v>10000</v>
      </c>
      <c r="C21">
        <v>0</v>
      </c>
      <c r="D21">
        <v>73.599999999999994</v>
      </c>
      <c r="E21">
        <v>0</v>
      </c>
      <c r="F21">
        <v>73.599999999999994</v>
      </c>
    </row>
    <row r="22" spans="1:6" x14ac:dyDescent="0.25">
      <c r="A22">
        <v>0</v>
      </c>
      <c r="B22">
        <v>10500</v>
      </c>
      <c r="C22">
        <v>0</v>
      </c>
      <c r="D22">
        <v>77.510000000000005</v>
      </c>
      <c r="E22">
        <v>0</v>
      </c>
      <c r="F22">
        <v>77.510000000000005</v>
      </c>
    </row>
    <row r="23" spans="1:6" x14ac:dyDescent="0.25">
      <c r="A23">
        <v>0</v>
      </c>
      <c r="B23">
        <v>11000</v>
      </c>
      <c r="C23">
        <v>0</v>
      </c>
      <c r="D23">
        <v>81.11</v>
      </c>
      <c r="E23">
        <v>0</v>
      </c>
      <c r="F23">
        <v>81.11</v>
      </c>
    </row>
    <row r="24" spans="1:6" x14ac:dyDescent="0.25">
      <c r="A24">
        <v>0</v>
      </c>
      <c r="B24">
        <v>11500</v>
      </c>
      <c r="C24">
        <v>0</v>
      </c>
      <c r="D24">
        <v>84.92</v>
      </c>
      <c r="E24">
        <v>0</v>
      </c>
      <c r="F24">
        <v>84.92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28FDFA-F94F-43CC-BCAD-D0B9FC3139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8108 Regression</vt:lpstr>
      <vt:lpstr>rawdata_8108</vt:lpstr>
      <vt:lpstr>Sheet1</vt:lpstr>
      <vt:lpstr>Sheet2</vt:lpstr>
      <vt:lpstr>Sheet3</vt:lpstr>
      <vt:lpstr>rawdata_8108!_8108_1</vt:lpstr>
      <vt:lpstr>rawdata_8108!test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inshethd</dc:creator>
  <cp:lastModifiedBy>Deepa Nagarajappa</cp:lastModifiedBy>
  <dcterms:created xsi:type="dcterms:W3CDTF">2015-02-25T12:22:00Z</dcterms:created>
  <dcterms:modified xsi:type="dcterms:W3CDTF">2019-03-26T06:18:34Z</dcterms:modified>
</cp:coreProperties>
</file>