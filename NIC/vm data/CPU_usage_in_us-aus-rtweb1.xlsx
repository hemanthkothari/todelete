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\RT\vm data\"/>
    </mc:Choice>
  </mc:AlternateContent>
  <xr:revisionPtr revIDLastSave="0" documentId="8_{321C3CFE-D38C-420B-92CF-3A30ABE0A157}" xr6:coauthVersionLast="34" xr6:coauthVersionMax="34" xr10:uidLastSave="{00000000-0000-0000-0000-000000000000}"/>
  <bookViews>
    <workbookView xWindow="0" yWindow="0" windowWidth="28800" windowHeight="12225" activeTab="1"/>
  </bookViews>
  <sheets>
    <sheet name="Before Restart CPU Use" sheetId="1" r:id="rId1"/>
    <sheet name="After Restart CPU Use" sheetId="3" r:id="rId2"/>
  </sheets>
  <definedNames>
    <definedName name="_xlnm._FilterDatabase" localSheetId="1" hidden="1">'After Restart CPU Use'!$A$1:$J$86</definedName>
    <definedName name="_xlnm._FilterDatabase" localSheetId="0" hidden="1">'Before Restart CPU Use'!$A$1:$J$95</definedName>
  </definedNames>
  <calcPr calcId="0"/>
</workbook>
</file>

<file path=xl/calcChain.xml><?xml version="1.0" encoding="utf-8"?>
<calcChain xmlns="http://schemas.openxmlformats.org/spreadsheetml/2006/main">
  <c r="M1" i="1" l="1"/>
  <c r="Q11" i="1"/>
  <c r="Q15" i="1"/>
  <c r="Q13" i="1"/>
  <c r="Q9" i="1"/>
  <c r="Q7" i="1"/>
  <c r="Q5" i="1"/>
  <c r="Q3" i="1"/>
  <c r="N3" i="1"/>
  <c r="N5" i="1"/>
  <c r="N7" i="1"/>
  <c r="N9" i="1"/>
  <c r="N11" i="1"/>
  <c r="N13" i="1"/>
  <c r="N15" i="1"/>
  <c r="Q14" i="3"/>
  <c r="Q12" i="3"/>
  <c r="Q10" i="3"/>
  <c r="Q8" i="3"/>
  <c r="Q6" i="3"/>
  <c r="Q4" i="3"/>
  <c r="Q16" i="3"/>
  <c r="Q5" i="3"/>
  <c r="N16" i="3"/>
  <c r="N14" i="3"/>
  <c r="N12" i="3"/>
  <c r="N10" i="3"/>
  <c r="N8" i="3"/>
  <c r="N6" i="3"/>
  <c r="N4" i="3"/>
  <c r="M1" i="3" s="1"/>
</calcChain>
</file>

<file path=xl/sharedStrings.xml><?xml version="1.0" encoding="utf-8"?>
<sst xmlns="http://schemas.openxmlformats.org/spreadsheetml/2006/main" count="1123" uniqueCount="113">
  <si>
    <t>Image Name</t>
  </si>
  <si>
    <t>PID</t>
  </si>
  <si>
    <t>Session Name</t>
  </si>
  <si>
    <t>Session#</t>
  </si>
  <si>
    <t>Mem Usa</t>
  </si>
  <si>
    <t>ge</t>
  </si>
  <si>
    <t>Status</t>
  </si>
  <si>
    <t>CPU Time</t>
  </si>
  <si>
    <t>Window Title</t>
  </si>
  <si>
    <t>System Idle Process</t>
  </si>
  <si>
    <t>Services</t>
  </si>
  <si>
    <t>K</t>
  </si>
  <si>
    <t>Unknown</t>
  </si>
  <si>
    <t>N/A</t>
  </si>
  <si>
    <t>System</t>
  </si>
  <si>
    <t>smss.exe</t>
  </si>
  <si>
    <t>csrss.exe</t>
  </si>
  <si>
    <t>wininit.exe</t>
  </si>
  <si>
    <t>Console</t>
  </si>
  <si>
    <t>winlogon.exe</t>
  </si>
  <si>
    <t>services.exe</t>
  </si>
  <si>
    <t>lsass.exe</t>
  </si>
  <si>
    <t>lsm.exe</t>
  </si>
  <si>
    <t>svchost.exe</t>
  </si>
  <si>
    <t>vmacthlp.exe</t>
  </si>
  <si>
    <t>MsMpEng.exe</t>
  </si>
  <si>
    <t>LogonUI.exe</t>
  </si>
  <si>
    <t>spoolsv.exe</t>
  </si>
  <si>
    <t>Everything.exe</t>
  </si>
  <si>
    <t>HealthService.exe</t>
  </si>
  <si>
    <t>lkads.exe</t>
  </si>
  <si>
    <t>mfevtps.exe</t>
  </si>
  <si>
    <t>MsDepSvc.exe</t>
  </si>
  <si>
    <t>nimxs.exe</t>
  </si>
  <si>
    <t>nidmsrv.exe</t>
  </si>
  <si>
    <t>SystemWebServer.exe</t>
  </si>
  <si>
    <t>tagsrv.exe</t>
  </si>
  <si>
    <t>TSTAgentService.exe</t>
  </si>
  <si>
    <t>VGAuthService.exe</t>
  </si>
  <si>
    <t>vmtoolsd.exe</t>
  </si>
  <si>
    <t>ManagementAgentHost.exe</t>
  </si>
  <si>
    <t>WMSvc.exe</t>
  </si>
  <si>
    <t>lkcitdl.exe</t>
  </si>
  <si>
    <t>lktsrv.exe</t>
  </si>
  <si>
    <t>ApplicationWebServer.exe</t>
  </si>
  <si>
    <t>nimdnsResponder.exe</t>
  </si>
  <si>
    <t>nipxism.exe</t>
  </si>
  <si>
    <t>WmiPrvSE.exe</t>
  </si>
  <si>
    <t>niLxiDiscovery.exe</t>
  </si>
  <si>
    <t>niDiscSvc.exe</t>
  </si>
  <si>
    <t>MonitoringHost.exe</t>
  </si>
  <si>
    <t>dllhost.exe</t>
  </si>
  <si>
    <t>msdtc.exe</t>
  </si>
  <si>
    <t>conhost.exe</t>
  </si>
  <si>
    <t>CcmExec.exe</t>
  </si>
  <si>
    <t>nsrexecd.exe</t>
  </si>
  <si>
    <t>nsrpsd.exe</t>
  </si>
  <si>
    <t>taskeng.exe</t>
  </si>
  <si>
    <t>ConsolidatedReportGen.exe</t>
  </si>
  <si>
    <t>RDP-Tcp#0</t>
  </si>
  <si>
    <t>Running</t>
  </si>
  <si>
    <t>taskhost.exe</t>
  </si>
  <si>
    <t>Task Host Window</t>
  </si>
  <si>
    <t>rdpclip.exe</t>
  </si>
  <si>
    <t>dwm.exe</t>
  </si>
  <si>
    <t>DWM Notification Window</t>
  </si>
  <si>
    <t>explorer.exe</t>
  </si>
  <si>
    <t>msseces.exe</t>
  </si>
  <si>
    <t>System Center Endpoint Protection</t>
  </si>
  <si>
    <t>cmd.exe</t>
  </si>
  <si>
    <t>C:\Windows\system32\cmd.exe</t>
  </si>
  <si>
    <t>OleMainThreadWndName</t>
  </si>
  <si>
    <t>FarmerServer.exe</t>
  </si>
  <si>
    <t>FarmerServer</t>
  </si>
  <si>
    <t>Overlord.exe</t>
  </si>
  <si>
    <t>Overlord</t>
  </si>
  <si>
    <t>SyncBack.exe</t>
  </si>
  <si>
    <t>SyncBack</t>
  </si>
  <si>
    <t>TSTAgent.exe</t>
  </si>
  <si>
    <t>TSTAgent</t>
  </si>
  <si>
    <t>EVERYTHING_SERVICE_CLIENT</t>
  </si>
  <si>
    <t>mmc.exe</t>
  </si>
  <si>
    <t>OLEChannelWnd</t>
  </si>
  <si>
    <t>SCNotification.exe</t>
  </si>
  <si>
    <t>.NET-BroadcastEventWindow.4.0.0.0.265601d.0</t>
  </si>
  <si>
    <t>w3wp.exe</t>
  </si>
  <si>
    <t>python.exe</t>
  </si>
  <si>
    <t>php-cgi.exe</t>
  </si>
  <si>
    <t>Administrator: Command Prompt - tasklist  /v</t>
  </si>
  <si>
    <t>tasklist.exe</t>
  </si>
  <si>
    <t>User Name</t>
  </si>
  <si>
    <t>Total</t>
  </si>
  <si>
    <t>RAM</t>
  </si>
  <si>
    <t>CPU TIME</t>
  </si>
  <si>
    <t>Ram</t>
  </si>
  <si>
    <t>CPU time</t>
  </si>
  <si>
    <t>Session</t>
  </si>
  <si>
    <t>AMER\lvghosttask</t>
  </si>
  <si>
    <t>IIS APPPOOL\DefaultAppPool</t>
  </si>
  <si>
    <t>IIS APPPOOL\TestViewer</t>
  </si>
  <si>
    <t>NT AUTHORITY\SYSTEM</t>
  </si>
  <si>
    <t>NT AUTHORITY\LOCAL SERVICE</t>
  </si>
  <si>
    <t>NT AUTHORITY\NETWORK SERVICE</t>
  </si>
  <si>
    <t>VSSVC.exe</t>
  </si>
  <si>
    <t>WmiApSrv.exe</t>
  </si>
  <si>
    <t>TrustedInstaller.exe</t>
  </si>
  <si>
    <t>Server Manager</t>
  </si>
  <si>
    <t>vds.exe</t>
  </si>
  <si>
    <t>sppsvc.exe</t>
  </si>
  <si>
    <t>Mem Usage</t>
  </si>
  <si>
    <t>1.12 GB</t>
  </si>
  <si>
    <t>In GB</t>
  </si>
  <si>
    <t>AMOUNT OF CPU TIME USED BY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</si>
</sst>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1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6" fontId="0" fillId="0" borderId="0" xfId="0" applyNumberFormat="1"/>
    <xf numFmtId="21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4"/>
  <sheetViews>
    <sheetView workbookViewId="0">
      <selection activeCell="P2" sqref="P2"/>
    </sheetView>
  </sheetViews>
  <sheetFormatPr defaultRowHeight="15" x14ac:dyDescent="0.25"/>
  <cols>
    <col min="1" max="1" width="26.7109375" bestFit="1" customWidth="1"/>
    <col min="2" max="2" width="5" bestFit="1" customWidth="1"/>
    <col min="3" max="3" width="13.5703125" bestFit="1" customWidth="1"/>
    <col min="4" max="4" width="8.7109375" bestFit="1" customWidth="1"/>
    <col min="6" max="6" width="6.5703125" customWidth="1"/>
    <col min="7" max="7" width="9.42578125" bestFit="1" customWidth="1"/>
    <col min="8" max="8" width="29" bestFit="1" customWidth="1"/>
    <col min="9" max="9" width="9.42578125" bestFit="1" customWidth="1"/>
    <col min="10" max="10" width="43.42578125" bestFit="1" customWidth="1"/>
    <col min="12" max="12" width="31.5703125" bestFit="1" customWidth="1"/>
    <col min="13" max="13" width="8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90</v>
      </c>
      <c r="I1" t="s">
        <v>7</v>
      </c>
      <c r="J1" t="s">
        <v>8</v>
      </c>
      <c r="L1" t="s">
        <v>91</v>
      </c>
      <c r="M1">
        <f>SUM(N3:N15)</f>
        <v>1244136</v>
      </c>
      <c r="P1" t="s">
        <v>111</v>
      </c>
      <c r="Q1">
        <v>1.25</v>
      </c>
    </row>
    <row r="3" spans="1:17" x14ac:dyDescent="0.25">
      <c r="A3" t="s">
        <v>9</v>
      </c>
      <c r="B3">
        <v>0</v>
      </c>
      <c r="C3" t="s">
        <v>10</v>
      </c>
      <c r="D3">
        <v>0</v>
      </c>
      <c r="E3">
        <v>24</v>
      </c>
      <c r="F3" t="s">
        <v>11</v>
      </c>
      <c r="G3" t="s">
        <v>12</v>
      </c>
      <c r="H3" t="s">
        <v>100</v>
      </c>
      <c r="I3" s="1">
        <v>0.45167824074074076</v>
      </c>
      <c r="J3" t="s">
        <v>13</v>
      </c>
      <c r="L3" t="s">
        <v>100</v>
      </c>
      <c r="M3" t="s">
        <v>94</v>
      </c>
      <c r="N3">
        <f>SUMIF(H2:H94,"*"&amp;L3&amp;"*",E2:E94)</f>
        <v>690012</v>
      </c>
      <c r="P3" t="s">
        <v>93</v>
      </c>
      <c r="Q3" s="1">
        <f>SUMIF(H2:H94,"*"&amp;L3&amp;"*",I2:I94)</f>
        <v>0.46035879629629622</v>
      </c>
    </row>
    <row r="4" spans="1:17" x14ac:dyDescent="0.25">
      <c r="A4" t="s">
        <v>14</v>
      </c>
      <c r="B4">
        <v>4</v>
      </c>
      <c r="C4" t="s">
        <v>10</v>
      </c>
      <c r="D4">
        <v>0</v>
      </c>
      <c r="E4">
        <v>304</v>
      </c>
      <c r="F4" t="s">
        <v>11</v>
      </c>
      <c r="G4" t="s">
        <v>12</v>
      </c>
      <c r="H4" t="s">
        <v>13</v>
      </c>
      <c r="I4" s="1">
        <v>1.1111111111111111E-3</v>
      </c>
      <c r="J4" t="s">
        <v>13</v>
      </c>
      <c r="Q4" s="1"/>
    </row>
    <row r="5" spans="1:17" x14ac:dyDescent="0.25">
      <c r="A5" t="s">
        <v>15</v>
      </c>
      <c r="B5">
        <v>292</v>
      </c>
      <c r="C5" t="s">
        <v>10</v>
      </c>
      <c r="D5">
        <v>0</v>
      </c>
      <c r="E5" s="2">
        <v>1192</v>
      </c>
      <c r="F5" t="s">
        <v>11</v>
      </c>
      <c r="G5" t="s">
        <v>12</v>
      </c>
      <c r="H5" t="s">
        <v>102</v>
      </c>
      <c r="I5" s="1">
        <v>0</v>
      </c>
      <c r="J5" t="s">
        <v>13</v>
      </c>
      <c r="L5" t="s">
        <v>102</v>
      </c>
      <c r="M5" t="s">
        <v>94</v>
      </c>
      <c r="N5">
        <f>SUMIF(H2:H94,"*"&amp;L5&amp;"*",E2:E94)</f>
        <v>76380</v>
      </c>
      <c r="P5" t="s">
        <v>93</v>
      </c>
      <c r="Q5" s="1">
        <f>SUMIF(H2:H94,"*"&amp;L5&amp;"*",I2:I94)</f>
        <v>4.1666666666666666E-3</v>
      </c>
    </row>
    <row r="6" spans="1:17" x14ac:dyDescent="0.25">
      <c r="A6" t="s">
        <v>16</v>
      </c>
      <c r="B6">
        <v>380</v>
      </c>
      <c r="C6" t="s">
        <v>10</v>
      </c>
      <c r="D6">
        <v>0</v>
      </c>
      <c r="E6" s="2">
        <v>6232</v>
      </c>
      <c r="F6" t="s">
        <v>11</v>
      </c>
      <c r="G6" t="s">
        <v>12</v>
      </c>
      <c r="H6" t="s">
        <v>101</v>
      </c>
      <c r="I6" s="1">
        <v>8.1018518518518516E-5</v>
      </c>
      <c r="J6" t="s">
        <v>13</v>
      </c>
      <c r="Q6" s="1"/>
    </row>
    <row r="7" spans="1:17" x14ac:dyDescent="0.25">
      <c r="A7" t="s">
        <v>17</v>
      </c>
      <c r="B7">
        <v>420</v>
      </c>
      <c r="C7" t="s">
        <v>10</v>
      </c>
      <c r="D7">
        <v>0</v>
      </c>
      <c r="E7" s="2">
        <v>4588</v>
      </c>
      <c r="F7" t="s">
        <v>11</v>
      </c>
      <c r="G7" t="s">
        <v>12</v>
      </c>
      <c r="H7" t="s">
        <v>97</v>
      </c>
      <c r="I7" s="1">
        <v>0</v>
      </c>
      <c r="J7" t="s">
        <v>13</v>
      </c>
      <c r="L7" t="s">
        <v>101</v>
      </c>
      <c r="M7" t="s">
        <v>92</v>
      </c>
      <c r="N7">
        <f>SUMIF(H2:H94,"*"&amp;L7&amp;"*",E2:E94)</f>
        <v>72644</v>
      </c>
      <c r="P7" t="s">
        <v>93</v>
      </c>
      <c r="Q7" s="1">
        <f>SUMIF(H2:H94,"*"&amp;L7&amp;"*",I2:I94)</f>
        <v>5.0925925925925921E-4</v>
      </c>
    </row>
    <row r="8" spans="1:17" x14ac:dyDescent="0.25">
      <c r="A8" t="s">
        <v>16</v>
      </c>
      <c r="B8">
        <v>428</v>
      </c>
      <c r="C8" t="s">
        <v>18</v>
      </c>
      <c r="D8">
        <v>1</v>
      </c>
      <c r="E8" s="2">
        <v>10988</v>
      </c>
      <c r="F8" t="s">
        <v>11</v>
      </c>
      <c r="G8" t="s">
        <v>12</v>
      </c>
      <c r="H8" t="s">
        <v>98</v>
      </c>
      <c r="I8" s="1">
        <v>0</v>
      </c>
      <c r="J8" t="s">
        <v>13</v>
      </c>
      <c r="Q8" s="1"/>
    </row>
    <row r="9" spans="1:17" x14ac:dyDescent="0.25">
      <c r="A9" t="s">
        <v>19</v>
      </c>
      <c r="B9">
        <v>464</v>
      </c>
      <c r="C9" t="s">
        <v>18</v>
      </c>
      <c r="D9">
        <v>1</v>
      </c>
      <c r="E9" s="2">
        <v>4256</v>
      </c>
      <c r="F9" t="s">
        <v>11</v>
      </c>
      <c r="G9" t="s">
        <v>12</v>
      </c>
      <c r="H9" t="s">
        <v>99</v>
      </c>
      <c r="I9" s="1">
        <v>0</v>
      </c>
      <c r="J9" t="s">
        <v>13</v>
      </c>
      <c r="L9" t="s">
        <v>97</v>
      </c>
      <c r="M9" t="s">
        <v>92</v>
      </c>
      <c r="N9">
        <f>SUMIF(H2:H94,"*"&amp;L9&amp;"*",E2:E94)</f>
        <v>342012</v>
      </c>
      <c r="P9" t="s">
        <v>95</v>
      </c>
      <c r="Q9" s="1">
        <f>SUMIF(H2:H94,"*"&amp;L9&amp;"*",I2:I94)</f>
        <v>6.9444444444444447E-4</v>
      </c>
    </row>
    <row r="10" spans="1:17" x14ac:dyDescent="0.25">
      <c r="A10" t="s">
        <v>20</v>
      </c>
      <c r="B10">
        <v>524</v>
      </c>
      <c r="C10" t="s">
        <v>10</v>
      </c>
      <c r="D10">
        <v>0</v>
      </c>
      <c r="E10" s="2">
        <v>11956</v>
      </c>
      <c r="F10" t="s">
        <v>11</v>
      </c>
      <c r="G10" t="s">
        <v>12</v>
      </c>
      <c r="H10" t="s">
        <v>100</v>
      </c>
      <c r="I10" s="1">
        <v>1.0763888888888889E-3</v>
      </c>
      <c r="J10" t="s">
        <v>13</v>
      </c>
      <c r="Q10" s="1"/>
    </row>
    <row r="11" spans="1:17" x14ac:dyDescent="0.25">
      <c r="A11" t="s">
        <v>21</v>
      </c>
      <c r="B11">
        <v>532</v>
      </c>
      <c r="C11" t="s">
        <v>10</v>
      </c>
      <c r="D11">
        <v>0</v>
      </c>
      <c r="E11" s="2">
        <v>15988</v>
      </c>
      <c r="F11" t="s">
        <v>11</v>
      </c>
      <c r="G11" t="s">
        <v>12</v>
      </c>
      <c r="H11" t="s">
        <v>100</v>
      </c>
      <c r="I11" s="1">
        <v>3.9351851851851852E-4</v>
      </c>
      <c r="J11" t="s">
        <v>13</v>
      </c>
      <c r="L11" t="s">
        <v>98</v>
      </c>
      <c r="M11" t="s">
        <v>94</v>
      </c>
      <c r="N11">
        <f>SUMIF(H2:H94,"*"&amp;L11&amp;"*",E2:E94)</f>
        <v>24616</v>
      </c>
      <c r="P11" t="s">
        <v>7</v>
      </c>
      <c r="Q11" s="1">
        <f>SUMIF(H2:H94,"*"&amp;L11&amp;"*",I2:I94)</f>
        <v>0</v>
      </c>
    </row>
    <row r="12" spans="1:17" x14ac:dyDescent="0.25">
      <c r="A12" t="s">
        <v>22</v>
      </c>
      <c r="B12">
        <v>540</v>
      </c>
      <c r="C12" t="s">
        <v>10</v>
      </c>
      <c r="D12">
        <v>0</v>
      </c>
      <c r="E12" s="2">
        <v>6348</v>
      </c>
      <c r="F12" t="s">
        <v>11</v>
      </c>
      <c r="G12" t="s">
        <v>12</v>
      </c>
      <c r="H12" t="s">
        <v>100</v>
      </c>
      <c r="I12" s="1">
        <v>0</v>
      </c>
      <c r="J12" t="s">
        <v>13</v>
      </c>
      <c r="Q12" s="1"/>
    </row>
    <row r="13" spans="1:17" x14ac:dyDescent="0.25">
      <c r="A13" t="s">
        <v>23</v>
      </c>
      <c r="B13">
        <v>628</v>
      </c>
      <c r="C13" t="s">
        <v>10</v>
      </c>
      <c r="D13">
        <v>0</v>
      </c>
      <c r="E13" s="2">
        <v>10220</v>
      </c>
      <c r="F13" t="s">
        <v>11</v>
      </c>
      <c r="G13" t="s">
        <v>12</v>
      </c>
      <c r="H13" t="s">
        <v>100</v>
      </c>
      <c r="I13" s="1">
        <v>2.199074074074074E-4</v>
      </c>
      <c r="J13" t="s">
        <v>13</v>
      </c>
      <c r="L13" t="s">
        <v>99</v>
      </c>
      <c r="M13" t="s">
        <v>92</v>
      </c>
      <c r="N13">
        <f>SUMIF(H2:H94,"*"&amp;L13&amp;"*",E2:E94)</f>
        <v>38168</v>
      </c>
      <c r="P13" t="s">
        <v>7</v>
      </c>
      <c r="Q13" s="1">
        <f>SUMIF(H2:H94,"*"&amp;L13&amp;"*",I2:I94)</f>
        <v>1.3888888888888889E-4</v>
      </c>
    </row>
    <row r="14" spans="1:17" x14ac:dyDescent="0.25">
      <c r="A14" t="s">
        <v>24</v>
      </c>
      <c r="B14">
        <v>688</v>
      </c>
      <c r="C14" t="s">
        <v>10</v>
      </c>
      <c r="D14">
        <v>0</v>
      </c>
      <c r="E14" s="2">
        <v>4260</v>
      </c>
      <c r="F14" t="s">
        <v>11</v>
      </c>
      <c r="G14" t="s">
        <v>12</v>
      </c>
      <c r="H14" t="s">
        <v>100</v>
      </c>
      <c r="I14" s="1">
        <v>0</v>
      </c>
      <c r="J14" t="s">
        <v>13</v>
      </c>
    </row>
    <row r="15" spans="1:17" x14ac:dyDescent="0.25">
      <c r="A15" t="s">
        <v>23</v>
      </c>
      <c r="B15">
        <v>732</v>
      </c>
      <c r="C15" t="s">
        <v>10</v>
      </c>
      <c r="D15">
        <v>0</v>
      </c>
      <c r="E15" s="2">
        <v>9512</v>
      </c>
      <c r="F15" t="s">
        <v>11</v>
      </c>
      <c r="G15" t="s">
        <v>12</v>
      </c>
      <c r="H15" t="s">
        <v>100</v>
      </c>
      <c r="I15" s="1">
        <v>5.7870370370370366E-5</v>
      </c>
      <c r="J15" t="s">
        <v>13</v>
      </c>
      <c r="L15" t="s">
        <v>13</v>
      </c>
      <c r="M15" t="s">
        <v>92</v>
      </c>
      <c r="N15">
        <f>SUMIF(H2:H94,"*"&amp;L15&amp;"*",E2:E94)</f>
        <v>304</v>
      </c>
      <c r="P15" t="s">
        <v>7</v>
      </c>
      <c r="Q15" s="1">
        <f>SUMIF(H2:H94,"*"&amp;L15&amp;"*",I2:I94)</f>
        <v>1.1111111111111111E-3</v>
      </c>
    </row>
    <row r="16" spans="1:17" x14ac:dyDescent="0.25">
      <c r="A16" t="s">
        <v>25</v>
      </c>
      <c r="B16">
        <v>776</v>
      </c>
      <c r="C16" t="s">
        <v>10</v>
      </c>
      <c r="D16">
        <v>0</v>
      </c>
      <c r="E16" s="2">
        <v>73944</v>
      </c>
      <c r="F16" t="s">
        <v>11</v>
      </c>
      <c r="G16" t="s">
        <v>12</v>
      </c>
      <c r="H16" t="s">
        <v>100</v>
      </c>
      <c r="I16" s="1">
        <v>1.0185185185185186E-3</v>
      </c>
      <c r="J16" t="s">
        <v>13</v>
      </c>
    </row>
    <row r="17" spans="1:18" x14ac:dyDescent="0.25">
      <c r="A17" t="s">
        <v>26</v>
      </c>
      <c r="B17">
        <v>816</v>
      </c>
      <c r="C17" t="s">
        <v>18</v>
      </c>
      <c r="D17">
        <v>1</v>
      </c>
      <c r="E17" s="2">
        <v>19780</v>
      </c>
      <c r="F17" t="s">
        <v>11</v>
      </c>
      <c r="G17" t="s">
        <v>12</v>
      </c>
      <c r="H17" t="s">
        <v>100</v>
      </c>
      <c r="I17" s="1">
        <v>0</v>
      </c>
      <c r="J17" t="s">
        <v>13</v>
      </c>
      <c r="N17" s="2"/>
      <c r="O17" s="2"/>
    </row>
    <row r="18" spans="1:18" x14ac:dyDescent="0.25">
      <c r="A18" t="s">
        <v>23</v>
      </c>
      <c r="B18">
        <v>920</v>
      </c>
      <c r="C18" t="s">
        <v>10</v>
      </c>
      <c r="D18">
        <v>0</v>
      </c>
      <c r="E18" s="2">
        <v>17240</v>
      </c>
      <c r="F18" t="s">
        <v>11</v>
      </c>
      <c r="G18" t="s">
        <v>12</v>
      </c>
      <c r="H18" t="s">
        <v>100</v>
      </c>
      <c r="I18" s="1">
        <v>1.8518518518518518E-4</v>
      </c>
      <c r="J18" t="s">
        <v>13</v>
      </c>
    </row>
    <row r="19" spans="1:18" x14ac:dyDescent="0.25">
      <c r="A19" t="s">
        <v>23</v>
      </c>
      <c r="B19">
        <v>956</v>
      </c>
      <c r="C19" t="s">
        <v>10</v>
      </c>
      <c r="D19">
        <v>0</v>
      </c>
      <c r="E19" s="2">
        <v>56356</v>
      </c>
      <c r="F19" t="s">
        <v>11</v>
      </c>
      <c r="G19" t="s">
        <v>12</v>
      </c>
      <c r="H19" t="s">
        <v>100</v>
      </c>
      <c r="I19" s="1">
        <v>2.0949074074074073E-3</v>
      </c>
      <c r="J19" t="s">
        <v>13</v>
      </c>
    </row>
    <row r="20" spans="1:18" x14ac:dyDescent="0.25">
      <c r="A20" t="s">
        <v>23</v>
      </c>
      <c r="B20">
        <v>260</v>
      </c>
      <c r="C20" t="s">
        <v>10</v>
      </c>
      <c r="D20">
        <v>0</v>
      </c>
      <c r="E20" s="2">
        <v>15384</v>
      </c>
      <c r="F20" t="s">
        <v>11</v>
      </c>
      <c r="G20" t="s">
        <v>12</v>
      </c>
      <c r="H20" t="s">
        <v>100</v>
      </c>
      <c r="I20" s="1">
        <v>2.3148148148148147E-5</v>
      </c>
      <c r="J20" t="s">
        <v>13</v>
      </c>
    </row>
    <row r="21" spans="1:18" x14ac:dyDescent="0.25">
      <c r="A21" t="s">
        <v>23</v>
      </c>
      <c r="B21">
        <v>364</v>
      </c>
      <c r="C21" t="s">
        <v>10</v>
      </c>
      <c r="D21">
        <v>0</v>
      </c>
      <c r="E21" s="2">
        <v>10976</v>
      </c>
      <c r="F21" t="s">
        <v>11</v>
      </c>
      <c r="G21" t="s">
        <v>12</v>
      </c>
      <c r="H21" t="s">
        <v>100</v>
      </c>
      <c r="I21" s="1">
        <v>0</v>
      </c>
      <c r="J21" t="s">
        <v>13</v>
      </c>
    </row>
    <row r="22" spans="1:18" x14ac:dyDescent="0.25">
      <c r="A22" t="s">
        <v>23</v>
      </c>
      <c r="B22">
        <v>584</v>
      </c>
      <c r="C22" t="s">
        <v>10</v>
      </c>
      <c r="D22">
        <v>0</v>
      </c>
      <c r="E22" s="2">
        <v>18156</v>
      </c>
      <c r="F22" t="s">
        <v>11</v>
      </c>
      <c r="G22" t="s">
        <v>12</v>
      </c>
      <c r="H22" t="s">
        <v>100</v>
      </c>
      <c r="I22" s="1">
        <v>2.3148148148148147E-5</v>
      </c>
      <c r="J22" t="s">
        <v>13</v>
      </c>
    </row>
    <row r="23" spans="1:18" x14ac:dyDescent="0.25">
      <c r="A23" t="s">
        <v>23</v>
      </c>
      <c r="B23">
        <v>1084</v>
      </c>
      <c r="C23" t="s">
        <v>10</v>
      </c>
      <c r="D23">
        <v>0</v>
      </c>
      <c r="E23" s="2">
        <v>12556</v>
      </c>
      <c r="F23" t="s">
        <v>11</v>
      </c>
      <c r="G23" t="s">
        <v>12</v>
      </c>
      <c r="H23" t="s">
        <v>101</v>
      </c>
      <c r="I23" s="1">
        <v>1.1574074074074073E-5</v>
      </c>
      <c r="J23" t="s">
        <v>13</v>
      </c>
    </row>
    <row r="24" spans="1:18" x14ac:dyDescent="0.25">
      <c r="A24" t="s">
        <v>27</v>
      </c>
      <c r="B24">
        <v>1236</v>
      </c>
      <c r="C24" t="s">
        <v>10</v>
      </c>
      <c r="D24">
        <v>0</v>
      </c>
      <c r="E24" s="2">
        <v>12836</v>
      </c>
      <c r="F24" t="s">
        <v>11</v>
      </c>
      <c r="G24" t="s">
        <v>12</v>
      </c>
      <c r="H24" t="s">
        <v>100</v>
      </c>
      <c r="I24" s="1">
        <v>0</v>
      </c>
      <c r="J24" t="s">
        <v>13</v>
      </c>
      <c r="R24" s="5"/>
    </row>
    <row r="25" spans="1:18" x14ac:dyDescent="0.25">
      <c r="A25" t="s">
        <v>23</v>
      </c>
      <c r="B25">
        <v>1300</v>
      </c>
      <c r="C25" t="s">
        <v>10</v>
      </c>
      <c r="D25">
        <v>0</v>
      </c>
      <c r="E25" s="2">
        <v>9796</v>
      </c>
      <c r="F25" t="s">
        <v>11</v>
      </c>
      <c r="G25" t="s">
        <v>12</v>
      </c>
      <c r="H25" t="s">
        <v>102</v>
      </c>
      <c r="I25" s="1">
        <v>0</v>
      </c>
      <c r="J25" t="s">
        <v>13</v>
      </c>
    </row>
    <row r="26" spans="1:18" x14ac:dyDescent="0.25">
      <c r="A26" t="s">
        <v>23</v>
      </c>
      <c r="B26">
        <v>1340</v>
      </c>
      <c r="C26" t="s">
        <v>10</v>
      </c>
      <c r="D26">
        <v>0</v>
      </c>
      <c r="E26" s="2">
        <v>6904</v>
      </c>
      <c r="F26" t="s">
        <v>11</v>
      </c>
      <c r="G26" t="s">
        <v>12</v>
      </c>
      <c r="H26" t="s">
        <v>101</v>
      </c>
      <c r="I26" s="1">
        <v>0</v>
      </c>
      <c r="J26" t="s">
        <v>13</v>
      </c>
      <c r="N26" s="2"/>
      <c r="O26" s="2"/>
      <c r="R26" s="5"/>
    </row>
    <row r="27" spans="1:18" x14ac:dyDescent="0.25">
      <c r="A27" t="s">
        <v>28</v>
      </c>
      <c r="B27">
        <v>1380</v>
      </c>
      <c r="C27" t="s">
        <v>10</v>
      </c>
      <c r="D27">
        <v>0</v>
      </c>
      <c r="E27" s="2">
        <v>4728</v>
      </c>
      <c r="F27" t="s">
        <v>11</v>
      </c>
      <c r="G27" t="s">
        <v>12</v>
      </c>
      <c r="H27" t="s">
        <v>100</v>
      </c>
      <c r="I27" s="1">
        <v>3.4722222222222222E-5</v>
      </c>
      <c r="J27" t="s">
        <v>13</v>
      </c>
    </row>
    <row r="28" spans="1:18" x14ac:dyDescent="0.25">
      <c r="A28" t="s">
        <v>29</v>
      </c>
      <c r="B28">
        <v>1480</v>
      </c>
      <c r="C28" t="s">
        <v>10</v>
      </c>
      <c r="D28">
        <v>0</v>
      </c>
      <c r="E28" s="2">
        <v>13648</v>
      </c>
      <c r="F28" t="s">
        <v>11</v>
      </c>
      <c r="G28" t="s">
        <v>12</v>
      </c>
      <c r="H28" t="s">
        <v>100</v>
      </c>
      <c r="I28" s="1">
        <v>1.273148148148148E-4</v>
      </c>
      <c r="J28" t="s">
        <v>13</v>
      </c>
      <c r="N28" s="2"/>
      <c r="O28" s="2"/>
      <c r="R28" s="5"/>
    </row>
    <row r="29" spans="1:18" x14ac:dyDescent="0.25">
      <c r="A29" t="s">
        <v>30</v>
      </c>
      <c r="B29">
        <v>1544</v>
      </c>
      <c r="C29" t="s">
        <v>10</v>
      </c>
      <c r="D29">
        <v>0</v>
      </c>
      <c r="E29" s="2">
        <v>8040</v>
      </c>
      <c r="F29" t="s">
        <v>11</v>
      </c>
      <c r="G29" t="s">
        <v>12</v>
      </c>
      <c r="H29" t="s">
        <v>100</v>
      </c>
      <c r="I29" s="1">
        <v>0</v>
      </c>
      <c r="J29" t="s">
        <v>13</v>
      </c>
    </row>
    <row r="30" spans="1:18" x14ac:dyDescent="0.25">
      <c r="A30" t="s">
        <v>31</v>
      </c>
      <c r="B30">
        <v>1688</v>
      </c>
      <c r="C30" t="s">
        <v>10</v>
      </c>
      <c r="D30">
        <v>0</v>
      </c>
      <c r="E30" s="2">
        <v>8492</v>
      </c>
      <c r="F30" t="s">
        <v>11</v>
      </c>
      <c r="G30" t="s">
        <v>12</v>
      </c>
      <c r="H30" t="s">
        <v>100</v>
      </c>
      <c r="I30" s="1">
        <v>2.3148148148148147E-5</v>
      </c>
      <c r="J30" t="s">
        <v>13</v>
      </c>
      <c r="N30" s="2"/>
      <c r="O30" s="2"/>
      <c r="R30" s="5"/>
    </row>
    <row r="31" spans="1:18" x14ac:dyDescent="0.25">
      <c r="A31" t="s">
        <v>32</v>
      </c>
      <c r="B31">
        <v>1728</v>
      </c>
      <c r="C31" t="s">
        <v>10</v>
      </c>
      <c r="D31">
        <v>0</v>
      </c>
      <c r="E31" s="2">
        <v>24924</v>
      </c>
      <c r="F31" t="s">
        <v>11</v>
      </c>
      <c r="G31" t="s">
        <v>12</v>
      </c>
      <c r="H31" t="s">
        <v>100</v>
      </c>
      <c r="I31" s="1">
        <v>2.3148148148148147E-5</v>
      </c>
      <c r="J31" t="s">
        <v>13</v>
      </c>
    </row>
    <row r="32" spans="1:18" x14ac:dyDescent="0.25">
      <c r="A32" t="s">
        <v>33</v>
      </c>
      <c r="B32">
        <v>1848</v>
      </c>
      <c r="C32" t="s">
        <v>10</v>
      </c>
      <c r="D32">
        <v>0</v>
      </c>
      <c r="E32" s="2">
        <v>9856</v>
      </c>
      <c r="F32" t="s">
        <v>11</v>
      </c>
      <c r="G32" t="s">
        <v>12</v>
      </c>
      <c r="H32" t="s">
        <v>100</v>
      </c>
      <c r="I32" s="1">
        <v>0</v>
      </c>
      <c r="J32" t="s">
        <v>13</v>
      </c>
      <c r="N32" s="2"/>
      <c r="O32" s="2"/>
      <c r="R32" s="5"/>
    </row>
    <row r="33" spans="1:18" x14ac:dyDescent="0.25">
      <c r="A33" t="s">
        <v>34</v>
      </c>
      <c r="B33">
        <v>1872</v>
      </c>
      <c r="C33" t="s">
        <v>10</v>
      </c>
      <c r="D33">
        <v>0</v>
      </c>
      <c r="E33" s="2">
        <v>8264</v>
      </c>
      <c r="F33" t="s">
        <v>11</v>
      </c>
      <c r="G33" t="s">
        <v>12</v>
      </c>
      <c r="H33" t="s">
        <v>100</v>
      </c>
      <c r="I33" s="1">
        <v>0</v>
      </c>
      <c r="J33" t="s">
        <v>13</v>
      </c>
    </row>
    <row r="34" spans="1:18" x14ac:dyDescent="0.25">
      <c r="A34" t="s">
        <v>35</v>
      </c>
      <c r="B34">
        <v>1964</v>
      </c>
      <c r="C34" t="s">
        <v>10</v>
      </c>
      <c r="D34">
        <v>0</v>
      </c>
      <c r="E34" s="2">
        <v>10508</v>
      </c>
      <c r="F34" t="s">
        <v>11</v>
      </c>
      <c r="G34" t="s">
        <v>12</v>
      </c>
      <c r="H34" t="s">
        <v>102</v>
      </c>
      <c r="I34" s="1">
        <v>1.1574074074074073E-4</v>
      </c>
      <c r="J34" t="s">
        <v>13</v>
      </c>
      <c r="N34" s="2"/>
      <c r="O34" s="2"/>
      <c r="R34" s="5"/>
    </row>
    <row r="35" spans="1:18" x14ac:dyDescent="0.25">
      <c r="A35" t="s">
        <v>36</v>
      </c>
      <c r="B35">
        <v>1988</v>
      </c>
      <c r="C35" t="s">
        <v>10</v>
      </c>
      <c r="D35">
        <v>0</v>
      </c>
      <c r="E35" s="2">
        <v>17584</v>
      </c>
      <c r="F35" t="s">
        <v>11</v>
      </c>
      <c r="G35" t="s">
        <v>12</v>
      </c>
      <c r="H35" t="s">
        <v>100</v>
      </c>
      <c r="I35" s="1">
        <v>0</v>
      </c>
      <c r="J35" t="s">
        <v>13</v>
      </c>
    </row>
    <row r="36" spans="1:18" x14ac:dyDescent="0.25">
      <c r="A36" t="s">
        <v>23</v>
      </c>
      <c r="B36">
        <v>1036</v>
      </c>
      <c r="C36" t="s">
        <v>10</v>
      </c>
      <c r="D36">
        <v>0</v>
      </c>
      <c r="E36" s="2">
        <v>3256</v>
      </c>
      <c r="F36" t="s">
        <v>11</v>
      </c>
      <c r="G36" t="s">
        <v>12</v>
      </c>
      <c r="H36" t="s">
        <v>100</v>
      </c>
      <c r="I36" s="1">
        <v>0</v>
      </c>
      <c r="J36" t="s">
        <v>13</v>
      </c>
      <c r="R36" s="1"/>
    </row>
    <row r="37" spans="1:18" x14ac:dyDescent="0.25">
      <c r="A37" t="s">
        <v>37</v>
      </c>
      <c r="B37">
        <v>1572</v>
      </c>
      <c r="C37" t="s">
        <v>10</v>
      </c>
      <c r="D37">
        <v>0</v>
      </c>
      <c r="E37" s="2">
        <v>3848</v>
      </c>
      <c r="F37" t="s">
        <v>11</v>
      </c>
      <c r="G37" t="s">
        <v>12</v>
      </c>
      <c r="H37" t="s">
        <v>100</v>
      </c>
      <c r="I37" s="1">
        <v>0</v>
      </c>
      <c r="J37" t="s">
        <v>13</v>
      </c>
    </row>
    <row r="38" spans="1:18" x14ac:dyDescent="0.25">
      <c r="A38" t="s">
        <v>38</v>
      </c>
      <c r="B38">
        <v>1644</v>
      </c>
      <c r="C38" t="s">
        <v>10</v>
      </c>
      <c r="D38">
        <v>0</v>
      </c>
      <c r="E38" s="2">
        <v>10520</v>
      </c>
      <c r="F38" t="s">
        <v>11</v>
      </c>
      <c r="G38" t="s">
        <v>12</v>
      </c>
      <c r="H38" t="s">
        <v>100</v>
      </c>
      <c r="I38" s="1">
        <v>0</v>
      </c>
      <c r="J38" t="s">
        <v>13</v>
      </c>
    </row>
    <row r="39" spans="1:18" x14ac:dyDescent="0.25">
      <c r="A39" t="s">
        <v>39</v>
      </c>
      <c r="B39">
        <v>1176</v>
      </c>
      <c r="C39" t="s">
        <v>10</v>
      </c>
      <c r="D39">
        <v>0</v>
      </c>
      <c r="E39" s="2">
        <v>21524</v>
      </c>
      <c r="F39" t="s">
        <v>11</v>
      </c>
      <c r="G39" t="s">
        <v>12</v>
      </c>
      <c r="H39" t="s">
        <v>101</v>
      </c>
      <c r="I39" s="1">
        <v>3.0092592592592595E-4</v>
      </c>
      <c r="J39" t="s">
        <v>13</v>
      </c>
    </row>
    <row r="40" spans="1:18" x14ac:dyDescent="0.25">
      <c r="A40" t="s">
        <v>40</v>
      </c>
      <c r="B40">
        <v>2076</v>
      </c>
      <c r="C40" t="s">
        <v>10</v>
      </c>
      <c r="D40">
        <v>0</v>
      </c>
      <c r="E40" s="2">
        <v>9252</v>
      </c>
      <c r="F40" t="s">
        <v>11</v>
      </c>
      <c r="G40" t="s">
        <v>12</v>
      </c>
      <c r="H40" t="s">
        <v>100</v>
      </c>
      <c r="I40" s="1">
        <v>2.3148148148148147E-5</v>
      </c>
      <c r="J40" t="s">
        <v>13</v>
      </c>
    </row>
    <row r="41" spans="1:18" x14ac:dyDescent="0.25">
      <c r="A41" t="s">
        <v>23</v>
      </c>
      <c r="B41">
        <v>2160</v>
      </c>
      <c r="C41" t="s">
        <v>10</v>
      </c>
      <c r="D41">
        <v>0</v>
      </c>
      <c r="E41" s="2">
        <v>12116</v>
      </c>
      <c r="F41" t="s">
        <v>11</v>
      </c>
      <c r="G41" t="s">
        <v>12</v>
      </c>
      <c r="H41" t="s">
        <v>100</v>
      </c>
      <c r="I41" s="1">
        <v>0</v>
      </c>
      <c r="J41" t="s">
        <v>13</v>
      </c>
    </row>
    <row r="42" spans="1:18" x14ac:dyDescent="0.25">
      <c r="A42" t="s">
        <v>41</v>
      </c>
      <c r="B42">
        <v>2196</v>
      </c>
      <c r="C42" t="s">
        <v>10</v>
      </c>
      <c r="D42">
        <v>0</v>
      </c>
      <c r="E42" s="2">
        <v>24776</v>
      </c>
      <c r="F42" t="s">
        <v>11</v>
      </c>
      <c r="G42" t="s">
        <v>12</v>
      </c>
      <c r="H42" t="s">
        <v>100</v>
      </c>
      <c r="I42" s="1">
        <v>0</v>
      </c>
      <c r="J42" t="s">
        <v>13</v>
      </c>
    </row>
    <row r="43" spans="1:18" x14ac:dyDescent="0.25">
      <c r="A43" t="s">
        <v>42</v>
      </c>
      <c r="B43">
        <v>2244</v>
      </c>
      <c r="C43" t="s">
        <v>10</v>
      </c>
      <c r="D43">
        <v>0</v>
      </c>
      <c r="E43" s="2">
        <v>8996</v>
      </c>
      <c r="F43" t="s">
        <v>11</v>
      </c>
      <c r="G43" t="s">
        <v>12</v>
      </c>
      <c r="H43" t="s">
        <v>100</v>
      </c>
      <c r="I43" s="1">
        <v>0</v>
      </c>
      <c r="J43" t="s">
        <v>13</v>
      </c>
    </row>
    <row r="44" spans="1:18" x14ac:dyDescent="0.25">
      <c r="A44" t="s">
        <v>43</v>
      </c>
      <c r="B44">
        <v>2324</v>
      </c>
      <c r="C44" t="s">
        <v>10</v>
      </c>
      <c r="D44">
        <v>0</v>
      </c>
      <c r="E44" s="2">
        <v>8316</v>
      </c>
      <c r="F44" t="s">
        <v>11</v>
      </c>
      <c r="G44" t="s">
        <v>12</v>
      </c>
      <c r="H44" t="s">
        <v>100</v>
      </c>
      <c r="I44" s="1">
        <v>0</v>
      </c>
      <c r="J44" t="s">
        <v>13</v>
      </c>
    </row>
    <row r="45" spans="1:18" x14ac:dyDescent="0.25">
      <c r="A45" t="s">
        <v>44</v>
      </c>
      <c r="B45">
        <v>2696</v>
      </c>
      <c r="C45" t="s">
        <v>10</v>
      </c>
      <c r="D45">
        <v>0</v>
      </c>
      <c r="E45" s="2">
        <v>6984</v>
      </c>
      <c r="F45" t="s">
        <v>11</v>
      </c>
      <c r="G45" t="s">
        <v>12</v>
      </c>
      <c r="H45" t="s">
        <v>101</v>
      </c>
      <c r="I45" s="1">
        <v>1.1574074074074073E-4</v>
      </c>
      <c r="J45" t="s">
        <v>13</v>
      </c>
    </row>
    <row r="46" spans="1:18" x14ac:dyDescent="0.25">
      <c r="A46" t="s">
        <v>45</v>
      </c>
      <c r="B46">
        <v>2724</v>
      </c>
      <c r="C46" t="s">
        <v>10</v>
      </c>
      <c r="D46">
        <v>0</v>
      </c>
      <c r="E46" s="2">
        <v>6348</v>
      </c>
      <c r="F46" t="s">
        <v>11</v>
      </c>
      <c r="G46" t="s">
        <v>12</v>
      </c>
      <c r="H46" t="s">
        <v>100</v>
      </c>
      <c r="I46" s="1">
        <v>0</v>
      </c>
      <c r="J46" t="s">
        <v>13</v>
      </c>
    </row>
    <row r="47" spans="1:18" x14ac:dyDescent="0.25">
      <c r="A47" t="s">
        <v>46</v>
      </c>
      <c r="B47">
        <v>2764</v>
      </c>
      <c r="C47" t="s">
        <v>10</v>
      </c>
      <c r="D47">
        <v>0</v>
      </c>
      <c r="E47" s="2">
        <v>9536</v>
      </c>
      <c r="F47" t="s">
        <v>11</v>
      </c>
      <c r="G47" t="s">
        <v>12</v>
      </c>
      <c r="H47" t="s">
        <v>100</v>
      </c>
      <c r="I47" s="1">
        <v>0</v>
      </c>
      <c r="J47" t="s">
        <v>13</v>
      </c>
    </row>
    <row r="48" spans="1:18" x14ac:dyDescent="0.25">
      <c r="A48" t="s">
        <v>47</v>
      </c>
      <c r="B48">
        <v>2876</v>
      </c>
      <c r="C48" t="s">
        <v>10</v>
      </c>
      <c r="D48">
        <v>0</v>
      </c>
      <c r="E48" s="2">
        <v>19148</v>
      </c>
      <c r="F48" t="s">
        <v>11</v>
      </c>
      <c r="G48" t="s">
        <v>12</v>
      </c>
      <c r="H48" t="s">
        <v>100</v>
      </c>
      <c r="I48" s="1">
        <v>2.1759259259259258E-3</v>
      </c>
      <c r="J48" t="s">
        <v>13</v>
      </c>
    </row>
    <row r="49" spans="1:10" x14ac:dyDescent="0.25">
      <c r="A49" t="s">
        <v>48</v>
      </c>
      <c r="B49">
        <v>2956</v>
      </c>
      <c r="C49" t="s">
        <v>10</v>
      </c>
      <c r="D49">
        <v>0</v>
      </c>
      <c r="E49" s="2">
        <v>5832</v>
      </c>
      <c r="F49" t="s">
        <v>11</v>
      </c>
      <c r="G49" t="s">
        <v>12</v>
      </c>
      <c r="H49" t="s">
        <v>100</v>
      </c>
      <c r="I49" s="1">
        <v>0</v>
      </c>
      <c r="J49" t="s">
        <v>13</v>
      </c>
    </row>
    <row r="50" spans="1:10" x14ac:dyDescent="0.25">
      <c r="A50" t="s">
        <v>49</v>
      </c>
      <c r="B50">
        <v>2984</v>
      </c>
      <c r="C50" t="s">
        <v>10</v>
      </c>
      <c r="D50">
        <v>0</v>
      </c>
      <c r="E50" s="2">
        <v>5612</v>
      </c>
      <c r="F50" t="s">
        <v>11</v>
      </c>
      <c r="G50" t="s">
        <v>12</v>
      </c>
      <c r="H50" t="s">
        <v>100</v>
      </c>
      <c r="I50" s="1">
        <v>0</v>
      </c>
      <c r="J50" t="s">
        <v>13</v>
      </c>
    </row>
    <row r="51" spans="1:10" x14ac:dyDescent="0.25">
      <c r="A51" t="s">
        <v>47</v>
      </c>
      <c r="B51">
        <v>2420</v>
      </c>
      <c r="C51" t="s">
        <v>10</v>
      </c>
      <c r="D51">
        <v>0</v>
      </c>
      <c r="E51" s="2">
        <v>30748</v>
      </c>
      <c r="F51" t="s">
        <v>11</v>
      </c>
      <c r="G51" t="s">
        <v>12</v>
      </c>
      <c r="H51" t="s">
        <v>102</v>
      </c>
      <c r="I51" s="1">
        <v>4.0046296296296297E-3</v>
      </c>
      <c r="J51" t="s">
        <v>13</v>
      </c>
    </row>
    <row r="52" spans="1:10" x14ac:dyDescent="0.25">
      <c r="A52" t="s">
        <v>50</v>
      </c>
      <c r="B52">
        <v>3124</v>
      </c>
      <c r="C52" t="s">
        <v>10</v>
      </c>
      <c r="D52">
        <v>0</v>
      </c>
      <c r="E52" s="2">
        <v>17620</v>
      </c>
      <c r="F52" t="s">
        <v>11</v>
      </c>
      <c r="G52" t="s">
        <v>12</v>
      </c>
      <c r="H52" t="s">
        <v>100</v>
      </c>
      <c r="I52" s="1">
        <v>1.273148148148148E-4</v>
      </c>
      <c r="J52" t="s">
        <v>13</v>
      </c>
    </row>
    <row r="53" spans="1:10" x14ac:dyDescent="0.25">
      <c r="A53" t="s">
        <v>50</v>
      </c>
      <c r="B53">
        <v>3300</v>
      </c>
      <c r="C53" t="s">
        <v>10</v>
      </c>
      <c r="D53">
        <v>0</v>
      </c>
      <c r="E53" s="2">
        <v>7496</v>
      </c>
      <c r="F53" t="s">
        <v>11</v>
      </c>
      <c r="G53" t="s">
        <v>12</v>
      </c>
      <c r="H53" t="s">
        <v>100</v>
      </c>
      <c r="I53" s="1">
        <v>5.7870370370370366E-5</v>
      </c>
      <c r="J53" t="s">
        <v>13</v>
      </c>
    </row>
    <row r="54" spans="1:10" x14ac:dyDescent="0.25">
      <c r="A54" t="s">
        <v>23</v>
      </c>
      <c r="B54">
        <v>3592</v>
      </c>
      <c r="C54" t="s">
        <v>10</v>
      </c>
      <c r="D54">
        <v>0</v>
      </c>
      <c r="E54" s="2">
        <v>8548</v>
      </c>
      <c r="F54" t="s">
        <v>11</v>
      </c>
      <c r="G54" t="s">
        <v>12</v>
      </c>
      <c r="H54" t="s">
        <v>100</v>
      </c>
      <c r="I54" s="1">
        <v>0</v>
      </c>
      <c r="J54" t="s">
        <v>13</v>
      </c>
    </row>
    <row r="55" spans="1:10" x14ac:dyDescent="0.25">
      <c r="A55" t="s">
        <v>23</v>
      </c>
      <c r="B55">
        <v>3660</v>
      </c>
      <c r="C55" t="s">
        <v>10</v>
      </c>
      <c r="D55">
        <v>0</v>
      </c>
      <c r="E55" s="2">
        <v>5692</v>
      </c>
      <c r="F55" t="s">
        <v>11</v>
      </c>
      <c r="G55" t="s">
        <v>12</v>
      </c>
      <c r="H55" t="s">
        <v>100</v>
      </c>
      <c r="I55" s="1">
        <v>0</v>
      </c>
      <c r="J55" t="s">
        <v>13</v>
      </c>
    </row>
    <row r="56" spans="1:10" x14ac:dyDescent="0.25">
      <c r="A56" t="s">
        <v>51</v>
      </c>
      <c r="B56">
        <v>3252</v>
      </c>
      <c r="C56" t="s">
        <v>10</v>
      </c>
      <c r="D56">
        <v>0</v>
      </c>
      <c r="E56" s="2">
        <v>12048</v>
      </c>
      <c r="F56" t="s">
        <v>11</v>
      </c>
      <c r="G56" t="s">
        <v>12</v>
      </c>
      <c r="H56" t="s">
        <v>100</v>
      </c>
      <c r="I56" s="1">
        <v>0</v>
      </c>
      <c r="J56" t="s">
        <v>13</v>
      </c>
    </row>
    <row r="57" spans="1:10" x14ac:dyDescent="0.25">
      <c r="A57" t="s">
        <v>52</v>
      </c>
      <c r="B57">
        <v>336</v>
      </c>
      <c r="C57" t="s">
        <v>10</v>
      </c>
      <c r="D57">
        <v>0</v>
      </c>
      <c r="E57" s="2">
        <v>7992</v>
      </c>
      <c r="F57" t="s">
        <v>11</v>
      </c>
      <c r="G57" t="s">
        <v>12</v>
      </c>
      <c r="H57" t="s">
        <v>102</v>
      </c>
      <c r="I57" s="1">
        <v>0</v>
      </c>
      <c r="J57" t="s">
        <v>13</v>
      </c>
    </row>
    <row r="58" spans="1:10" x14ac:dyDescent="0.25">
      <c r="A58" t="s">
        <v>53</v>
      </c>
      <c r="B58">
        <v>1812</v>
      </c>
      <c r="C58" t="s">
        <v>10</v>
      </c>
      <c r="D58">
        <v>0</v>
      </c>
      <c r="E58" s="2">
        <v>2980</v>
      </c>
      <c r="F58" t="s">
        <v>11</v>
      </c>
      <c r="G58" t="s">
        <v>12</v>
      </c>
      <c r="H58" t="s">
        <v>102</v>
      </c>
      <c r="I58" s="1">
        <v>0</v>
      </c>
      <c r="J58" t="s">
        <v>13</v>
      </c>
    </row>
    <row r="59" spans="1:10" x14ac:dyDescent="0.25">
      <c r="A59" t="s">
        <v>54</v>
      </c>
      <c r="B59">
        <v>3768</v>
      </c>
      <c r="C59" t="s">
        <v>10</v>
      </c>
      <c r="D59">
        <v>0</v>
      </c>
      <c r="E59" s="2">
        <v>60576</v>
      </c>
      <c r="F59" t="s">
        <v>11</v>
      </c>
      <c r="G59" t="s">
        <v>12</v>
      </c>
      <c r="H59" t="s">
        <v>100</v>
      </c>
      <c r="I59" s="1">
        <v>9.1435185185185185E-4</v>
      </c>
      <c r="J59" t="s">
        <v>13</v>
      </c>
    </row>
    <row r="60" spans="1:10" x14ac:dyDescent="0.25">
      <c r="A60" t="s">
        <v>47</v>
      </c>
      <c r="B60">
        <v>4504</v>
      </c>
      <c r="C60" t="s">
        <v>10</v>
      </c>
      <c r="D60">
        <v>0</v>
      </c>
      <c r="E60" s="2">
        <v>13164</v>
      </c>
      <c r="F60" t="s">
        <v>11</v>
      </c>
      <c r="G60" t="s">
        <v>12</v>
      </c>
      <c r="H60" t="s">
        <v>102</v>
      </c>
      <c r="I60" s="1">
        <v>4.6296296296296294E-5</v>
      </c>
      <c r="J60" t="s">
        <v>13</v>
      </c>
    </row>
    <row r="61" spans="1:10" x14ac:dyDescent="0.25">
      <c r="A61" t="s">
        <v>55</v>
      </c>
      <c r="B61">
        <v>1960</v>
      </c>
      <c r="C61" t="s">
        <v>10</v>
      </c>
      <c r="D61">
        <v>0</v>
      </c>
      <c r="E61" s="2">
        <v>14108</v>
      </c>
      <c r="F61" t="s">
        <v>11</v>
      </c>
      <c r="G61" t="s">
        <v>12</v>
      </c>
      <c r="H61" t="s">
        <v>100</v>
      </c>
      <c r="I61" s="1">
        <v>5.7870370370370366E-5</v>
      </c>
      <c r="J61" t="s">
        <v>13</v>
      </c>
    </row>
    <row r="62" spans="1:10" x14ac:dyDescent="0.25">
      <c r="A62" t="s">
        <v>47</v>
      </c>
      <c r="B62">
        <v>4836</v>
      </c>
      <c r="C62" t="s">
        <v>10</v>
      </c>
      <c r="D62">
        <v>0</v>
      </c>
      <c r="E62" s="2">
        <v>6676</v>
      </c>
      <c r="F62" t="s">
        <v>11</v>
      </c>
      <c r="G62" t="s">
        <v>12</v>
      </c>
      <c r="H62" t="s">
        <v>100</v>
      </c>
      <c r="I62" s="1">
        <v>0</v>
      </c>
      <c r="J62" t="s">
        <v>13</v>
      </c>
    </row>
    <row r="63" spans="1:10" x14ac:dyDescent="0.25">
      <c r="A63" t="s">
        <v>47</v>
      </c>
      <c r="B63">
        <v>3400</v>
      </c>
      <c r="C63" t="s">
        <v>10</v>
      </c>
      <c r="D63">
        <v>0</v>
      </c>
      <c r="E63" s="2">
        <v>11300</v>
      </c>
      <c r="F63" t="s">
        <v>11</v>
      </c>
      <c r="G63" t="s">
        <v>12</v>
      </c>
      <c r="H63" t="s">
        <v>100</v>
      </c>
      <c r="I63" s="1">
        <v>2.3148148148148147E-5</v>
      </c>
      <c r="J63" t="s">
        <v>13</v>
      </c>
    </row>
    <row r="64" spans="1:10" x14ac:dyDescent="0.25">
      <c r="A64" t="s">
        <v>56</v>
      </c>
      <c r="B64">
        <v>2312</v>
      </c>
      <c r="C64" t="s">
        <v>10</v>
      </c>
      <c r="D64">
        <v>0</v>
      </c>
      <c r="E64" s="2">
        <v>12816</v>
      </c>
      <c r="F64" t="s">
        <v>11</v>
      </c>
      <c r="G64" t="s">
        <v>12</v>
      </c>
      <c r="H64" t="s">
        <v>100</v>
      </c>
      <c r="I64" s="1">
        <v>0</v>
      </c>
      <c r="J64" t="s">
        <v>13</v>
      </c>
    </row>
    <row r="65" spans="1:10" x14ac:dyDescent="0.25">
      <c r="A65" t="s">
        <v>57</v>
      </c>
      <c r="B65">
        <v>2796</v>
      </c>
      <c r="C65" t="s">
        <v>10</v>
      </c>
      <c r="D65">
        <v>0</v>
      </c>
      <c r="E65" s="2">
        <v>5308</v>
      </c>
      <c r="F65" t="s">
        <v>11</v>
      </c>
      <c r="G65" t="s">
        <v>12</v>
      </c>
      <c r="H65" t="s">
        <v>101</v>
      </c>
      <c r="I65" s="1">
        <v>0</v>
      </c>
      <c r="J65" t="s">
        <v>13</v>
      </c>
    </row>
    <row r="66" spans="1:10" x14ac:dyDescent="0.25">
      <c r="A66" t="s">
        <v>58</v>
      </c>
      <c r="B66">
        <v>4664</v>
      </c>
      <c r="C66" t="s">
        <v>10</v>
      </c>
      <c r="D66">
        <v>0</v>
      </c>
      <c r="E66" s="2">
        <v>2136</v>
      </c>
      <c r="F66" t="s">
        <v>11</v>
      </c>
      <c r="G66" t="s">
        <v>12</v>
      </c>
      <c r="H66" t="s">
        <v>101</v>
      </c>
      <c r="I66" s="1">
        <v>0</v>
      </c>
      <c r="J66" t="s">
        <v>13</v>
      </c>
    </row>
    <row r="67" spans="1:10" x14ac:dyDescent="0.25">
      <c r="A67" t="s">
        <v>16</v>
      </c>
      <c r="B67">
        <v>3444</v>
      </c>
      <c r="C67" t="s">
        <v>59</v>
      </c>
      <c r="D67">
        <v>2</v>
      </c>
      <c r="E67" s="2">
        <v>6740</v>
      </c>
      <c r="F67" t="s">
        <v>11</v>
      </c>
      <c r="G67" t="s">
        <v>60</v>
      </c>
      <c r="H67" t="s">
        <v>100</v>
      </c>
      <c r="I67" s="1">
        <v>0</v>
      </c>
      <c r="J67" t="s">
        <v>13</v>
      </c>
    </row>
    <row r="68" spans="1:10" x14ac:dyDescent="0.25">
      <c r="A68" t="s">
        <v>19</v>
      </c>
      <c r="B68">
        <v>2832</v>
      </c>
      <c r="C68" t="s">
        <v>59</v>
      </c>
      <c r="D68">
        <v>2</v>
      </c>
      <c r="E68" s="2">
        <v>5464</v>
      </c>
      <c r="F68" t="s">
        <v>11</v>
      </c>
      <c r="G68" t="s">
        <v>12</v>
      </c>
      <c r="H68" t="s">
        <v>97</v>
      </c>
      <c r="I68" s="1">
        <v>0</v>
      </c>
      <c r="J68" t="s">
        <v>13</v>
      </c>
    </row>
    <row r="69" spans="1:10" x14ac:dyDescent="0.25">
      <c r="A69" t="s">
        <v>61</v>
      </c>
      <c r="B69">
        <v>2624</v>
      </c>
      <c r="C69" t="s">
        <v>59</v>
      </c>
      <c r="D69">
        <v>2</v>
      </c>
      <c r="E69" s="2">
        <v>11320</v>
      </c>
      <c r="F69" t="s">
        <v>11</v>
      </c>
      <c r="G69" t="s">
        <v>60</v>
      </c>
      <c r="H69" t="s">
        <v>100</v>
      </c>
      <c r="I69" s="1">
        <v>0</v>
      </c>
      <c r="J69" t="s">
        <v>62</v>
      </c>
    </row>
    <row r="70" spans="1:10" x14ac:dyDescent="0.25">
      <c r="A70" t="s">
        <v>63</v>
      </c>
      <c r="B70">
        <v>3564</v>
      </c>
      <c r="C70" t="s">
        <v>59</v>
      </c>
      <c r="D70">
        <v>2</v>
      </c>
      <c r="E70" s="2">
        <v>5868</v>
      </c>
      <c r="F70" t="s">
        <v>11</v>
      </c>
      <c r="G70" t="s">
        <v>60</v>
      </c>
      <c r="H70" t="s">
        <v>100</v>
      </c>
      <c r="I70" s="1">
        <v>0</v>
      </c>
      <c r="J70" t="s">
        <v>13</v>
      </c>
    </row>
    <row r="71" spans="1:10" x14ac:dyDescent="0.25">
      <c r="A71" t="s">
        <v>64</v>
      </c>
      <c r="B71">
        <v>4532</v>
      </c>
      <c r="C71" t="s">
        <v>59</v>
      </c>
      <c r="D71">
        <v>2</v>
      </c>
      <c r="E71" s="2">
        <v>4144</v>
      </c>
      <c r="F71" t="s">
        <v>11</v>
      </c>
      <c r="G71" t="s">
        <v>60</v>
      </c>
      <c r="H71" t="s">
        <v>97</v>
      </c>
      <c r="I71" s="1">
        <v>0</v>
      </c>
      <c r="J71" t="s">
        <v>65</v>
      </c>
    </row>
    <row r="72" spans="1:10" x14ac:dyDescent="0.25">
      <c r="A72" t="s">
        <v>66</v>
      </c>
      <c r="B72">
        <v>3888</v>
      </c>
      <c r="C72" t="s">
        <v>59</v>
      </c>
      <c r="D72">
        <v>2</v>
      </c>
      <c r="E72" s="2">
        <v>61964</v>
      </c>
      <c r="F72" t="s">
        <v>11</v>
      </c>
      <c r="G72" t="s">
        <v>60</v>
      </c>
      <c r="H72" t="s">
        <v>97</v>
      </c>
      <c r="I72" s="1">
        <v>1.0416666666666667E-4</v>
      </c>
      <c r="J72" t="s">
        <v>13</v>
      </c>
    </row>
    <row r="73" spans="1:10" x14ac:dyDescent="0.25">
      <c r="A73" t="s">
        <v>47</v>
      </c>
      <c r="B73">
        <v>4304</v>
      </c>
      <c r="C73" t="s">
        <v>10</v>
      </c>
      <c r="D73">
        <v>0</v>
      </c>
      <c r="E73" s="2">
        <v>11112</v>
      </c>
      <c r="F73" t="s">
        <v>11</v>
      </c>
      <c r="G73" t="s">
        <v>12</v>
      </c>
      <c r="H73" t="s">
        <v>97</v>
      </c>
      <c r="I73" s="1">
        <v>0</v>
      </c>
      <c r="J73" t="s">
        <v>13</v>
      </c>
    </row>
    <row r="74" spans="1:10" x14ac:dyDescent="0.25">
      <c r="A74" t="s">
        <v>67</v>
      </c>
      <c r="B74">
        <v>4400</v>
      </c>
      <c r="C74" t="s">
        <v>59</v>
      </c>
      <c r="D74">
        <v>2</v>
      </c>
      <c r="E74" s="2">
        <v>13256</v>
      </c>
      <c r="F74" t="s">
        <v>11</v>
      </c>
      <c r="G74" t="s">
        <v>60</v>
      </c>
      <c r="H74" t="s">
        <v>97</v>
      </c>
      <c r="I74" s="1">
        <v>0</v>
      </c>
      <c r="J74" t="s">
        <v>68</v>
      </c>
    </row>
    <row r="75" spans="1:10" x14ac:dyDescent="0.25">
      <c r="A75" t="s">
        <v>69</v>
      </c>
      <c r="B75">
        <v>884</v>
      </c>
      <c r="C75" t="s">
        <v>59</v>
      </c>
      <c r="D75">
        <v>2</v>
      </c>
      <c r="E75" s="2">
        <v>3132</v>
      </c>
      <c r="F75" t="s">
        <v>11</v>
      </c>
      <c r="G75" t="s">
        <v>60</v>
      </c>
      <c r="H75" t="s">
        <v>100</v>
      </c>
      <c r="I75" s="1">
        <v>0</v>
      </c>
      <c r="J75" t="s">
        <v>70</v>
      </c>
    </row>
    <row r="76" spans="1:10" x14ac:dyDescent="0.25">
      <c r="A76" t="s">
        <v>69</v>
      </c>
      <c r="B76">
        <v>1468</v>
      </c>
      <c r="C76" t="s">
        <v>59</v>
      </c>
      <c r="D76">
        <v>2</v>
      </c>
      <c r="E76" s="2">
        <v>3140</v>
      </c>
      <c r="F76" t="s">
        <v>11</v>
      </c>
      <c r="G76" t="s">
        <v>60</v>
      </c>
      <c r="H76" t="s">
        <v>97</v>
      </c>
      <c r="I76" s="1">
        <v>0</v>
      </c>
      <c r="J76" t="s">
        <v>70</v>
      </c>
    </row>
    <row r="77" spans="1:10" x14ac:dyDescent="0.25">
      <c r="A77" t="s">
        <v>53</v>
      </c>
      <c r="B77">
        <v>4992</v>
      </c>
      <c r="C77" t="s">
        <v>59</v>
      </c>
      <c r="D77">
        <v>2</v>
      </c>
      <c r="E77" s="2">
        <v>3524</v>
      </c>
      <c r="F77" t="s">
        <v>11</v>
      </c>
      <c r="G77" t="s">
        <v>60</v>
      </c>
      <c r="H77" t="s">
        <v>97</v>
      </c>
      <c r="I77" s="1">
        <v>0</v>
      </c>
      <c r="J77" t="s">
        <v>71</v>
      </c>
    </row>
    <row r="78" spans="1:10" x14ac:dyDescent="0.25">
      <c r="A78" t="s">
        <v>53</v>
      </c>
      <c r="B78">
        <v>3416</v>
      </c>
      <c r="C78" t="s">
        <v>59</v>
      </c>
      <c r="D78">
        <v>2</v>
      </c>
      <c r="E78" s="2">
        <v>3500</v>
      </c>
      <c r="F78" t="s">
        <v>11</v>
      </c>
      <c r="G78" t="s">
        <v>60</v>
      </c>
      <c r="H78" t="s">
        <v>97</v>
      </c>
      <c r="I78" s="1">
        <v>0</v>
      </c>
      <c r="J78" t="s">
        <v>71</v>
      </c>
    </row>
    <row r="79" spans="1:10" x14ac:dyDescent="0.25">
      <c r="A79" t="s">
        <v>72</v>
      </c>
      <c r="B79">
        <v>4168</v>
      </c>
      <c r="C79" t="s">
        <v>59</v>
      </c>
      <c r="D79">
        <v>2</v>
      </c>
      <c r="E79" s="2">
        <v>41460</v>
      </c>
      <c r="F79" t="s">
        <v>11</v>
      </c>
      <c r="G79" t="s">
        <v>60</v>
      </c>
      <c r="H79" t="s">
        <v>97</v>
      </c>
      <c r="I79" s="1">
        <v>5.4398148148148144E-4</v>
      </c>
      <c r="J79" t="s">
        <v>73</v>
      </c>
    </row>
    <row r="80" spans="1:10" x14ac:dyDescent="0.25">
      <c r="A80" t="s">
        <v>74</v>
      </c>
      <c r="B80">
        <v>2808</v>
      </c>
      <c r="C80" t="s">
        <v>59</v>
      </c>
      <c r="D80">
        <v>2</v>
      </c>
      <c r="E80" s="2">
        <v>49312</v>
      </c>
      <c r="F80" t="s">
        <v>11</v>
      </c>
      <c r="G80" t="s">
        <v>60</v>
      </c>
      <c r="H80" t="s">
        <v>97</v>
      </c>
      <c r="I80" s="1">
        <v>1.1574074074074073E-5</v>
      </c>
      <c r="J80" t="s">
        <v>75</v>
      </c>
    </row>
    <row r="81" spans="1:10" x14ac:dyDescent="0.25">
      <c r="A81" t="s">
        <v>76</v>
      </c>
      <c r="B81">
        <v>3908</v>
      </c>
      <c r="C81" t="s">
        <v>59</v>
      </c>
      <c r="D81">
        <v>2</v>
      </c>
      <c r="E81" s="2">
        <v>1876</v>
      </c>
      <c r="F81" t="s">
        <v>11</v>
      </c>
      <c r="G81" t="s">
        <v>60</v>
      </c>
      <c r="H81" t="s">
        <v>97</v>
      </c>
      <c r="I81" s="1">
        <v>0</v>
      </c>
      <c r="J81" t="s">
        <v>77</v>
      </c>
    </row>
    <row r="82" spans="1:10" x14ac:dyDescent="0.25">
      <c r="A82" t="s">
        <v>78</v>
      </c>
      <c r="B82">
        <v>4568</v>
      </c>
      <c r="C82" t="s">
        <v>59</v>
      </c>
      <c r="D82">
        <v>2</v>
      </c>
      <c r="E82" s="2">
        <v>7176</v>
      </c>
      <c r="F82" t="s">
        <v>11</v>
      </c>
      <c r="G82" t="s">
        <v>60</v>
      </c>
      <c r="H82" t="s">
        <v>97</v>
      </c>
      <c r="I82" s="1">
        <v>0</v>
      </c>
      <c r="J82" t="s">
        <v>79</v>
      </c>
    </row>
    <row r="83" spans="1:10" x14ac:dyDescent="0.25">
      <c r="A83" t="s">
        <v>28</v>
      </c>
      <c r="B83">
        <v>4188</v>
      </c>
      <c r="C83" t="s">
        <v>59</v>
      </c>
      <c r="D83">
        <v>2</v>
      </c>
      <c r="E83" s="2">
        <v>27552</v>
      </c>
      <c r="F83" t="s">
        <v>11</v>
      </c>
      <c r="G83" t="s">
        <v>60</v>
      </c>
      <c r="H83" t="s">
        <v>97</v>
      </c>
      <c r="I83" s="1">
        <v>1.1574074074074073E-5</v>
      </c>
      <c r="J83" t="s">
        <v>80</v>
      </c>
    </row>
    <row r="84" spans="1:10" x14ac:dyDescent="0.25">
      <c r="A84" t="s">
        <v>81</v>
      </c>
      <c r="B84">
        <v>4416</v>
      </c>
      <c r="C84" t="s">
        <v>59</v>
      </c>
      <c r="D84">
        <v>2</v>
      </c>
      <c r="E84" s="2">
        <v>6568</v>
      </c>
      <c r="F84" t="s">
        <v>11</v>
      </c>
      <c r="G84" t="s">
        <v>60</v>
      </c>
      <c r="H84" t="s">
        <v>97</v>
      </c>
      <c r="I84" s="1">
        <v>2.3148148148148147E-5</v>
      </c>
      <c r="J84" t="s">
        <v>82</v>
      </c>
    </row>
    <row r="85" spans="1:10" x14ac:dyDescent="0.25">
      <c r="A85" t="s">
        <v>83</v>
      </c>
      <c r="B85">
        <v>2336</v>
      </c>
      <c r="C85" t="s">
        <v>59</v>
      </c>
      <c r="D85">
        <v>2</v>
      </c>
      <c r="E85" s="2">
        <v>30900</v>
      </c>
      <c r="F85" t="s">
        <v>11</v>
      </c>
      <c r="G85" t="s">
        <v>60</v>
      </c>
      <c r="H85" t="s">
        <v>97</v>
      </c>
      <c r="I85" s="1">
        <v>0</v>
      </c>
      <c r="J85" t="s">
        <v>84</v>
      </c>
    </row>
    <row r="86" spans="1:10" x14ac:dyDescent="0.25">
      <c r="A86" t="s">
        <v>85</v>
      </c>
      <c r="B86">
        <v>1264</v>
      </c>
      <c r="C86" t="s">
        <v>10</v>
      </c>
      <c r="D86">
        <v>0</v>
      </c>
      <c r="E86" s="2">
        <v>35928</v>
      </c>
      <c r="F86" t="s">
        <v>11</v>
      </c>
      <c r="G86" t="s">
        <v>12</v>
      </c>
      <c r="H86" t="s">
        <v>97</v>
      </c>
      <c r="I86" s="1">
        <v>0</v>
      </c>
      <c r="J86" t="s">
        <v>13</v>
      </c>
    </row>
    <row r="87" spans="1:10" x14ac:dyDescent="0.25">
      <c r="A87" t="s">
        <v>85</v>
      </c>
      <c r="B87">
        <v>5760</v>
      </c>
      <c r="C87" t="s">
        <v>10</v>
      </c>
      <c r="D87">
        <v>0</v>
      </c>
      <c r="E87" s="2">
        <v>16888</v>
      </c>
      <c r="F87" t="s">
        <v>11</v>
      </c>
      <c r="G87" t="s">
        <v>12</v>
      </c>
      <c r="H87" t="s">
        <v>97</v>
      </c>
      <c r="I87" s="1">
        <v>0</v>
      </c>
      <c r="J87" t="s">
        <v>13</v>
      </c>
    </row>
    <row r="88" spans="1:10" x14ac:dyDescent="0.25">
      <c r="A88" t="s">
        <v>86</v>
      </c>
      <c r="B88">
        <v>4960</v>
      </c>
      <c r="C88" t="s">
        <v>10</v>
      </c>
      <c r="D88">
        <v>0</v>
      </c>
      <c r="E88" s="2">
        <v>31024</v>
      </c>
      <c r="F88" t="s">
        <v>11</v>
      </c>
      <c r="G88" t="s">
        <v>12</v>
      </c>
      <c r="H88" t="s">
        <v>99</v>
      </c>
      <c r="I88" s="1">
        <v>1.3888888888888889E-4</v>
      </c>
      <c r="J88" t="s">
        <v>13</v>
      </c>
    </row>
    <row r="89" spans="1:10" x14ac:dyDescent="0.25">
      <c r="A89" t="s">
        <v>53</v>
      </c>
      <c r="B89">
        <v>4636</v>
      </c>
      <c r="C89" t="s">
        <v>10</v>
      </c>
      <c r="D89">
        <v>0</v>
      </c>
      <c r="E89" s="2">
        <v>2888</v>
      </c>
      <c r="F89" t="s">
        <v>11</v>
      </c>
      <c r="G89" t="s">
        <v>12</v>
      </c>
      <c r="H89" t="s">
        <v>99</v>
      </c>
      <c r="I89" s="1">
        <v>0</v>
      </c>
      <c r="J89" t="s">
        <v>13</v>
      </c>
    </row>
    <row r="90" spans="1:10" x14ac:dyDescent="0.25">
      <c r="A90" t="s">
        <v>87</v>
      </c>
      <c r="B90">
        <v>1864</v>
      </c>
      <c r="C90" t="s">
        <v>10</v>
      </c>
      <c r="D90">
        <v>0</v>
      </c>
      <c r="E90" s="2">
        <v>13628</v>
      </c>
      <c r="F90" t="s">
        <v>11</v>
      </c>
      <c r="G90" t="s">
        <v>12</v>
      </c>
      <c r="H90" t="s">
        <v>98</v>
      </c>
      <c r="I90" s="1">
        <v>0</v>
      </c>
      <c r="J90" t="s">
        <v>13</v>
      </c>
    </row>
    <row r="91" spans="1:10" x14ac:dyDescent="0.25">
      <c r="A91" t="s">
        <v>47</v>
      </c>
      <c r="B91">
        <v>4688</v>
      </c>
      <c r="C91" t="s">
        <v>10</v>
      </c>
      <c r="D91">
        <v>0</v>
      </c>
      <c r="E91" s="2">
        <v>11000</v>
      </c>
      <c r="F91" t="s">
        <v>11</v>
      </c>
      <c r="G91" t="s">
        <v>12</v>
      </c>
      <c r="H91" t="s">
        <v>101</v>
      </c>
      <c r="I91" s="1">
        <v>0</v>
      </c>
      <c r="J91" t="s">
        <v>13</v>
      </c>
    </row>
    <row r="92" spans="1:10" x14ac:dyDescent="0.25">
      <c r="A92" t="s">
        <v>69</v>
      </c>
      <c r="B92">
        <v>2496</v>
      </c>
      <c r="C92" t="s">
        <v>59</v>
      </c>
      <c r="D92">
        <v>2</v>
      </c>
      <c r="E92" s="2">
        <v>2928</v>
      </c>
      <c r="F92" t="s">
        <v>11</v>
      </c>
      <c r="G92" t="s">
        <v>60</v>
      </c>
      <c r="H92" t="s">
        <v>97</v>
      </c>
      <c r="I92" s="1">
        <v>0</v>
      </c>
      <c r="J92" t="s">
        <v>88</v>
      </c>
    </row>
    <row r="93" spans="1:10" x14ac:dyDescent="0.25">
      <c r="A93" t="s">
        <v>53</v>
      </c>
      <c r="B93">
        <v>5408</v>
      </c>
      <c r="C93" t="s">
        <v>59</v>
      </c>
      <c r="D93">
        <v>2</v>
      </c>
      <c r="E93" s="2">
        <v>3940</v>
      </c>
      <c r="F93" t="s">
        <v>11</v>
      </c>
      <c r="G93" t="s">
        <v>60</v>
      </c>
      <c r="H93" t="s">
        <v>97</v>
      </c>
      <c r="I93" s="1">
        <v>0</v>
      </c>
      <c r="J93" t="s">
        <v>71</v>
      </c>
    </row>
    <row r="94" spans="1:10" x14ac:dyDescent="0.25">
      <c r="A94" t="s">
        <v>89</v>
      </c>
      <c r="B94">
        <v>5656</v>
      </c>
      <c r="C94" t="s">
        <v>59</v>
      </c>
      <c r="D94">
        <v>2</v>
      </c>
      <c r="E94" s="2">
        <v>6792</v>
      </c>
      <c r="F94" t="s">
        <v>11</v>
      </c>
      <c r="G94" t="s">
        <v>12</v>
      </c>
      <c r="H94" t="s">
        <v>97</v>
      </c>
      <c r="I94" s="1">
        <v>0</v>
      </c>
      <c r="J94" t="s">
        <v>13</v>
      </c>
    </row>
  </sheetData>
  <autoFilter ref="A1:J9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6"/>
  <sheetViews>
    <sheetView tabSelected="1" workbookViewId="0">
      <selection activeCell="H5" sqref="H5"/>
    </sheetView>
  </sheetViews>
  <sheetFormatPr defaultRowHeight="15" x14ac:dyDescent="0.25"/>
  <cols>
    <col min="1" max="1" width="26.42578125" bestFit="1" customWidth="1"/>
    <col min="2" max="2" width="6.28515625" bestFit="1" customWidth="1"/>
    <col min="3" max="3" width="15.85546875" bestFit="1" customWidth="1"/>
    <col min="4" max="4" width="11" bestFit="1" customWidth="1"/>
    <col min="5" max="5" width="11.42578125" bestFit="1" customWidth="1"/>
    <col min="7" max="7" width="9.42578125" bestFit="1" customWidth="1"/>
    <col min="8" max="8" width="32" bestFit="1" customWidth="1"/>
    <col min="9" max="9" width="11.7109375" bestFit="1" customWidth="1"/>
    <col min="10" max="10" width="41.85546875" bestFit="1" customWidth="1"/>
    <col min="12" max="12" width="32" bestFit="1" customWidth="1"/>
    <col min="17" max="17" width="17.7109375" style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96</v>
      </c>
      <c r="E1" s="4" t="s">
        <v>109</v>
      </c>
      <c r="F1" s="4"/>
      <c r="G1" t="s">
        <v>6</v>
      </c>
      <c r="H1" t="s">
        <v>90</v>
      </c>
      <c r="I1" t="s">
        <v>7</v>
      </c>
      <c r="J1" t="s">
        <v>8</v>
      </c>
      <c r="L1" t="s">
        <v>91</v>
      </c>
      <c r="M1">
        <f>SUM(N4:N16)</f>
        <v>1103368</v>
      </c>
      <c r="O1" t="s">
        <v>111</v>
      </c>
      <c r="P1" t="s">
        <v>110</v>
      </c>
    </row>
    <row r="2" spans="1:17" x14ac:dyDescent="0.25">
      <c r="E2" s="3"/>
      <c r="F2" s="3"/>
    </row>
    <row r="3" spans="1:17" ht="45" x14ac:dyDescent="0.25">
      <c r="A3" t="s">
        <v>9</v>
      </c>
      <c r="B3">
        <v>0</v>
      </c>
      <c r="C3" t="s">
        <v>10</v>
      </c>
      <c r="D3">
        <v>0</v>
      </c>
      <c r="E3">
        <v>24</v>
      </c>
      <c r="F3" t="s">
        <v>11</v>
      </c>
      <c r="G3" t="s">
        <v>12</v>
      </c>
      <c r="H3" t="s">
        <v>100</v>
      </c>
      <c r="I3" s="1">
        <v>1.1342592592592591E-3</v>
      </c>
      <c r="J3" t="s">
        <v>13</v>
      </c>
      <c r="Q3" s="6" t="s">
        <v>112</v>
      </c>
    </row>
    <row r="4" spans="1:17" x14ac:dyDescent="0.25">
      <c r="A4" t="s">
        <v>14</v>
      </c>
      <c r="B4">
        <v>4</v>
      </c>
      <c r="C4" t="s">
        <v>10</v>
      </c>
      <c r="D4">
        <v>0</v>
      </c>
      <c r="E4">
        <v>300</v>
      </c>
      <c r="F4" t="s">
        <v>11</v>
      </c>
      <c r="G4" t="s">
        <v>12</v>
      </c>
      <c r="H4" t="s">
        <v>13</v>
      </c>
      <c r="I4" s="1">
        <v>3.4722222222222222E-5</v>
      </c>
      <c r="J4" t="s">
        <v>13</v>
      </c>
      <c r="L4" t="s">
        <v>100</v>
      </c>
      <c r="M4" t="s">
        <v>94</v>
      </c>
      <c r="N4">
        <f>SUMIF(H3:H86,"*"&amp;L4&amp;"*",E3:E86)</f>
        <v>667032</v>
      </c>
      <c r="P4" t="s">
        <v>93</v>
      </c>
      <c r="Q4" s="1">
        <f>SUMIF(H3:H86,"*"&amp;L4&amp;"*",I3:I86)</f>
        <v>1.4351851851851847E-3</v>
      </c>
    </row>
    <row r="5" spans="1:17" x14ac:dyDescent="0.25">
      <c r="A5" t="s">
        <v>15</v>
      </c>
      <c r="B5">
        <v>292</v>
      </c>
      <c r="C5" t="s">
        <v>10</v>
      </c>
      <c r="D5">
        <v>0</v>
      </c>
      <c r="E5" s="2">
        <v>1172</v>
      </c>
      <c r="F5" t="s">
        <v>11</v>
      </c>
      <c r="G5" t="s">
        <v>12</v>
      </c>
      <c r="H5" t="s">
        <v>100</v>
      </c>
      <c r="I5" s="1">
        <v>0</v>
      </c>
      <c r="J5" t="s">
        <v>13</v>
      </c>
      <c r="Q5" s="1">
        <f>SUMIF(J4:J87,"*"&amp;N5&amp;"*",G4:G87)</f>
        <v>0</v>
      </c>
    </row>
    <row r="6" spans="1:17" x14ac:dyDescent="0.25">
      <c r="A6" t="s">
        <v>16</v>
      </c>
      <c r="B6">
        <v>376</v>
      </c>
      <c r="C6" t="s">
        <v>10</v>
      </c>
      <c r="D6">
        <v>0</v>
      </c>
      <c r="E6" s="2">
        <v>6088</v>
      </c>
      <c r="F6" t="s">
        <v>11</v>
      </c>
      <c r="G6" t="s">
        <v>12</v>
      </c>
      <c r="H6" t="s">
        <v>100</v>
      </c>
      <c r="I6" s="1">
        <v>0</v>
      </c>
      <c r="J6" t="s">
        <v>13</v>
      </c>
      <c r="L6" t="s">
        <v>102</v>
      </c>
      <c r="M6" t="s">
        <v>94</v>
      </c>
      <c r="N6">
        <f>SUMIF(H3:H86,"*"&amp;L6&amp;"*",E3:E86)</f>
        <v>96416</v>
      </c>
      <c r="P6" t="s">
        <v>93</v>
      </c>
      <c r="Q6" s="1">
        <f>SUMIF(H3:H86,"*"&amp;L6&amp;"*",I3:I86)</f>
        <v>2.3148148148148147E-5</v>
      </c>
    </row>
    <row r="7" spans="1:17" x14ac:dyDescent="0.25">
      <c r="A7" t="s">
        <v>17</v>
      </c>
      <c r="B7">
        <v>428</v>
      </c>
      <c r="C7" t="s">
        <v>10</v>
      </c>
      <c r="D7">
        <v>0</v>
      </c>
      <c r="E7" s="2">
        <v>4624</v>
      </c>
      <c r="F7" t="s">
        <v>11</v>
      </c>
      <c r="G7" t="s">
        <v>12</v>
      </c>
      <c r="H7" t="s">
        <v>100</v>
      </c>
      <c r="I7" s="1">
        <v>0</v>
      </c>
      <c r="J7" t="s">
        <v>13</v>
      </c>
    </row>
    <row r="8" spans="1:17" x14ac:dyDescent="0.25">
      <c r="A8" t="s">
        <v>16</v>
      </c>
      <c r="B8">
        <v>436</v>
      </c>
      <c r="C8" t="s">
        <v>18</v>
      </c>
      <c r="D8">
        <v>1</v>
      </c>
      <c r="E8" s="2">
        <v>11064</v>
      </c>
      <c r="F8" t="s">
        <v>11</v>
      </c>
      <c r="G8" t="s">
        <v>12</v>
      </c>
      <c r="H8" t="s">
        <v>100</v>
      </c>
      <c r="I8" s="1">
        <v>0</v>
      </c>
      <c r="J8" t="s">
        <v>13</v>
      </c>
      <c r="L8" t="s">
        <v>101</v>
      </c>
      <c r="M8" t="s">
        <v>92</v>
      </c>
      <c r="N8">
        <f>SUMIF(H3:H86,"*"&amp;L8&amp;"*",E3:E86)</f>
        <v>74524</v>
      </c>
      <c r="P8" t="s">
        <v>93</v>
      </c>
      <c r="Q8" s="1">
        <f>SUMIF(H3:H86,"*"&amp;L8&amp;"*",I3:I86)</f>
        <v>0</v>
      </c>
    </row>
    <row r="9" spans="1:17" x14ac:dyDescent="0.25">
      <c r="A9" t="s">
        <v>19</v>
      </c>
      <c r="B9">
        <v>472</v>
      </c>
      <c r="C9" t="s">
        <v>18</v>
      </c>
      <c r="D9">
        <v>1</v>
      </c>
      <c r="E9" s="2">
        <v>4368</v>
      </c>
      <c r="F9" t="s">
        <v>11</v>
      </c>
      <c r="G9" t="s">
        <v>12</v>
      </c>
      <c r="H9" t="s">
        <v>100</v>
      </c>
      <c r="I9" s="1">
        <v>0</v>
      </c>
      <c r="J9" t="s">
        <v>13</v>
      </c>
    </row>
    <row r="10" spans="1:17" x14ac:dyDescent="0.25">
      <c r="A10" t="s">
        <v>20</v>
      </c>
      <c r="B10">
        <v>532</v>
      </c>
      <c r="C10" t="s">
        <v>10</v>
      </c>
      <c r="D10">
        <v>0</v>
      </c>
      <c r="E10" s="2">
        <v>9048</v>
      </c>
      <c r="F10" t="s">
        <v>11</v>
      </c>
      <c r="G10" t="s">
        <v>12</v>
      </c>
      <c r="H10" t="s">
        <v>100</v>
      </c>
      <c r="I10" s="1">
        <v>1.1574074074074073E-5</v>
      </c>
      <c r="J10" t="s">
        <v>13</v>
      </c>
      <c r="L10" t="s">
        <v>97</v>
      </c>
      <c r="M10" t="s">
        <v>92</v>
      </c>
      <c r="N10">
        <f>SUMIF(H3:H86,"*"&amp;L10&amp;"*",E3:E86)</f>
        <v>265096</v>
      </c>
      <c r="P10" t="s">
        <v>95</v>
      </c>
      <c r="Q10" s="1">
        <f>SUMIF(H3:H86,"*"&amp;L10&amp;"*",I3:I86)</f>
        <v>0</v>
      </c>
    </row>
    <row r="11" spans="1:17" x14ac:dyDescent="0.25">
      <c r="A11" t="s">
        <v>21</v>
      </c>
      <c r="B11">
        <v>540</v>
      </c>
      <c r="C11" t="s">
        <v>10</v>
      </c>
      <c r="D11">
        <v>0</v>
      </c>
      <c r="E11" s="2">
        <v>14684</v>
      </c>
      <c r="F11" t="s">
        <v>11</v>
      </c>
      <c r="G11" t="s">
        <v>12</v>
      </c>
      <c r="H11" t="s">
        <v>100</v>
      </c>
      <c r="I11" s="1">
        <v>1.1574074074074073E-5</v>
      </c>
      <c r="J11" t="s">
        <v>13</v>
      </c>
    </row>
    <row r="12" spans="1:17" x14ac:dyDescent="0.25">
      <c r="A12" t="s">
        <v>22</v>
      </c>
      <c r="B12">
        <v>548</v>
      </c>
      <c r="C12" t="s">
        <v>10</v>
      </c>
      <c r="D12">
        <v>0</v>
      </c>
      <c r="E12" s="2">
        <v>6404</v>
      </c>
      <c r="F12" t="s">
        <v>11</v>
      </c>
      <c r="G12" t="s">
        <v>12</v>
      </c>
      <c r="H12" t="s">
        <v>100</v>
      </c>
      <c r="I12" s="1">
        <v>0</v>
      </c>
      <c r="J12" t="s">
        <v>13</v>
      </c>
      <c r="L12" t="s">
        <v>98</v>
      </c>
      <c r="M12" t="s">
        <v>94</v>
      </c>
      <c r="N12">
        <f>SUMIF(H3:H86,"*"&amp;12&amp;"*",E3:E86)</f>
        <v>0</v>
      </c>
      <c r="P12" t="s">
        <v>7</v>
      </c>
      <c r="Q12" s="1">
        <f>SUMIF(H3:H86,"*"&amp;L12&amp;"*",I3:I86)</f>
        <v>0</v>
      </c>
    </row>
    <row r="13" spans="1:17" x14ac:dyDescent="0.25">
      <c r="A13" t="s">
        <v>23</v>
      </c>
      <c r="B13">
        <v>640</v>
      </c>
      <c r="C13" t="s">
        <v>10</v>
      </c>
      <c r="D13">
        <v>0</v>
      </c>
      <c r="E13" s="2">
        <v>9564</v>
      </c>
      <c r="F13" t="s">
        <v>11</v>
      </c>
      <c r="G13" t="s">
        <v>12</v>
      </c>
      <c r="H13" t="s">
        <v>100</v>
      </c>
      <c r="I13" s="1">
        <v>0</v>
      </c>
      <c r="J13" t="s">
        <v>13</v>
      </c>
    </row>
    <row r="14" spans="1:17" x14ac:dyDescent="0.25">
      <c r="A14" t="s">
        <v>24</v>
      </c>
      <c r="B14">
        <v>700</v>
      </c>
      <c r="C14" t="s">
        <v>10</v>
      </c>
      <c r="D14">
        <v>0</v>
      </c>
      <c r="E14" s="2">
        <v>4252</v>
      </c>
      <c r="F14" t="s">
        <v>11</v>
      </c>
      <c r="G14" t="s">
        <v>12</v>
      </c>
      <c r="H14" t="s">
        <v>100</v>
      </c>
      <c r="I14" s="1">
        <v>0</v>
      </c>
      <c r="J14" t="s">
        <v>13</v>
      </c>
      <c r="L14" t="s">
        <v>99</v>
      </c>
      <c r="M14" t="s">
        <v>92</v>
      </c>
      <c r="N14">
        <f>SUMIF(H3:H86,"*"&amp;L14&amp;"*",E3:E86)</f>
        <v>0</v>
      </c>
      <c r="P14" t="s">
        <v>7</v>
      </c>
      <c r="Q14" s="1">
        <f>SUMIF(H3:H86,"*"&amp;L14&amp;"*",I3:I86)</f>
        <v>0</v>
      </c>
    </row>
    <row r="15" spans="1:17" x14ac:dyDescent="0.25">
      <c r="A15" t="s">
        <v>23</v>
      </c>
      <c r="B15">
        <v>732</v>
      </c>
      <c r="C15" t="s">
        <v>10</v>
      </c>
      <c r="D15">
        <v>0</v>
      </c>
      <c r="E15" s="2">
        <v>8044</v>
      </c>
      <c r="F15" t="s">
        <v>11</v>
      </c>
      <c r="G15" t="s">
        <v>12</v>
      </c>
      <c r="H15" t="s">
        <v>102</v>
      </c>
      <c r="I15" s="1">
        <v>0</v>
      </c>
      <c r="J15" t="s">
        <v>13</v>
      </c>
    </row>
    <row r="16" spans="1:17" x14ac:dyDescent="0.25">
      <c r="A16" t="s">
        <v>25</v>
      </c>
      <c r="B16">
        <v>800</v>
      </c>
      <c r="C16" t="s">
        <v>10</v>
      </c>
      <c r="D16">
        <v>0</v>
      </c>
      <c r="E16" s="2">
        <v>101964</v>
      </c>
      <c r="F16" t="s">
        <v>11</v>
      </c>
      <c r="G16" t="s">
        <v>12</v>
      </c>
      <c r="H16" t="s">
        <v>100</v>
      </c>
      <c r="I16" s="1">
        <v>6.9444444444444444E-5</v>
      </c>
      <c r="J16" t="s">
        <v>13</v>
      </c>
      <c r="L16" t="s">
        <v>13</v>
      </c>
      <c r="M16" t="s">
        <v>92</v>
      </c>
      <c r="N16">
        <f>SUMIF(H3:H86,"*"&amp;L16&amp;"*",E3:E86)</f>
        <v>300</v>
      </c>
      <c r="P16" t="s">
        <v>7</v>
      </c>
      <c r="Q16" s="1">
        <f>SUMIF(H3:H86,"*"&amp;L16&amp;"*",I3:I86)</f>
        <v>3.4722222222222222E-5</v>
      </c>
    </row>
    <row r="17" spans="1:10" x14ac:dyDescent="0.25">
      <c r="A17" t="s">
        <v>26</v>
      </c>
      <c r="B17">
        <v>824</v>
      </c>
      <c r="C17" t="s">
        <v>18</v>
      </c>
      <c r="D17">
        <v>1</v>
      </c>
      <c r="E17" s="2">
        <v>19852</v>
      </c>
      <c r="F17" t="s">
        <v>11</v>
      </c>
      <c r="G17" t="s">
        <v>12</v>
      </c>
      <c r="H17" t="s">
        <v>100</v>
      </c>
      <c r="I17" s="1">
        <v>0</v>
      </c>
      <c r="J17" t="s">
        <v>13</v>
      </c>
    </row>
    <row r="18" spans="1:10" x14ac:dyDescent="0.25">
      <c r="A18" t="s">
        <v>23</v>
      </c>
      <c r="B18">
        <v>896</v>
      </c>
      <c r="C18" t="s">
        <v>10</v>
      </c>
      <c r="D18">
        <v>0</v>
      </c>
      <c r="E18" s="2">
        <v>14808</v>
      </c>
      <c r="F18" t="s">
        <v>11</v>
      </c>
      <c r="G18" t="s">
        <v>12</v>
      </c>
      <c r="H18" t="s">
        <v>101</v>
      </c>
      <c r="I18" s="1">
        <v>0</v>
      </c>
      <c r="J18" t="s">
        <v>13</v>
      </c>
    </row>
    <row r="19" spans="1:10" x14ac:dyDescent="0.25">
      <c r="A19" t="s">
        <v>23</v>
      </c>
      <c r="B19">
        <v>960</v>
      </c>
      <c r="C19" t="s">
        <v>10</v>
      </c>
      <c r="D19">
        <v>0</v>
      </c>
      <c r="E19" s="2">
        <v>29980</v>
      </c>
      <c r="F19" t="s">
        <v>11</v>
      </c>
      <c r="G19" t="s">
        <v>12</v>
      </c>
      <c r="H19" t="s">
        <v>100</v>
      </c>
      <c r="I19" s="1">
        <v>1.1574074074074073E-5</v>
      </c>
      <c r="J19" t="s">
        <v>13</v>
      </c>
    </row>
    <row r="20" spans="1:10" x14ac:dyDescent="0.25">
      <c r="A20" t="s">
        <v>23</v>
      </c>
      <c r="B20">
        <v>260</v>
      </c>
      <c r="C20" t="s">
        <v>10</v>
      </c>
      <c r="D20">
        <v>0</v>
      </c>
      <c r="E20" s="2">
        <v>12420</v>
      </c>
      <c r="F20" t="s">
        <v>11</v>
      </c>
      <c r="G20" t="s">
        <v>12</v>
      </c>
      <c r="H20" t="s">
        <v>101</v>
      </c>
      <c r="I20" s="1">
        <v>0</v>
      </c>
      <c r="J20" t="s">
        <v>13</v>
      </c>
    </row>
    <row r="21" spans="1:10" x14ac:dyDescent="0.25">
      <c r="A21" t="s">
        <v>23</v>
      </c>
      <c r="B21">
        <v>392</v>
      </c>
      <c r="C21" t="s">
        <v>10</v>
      </c>
      <c r="D21">
        <v>0</v>
      </c>
      <c r="E21" s="2">
        <v>10900</v>
      </c>
      <c r="F21" t="s">
        <v>11</v>
      </c>
      <c r="G21" t="s">
        <v>12</v>
      </c>
      <c r="H21" t="s">
        <v>100</v>
      </c>
      <c r="I21" s="1">
        <v>0</v>
      </c>
      <c r="J21" t="s">
        <v>13</v>
      </c>
    </row>
    <row r="22" spans="1:10" x14ac:dyDescent="0.25">
      <c r="A22" t="s">
        <v>23</v>
      </c>
      <c r="B22">
        <v>520</v>
      </c>
      <c r="C22" t="s">
        <v>10</v>
      </c>
      <c r="D22">
        <v>0</v>
      </c>
      <c r="E22" s="2">
        <v>16248</v>
      </c>
      <c r="F22" t="s">
        <v>11</v>
      </c>
      <c r="G22" t="s">
        <v>12</v>
      </c>
      <c r="H22" t="s">
        <v>102</v>
      </c>
      <c r="I22" s="1">
        <v>0</v>
      </c>
      <c r="J22" t="s">
        <v>13</v>
      </c>
    </row>
    <row r="23" spans="1:10" x14ac:dyDescent="0.25">
      <c r="A23" t="s">
        <v>23</v>
      </c>
      <c r="B23">
        <v>1044</v>
      </c>
      <c r="C23" t="s">
        <v>10</v>
      </c>
      <c r="D23">
        <v>0</v>
      </c>
      <c r="E23" s="2">
        <v>11988</v>
      </c>
      <c r="F23" t="s">
        <v>11</v>
      </c>
      <c r="G23" t="s">
        <v>12</v>
      </c>
      <c r="H23" t="s">
        <v>101</v>
      </c>
      <c r="I23" s="1">
        <v>0</v>
      </c>
      <c r="J23" t="s">
        <v>13</v>
      </c>
    </row>
    <row r="24" spans="1:10" x14ac:dyDescent="0.25">
      <c r="A24" t="s">
        <v>27</v>
      </c>
      <c r="B24">
        <v>1200</v>
      </c>
      <c r="C24" t="s">
        <v>10</v>
      </c>
      <c r="D24">
        <v>0</v>
      </c>
      <c r="E24" s="2">
        <v>13044</v>
      </c>
      <c r="F24" t="s">
        <v>11</v>
      </c>
      <c r="G24" t="s">
        <v>12</v>
      </c>
      <c r="H24" t="s">
        <v>100</v>
      </c>
      <c r="I24" s="1">
        <v>0</v>
      </c>
      <c r="J24" t="s">
        <v>13</v>
      </c>
    </row>
    <row r="25" spans="1:10" x14ac:dyDescent="0.25">
      <c r="A25" t="s">
        <v>23</v>
      </c>
      <c r="B25">
        <v>1244</v>
      </c>
      <c r="C25" t="s">
        <v>10</v>
      </c>
      <c r="D25">
        <v>0</v>
      </c>
      <c r="E25" s="2">
        <v>9896</v>
      </c>
      <c r="F25" t="s">
        <v>11</v>
      </c>
      <c r="G25" t="s">
        <v>12</v>
      </c>
      <c r="H25" t="s">
        <v>100</v>
      </c>
      <c r="I25" s="1">
        <v>0</v>
      </c>
      <c r="J25" t="s">
        <v>13</v>
      </c>
    </row>
    <row r="26" spans="1:10" x14ac:dyDescent="0.25">
      <c r="A26" t="s">
        <v>23</v>
      </c>
      <c r="B26">
        <v>1268</v>
      </c>
      <c r="C26" t="s">
        <v>10</v>
      </c>
      <c r="D26">
        <v>0</v>
      </c>
      <c r="E26" s="2">
        <v>6888</v>
      </c>
      <c r="F26" t="s">
        <v>11</v>
      </c>
      <c r="G26" t="s">
        <v>12</v>
      </c>
      <c r="H26" t="s">
        <v>100</v>
      </c>
      <c r="I26" s="1">
        <v>0</v>
      </c>
      <c r="J26" t="s">
        <v>13</v>
      </c>
    </row>
    <row r="27" spans="1:10" x14ac:dyDescent="0.25">
      <c r="A27" t="s">
        <v>28</v>
      </c>
      <c r="B27">
        <v>1308</v>
      </c>
      <c r="C27" t="s">
        <v>10</v>
      </c>
      <c r="D27">
        <v>0</v>
      </c>
      <c r="E27" s="2">
        <v>4700</v>
      </c>
      <c r="F27" t="s">
        <v>11</v>
      </c>
      <c r="G27" t="s">
        <v>12</v>
      </c>
      <c r="H27" t="s">
        <v>100</v>
      </c>
      <c r="I27" s="1">
        <v>0</v>
      </c>
      <c r="J27" t="s">
        <v>13</v>
      </c>
    </row>
    <row r="28" spans="1:10" x14ac:dyDescent="0.25">
      <c r="A28" t="s">
        <v>29</v>
      </c>
      <c r="B28">
        <v>1456</v>
      </c>
      <c r="C28" t="s">
        <v>10</v>
      </c>
      <c r="D28">
        <v>0</v>
      </c>
      <c r="E28" s="2">
        <v>6072</v>
      </c>
      <c r="F28" t="s">
        <v>11</v>
      </c>
      <c r="G28" t="s">
        <v>12</v>
      </c>
      <c r="H28" t="s">
        <v>100</v>
      </c>
      <c r="I28" s="1">
        <v>4.6296296296296294E-5</v>
      </c>
      <c r="J28" t="s">
        <v>13</v>
      </c>
    </row>
    <row r="29" spans="1:10" x14ac:dyDescent="0.25">
      <c r="A29" t="s">
        <v>30</v>
      </c>
      <c r="B29">
        <v>1512</v>
      </c>
      <c r="C29" t="s">
        <v>10</v>
      </c>
      <c r="D29">
        <v>0</v>
      </c>
      <c r="E29" s="2">
        <v>8236</v>
      </c>
      <c r="F29" t="s">
        <v>11</v>
      </c>
      <c r="G29" t="s">
        <v>12</v>
      </c>
      <c r="H29" t="s">
        <v>100</v>
      </c>
      <c r="I29" s="1">
        <v>0</v>
      </c>
      <c r="J29" t="s">
        <v>13</v>
      </c>
    </row>
    <row r="30" spans="1:10" x14ac:dyDescent="0.25">
      <c r="A30" t="s">
        <v>31</v>
      </c>
      <c r="B30">
        <v>1664</v>
      </c>
      <c r="C30" t="s">
        <v>10</v>
      </c>
      <c r="D30">
        <v>0</v>
      </c>
      <c r="E30" s="2">
        <v>8560</v>
      </c>
      <c r="F30" t="s">
        <v>11</v>
      </c>
      <c r="G30" t="s">
        <v>12</v>
      </c>
      <c r="H30" t="s">
        <v>100</v>
      </c>
      <c r="I30" s="1">
        <v>1.1574074074074073E-5</v>
      </c>
      <c r="J30" t="s">
        <v>13</v>
      </c>
    </row>
    <row r="31" spans="1:10" x14ac:dyDescent="0.25">
      <c r="A31" t="s">
        <v>32</v>
      </c>
      <c r="B31">
        <v>1688</v>
      </c>
      <c r="C31" t="s">
        <v>10</v>
      </c>
      <c r="D31">
        <v>0</v>
      </c>
      <c r="E31" s="2">
        <v>21596</v>
      </c>
      <c r="F31" t="s">
        <v>11</v>
      </c>
      <c r="G31" t="s">
        <v>12</v>
      </c>
      <c r="H31" t="s">
        <v>102</v>
      </c>
      <c r="I31" s="1">
        <v>0</v>
      </c>
      <c r="J31" t="s">
        <v>13</v>
      </c>
    </row>
    <row r="32" spans="1:10" x14ac:dyDescent="0.25">
      <c r="A32" t="s">
        <v>33</v>
      </c>
      <c r="B32">
        <v>1812</v>
      </c>
      <c r="C32" t="s">
        <v>10</v>
      </c>
      <c r="D32">
        <v>0</v>
      </c>
      <c r="E32" s="2">
        <v>10048</v>
      </c>
      <c r="F32" t="s">
        <v>11</v>
      </c>
      <c r="G32" t="s">
        <v>12</v>
      </c>
      <c r="H32" t="s">
        <v>100</v>
      </c>
      <c r="I32" s="1">
        <v>0</v>
      </c>
      <c r="J32" t="s">
        <v>13</v>
      </c>
    </row>
    <row r="33" spans="1:10" x14ac:dyDescent="0.25">
      <c r="A33" t="s">
        <v>34</v>
      </c>
      <c r="B33">
        <v>1832</v>
      </c>
      <c r="C33" t="s">
        <v>10</v>
      </c>
      <c r="D33">
        <v>0</v>
      </c>
      <c r="E33" s="2">
        <v>8288</v>
      </c>
      <c r="F33" t="s">
        <v>11</v>
      </c>
      <c r="G33" t="s">
        <v>12</v>
      </c>
      <c r="H33" t="s">
        <v>100</v>
      </c>
      <c r="I33" s="1">
        <v>0</v>
      </c>
      <c r="J33" t="s">
        <v>13</v>
      </c>
    </row>
    <row r="34" spans="1:10" x14ac:dyDescent="0.25">
      <c r="A34" t="s">
        <v>35</v>
      </c>
      <c r="B34">
        <v>1916</v>
      </c>
      <c r="C34" t="s">
        <v>10</v>
      </c>
      <c r="D34">
        <v>0</v>
      </c>
      <c r="E34" s="2">
        <v>10576</v>
      </c>
      <c r="F34" t="s">
        <v>11</v>
      </c>
      <c r="G34" t="s">
        <v>12</v>
      </c>
      <c r="H34" t="s">
        <v>100</v>
      </c>
      <c r="I34" s="1">
        <v>0</v>
      </c>
      <c r="J34" t="s">
        <v>13</v>
      </c>
    </row>
    <row r="35" spans="1:10" x14ac:dyDescent="0.25">
      <c r="A35" t="s">
        <v>36</v>
      </c>
      <c r="B35">
        <v>1944</v>
      </c>
      <c r="C35" t="s">
        <v>10</v>
      </c>
      <c r="D35">
        <v>0</v>
      </c>
      <c r="E35" s="2">
        <v>17600</v>
      </c>
      <c r="F35" t="s">
        <v>11</v>
      </c>
      <c r="G35" t="s">
        <v>12</v>
      </c>
      <c r="H35" t="s">
        <v>100</v>
      </c>
      <c r="I35" s="1">
        <v>0</v>
      </c>
      <c r="J35" t="s">
        <v>13</v>
      </c>
    </row>
    <row r="36" spans="1:10" x14ac:dyDescent="0.25">
      <c r="A36" t="s">
        <v>23</v>
      </c>
      <c r="B36">
        <v>2008</v>
      </c>
      <c r="C36" t="s">
        <v>10</v>
      </c>
      <c r="D36">
        <v>0</v>
      </c>
      <c r="E36" s="2">
        <v>3232</v>
      </c>
      <c r="F36" t="s">
        <v>11</v>
      </c>
      <c r="G36" t="s">
        <v>12</v>
      </c>
      <c r="H36" t="s">
        <v>101</v>
      </c>
      <c r="I36" s="1">
        <v>0</v>
      </c>
      <c r="J36" t="s">
        <v>13</v>
      </c>
    </row>
    <row r="37" spans="1:10" x14ac:dyDescent="0.25">
      <c r="A37" t="s">
        <v>37</v>
      </c>
      <c r="B37">
        <v>1180</v>
      </c>
      <c r="C37" t="s">
        <v>10</v>
      </c>
      <c r="D37">
        <v>0</v>
      </c>
      <c r="E37" s="2">
        <v>3816</v>
      </c>
      <c r="F37" t="s">
        <v>11</v>
      </c>
      <c r="G37" t="s">
        <v>12</v>
      </c>
      <c r="H37" t="s">
        <v>100</v>
      </c>
      <c r="I37" s="1">
        <v>0</v>
      </c>
      <c r="J37" t="s">
        <v>13</v>
      </c>
    </row>
    <row r="38" spans="1:10" x14ac:dyDescent="0.25">
      <c r="A38" t="s">
        <v>38</v>
      </c>
      <c r="B38">
        <v>1356</v>
      </c>
      <c r="C38" t="s">
        <v>10</v>
      </c>
      <c r="D38">
        <v>0</v>
      </c>
      <c r="E38" s="2">
        <v>10648</v>
      </c>
      <c r="F38" t="s">
        <v>11</v>
      </c>
      <c r="G38" t="s">
        <v>12</v>
      </c>
      <c r="H38" t="s">
        <v>100</v>
      </c>
      <c r="I38" s="1">
        <v>0</v>
      </c>
      <c r="J38" t="s">
        <v>13</v>
      </c>
    </row>
    <row r="39" spans="1:10" x14ac:dyDescent="0.25">
      <c r="A39" t="s">
        <v>39</v>
      </c>
      <c r="B39">
        <v>1696</v>
      </c>
      <c r="C39" t="s">
        <v>10</v>
      </c>
      <c r="D39">
        <v>0</v>
      </c>
      <c r="E39" s="2">
        <v>21168</v>
      </c>
      <c r="F39" t="s">
        <v>11</v>
      </c>
      <c r="G39" t="s">
        <v>12</v>
      </c>
      <c r="H39" t="s">
        <v>100</v>
      </c>
      <c r="I39" s="1">
        <v>0</v>
      </c>
      <c r="J39" t="s">
        <v>13</v>
      </c>
    </row>
    <row r="40" spans="1:10" x14ac:dyDescent="0.25">
      <c r="A40" t="s">
        <v>40</v>
      </c>
      <c r="B40">
        <v>1592</v>
      </c>
      <c r="C40" t="s">
        <v>10</v>
      </c>
      <c r="D40">
        <v>0</v>
      </c>
      <c r="E40" s="2">
        <v>9300</v>
      </c>
      <c r="F40" t="s">
        <v>11</v>
      </c>
      <c r="G40" t="s">
        <v>12</v>
      </c>
      <c r="H40" t="s">
        <v>100</v>
      </c>
      <c r="I40" s="1">
        <v>0</v>
      </c>
      <c r="J40" t="s">
        <v>13</v>
      </c>
    </row>
    <row r="41" spans="1:10" x14ac:dyDescent="0.25">
      <c r="A41" t="s">
        <v>23</v>
      </c>
      <c r="B41">
        <v>2072</v>
      </c>
      <c r="C41" t="s">
        <v>10</v>
      </c>
      <c r="D41">
        <v>0</v>
      </c>
      <c r="E41" s="2">
        <v>11020</v>
      </c>
      <c r="F41" t="s">
        <v>11</v>
      </c>
      <c r="G41" t="s">
        <v>12</v>
      </c>
      <c r="H41" t="s">
        <v>100</v>
      </c>
      <c r="I41" s="1">
        <v>0</v>
      </c>
      <c r="J41" t="s">
        <v>13</v>
      </c>
    </row>
    <row r="42" spans="1:10" x14ac:dyDescent="0.25">
      <c r="A42" t="s">
        <v>41</v>
      </c>
      <c r="B42">
        <v>2100</v>
      </c>
      <c r="C42" t="s">
        <v>10</v>
      </c>
      <c r="D42">
        <v>0</v>
      </c>
      <c r="E42" s="2">
        <v>20032</v>
      </c>
      <c r="F42" t="s">
        <v>11</v>
      </c>
      <c r="G42" t="s">
        <v>12</v>
      </c>
      <c r="H42" t="s">
        <v>101</v>
      </c>
      <c r="I42" s="1">
        <v>0</v>
      </c>
      <c r="J42" t="s">
        <v>13</v>
      </c>
    </row>
    <row r="43" spans="1:10" x14ac:dyDescent="0.25">
      <c r="A43" t="s">
        <v>42</v>
      </c>
      <c r="B43">
        <v>2128</v>
      </c>
      <c r="C43" t="s">
        <v>10</v>
      </c>
      <c r="D43">
        <v>0</v>
      </c>
      <c r="E43" s="2">
        <v>8560</v>
      </c>
      <c r="F43" t="s">
        <v>11</v>
      </c>
      <c r="G43" t="s">
        <v>12</v>
      </c>
      <c r="H43" t="s">
        <v>100</v>
      </c>
      <c r="I43" s="1">
        <v>0</v>
      </c>
      <c r="J43" t="s">
        <v>13</v>
      </c>
    </row>
    <row r="44" spans="1:10" x14ac:dyDescent="0.25">
      <c r="A44" t="s">
        <v>43</v>
      </c>
      <c r="B44">
        <v>2228</v>
      </c>
      <c r="C44" t="s">
        <v>10</v>
      </c>
      <c r="D44">
        <v>0</v>
      </c>
      <c r="E44" s="2">
        <v>8440</v>
      </c>
      <c r="F44" t="s">
        <v>11</v>
      </c>
      <c r="G44" t="s">
        <v>12</v>
      </c>
      <c r="H44" t="s">
        <v>100</v>
      </c>
      <c r="I44" s="1">
        <v>0</v>
      </c>
      <c r="J44" t="s">
        <v>13</v>
      </c>
    </row>
    <row r="45" spans="1:10" x14ac:dyDescent="0.25">
      <c r="A45" t="s">
        <v>44</v>
      </c>
      <c r="B45">
        <v>2680</v>
      </c>
      <c r="C45" t="s">
        <v>10</v>
      </c>
      <c r="D45">
        <v>0</v>
      </c>
      <c r="E45" s="2">
        <v>35792</v>
      </c>
      <c r="F45" t="s">
        <v>11</v>
      </c>
      <c r="G45" t="s">
        <v>12</v>
      </c>
      <c r="H45" t="s">
        <v>100</v>
      </c>
      <c r="I45" s="1">
        <v>1.1574074074074073E-5</v>
      </c>
      <c r="J45" t="s">
        <v>13</v>
      </c>
    </row>
    <row r="46" spans="1:10" x14ac:dyDescent="0.25">
      <c r="A46" t="s">
        <v>45</v>
      </c>
      <c r="B46">
        <v>2720</v>
      </c>
      <c r="C46" t="s">
        <v>10</v>
      </c>
      <c r="D46">
        <v>0</v>
      </c>
      <c r="E46" s="2">
        <v>6468</v>
      </c>
      <c r="F46" t="s">
        <v>11</v>
      </c>
      <c r="G46" t="s">
        <v>12</v>
      </c>
      <c r="H46" t="s">
        <v>100</v>
      </c>
      <c r="I46" s="1">
        <v>0</v>
      </c>
      <c r="J46" t="s">
        <v>13</v>
      </c>
    </row>
    <row r="47" spans="1:10" x14ac:dyDescent="0.25">
      <c r="A47" t="s">
        <v>46</v>
      </c>
      <c r="B47">
        <v>2752</v>
      </c>
      <c r="C47" t="s">
        <v>10</v>
      </c>
      <c r="D47">
        <v>0</v>
      </c>
      <c r="E47" s="2">
        <v>9712</v>
      </c>
      <c r="F47" t="s">
        <v>11</v>
      </c>
      <c r="G47" t="s">
        <v>12</v>
      </c>
      <c r="H47" t="s">
        <v>100</v>
      </c>
      <c r="I47" s="1">
        <v>0</v>
      </c>
      <c r="J47" t="s">
        <v>13</v>
      </c>
    </row>
    <row r="48" spans="1:10" x14ac:dyDescent="0.25">
      <c r="A48" t="s">
        <v>47</v>
      </c>
      <c r="B48">
        <v>2852</v>
      </c>
      <c r="C48" t="s">
        <v>10</v>
      </c>
      <c r="D48">
        <v>0</v>
      </c>
      <c r="E48" s="2">
        <v>19040</v>
      </c>
      <c r="F48" t="s">
        <v>11</v>
      </c>
      <c r="G48" t="s">
        <v>12</v>
      </c>
      <c r="H48" t="s">
        <v>102</v>
      </c>
      <c r="I48" s="1">
        <v>2.3148148148148147E-5</v>
      </c>
      <c r="J48" t="s">
        <v>13</v>
      </c>
    </row>
    <row r="49" spans="1:10" x14ac:dyDescent="0.25">
      <c r="A49" t="s">
        <v>48</v>
      </c>
      <c r="B49">
        <v>2964</v>
      </c>
      <c r="C49" t="s">
        <v>10</v>
      </c>
      <c r="D49">
        <v>0</v>
      </c>
      <c r="E49" s="2">
        <v>5680</v>
      </c>
      <c r="F49" t="s">
        <v>11</v>
      </c>
      <c r="G49" t="s">
        <v>12</v>
      </c>
      <c r="H49" t="s">
        <v>100</v>
      </c>
      <c r="I49" s="1">
        <v>0</v>
      </c>
      <c r="J49" t="s">
        <v>13</v>
      </c>
    </row>
    <row r="50" spans="1:10" x14ac:dyDescent="0.25">
      <c r="A50" t="s">
        <v>49</v>
      </c>
      <c r="B50">
        <v>2996</v>
      </c>
      <c r="C50" t="s">
        <v>10</v>
      </c>
      <c r="D50">
        <v>0</v>
      </c>
      <c r="E50" s="2">
        <v>5680</v>
      </c>
      <c r="F50" t="s">
        <v>11</v>
      </c>
      <c r="G50" t="s">
        <v>12</v>
      </c>
      <c r="H50" t="s">
        <v>100</v>
      </c>
      <c r="I50" s="1">
        <v>0</v>
      </c>
      <c r="J50" t="s">
        <v>13</v>
      </c>
    </row>
    <row r="51" spans="1:10" x14ac:dyDescent="0.25">
      <c r="A51" t="s">
        <v>47</v>
      </c>
      <c r="B51">
        <v>2444</v>
      </c>
      <c r="C51" t="s">
        <v>10</v>
      </c>
      <c r="D51">
        <v>0</v>
      </c>
      <c r="E51" s="2">
        <v>33040</v>
      </c>
      <c r="F51" t="s">
        <v>11</v>
      </c>
      <c r="G51" t="s">
        <v>12</v>
      </c>
      <c r="H51" t="s">
        <v>100</v>
      </c>
      <c r="I51" s="1">
        <v>8.1018518518518516E-5</v>
      </c>
      <c r="J51" t="s">
        <v>13</v>
      </c>
    </row>
    <row r="52" spans="1:10" x14ac:dyDescent="0.25">
      <c r="A52" t="s">
        <v>50</v>
      </c>
      <c r="B52">
        <v>2900</v>
      </c>
      <c r="C52" t="s">
        <v>10</v>
      </c>
      <c r="D52">
        <v>0</v>
      </c>
      <c r="E52" s="2">
        <v>5208</v>
      </c>
      <c r="F52" t="s">
        <v>11</v>
      </c>
      <c r="G52" t="s">
        <v>12</v>
      </c>
      <c r="H52" t="s">
        <v>100</v>
      </c>
      <c r="I52" s="1">
        <v>2.3148148148148147E-5</v>
      </c>
      <c r="J52" t="s">
        <v>13</v>
      </c>
    </row>
    <row r="53" spans="1:10" x14ac:dyDescent="0.25">
      <c r="A53" t="s">
        <v>23</v>
      </c>
      <c r="B53">
        <v>3348</v>
      </c>
      <c r="C53" t="s">
        <v>10</v>
      </c>
      <c r="D53">
        <v>0</v>
      </c>
      <c r="E53" s="2">
        <v>8484</v>
      </c>
      <c r="F53" t="s">
        <v>11</v>
      </c>
      <c r="G53" t="s">
        <v>12</v>
      </c>
      <c r="H53" t="s">
        <v>102</v>
      </c>
      <c r="I53" s="1">
        <v>0</v>
      </c>
      <c r="J53" t="s">
        <v>13</v>
      </c>
    </row>
    <row r="54" spans="1:10" x14ac:dyDescent="0.25">
      <c r="A54" t="s">
        <v>23</v>
      </c>
      <c r="B54">
        <v>3408</v>
      </c>
      <c r="C54" t="s">
        <v>10</v>
      </c>
      <c r="D54">
        <v>0</v>
      </c>
      <c r="E54" s="2">
        <v>5784</v>
      </c>
      <c r="F54" t="s">
        <v>11</v>
      </c>
      <c r="G54" t="s">
        <v>12</v>
      </c>
      <c r="H54" t="s">
        <v>102</v>
      </c>
      <c r="I54" s="1">
        <v>0</v>
      </c>
      <c r="J54" t="s">
        <v>13</v>
      </c>
    </row>
    <row r="55" spans="1:10" x14ac:dyDescent="0.25">
      <c r="A55" t="s">
        <v>51</v>
      </c>
      <c r="B55">
        <v>3452</v>
      </c>
      <c r="C55" t="s">
        <v>10</v>
      </c>
      <c r="D55">
        <v>0</v>
      </c>
      <c r="E55" s="2">
        <v>11024</v>
      </c>
      <c r="F55" t="s">
        <v>11</v>
      </c>
      <c r="G55" t="s">
        <v>12</v>
      </c>
      <c r="H55" t="s">
        <v>100</v>
      </c>
      <c r="I55" s="1">
        <v>0</v>
      </c>
      <c r="J55" t="s">
        <v>13</v>
      </c>
    </row>
    <row r="56" spans="1:10" x14ac:dyDescent="0.25">
      <c r="A56" t="s">
        <v>51</v>
      </c>
      <c r="B56">
        <v>3712</v>
      </c>
      <c r="C56" t="s">
        <v>10</v>
      </c>
      <c r="D56">
        <v>0</v>
      </c>
      <c r="E56" s="2">
        <v>12052</v>
      </c>
      <c r="F56" t="s">
        <v>11</v>
      </c>
      <c r="G56" t="s">
        <v>12</v>
      </c>
      <c r="H56" t="s">
        <v>100</v>
      </c>
      <c r="I56" s="1">
        <v>0</v>
      </c>
      <c r="J56" t="s">
        <v>13</v>
      </c>
    </row>
    <row r="57" spans="1:10" x14ac:dyDescent="0.25">
      <c r="A57" t="s">
        <v>52</v>
      </c>
      <c r="B57">
        <v>3832</v>
      </c>
      <c r="C57" t="s">
        <v>10</v>
      </c>
      <c r="D57">
        <v>0</v>
      </c>
      <c r="E57" s="2">
        <v>8040</v>
      </c>
      <c r="F57" t="s">
        <v>11</v>
      </c>
      <c r="G57" t="s">
        <v>12</v>
      </c>
      <c r="H57" t="s">
        <v>102</v>
      </c>
      <c r="I57" s="1">
        <v>0</v>
      </c>
      <c r="J57" t="s">
        <v>13</v>
      </c>
    </row>
    <row r="58" spans="1:10" x14ac:dyDescent="0.25">
      <c r="A58" t="s">
        <v>103</v>
      </c>
      <c r="B58">
        <v>4080</v>
      </c>
      <c r="C58" t="s">
        <v>10</v>
      </c>
      <c r="D58">
        <v>0</v>
      </c>
      <c r="E58" s="2">
        <v>7228</v>
      </c>
      <c r="F58" t="s">
        <v>11</v>
      </c>
      <c r="G58" t="s">
        <v>12</v>
      </c>
      <c r="H58" t="s">
        <v>100</v>
      </c>
      <c r="I58" s="1">
        <v>0</v>
      </c>
      <c r="J58" t="s">
        <v>13</v>
      </c>
    </row>
    <row r="59" spans="1:10" x14ac:dyDescent="0.25">
      <c r="A59" t="s">
        <v>50</v>
      </c>
      <c r="B59">
        <v>3684</v>
      </c>
      <c r="C59" t="s">
        <v>10</v>
      </c>
      <c r="D59">
        <v>0</v>
      </c>
      <c r="E59" s="2">
        <v>77520</v>
      </c>
      <c r="F59" t="s">
        <v>11</v>
      </c>
      <c r="G59" t="s">
        <v>12</v>
      </c>
      <c r="H59" t="s">
        <v>100</v>
      </c>
      <c r="I59" s="1">
        <v>2.3148148148148147E-5</v>
      </c>
      <c r="J59" t="s">
        <v>13</v>
      </c>
    </row>
    <row r="60" spans="1:10" x14ac:dyDescent="0.25">
      <c r="A60" t="s">
        <v>104</v>
      </c>
      <c r="B60">
        <v>3128</v>
      </c>
      <c r="C60" t="s">
        <v>10</v>
      </c>
      <c r="D60">
        <v>0</v>
      </c>
      <c r="E60" s="2">
        <v>7716</v>
      </c>
      <c r="F60" t="s">
        <v>11</v>
      </c>
      <c r="G60" t="s">
        <v>12</v>
      </c>
      <c r="H60" t="s">
        <v>100</v>
      </c>
      <c r="I60" s="1">
        <v>0</v>
      </c>
      <c r="J60" t="s">
        <v>13</v>
      </c>
    </row>
    <row r="61" spans="1:10" x14ac:dyDescent="0.25">
      <c r="A61" t="s">
        <v>47</v>
      </c>
      <c r="B61">
        <v>4136</v>
      </c>
      <c r="C61" t="s">
        <v>10</v>
      </c>
      <c r="D61">
        <v>0</v>
      </c>
      <c r="E61" s="2">
        <v>12044</v>
      </c>
      <c r="F61" t="s">
        <v>11</v>
      </c>
      <c r="G61" t="s">
        <v>12</v>
      </c>
      <c r="H61" t="s">
        <v>101</v>
      </c>
      <c r="I61" s="1">
        <v>0</v>
      </c>
      <c r="J61" t="s">
        <v>13</v>
      </c>
    </row>
    <row r="62" spans="1:10" x14ac:dyDescent="0.25">
      <c r="A62" t="s">
        <v>53</v>
      </c>
      <c r="B62">
        <v>4228</v>
      </c>
      <c r="C62" t="s">
        <v>10</v>
      </c>
      <c r="D62">
        <v>0</v>
      </c>
      <c r="E62" s="2">
        <v>3092</v>
      </c>
      <c r="F62" t="s">
        <v>11</v>
      </c>
      <c r="G62" t="s">
        <v>12</v>
      </c>
      <c r="H62" t="s">
        <v>100</v>
      </c>
      <c r="I62" s="1">
        <v>0</v>
      </c>
      <c r="J62" t="s">
        <v>13</v>
      </c>
    </row>
    <row r="63" spans="1:10" x14ac:dyDescent="0.25">
      <c r="A63" t="s">
        <v>16</v>
      </c>
      <c r="B63">
        <v>4284</v>
      </c>
      <c r="C63" t="s">
        <v>59</v>
      </c>
      <c r="D63">
        <v>2</v>
      </c>
      <c r="E63" s="2">
        <v>7536</v>
      </c>
      <c r="F63" t="s">
        <v>11</v>
      </c>
      <c r="G63" t="s">
        <v>60</v>
      </c>
      <c r="H63" t="s">
        <v>100</v>
      </c>
      <c r="I63" s="1">
        <v>0</v>
      </c>
      <c r="J63" t="s">
        <v>13</v>
      </c>
    </row>
    <row r="64" spans="1:10" x14ac:dyDescent="0.25">
      <c r="A64" t="s">
        <v>19</v>
      </c>
      <c r="B64">
        <v>4312</v>
      </c>
      <c r="C64" t="s">
        <v>59</v>
      </c>
      <c r="D64">
        <v>2</v>
      </c>
      <c r="E64" s="2">
        <v>5516</v>
      </c>
      <c r="F64" t="s">
        <v>11</v>
      </c>
      <c r="G64" t="s">
        <v>12</v>
      </c>
      <c r="H64" t="s">
        <v>100</v>
      </c>
      <c r="I64" s="1">
        <v>0</v>
      </c>
      <c r="J64" t="s">
        <v>13</v>
      </c>
    </row>
    <row r="65" spans="1:12" x14ac:dyDescent="0.25">
      <c r="A65" t="s">
        <v>61</v>
      </c>
      <c r="B65">
        <v>4500</v>
      </c>
      <c r="C65" t="s">
        <v>59</v>
      </c>
      <c r="D65">
        <v>2</v>
      </c>
      <c r="E65" s="2">
        <v>7824</v>
      </c>
      <c r="F65" t="s">
        <v>11</v>
      </c>
      <c r="G65" t="s">
        <v>60</v>
      </c>
      <c r="H65" t="s">
        <v>97</v>
      </c>
      <c r="I65" s="1">
        <v>0</v>
      </c>
      <c r="J65" t="s">
        <v>62</v>
      </c>
      <c r="L65" s="2"/>
    </row>
    <row r="66" spans="1:12" x14ac:dyDescent="0.25">
      <c r="A66" t="s">
        <v>63</v>
      </c>
      <c r="B66">
        <v>4596</v>
      </c>
      <c r="C66" t="s">
        <v>59</v>
      </c>
      <c r="D66">
        <v>2</v>
      </c>
      <c r="E66" s="2">
        <v>5432</v>
      </c>
      <c r="F66" t="s">
        <v>11</v>
      </c>
      <c r="G66" t="s">
        <v>60</v>
      </c>
      <c r="H66" t="s">
        <v>97</v>
      </c>
      <c r="I66" s="1">
        <v>0</v>
      </c>
      <c r="J66" t="s">
        <v>13</v>
      </c>
    </row>
    <row r="67" spans="1:12" x14ac:dyDescent="0.25">
      <c r="A67" t="s">
        <v>64</v>
      </c>
      <c r="B67">
        <v>4720</v>
      </c>
      <c r="C67" t="s">
        <v>59</v>
      </c>
      <c r="D67">
        <v>2</v>
      </c>
      <c r="E67" s="2">
        <v>4088</v>
      </c>
      <c r="F67" t="s">
        <v>11</v>
      </c>
      <c r="G67" t="s">
        <v>60</v>
      </c>
      <c r="H67" t="s">
        <v>97</v>
      </c>
      <c r="I67" s="1">
        <v>0</v>
      </c>
      <c r="J67" t="s">
        <v>65</v>
      </c>
    </row>
    <row r="68" spans="1:12" x14ac:dyDescent="0.25">
      <c r="A68" t="s">
        <v>66</v>
      </c>
      <c r="B68">
        <v>4744</v>
      </c>
      <c r="C68" t="s">
        <v>59</v>
      </c>
      <c r="D68">
        <v>2</v>
      </c>
      <c r="E68" s="2">
        <v>35752</v>
      </c>
      <c r="F68" t="s">
        <v>11</v>
      </c>
      <c r="G68" t="s">
        <v>60</v>
      </c>
      <c r="H68" t="s">
        <v>97</v>
      </c>
      <c r="I68" s="1">
        <v>0</v>
      </c>
      <c r="J68" t="s">
        <v>13</v>
      </c>
    </row>
    <row r="69" spans="1:12" x14ac:dyDescent="0.25">
      <c r="A69" t="s">
        <v>67</v>
      </c>
      <c r="B69">
        <v>4840</v>
      </c>
      <c r="C69" t="s">
        <v>59</v>
      </c>
      <c r="D69">
        <v>2</v>
      </c>
      <c r="E69" s="2">
        <v>13108</v>
      </c>
      <c r="F69" t="s">
        <v>11</v>
      </c>
      <c r="G69" t="s">
        <v>60</v>
      </c>
      <c r="H69" t="s">
        <v>97</v>
      </c>
      <c r="I69" s="1">
        <v>0</v>
      </c>
      <c r="J69" t="s">
        <v>68</v>
      </c>
    </row>
    <row r="70" spans="1:12" x14ac:dyDescent="0.25">
      <c r="A70" t="s">
        <v>69</v>
      </c>
      <c r="B70">
        <v>4936</v>
      </c>
      <c r="C70" t="s">
        <v>59</v>
      </c>
      <c r="D70">
        <v>2</v>
      </c>
      <c r="E70" s="2">
        <v>3124</v>
      </c>
      <c r="F70" t="s">
        <v>11</v>
      </c>
      <c r="G70" t="s">
        <v>60</v>
      </c>
      <c r="H70" t="s">
        <v>97</v>
      </c>
      <c r="I70" s="1">
        <v>0</v>
      </c>
      <c r="J70" t="s">
        <v>70</v>
      </c>
    </row>
    <row r="71" spans="1:12" x14ac:dyDescent="0.25">
      <c r="A71" t="s">
        <v>69</v>
      </c>
      <c r="B71">
        <v>4956</v>
      </c>
      <c r="C71" t="s">
        <v>59</v>
      </c>
      <c r="D71">
        <v>2</v>
      </c>
      <c r="E71" s="2">
        <v>3120</v>
      </c>
      <c r="F71" t="s">
        <v>11</v>
      </c>
      <c r="G71" t="s">
        <v>60</v>
      </c>
      <c r="H71" t="s">
        <v>97</v>
      </c>
      <c r="I71" s="1">
        <v>0</v>
      </c>
      <c r="J71" t="s">
        <v>70</v>
      </c>
    </row>
    <row r="72" spans="1:12" x14ac:dyDescent="0.25">
      <c r="A72" t="s">
        <v>53</v>
      </c>
      <c r="B72">
        <v>4968</v>
      </c>
      <c r="C72" t="s">
        <v>59</v>
      </c>
      <c r="D72">
        <v>2</v>
      </c>
      <c r="E72" s="2">
        <v>3464</v>
      </c>
      <c r="F72" t="s">
        <v>11</v>
      </c>
      <c r="G72" t="s">
        <v>60</v>
      </c>
      <c r="H72" t="s">
        <v>97</v>
      </c>
      <c r="I72" s="1">
        <v>0</v>
      </c>
      <c r="J72" t="s">
        <v>71</v>
      </c>
    </row>
    <row r="73" spans="1:12" x14ac:dyDescent="0.25">
      <c r="A73" t="s">
        <v>53</v>
      </c>
      <c r="B73">
        <v>4996</v>
      </c>
      <c r="C73" t="s">
        <v>59</v>
      </c>
      <c r="D73">
        <v>2</v>
      </c>
      <c r="E73" s="2">
        <v>3444</v>
      </c>
      <c r="F73" t="s">
        <v>11</v>
      </c>
      <c r="G73" t="s">
        <v>60</v>
      </c>
      <c r="H73" t="s">
        <v>97</v>
      </c>
      <c r="I73" s="1">
        <v>0</v>
      </c>
      <c r="J73" t="s">
        <v>71</v>
      </c>
    </row>
    <row r="74" spans="1:12" x14ac:dyDescent="0.25">
      <c r="A74" t="s">
        <v>72</v>
      </c>
      <c r="B74">
        <v>5032</v>
      </c>
      <c r="C74" t="s">
        <v>59</v>
      </c>
      <c r="D74">
        <v>2</v>
      </c>
      <c r="E74" s="2">
        <v>44368</v>
      </c>
      <c r="F74" t="s">
        <v>11</v>
      </c>
      <c r="G74" t="s">
        <v>60</v>
      </c>
      <c r="H74" t="s">
        <v>97</v>
      </c>
      <c r="I74" s="1">
        <v>0</v>
      </c>
      <c r="J74" t="s">
        <v>73</v>
      </c>
    </row>
    <row r="75" spans="1:12" x14ac:dyDescent="0.25">
      <c r="A75" t="s">
        <v>76</v>
      </c>
      <c r="B75">
        <v>5068</v>
      </c>
      <c r="C75" t="s">
        <v>59</v>
      </c>
      <c r="D75">
        <v>2</v>
      </c>
      <c r="E75" s="2">
        <v>9924</v>
      </c>
      <c r="F75" t="s">
        <v>11</v>
      </c>
      <c r="G75" t="s">
        <v>60</v>
      </c>
      <c r="H75" t="s">
        <v>97</v>
      </c>
      <c r="I75" s="1">
        <v>0</v>
      </c>
      <c r="J75" t="s">
        <v>77</v>
      </c>
    </row>
    <row r="76" spans="1:12" x14ac:dyDescent="0.25">
      <c r="A76" t="s">
        <v>74</v>
      </c>
      <c r="B76">
        <v>5076</v>
      </c>
      <c r="C76" t="s">
        <v>59</v>
      </c>
      <c r="D76">
        <v>2</v>
      </c>
      <c r="E76" s="2">
        <v>49264</v>
      </c>
      <c r="F76" t="s">
        <v>11</v>
      </c>
      <c r="G76" t="s">
        <v>60</v>
      </c>
      <c r="H76" t="s">
        <v>97</v>
      </c>
      <c r="I76" s="1">
        <v>0</v>
      </c>
      <c r="J76" t="s">
        <v>75</v>
      </c>
    </row>
    <row r="77" spans="1:12" x14ac:dyDescent="0.25">
      <c r="A77" t="s">
        <v>78</v>
      </c>
      <c r="B77">
        <v>3976</v>
      </c>
      <c r="C77" t="s">
        <v>59</v>
      </c>
      <c r="D77">
        <v>2</v>
      </c>
      <c r="E77" s="2">
        <v>7152</v>
      </c>
      <c r="F77" t="s">
        <v>11</v>
      </c>
      <c r="G77" t="s">
        <v>60</v>
      </c>
      <c r="H77" t="s">
        <v>97</v>
      </c>
      <c r="I77" s="1">
        <v>0</v>
      </c>
      <c r="J77" t="s">
        <v>79</v>
      </c>
    </row>
    <row r="78" spans="1:12" x14ac:dyDescent="0.25">
      <c r="A78" t="s">
        <v>28</v>
      </c>
      <c r="B78">
        <v>3804</v>
      </c>
      <c r="C78" t="s">
        <v>59</v>
      </c>
      <c r="D78">
        <v>2</v>
      </c>
      <c r="E78" s="2">
        <v>26512</v>
      </c>
      <c r="F78" t="s">
        <v>11</v>
      </c>
      <c r="G78" t="s">
        <v>60</v>
      </c>
      <c r="H78" t="s">
        <v>97</v>
      </c>
      <c r="I78" s="1">
        <v>0</v>
      </c>
      <c r="J78" t="s">
        <v>80</v>
      </c>
    </row>
    <row r="79" spans="1:12" x14ac:dyDescent="0.25">
      <c r="A79" t="s">
        <v>105</v>
      </c>
      <c r="B79">
        <v>3604</v>
      </c>
      <c r="C79" t="s">
        <v>10</v>
      </c>
      <c r="D79">
        <v>0</v>
      </c>
      <c r="E79" s="2">
        <v>8164</v>
      </c>
      <c r="F79" t="s">
        <v>11</v>
      </c>
      <c r="G79" t="s">
        <v>12</v>
      </c>
      <c r="H79" t="s">
        <v>100</v>
      </c>
      <c r="I79" s="1">
        <v>0</v>
      </c>
      <c r="J79" t="s">
        <v>13</v>
      </c>
    </row>
    <row r="80" spans="1:12" x14ac:dyDescent="0.25">
      <c r="A80" t="s">
        <v>81</v>
      </c>
      <c r="B80">
        <v>4812</v>
      </c>
      <c r="C80" t="s">
        <v>59</v>
      </c>
      <c r="D80">
        <v>2</v>
      </c>
      <c r="E80" s="2">
        <v>35816</v>
      </c>
      <c r="F80" t="s">
        <v>11</v>
      </c>
      <c r="G80" t="s">
        <v>60</v>
      </c>
      <c r="H80" t="s">
        <v>97</v>
      </c>
      <c r="I80" s="1">
        <v>0</v>
      </c>
      <c r="J80" t="s">
        <v>106</v>
      </c>
    </row>
    <row r="81" spans="1:10" x14ac:dyDescent="0.25">
      <c r="A81" t="s">
        <v>107</v>
      </c>
      <c r="B81">
        <v>3308</v>
      </c>
      <c r="C81" t="s">
        <v>10</v>
      </c>
      <c r="D81">
        <v>0</v>
      </c>
      <c r="E81" s="2">
        <v>8920</v>
      </c>
      <c r="F81" t="s">
        <v>11</v>
      </c>
      <c r="G81" t="s">
        <v>12</v>
      </c>
      <c r="H81" t="s">
        <v>100</v>
      </c>
      <c r="I81" s="1">
        <v>0</v>
      </c>
      <c r="J81" t="s">
        <v>13</v>
      </c>
    </row>
    <row r="82" spans="1:10" x14ac:dyDescent="0.25">
      <c r="A82" t="s">
        <v>108</v>
      </c>
      <c r="B82">
        <v>5084</v>
      </c>
      <c r="C82" t="s">
        <v>10</v>
      </c>
      <c r="D82">
        <v>0</v>
      </c>
      <c r="E82" s="2">
        <v>9180</v>
      </c>
      <c r="F82" t="s">
        <v>11</v>
      </c>
      <c r="G82" t="s">
        <v>12</v>
      </c>
      <c r="H82" t="s">
        <v>102</v>
      </c>
      <c r="I82" s="1">
        <v>0</v>
      </c>
      <c r="J82" t="s">
        <v>13</v>
      </c>
    </row>
    <row r="83" spans="1:10" x14ac:dyDescent="0.25">
      <c r="A83" t="s">
        <v>69</v>
      </c>
      <c r="B83">
        <v>124</v>
      </c>
      <c r="C83" t="s">
        <v>59</v>
      </c>
      <c r="D83">
        <v>2</v>
      </c>
      <c r="E83" s="2">
        <v>2924</v>
      </c>
      <c r="F83" t="s">
        <v>11</v>
      </c>
      <c r="G83" t="s">
        <v>60</v>
      </c>
      <c r="H83" t="s">
        <v>97</v>
      </c>
      <c r="I83" s="1">
        <v>0</v>
      </c>
      <c r="J83" t="s">
        <v>88</v>
      </c>
    </row>
    <row r="84" spans="1:10" x14ac:dyDescent="0.25">
      <c r="A84" t="s">
        <v>53</v>
      </c>
      <c r="B84">
        <v>3972</v>
      </c>
      <c r="C84" t="s">
        <v>59</v>
      </c>
      <c r="D84">
        <v>2</v>
      </c>
      <c r="E84" s="2">
        <v>3732</v>
      </c>
      <c r="F84" t="s">
        <v>11</v>
      </c>
      <c r="G84" t="s">
        <v>60</v>
      </c>
      <c r="H84" t="s">
        <v>97</v>
      </c>
      <c r="I84" s="1">
        <v>0</v>
      </c>
      <c r="J84" t="s">
        <v>71</v>
      </c>
    </row>
    <row r="85" spans="1:10" x14ac:dyDescent="0.25">
      <c r="A85" t="s">
        <v>54</v>
      </c>
      <c r="B85">
        <v>1844</v>
      </c>
      <c r="C85" t="s">
        <v>10</v>
      </c>
      <c r="D85">
        <v>0</v>
      </c>
      <c r="E85" s="2">
        <v>5836</v>
      </c>
      <c r="F85" t="s">
        <v>11</v>
      </c>
      <c r="G85" t="s">
        <v>12</v>
      </c>
      <c r="H85" t="s">
        <v>100</v>
      </c>
      <c r="I85" s="1">
        <v>0</v>
      </c>
      <c r="J85" t="s">
        <v>13</v>
      </c>
    </row>
    <row r="86" spans="1:10" x14ac:dyDescent="0.25">
      <c r="A86" t="s">
        <v>89</v>
      </c>
      <c r="B86">
        <v>4280</v>
      </c>
      <c r="C86" t="s">
        <v>59</v>
      </c>
      <c r="D86">
        <v>2</v>
      </c>
      <c r="E86" s="2">
        <v>6048</v>
      </c>
      <c r="F86" t="s">
        <v>11</v>
      </c>
      <c r="G86" t="s">
        <v>12</v>
      </c>
      <c r="H86" t="s">
        <v>97</v>
      </c>
      <c r="I86" s="1">
        <v>0</v>
      </c>
      <c r="J86" t="s">
        <v>13</v>
      </c>
    </row>
  </sheetData>
  <autoFilter ref="A1:J86"/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 Restart CPU Use</vt:lpstr>
      <vt:lpstr>After Restart CPU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Hemanth Kumar Kothari</cp:lastModifiedBy>
  <dcterms:created xsi:type="dcterms:W3CDTF">2018-08-27T10:33:03Z</dcterms:created>
  <dcterms:modified xsi:type="dcterms:W3CDTF">2018-08-27T10:33:03Z</dcterms:modified>
</cp:coreProperties>
</file>